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/>
  <mc:AlternateContent xmlns:mc="http://schemas.openxmlformats.org/markup-compatibility/2006">
    <mc:Choice Requires="x15">
      <x15ac:absPath xmlns:x15ac="http://schemas.microsoft.com/office/spreadsheetml/2010/11/ac" url="/Users/antoniustran89/Documents/GDNN-GDTX/2024-2025/WEBLESSON/education-blog/chấm công tự động/"/>
    </mc:Choice>
  </mc:AlternateContent>
  <xr:revisionPtr revIDLastSave="0" documentId="13_ncr:1_{3F89CE87-43B1-8D48-A9B1-93330800BA4B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THÙ LAO DẠY" sheetId="8" state="hidden" r:id="rId1"/>
    <sheet name="T11.25" sheetId="50" r:id="rId2"/>
  </sheets>
  <externalReferences>
    <externalReference r:id="rId3"/>
  </externalReferences>
  <definedNames>
    <definedName name="_xlnm._FilterDatabase" localSheetId="1" hidden="1">'T11.25'!#REF!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0" i="50" l="1"/>
  <c r="AH30" i="50"/>
  <c r="AG30" i="50"/>
  <c r="AF30" i="50"/>
  <c r="AE30" i="50"/>
  <c r="AD30" i="50"/>
  <c r="AC30" i="50"/>
  <c r="AB30" i="50"/>
  <c r="AA30" i="50"/>
  <c r="Z30" i="50"/>
  <c r="Y30" i="50"/>
  <c r="X30" i="50"/>
  <c r="W30" i="50"/>
  <c r="V30" i="50"/>
  <c r="U30" i="50"/>
  <c r="T30" i="50"/>
  <c r="S30" i="50"/>
  <c r="R30" i="50"/>
  <c r="Q30" i="50"/>
  <c r="P30" i="50"/>
  <c r="O30" i="50"/>
  <c r="N30" i="50"/>
  <c r="M30" i="50"/>
  <c r="L30" i="50"/>
  <c r="K30" i="50"/>
  <c r="J30" i="50"/>
  <c r="I30" i="50"/>
  <c r="H30" i="50"/>
  <c r="G30" i="50"/>
  <c r="F30" i="50"/>
  <c r="E30" i="50"/>
  <c r="AJ29" i="50"/>
  <c r="AJ28" i="50"/>
  <c r="AJ27" i="50"/>
  <c r="AJ26" i="50"/>
  <c r="AJ25" i="50"/>
  <c r="AJ24" i="50"/>
  <c r="AJ23" i="50"/>
  <c r="AJ22" i="50"/>
  <c r="AJ21" i="50"/>
  <c r="AJ20" i="50"/>
  <c r="AJ19" i="50"/>
  <c r="AJ18" i="50"/>
  <c r="AJ17" i="50"/>
  <c r="AJ16" i="50"/>
  <c r="AJ15" i="50"/>
  <c r="AJ14" i="50"/>
  <c r="AJ13" i="50"/>
  <c r="AJ12" i="50"/>
  <c r="AJ11" i="50"/>
  <c r="AJ10" i="50"/>
  <c r="AJ9" i="50"/>
  <c r="AJ8" i="50"/>
  <c r="AJ7" i="50"/>
  <c r="E5" i="50"/>
  <c r="F5" i="50" s="1"/>
  <c r="G5" i="50" s="1"/>
  <c r="H5" i="50" s="1"/>
  <c r="I5" i="50" s="1"/>
  <c r="J5" i="50" s="1"/>
  <c r="K5" i="50" s="1"/>
  <c r="L5" i="50" s="1"/>
  <c r="M5" i="50" s="1"/>
  <c r="N5" i="50" s="1"/>
  <c r="O5" i="50" s="1"/>
  <c r="P5" i="50" s="1"/>
  <c r="Q5" i="50" s="1"/>
  <c r="R5" i="50" s="1"/>
  <c r="S5" i="50" s="1"/>
  <c r="T5" i="50" s="1"/>
  <c r="U5" i="50" s="1"/>
  <c r="V5" i="50" s="1"/>
  <c r="W5" i="50" s="1"/>
  <c r="X5" i="50" s="1"/>
  <c r="Y5" i="50" s="1"/>
  <c r="Z5" i="50" s="1"/>
  <c r="AA5" i="50" s="1"/>
  <c r="AB5" i="50" s="1"/>
  <c r="AC5" i="50" s="1"/>
  <c r="AD5" i="50" s="1"/>
  <c r="AE5" i="50" s="1"/>
  <c r="AF5" i="50" s="1"/>
  <c r="AG5" i="50" s="1"/>
  <c r="AH5" i="50" s="1"/>
  <c r="Z26" i="8"/>
  <c r="X25" i="8"/>
  <c r="Z25" i="8" s="1"/>
  <c r="X24" i="8"/>
  <c r="Z24" i="8" s="1"/>
  <c r="X23" i="8"/>
  <c r="Z23" i="8" s="1"/>
  <c r="X22" i="8"/>
  <c r="Z22" i="8" s="1"/>
  <c r="O22" i="8"/>
  <c r="X21" i="8"/>
  <c r="Z21" i="8" s="1"/>
  <c r="O21" i="8"/>
  <c r="Q21" i="8" s="1"/>
  <c r="X20" i="8"/>
  <c r="Z20" i="8" s="1"/>
  <c r="O20" i="8"/>
  <c r="Q20" i="8" s="1"/>
  <c r="G20" i="8"/>
  <c r="F20" i="8"/>
  <c r="H20" i="8" s="1"/>
  <c r="X19" i="8"/>
  <c r="Z19" i="8" s="1"/>
  <c r="Q19" i="8"/>
  <c r="O19" i="8"/>
  <c r="G19" i="8"/>
  <c r="F19" i="8"/>
  <c r="H19" i="8" s="1"/>
  <c r="X18" i="8"/>
  <c r="Z18" i="8" s="1"/>
  <c r="O18" i="8"/>
  <c r="Q18" i="8" s="1"/>
  <c r="G18" i="8"/>
  <c r="F18" i="8"/>
  <c r="H18" i="8" s="1"/>
  <c r="Z17" i="8"/>
  <c r="X17" i="8"/>
  <c r="O17" i="8"/>
  <c r="Q17" i="8" s="1"/>
  <c r="H17" i="8"/>
  <c r="G17" i="8"/>
  <c r="F17" i="8"/>
  <c r="X16" i="8"/>
  <c r="Z16" i="8" s="1"/>
  <c r="O16" i="8"/>
  <c r="Q16" i="8" s="1"/>
  <c r="G16" i="8"/>
  <c r="F16" i="8"/>
  <c r="H16" i="8" s="1"/>
  <c r="X15" i="8"/>
  <c r="Z15" i="8" s="1"/>
  <c r="Q15" i="8"/>
  <c r="O15" i="8"/>
  <c r="G15" i="8"/>
  <c r="F15" i="8"/>
  <c r="H15" i="8" s="1"/>
  <c r="Z14" i="8"/>
  <c r="X14" i="8"/>
  <c r="O14" i="8"/>
  <c r="Q14" i="8" s="1"/>
  <c r="G14" i="8"/>
  <c r="F14" i="8"/>
  <c r="H14" i="8" s="1"/>
  <c r="X13" i="8"/>
  <c r="Z13" i="8" s="1"/>
  <c r="O13" i="8"/>
  <c r="Q13" i="8" s="1"/>
  <c r="G13" i="8"/>
  <c r="F13" i="8"/>
  <c r="H13" i="8" s="1"/>
  <c r="X12" i="8"/>
  <c r="Z12" i="8" s="1"/>
  <c r="Q12" i="8"/>
  <c r="O12" i="8"/>
  <c r="G12" i="8"/>
  <c r="F12" i="8"/>
  <c r="H12" i="8" s="1"/>
  <c r="X11" i="8"/>
  <c r="Z11" i="8" s="1"/>
  <c r="O11" i="8"/>
  <c r="Q11" i="8" s="1"/>
  <c r="G11" i="8"/>
  <c r="F11" i="8"/>
  <c r="H11" i="8" s="1"/>
  <c r="X10" i="8"/>
  <c r="Z10" i="8" s="1"/>
  <c r="O10" i="8"/>
  <c r="Q10" i="8" s="1"/>
  <c r="H10" i="8"/>
  <c r="G10" i="8"/>
  <c r="F10" i="8"/>
  <c r="Z9" i="8"/>
  <c r="X9" i="8"/>
  <c r="O9" i="8"/>
  <c r="Q9" i="8" s="1"/>
  <c r="G9" i="8"/>
  <c r="H9" i="8" s="1"/>
  <c r="F9" i="8"/>
  <c r="X8" i="8"/>
  <c r="Z8" i="8" s="1"/>
  <c r="O8" i="8"/>
  <c r="Q8" i="8" s="1"/>
  <c r="G8" i="8"/>
  <c r="F8" i="8"/>
  <c r="H8" i="8" s="1"/>
  <c r="X7" i="8"/>
  <c r="Z7" i="8" s="1"/>
  <c r="Q7" i="8"/>
  <c r="O7" i="8"/>
  <c r="G7" i="8"/>
  <c r="F7" i="8"/>
  <c r="H7" i="8" s="1"/>
  <c r="Z6" i="8"/>
  <c r="X6" i="8"/>
  <c r="O6" i="8"/>
  <c r="Q6" i="8" s="1"/>
  <c r="G6" i="8"/>
  <c r="F6" i="8"/>
  <c r="H6" i="8" s="1"/>
  <c r="X5" i="8"/>
  <c r="X27" i="8" s="1"/>
  <c r="O5" i="8"/>
  <c r="Q5" i="8" s="1"/>
  <c r="G5" i="8"/>
  <c r="F5" i="8"/>
  <c r="F21" i="8" s="1"/>
  <c r="AJ30" i="50" l="1"/>
  <c r="Q22" i="8"/>
  <c r="Z5" i="8"/>
  <c r="Z27" i="8" s="1"/>
  <c r="H5" i="8"/>
  <c r="H21" i="8" s="1"/>
</calcChain>
</file>

<file path=xl/sharedStrings.xml><?xml version="1.0" encoding="utf-8"?>
<sst xmlns="http://schemas.openxmlformats.org/spreadsheetml/2006/main" count="365" uniqueCount="172">
  <si>
    <t>ỦY BAN NHÂN DÂN TP. THỦ ĐỨC</t>
  </si>
  <si>
    <t>CỘNG HÒA XÃ HỘI CHỦ NGHĨA VIỆT NAM</t>
  </si>
  <si>
    <t>TRUNG TÂM GDNN - GDTX</t>
  </si>
  <si>
    <t>Độc lập - Tự do - Hạnh phúc</t>
  </si>
  <si>
    <t>BẢNG THANH TOÁN THÙ LAO GIÁO VIÊN DẠY 5 LỚP 10VH
 TẠI TRƯỜNG CAO ĐẲNG KỸ NGHỆ II THÁNG 04/2022</t>
  </si>
  <si>
    <t>BẢNG THANH TOÁN THÙ LAO GIÁO VIÊN DẠY 5 LỚP 11VH
 TẠI TRƯỜNG CAO ĐẲNG KỸ NGHỆ II THÁNG 04/2022</t>
  </si>
  <si>
    <t>BẢNG THANH TOÁN THÙ LAO GIÁO VIÊN DẠY 5 LỚP 12VH
 TẠI TRƯỜNG CAO ĐẲNG KỸ NGHỆ II THÁNG 04/2022</t>
  </si>
  <si>
    <t>STT</t>
  </si>
  <si>
    <t>Họ và tên</t>
  </si>
  <si>
    <t>Số CMND</t>
  </si>
  <si>
    <t>Môn dạy</t>
  </si>
  <si>
    <t>Số tiết dạy</t>
  </si>
  <si>
    <t>Số tiền/tiết</t>
  </si>
  <si>
    <t>Thành tiền</t>
  </si>
  <si>
    <t>Ký nhận</t>
  </si>
  <si>
    <t>Ghi chú</t>
  </si>
  <si>
    <t>Nguyễn Thị Kim</t>
  </si>
  <si>
    <t>Thảo</t>
  </si>
  <si>
    <t>038196001561</t>
  </si>
  <si>
    <t>Văn</t>
  </si>
  <si>
    <t xml:space="preserve">Ninh Thị </t>
  </si>
  <si>
    <t>Vân</t>
  </si>
  <si>
    <t>038155001771</t>
  </si>
  <si>
    <t>Bùi Thị Bích</t>
  </si>
  <si>
    <t>Phương</t>
  </si>
  <si>
    <t>021395137</t>
  </si>
  <si>
    <t>Phan Phương</t>
  </si>
  <si>
    <t>Bình</t>
  </si>
  <si>
    <t>215527588</t>
  </si>
  <si>
    <t xml:space="preserve">Lê Thị </t>
  </si>
  <si>
    <t>Sáng</t>
  </si>
  <si>
    <t>024493776</t>
  </si>
  <si>
    <t xml:space="preserve">Nguyễn Mạnh </t>
  </si>
  <si>
    <t>Thắng</t>
  </si>
  <si>
    <t>021780356</t>
  </si>
  <si>
    <t>Lê Quang</t>
  </si>
  <si>
    <t>Nghĩa</t>
  </si>
  <si>
    <t>025323040</t>
  </si>
  <si>
    <t>Toán</t>
  </si>
  <si>
    <t>Huỳnh Thị Diệu</t>
  </si>
  <si>
    <t>Hằng</t>
  </si>
  <si>
    <t>026057090</t>
  </si>
  <si>
    <t>Võ Thị Thanh</t>
  </si>
  <si>
    <t>Nga</t>
  </si>
  <si>
    <t>079162005672</t>
  </si>
  <si>
    <t>Đặng Minh</t>
  </si>
  <si>
    <t>Trung</t>
  </si>
  <si>
    <t xml:space="preserve">Đặng Hữu </t>
  </si>
  <si>
    <t>Tôn</t>
  </si>
  <si>
    <t xml:space="preserve">Trương Thị Ngọc </t>
  </si>
  <si>
    <t>Châu</t>
  </si>
  <si>
    <t>049185000290</t>
  </si>
  <si>
    <t xml:space="preserve">Nguyễn Lương </t>
  </si>
  <si>
    <t>Nhẫn</t>
  </si>
  <si>
    <t>0273231585</t>
  </si>
  <si>
    <t>Nguyễn Minh</t>
  </si>
  <si>
    <t>Nhựt</t>
  </si>
  <si>
    <t>021732107</t>
  </si>
  <si>
    <t>Thành</t>
  </si>
  <si>
    <t>025851330</t>
  </si>
  <si>
    <t>Lý</t>
  </si>
  <si>
    <t>Phúc</t>
  </si>
  <si>
    <t>079096034812</t>
  </si>
  <si>
    <t>Lâm Thị Bích</t>
  </si>
  <si>
    <t>Ngọc</t>
  </si>
  <si>
    <t>Vũ Thị Hoài</t>
  </si>
  <si>
    <t>Thu</t>
  </si>
  <si>
    <t>Nguyễn Thị Lan</t>
  </si>
  <si>
    <t>Chi</t>
  </si>
  <si>
    <t>022734549</t>
  </si>
  <si>
    <t>Trương Thị Thân</t>
  </si>
  <si>
    <t>Thương</t>
  </si>
  <si>
    <t>Hóa</t>
  </si>
  <si>
    <t xml:space="preserve">Trần Văn Chí </t>
  </si>
  <si>
    <t xml:space="preserve">Linh </t>
  </si>
  <si>
    <t xml:space="preserve">Nguyễn Thị Hương </t>
  </si>
  <si>
    <t>Quế</t>
  </si>
  <si>
    <t>Nguyễn Văn</t>
  </si>
  <si>
    <t>Tốt</t>
  </si>
  <si>
    <t>021684390</t>
  </si>
  <si>
    <t>Sinh</t>
  </si>
  <si>
    <t>Chềnh Kim</t>
  </si>
  <si>
    <t>Liên</t>
  </si>
  <si>
    <t>023812799</t>
  </si>
  <si>
    <t>Nguyễn Thị</t>
  </si>
  <si>
    <t xml:space="preserve">Nguyễn Thị Thu </t>
  </si>
  <si>
    <t>023096873</t>
  </si>
  <si>
    <t>Sử</t>
  </si>
  <si>
    <t>Phạm Thị Anh</t>
  </si>
  <si>
    <t>Quyền</t>
  </si>
  <si>
    <t>Út</t>
  </si>
  <si>
    <t>Lý Thị</t>
  </si>
  <si>
    <t>Thư</t>
  </si>
  <si>
    <t>038182043617</t>
  </si>
  <si>
    <t xml:space="preserve">Lê Thị Mai </t>
  </si>
  <si>
    <t>Trang</t>
  </si>
  <si>
    <t>025439001</t>
  </si>
  <si>
    <t>Lê</t>
  </si>
  <si>
    <t>Địa</t>
  </si>
  <si>
    <t>Lê Thị</t>
  </si>
  <si>
    <t>Tứ</t>
  </si>
  <si>
    <t xml:space="preserve">Nguyễn Thành </t>
  </si>
  <si>
    <t>025089014</t>
  </si>
  <si>
    <t>TỔNG CỘNG</t>
  </si>
  <si>
    <t xml:space="preserve">Văn </t>
  </si>
  <si>
    <t>Thủ Đức, ngày 04 tháng 05 năm 2022</t>
  </si>
  <si>
    <t>Kế toán</t>
  </si>
  <si>
    <t>Giám đốc</t>
  </si>
  <si>
    <t>Nguyễn Lê Thúy Vy</t>
  </si>
  <si>
    <t>Trịnh Đình Vũ Huy</t>
  </si>
  <si>
    <t>SỞ GIÁO DỤC VÀ ĐÀO TẠO THÀNH PHỐ HỒ CHÍ MINH</t>
  </si>
  <si>
    <t>TRUNG TÂM GDNN - GDTX THÀNH PHỐ THỦ ĐỨC</t>
  </si>
  <si>
    <t>BẢNG TỔNG HỢP GIỜ DẠY - KHỐI 10 TẠI TRƯỜNG CAO ĐẲNG CÔNG NGHỆ TP HỒ CHÍ MINH                                                                           THÁNG 11/2025</t>
  </si>
  <si>
    <t>HỌ VÀ TÊN</t>
  </si>
  <si>
    <t>Môn</t>
  </si>
  <si>
    <t>SỐ TIẾT DẠY KHỐI 10 SĨ SỐ HV TRÊN 47 (LỚP 10CN1, 2, 3, 4, 5, 6)</t>
  </si>
  <si>
    <t>Số 
tiết 
làm hồ sơ CN</t>
  </si>
  <si>
    <t>Tổng
 cộng</t>
  </si>
  <si>
    <t>T7</t>
  </si>
  <si>
    <t>CN</t>
  </si>
  <si>
    <t>T2</t>
  </si>
  <si>
    <t>T3</t>
  </si>
  <si>
    <t>T4</t>
  </si>
  <si>
    <t>T5</t>
  </si>
  <si>
    <t>T6</t>
  </si>
  <si>
    <t xml:space="preserve">Tăng Gia </t>
  </si>
  <si>
    <t>Bảo</t>
  </si>
  <si>
    <t>Toán GVCN 10CN2</t>
  </si>
  <si>
    <t xml:space="preserve">Võ Thị Ngọc </t>
  </si>
  <si>
    <t>Liễu</t>
  </si>
  <si>
    <t xml:space="preserve">Nguyễn Thị </t>
  </si>
  <si>
    <t>Mai</t>
  </si>
  <si>
    <t xml:space="preserve">Võ Ngọc Uyên </t>
  </si>
  <si>
    <t xml:space="preserve">Phan Phương </t>
  </si>
  <si>
    <t>Văn GVCN 10CN5</t>
  </si>
  <si>
    <t xml:space="preserve">Đặng Trần Hồng </t>
  </si>
  <si>
    <t>Nhật</t>
  </si>
  <si>
    <t>Văn GVCN 10CN4</t>
  </si>
  <si>
    <t xml:space="preserve">Nguyễn Lê Phương </t>
  </si>
  <si>
    <t>Quỳnh</t>
  </si>
  <si>
    <t xml:space="preserve">Nguyễn Tường </t>
  </si>
  <si>
    <t>Vi</t>
  </si>
  <si>
    <t>Nguyễn Thị Thu</t>
  </si>
  <si>
    <t>Phan Nguyễn Phương</t>
  </si>
  <si>
    <t>Uyên</t>
  </si>
  <si>
    <t>Sử GVCN 10CN6</t>
  </si>
  <si>
    <t>Ninh Huỳnh Anh</t>
  </si>
  <si>
    <t>Khoa</t>
  </si>
  <si>
    <t xml:space="preserve">Địa GVCN 10CN1 </t>
  </si>
  <si>
    <t>Lê Thị Kim</t>
  </si>
  <si>
    <t>Ly</t>
  </si>
  <si>
    <t xml:space="preserve">Địa </t>
  </si>
  <si>
    <t xml:space="preserve">Đỗ Văn </t>
  </si>
  <si>
    <t xml:space="preserve">Đinh Nguyễn Hoàng </t>
  </si>
  <si>
    <t>Thịnh</t>
  </si>
  <si>
    <t xml:space="preserve">Nguyễn Minh </t>
  </si>
  <si>
    <t>Trần Văn Chí Linh</t>
  </si>
  <si>
    <t>Linh</t>
  </si>
  <si>
    <t>Hoá</t>
  </si>
  <si>
    <t>Nguyễn Thành</t>
  </si>
  <si>
    <t>Phần</t>
  </si>
  <si>
    <t xml:space="preserve">Hà Văn </t>
  </si>
  <si>
    <t>Phước</t>
  </si>
  <si>
    <t>Trương Thị Ngọc</t>
  </si>
  <si>
    <t>Tuyền</t>
  </si>
  <si>
    <t>Sinh GVCN 10CN3</t>
  </si>
  <si>
    <t xml:space="preserve">Phí Huỳnh Anh </t>
  </si>
  <si>
    <t>Hào</t>
  </si>
  <si>
    <t>Tin</t>
  </si>
  <si>
    <t>Lê Đại</t>
  </si>
  <si>
    <t>Ương</t>
  </si>
  <si>
    <t>GD KTPL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</si>
</sst>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6" formatCode="_-* #,##0.00_-;\-* #,##0.00_-;_-* &quot;-&quot;??_-;_-@_-"/>
    <numFmt numFmtId="168" formatCode="_-* #,##0_-;\-* #,##0_-;_-* &quot;-&quot;??_-;_-@_-"/>
    <numFmt numFmtId="169" formatCode="0_);[Red]\(0\)"/>
    <numFmt numFmtId="170" formatCode="_(* #,##0_);_(* \(#,##0\);_(* &quot;-&quot;??_);_(@_)"/>
  </numFmts>
  <fonts count="20">
    <font>
      <sz val="11"/>
      <color theme="1"/>
      <name val="Calibri"/>
      <charset val="134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6"/>
      <color rgb="FF0000FF"/>
      <name val="Times New Roman"/>
      <family val="1"/>
    </font>
    <font>
      <b/>
      <sz val="14"/>
      <color rgb="FFFF0000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3"/>
      <name val="Times New Roman"/>
      <family val="1"/>
    </font>
    <font>
      <sz val="11"/>
      <color theme="1"/>
      <name val="Times New Roman"/>
      <family val="1"/>
    </font>
    <font>
      <sz val="12"/>
      <color theme="1"/>
      <name val="VNI-Times"/>
      <charset val="134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VNI-Times"/>
      <charset val="134"/>
    </font>
    <font>
      <i/>
      <sz val="12"/>
      <color theme="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450666829432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6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8" fillId="0" borderId="0"/>
    <xf numFmtId="0" fontId="18" fillId="0" borderId="0"/>
  </cellStyleXfs>
  <cellXfs count="1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68" fontId="1" fillId="2" borderId="1" xfId="1" applyNumberFormat="1" applyFont="1" applyFill="1" applyBorder="1" applyAlignment="1">
      <alignment horizontal="center" vertical="center" wrapText="1"/>
    </xf>
    <xf numFmtId="168" fontId="1" fillId="3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8" fontId="7" fillId="2" borderId="1" xfId="1" applyNumberFormat="1" applyFont="1" applyFill="1" applyBorder="1" applyAlignment="1">
      <alignment horizontal="center" vertical="center" wrapText="1"/>
    </xf>
    <xf numFmtId="168" fontId="7" fillId="0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68" fontId="1" fillId="0" borderId="1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8" fontId="1" fillId="3" borderId="1" xfId="0" applyNumberFormat="1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6" fillId="3" borderId="0" xfId="0" applyFont="1" applyFill="1"/>
    <xf numFmtId="0" fontId="10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11" fillId="3" borderId="0" xfId="0" applyFont="1" applyFill="1"/>
    <xf numFmtId="0" fontId="10" fillId="3" borderId="0" xfId="0" applyFont="1" applyFill="1"/>
    <xf numFmtId="0" fontId="10" fillId="3" borderId="0" xfId="0" applyFont="1" applyFill="1" applyAlignment="1">
      <alignment horizontal="center"/>
    </xf>
    <xf numFmtId="170" fontId="10" fillId="3" borderId="0" xfId="1" applyNumberFormat="1" applyFont="1" applyFill="1" applyAlignment="1">
      <alignment horizontal="center"/>
    </xf>
    <xf numFmtId="170" fontId="10" fillId="3" borderId="0" xfId="1" applyNumberFormat="1" applyFont="1" applyFill="1"/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170" fontId="11" fillId="3" borderId="1" xfId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170" fontId="6" fillId="3" borderId="1" xfId="1" applyNumberFormat="1" applyFont="1" applyFill="1" applyBorder="1" applyAlignment="1">
      <alignment horizontal="right" vertical="center" wrapText="1"/>
    </xf>
    <xf numFmtId="170" fontId="6" fillId="3" borderId="1" xfId="0" applyNumberFormat="1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4" fillId="3" borderId="1" xfId="5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70" fontId="11" fillId="3" borderId="1" xfId="1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170" fontId="11" fillId="3" borderId="5" xfId="1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169" fontId="11" fillId="3" borderId="0" xfId="0" applyNumberFormat="1" applyFont="1" applyFill="1" applyAlignment="1">
      <alignment horizontal="center" vertical="center"/>
    </xf>
    <xf numFmtId="169" fontId="11" fillId="3" borderId="0" xfId="0" applyNumberFormat="1" applyFont="1" applyFill="1" applyAlignment="1">
      <alignment horizontal="right"/>
    </xf>
    <xf numFmtId="0" fontId="11" fillId="3" borderId="0" xfId="0" applyFont="1" applyFill="1" applyAlignment="1">
      <alignment horizontal="center"/>
    </xf>
    <xf numFmtId="170" fontId="6" fillId="3" borderId="1" xfId="1" applyNumberFormat="1" applyFont="1" applyFill="1" applyBorder="1" applyAlignment="1">
      <alignment horizontal="right" vertical="center"/>
    </xf>
    <xf numFmtId="0" fontId="9" fillId="3" borderId="3" xfId="0" applyFont="1" applyFill="1" applyBorder="1" applyAlignment="1">
      <alignment horizontal="left" vertical="center" wrapText="1"/>
    </xf>
    <xf numFmtId="170" fontId="6" fillId="3" borderId="1" xfId="1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170" fontId="6" fillId="3" borderId="1" xfId="0" applyNumberFormat="1" applyFont="1" applyFill="1" applyBorder="1" applyAlignment="1">
      <alignment vertical="center"/>
    </xf>
    <xf numFmtId="170" fontId="10" fillId="3" borderId="5" xfId="0" applyNumberFormat="1" applyFont="1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11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center"/>
    </xf>
    <xf numFmtId="170" fontId="6" fillId="3" borderId="6" xfId="1" applyNumberFormat="1" applyFont="1" applyFill="1" applyBorder="1" applyAlignment="1">
      <alignment horizontal="right" vertical="center" wrapText="1"/>
    </xf>
    <xf numFmtId="170" fontId="10" fillId="3" borderId="1" xfId="1" applyNumberFormat="1" applyFont="1" applyFill="1" applyBorder="1"/>
    <xf numFmtId="170" fontId="10" fillId="3" borderId="1" xfId="1" applyNumberFormat="1" applyFont="1" applyFill="1" applyBorder="1" applyAlignment="1">
      <alignment horizontal="center"/>
    </xf>
    <xf numFmtId="170" fontId="10" fillId="3" borderId="6" xfId="1" applyNumberFormat="1" applyFont="1" applyFill="1" applyBorder="1" applyAlignment="1">
      <alignment horizontal="center"/>
    </xf>
    <xf numFmtId="0" fontId="6" fillId="3" borderId="4" xfId="0" quotePrefix="1" applyFont="1" applyFill="1" applyBorder="1" applyAlignment="1">
      <alignment horizontal="center" vertical="center" wrapText="1"/>
    </xf>
    <xf numFmtId="0" fontId="9" fillId="3" borderId="4" xfId="0" quotePrefix="1" applyFont="1" applyFill="1" applyBorder="1" applyAlignment="1">
      <alignment horizontal="center" vertical="center" wrapText="1"/>
    </xf>
    <xf numFmtId="0" fontId="6" fillId="3" borderId="1" xfId="0" quotePrefix="1" applyFont="1" applyFill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 wrapText="1"/>
    </xf>
    <xf numFmtId="0" fontId="14" fillId="3" borderId="1" xfId="0" quotePrefix="1" applyFont="1" applyFill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9" fillId="3" borderId="4" xfId="0" quotePrefix="1" applyFont="1" applyFill="1" applyBorder="1" applyAlignment="1">
      <alignment horizontal="center" vertical="center"/>
    </xf>
    <xf numFmtId="0" fontId="6" fillId="3" borderId="4" xfId="0" quotePrefix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169" fontId="16" fillId="3" borderId="0" xfId="0" applyNumberFormat="1" applyFont="1" applyFill="1" applyAlignment="1">
      <alignment horizontal="center" vertical="center"/>
    </xf>
    <xf numFmtId="169" fontId="16" fillId="3" borderId="5" xfId="0" applyNumberFormat="1" applyFont="1" applyFill="1" applyBorder="1" applyAlignment="1">
      <alignment horizontal="center" vertical="center"/>
    </xf>
    <xf numFmtId="169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" xfId="2" xr:uid="{00000000-0005-0000-0000-000031000000}"/>
    <cellStyle name="Comma 3" xfId="3" xr:uid="{00000000-0005-0000-0000-000032000000}"/>
    <cellStyle name="Normal" xfId="0" builtinId="0"/>
    <cellStyle name="Normal 2 2 2" xfId="4" xr:uid="{00000000-0005-0000-0000-000033000000}"/>
    <cellStyle name="Normal 6" xfId="5" xr:uid="{00000000-0005-0000-0000-00003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1114425</xdr:colOff>
      <xdr:row>1</xdr:row>
      <xdr:rowOff>217170</xdr:rowOff>
    </xdr:from>
    <xdr:to>
      <xdr:col>2</xdr:col>
      <xdr:colOff>582912</xdr:colOff>
      <xdr:row>1</xdr:row>
      <xdr:rowOff>217170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1552575" y="445770"/>
          <a:ext cx="7950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1247775</xdr:colOff>
      <xdr:row>1</xdr:row>
      <xdr:rowOff>226695</xdr:rowOff>
    </xdr:from>
    <xdr:to>
      <xdr:col>11</xdr:col>
      <xdr:colOff>716262</xdr:colOff>
      <xdr:row>1</xdr:row>
      <xdr:rowOff>226695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9369425" y="455295"/>
          <a:ext cx="7950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742950</xdr:colOff>
      <xdr:row>2</xdr:row>
      <xdr:rowOff>26670</xdr:rowOff>
    </xdr:from>
    <xdr:to>
      <xdr:col>20</xdr:col>
      <xdr:colOff>533400</xdr:colOff>
      <xdr:row>2</xdr:row>
      <xdr:rowOff>26670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6605250" y="483870"/>
          <a:ext cx="9398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942975</xdr:colOff>
      <xdr:row>2</xdr:row>
      <xdr:rowOff>3810</xdr:rowOff>
    </xdr:from>
    <xdr:to>
      <xdr:col>2</xdr:col>
      <xdr:colOff>1809750</xdr:colOff>
      <xdr:row>2</xdr:row>
      <xdr:rowOff>3810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2609850" y="626110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953304</xdr:colOff>
      <xdr:row>1</xdr:row>
      <xdr:rowOff>264583</xdr:rowOff>
    </xdr:from>
    <xdr:to>
      <xdr:col>3</xdr:col>
      <xdr:colOff>751412</xdr:colOff>
      <xdr:row>1</xdr:row>
      <xdr:rowOff>266452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V="1">
          <a:off x="1276985" y="575310"/>
          <a:ext cx="208407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942975</xdr:colOff>
      <xdr:row>2</xdr:row>
      <xdr:rowOff>3810</xdr:rowOff>
    </xdr:from>
    <xdr:to>
      <xdr:col>2</xdr:col>
      <xdr:colOff>1809750</xdr:colOff>
      <xdr:row>2</xdr:row>
      <xdr:rowOff>3810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2609850" y="626110"/>
          <a:ext cx="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My%20Drive/TRANG/TRANG%20LAM%20VIEC/17.%20ZALO%20L&#431;U/Phie&#770;&#769;u%20ba&#769;o%20gio&#795;&#768;%20gia&#777;ng%20T04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 HẰNG"/>
      <sheetName val="LÝ THỊ THƯ"/>
      <sheetName val="QUYỀN"/>
      <sheetName val="M.TRANG"/>
      <sheetName val="B.PHƯƠNG"/>
      <sheetName val="M.THẮNG"/>
      <sheetName val="K.THẢO"/>
      <sheetName val="P.BÌNH"/>
      <sheetName val="SÁNG"/>
      <sheetName val="N.VÂN"/>
      <sheetName val="D.HẰNG"/>
      <sheetName val="ĐM.TRUNG"/>
      <sheetName val="L.NHẪN"/>
      <sheetName val="Q.NGHĨA"/>
      <sheetName val="H.TÔN"/>
      <sheetName val="T.NGA"/>
      <sheetName val="M.NHỰT"/>
      <sheetName val="N.CHÂU"/>
      <sheetName val="Q.THÀNH"/>
      <sheetName val="LB.NGỌC"/>
      <sheetName val="H.THU"/>
      <sheetName val="M.PHÚC"/>
      <sheetName val="L.CHI"/>
      <sheetName val="T.Thương"/>
      <sheetName val="C.LINH"/>
      <sheetName val="HQUE"/>
      <sheetName val="K.LIEN"/>
      <sheetName val="V.TỐT"/>
      <sheetName val="Chấm công"/>
      <sheetName val="T.NHỰT"/>
      <sheetName val="T.ÚT"/>
      <sheetName val="T.LÊ"/>
      <sheetName val="T.TỨ"/>
      <sheetName val="T.TRUNG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6">
          <cell r="AK6">
            <v>57</v>
          </cell>
        </row>
        <row r="7">
          <cell r="AK7">
            <v>20</v>
          </cell>
        </row>
        <row r="8">
          <cell r="AK8">
            <v>16</v>
          </cell>
        </row>
        <row r="14">
          <cell r="AK14">
            <v>22</v>
          </cell>
        </row>
        <row r="16">
          <cell r="AK16">
            <v>20</v>
          </cell>
        </row>
        <row r="17">
          <cell r="AK17">
            <v>65</v>
          </cell>
        </row>
        <row r="19">
          <cell r="AK19">
            <v>12</v>
          </cell>
        </row>
        <row r="20">
          <cell r="AK20">
            <v>45</v>
          </cell>
        </row>
        <row r="21">
          <cell r="AK21">
            <v>15</v>
          </cell>
        </row>
        <row r="26">
          <cell r="AK26">
            <v>26</v>
          </cell>
        </row>
        <row r="27">
          <cell r="AK27">
            <v>43</v>
          </cell>
        </row>
        <row r="29">
          <cell r="AK29">
            <v>20</v>
          </cell>
        </row>
        <row r="33">
          <cell r="AK33">
            <v>4</v>
          </cell>
        </row>
        <row r="34">
          <cell r="AK34">
            <v>20</v>
          </cell>
        </row>
        <row r="35">
          <cell r="AK35">
            <v>16</v>
          </cell>
        </row>
        <row r="37">
          <cell r="AK37">
            <v>24</v>
          </cell>
        </row>
        <row r="44">
          <cell r="AK44">
            <v>53</v>
          </cell>
        </row>
        <row r="47">
          <cell r="AK47">
            <v>41</v>
          </cell>
        </row>
        <row r="51">
          <cell r="AK51">
            <v>22</v>
          </cell>
        </row>
        <row r="55">
          <cell r="AK55">
            <v>43</v>
          </cell>
        </row>
        <row r="57">
          <cell r="AK57">
            <v>40</v>
          </cell>
        </row>
        <row r="58">
          <cell r="AK58">
            <v>26</v>
          </cell>
        </row>
        <row r="60">
          <cell r="AK60">
            <v>30</v>
          </cell>
        </row>
        <row r="62">
          <cell r="AK62">
            <v>12</v>
          </cell>
        </row>
        <row r="63">
          <cell r="AK63">
            <v>28</v>
          </cell>
        </row>
        <row r="65">
          <cell r="AK65">
            <v>30</v>
          </cell>
        </row>
        <row r="66">
          <cell r="AK66">
            <v>13</v>
          </cell>
        </row>
        <row r="67">
          <cell r="AK67">
            <v>16</v>
          </cell>
        </row>
        <row r="69">
          <cell r="AK69">
            <v>24</v>
          </cell>
        </row>
        <row r="71">
          <cell r="AK71">
            <v>15</v>
          </cell>
        </row>
        <row r="72">
          <cell r="AK72">
            <v>8</v>
          </cell>
        </row>
        <row r="74">
          <cell r="AK74">
            <v>8</v>
          </cell>
        </row>
        <row r="76">
          <cell r="AK76">
            <v>16</v>
          </cell>
        </row>
        <row r="85">
          <cell r="AK85">
            <v>15</v>
          </cell>
        </row>
        <row r="86">
          <cell r="AK86">
            <v>5</v>
          </cell>
        </row>
        <row r="87">
          <cell r="AK87">
            <v>50</v>
          </cell>
        </row>
        <row r="88">
          <cell r="AK88">
            <v>30</v>
          </cell>
        </row>
        <row r="89">
          <cell r="AK89">
            <v>47</v>
          </cell>
        </row>
        <row r="91">
          <cell r="AK91">
            <v>60</v>
          </cell>
        </row>
        <row r="92">
          <cell r="AK92">
            <v>15</v>
          </cell>
        </row>
        <row r="93">
          <cell r="AK93">
            <v>29</v>
          </cell>
        </row>
        <row r="97">
          <cell r="AK97">
            <v>36</v>
          </cell>
        </row>
        <row r="100">
          <cell r="AK100">
            <v>12</v>
          </cell>
        </row>
        <row r="102">
          <cell r="AK102">
            <v>27</v>
          </cell>
        </row>
        <row r="103">
          <cell r="AK103">
            <v>28</v>
          </cell>
        </row>
        <row r="104">
          <cell r="AK104">
            <v>5</v>
          </cell>
        </row>
        <row r="106">
          <cell r="AK106">
            <v>18</v>
          </cell>
        </row>
        <row r="107">
          <cell r="AK107">
            <v>22</v>
          </cell>
        </row>
        <row r="108">
          <cell r="AK108">
            <v>5</v>
          </cell>
        </row>
        <row r="109">
          <cell r="AK109">
            <v>31</v>
          </cell>
        </row>
        <row r="110">
          <cell r="AK110">
            <v>38</v>
          </cell>
        </row>
        <row r="111">
          <cell r="AK111">
            <v>19</v>
          </cell>
        </row>
        <row r="113">
          <cell r="AK113">
            <v>21</v>
          </cell>
        </row>
        <row r="116">
          <cell r="AK116">
            <v>47</v>
          </cell>
        </row>
      </sheetData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"/>
  <sheetViews>
    <sheetView topLeftCell="A16" workbookViewId="0">
      <selection activeCell="G35" sqref="G35"/>
    </sheetView>
  </sheetViews>
  <sheetFormatPr baseColWidth="10" defaultColWidth="10.1640625" defaultRowHeight="16"/>
  <cols>
    <col min="1" max="1" width="6.33203125" style="34" customWidth="1"/>
    <col min="2" max="2" width="19" style="38" customWidth="1"/>
    <col min="3" max="3" width="10.5" style="38" customWidth="1"/>
    <col min="4" max="4" width="17.5" style="38" customWidth="1"/>
    <col min="5" max="5" width="10.5" style="39" customWidth="1"/>
    <col min="6" max="6" width="9.5" style="39" customWidth="1"/>
    <col min="7" max="7" width="10.33203125" style="40" customWidth="1"/>
    <col min="8" max="8" width="13.5" style="38" customWidth="1"/>
    <col min="9" max="9" width="13.1640625" style="41" customWidth="1"/>
    <col min="10" max="10" width="6.33203125" style="34" customWidth="1"/>
    <col min="11" max="11" width="19" style="38" customWidth="1"/>
    <col min="12" max="12" width="10.5" style="38" customWidth="1"/>
    <col min="13" max="13" width="17.5" style="38" customWidth="1"/>
    <col min="14" max="14" width="10.5" style="39" customWidth="1"/>
    <col min="15" max="15" width="9.5" style="39" customWidth="1"/>
    <col min="16" max="16" width="10.33203125" style="40" customWidth="1"/>
    <col min="17" max="17" width="14.33203125" style="38" customWidth="1"/>
    <col min="18" max="18" width="13.1640625" style="41" customWidth="1"/>
    <col min="19" max="19" width="6.33203125" style="34" customWidth="1"/>
    <col min="20" max="20" width="16.5" style="38" customWidth="1"/>
    <col min="21" max="21" width="9.5" style="38" customWidth="1"/>
    <col min="22" max="22" width="14.6640625" style="38" customWidth="1"/>
    <col min="23" max="23" width="10.5" style="39" customWidth="1"/>
    <col min="24" max="24" width="12.5" style="39" customWidth="1"/>
    <col min="25" max="26" width="13.33203125" style="40" customWidth="1"/>
    <col min="27" max="27" width="14.5" style="40" customWidth="1"/>
    <col min="28" max="28" width="10.1640625" style="38"/>
    <col min="29" max="29" width="10.6640625" style="38" customWidth="1"/>
    <col min="30" max="250" width="10.1640625" style="38"/>
    <col min="251" max="251" width="5.1640625" style="38" customWidth="1"/>
    <col min="252" max="252" width="19.5" style="38" customWidth="1"/>
    <col min="253" max="253" width="9.5" style="38" customWidth="1"/>
    <col min="254" max="254" width="17" style="38" customWidth="1"/>
    <col min="255" max="255" width="8.1640625" style="38" customWidth="1"/>
    <col min="256" max="256" width="10.5" style="38" customWidth="1"/>
    <col min="257" max="257" width="6.5" style="38" customWidth="1"/>
    <col min="258" max="258" width="9.5" style="38" customWidth="1"/>
    <col min="259" max="259" width="10" style="38" customWidth="1"/>
    <col min="260" max="260" width="14.1640625" style="38" customWidth="1"/>
    <col min="261" max="261" width="13.1640625" style="38" customWidth="1"/>
    <col min="262" max="262" width="16.5" style="38" customWidth="1"/>
    <col min="263" max="263" width="14.83203125" style="38" customWidth="1"/>
    <col min="264" max="265" width="11.83203125" style="38" customWidth="1"/>
    <col min="266" max="506" width="10.1640625" style="38"/>
    <col min="507" max="507" width="5.1640625" style="38" customWidth="1"/>
    <col min="508" max="508" width="19.5" style="38" customWidth="1"/>
    <col min="509" max="509" width="9.5" style="38" customWidth="1"/>
    <col min="510" max="510" width="17" style="38" customWidth="1"/>
    <col min="511" max="511" width="8.1640625" style="38" customWidth="1"/>
    <col min="512" max="512" width="10.5" style="38" customWidth="1"/>
    <col min="513" max="513" width="6.5" style="38" customWidth="1"/>
    <col min="514" max="514" width="9.5" style="38" customWidth="1"/>
    <col min="515" max="515" width="10" style="38" customWidth="1"/>
    <col min="516" max="516" width="14.1640625" style="38" customWidth="1"/>
    <col min="517" max="517" width="13.1640625" style="38" customWidth="1"/>
    <col min="518" max="518" width="16.5" style="38" customWidth="1"/>
    <col min="519" max="519" width="14.83203125" style="38" customWidth="1"/>
    <col min="520" max="521" width="11.83203125" style="38" customWidth="1"/>
    <col min="522" max="762" width="10.1640625" style="38"/>
    <col min="763" max="763" width="5.1640625" style="38" customWidth="1"/>
    <col min="764" max="764" width="19.5" style="38" customWidth="1"/>
    <col min="765" max="765" width="9.5" style="38" customWidth="1"/>
    <col min="766" max="766" width="17" style="38" customWidth="1"/>
    <col min="767" max="767" width="8.1640625" style="38" customWidth="1"/>
    <col min="768" max="768" width="10.5" style="38" customWidth="1"/>
    <col min="769" max="769" width="6.5" style="38" customWidth="1"/>
    <col min="770" max="770" width="9.5" style="38" customWidth="1"/>
    <col min="771" max="771" width="10" style="38" customWidth="1"/>
    <col min="772" max="772" width="14.1640625" style="38" customWidth="1"/>
    <col min="773" max="773" width="13.1640625" style="38" customWidth="1"/>
    <col min="774" max="774" width="16.5" style="38" customWidth="1"/>
    <col min="775" max="775" width="14.83203125" style="38" customWidth="1"/>
    <col min="776" max="777" width="11.83203125" style="38" customWidth="1"/>
    <col min="778" max="1018" width="10.1640625" style="38"/>
    <col min="1019" max="1019" width="5.1640625" style="38" customWidth="1"/>
    <col min="1020" max="1020" width="19.5" style="38" customWidth="1"/>
    <col min="1021" max="1021" width="9.5" style="38" customWidth="1"/>
    <col min="1022" max="1022" width="17" style="38" customWidth="1"/>
    <col min="1023" max="1023" width="8.1640625" style="38" customWidth="1"/>
    <col min="1024" max="1024" width="10.5" style="38" customWidth="1"/>
    <col min="1025" max="1025" width="6.5" style="38" customWidth="1"/>
    <col min="1026" max="1026" width="9.5" style="38" customWidth="1"/>
    <col min="1027" max="1027" width="10" style="38" customWidth="1"/>
    <col min="1028" max="1028" width="14.1640625" style="38" customWidth="1"/>
    <col min="1029" max="1029" width="13.1640625" style="38" customWidth="1"/>
    <col min="1030" max="1030" width="16.5" style="38" customWidth="1"/>
    <col min="1031" max="1031" width="14.83203125" style="38" customWidth="1"/>
    <col min="1032" max="1033" width="11.83203125" style="38" customWidth="1"/>
    <col min="1034" max="1274" width="10.1640625" style="38"/>
    <col min="1275" max="1275" width="5.1640625" style="38" customWidth="1"/>
    <col min="1276" max="1276" width="19.5" style="38" customWidth="1"/>
    <col min="1277" max="1277" width="9.5" style="38" customWidth="1"/>
    <col min="1278" max="1278" width="17" style="38" customWidth="1"/>
    <col min="1279" max="1279" width="8.1640625" style="38" customWidth="1"/>
    <col min="1280" max="1280" width="10.5" style="38" customWidth="1"/>
    <col min="1281" max="1281" width="6.5" style="38" customWidth="1"/>
    <col min="1282" max="1282" width="9.5" style="38" customWidth="1"/>
    <col min="1283" max="1283" width="10" style="38" customWidth="1"/>
    <col min="1284" max="1284" width="14.1640625" style="38" customWidth="1"/>
    <col min="1285" max="1285" width="13.1640625" style="38" customWidth="1"/>
    <col min="1286" max="1286" width="16.5" style="38" customWidth="1"/>
    <col min="1287" max="1287" width="14.83203125" style="38" customWidth="1"/>
    <col min="1288" max="1289" width="11.83203125" style="38" customWidth="1"/>
    <col min="1290" max="1530" width="10.1640625" style="38"/>
    <col min="1531" max="1531" width="5.1640625" style="38" customWidth="1"/>
    <col min="1532" max="1532" width="19.5" style="38" customWidth="1"/>
    <col min="1533" max="1533" width="9.5" style="38" customWidth="1"/>
    <col min="1534" max="1534" width="17" style="38" customWidth="1"/>
    <col min="1535" max="1535" width="8.1640625" style="38" customWidth="1"/>
    <col min="1536" max="1536" width="10.5" style="38" customWidth="1"/>
    <col min="1537" max="1537" width="6.5" style="38" customWidth="1"/>
    <col min="1538" max="1538" width="9.5" style="38" customWidth="1"/>
    <col min="1539" max="1539" width="10" style="38" customWidth="1"/>
    <col min="1540" max="1540" width="14.1640625" style="38" customWidth="1"/>
    <col min="1541" max="1541" width="13.1640625" style="38" customWidth="1"/>
    <col min="1542" max="1542" width="16.5" style="38" customWidth="1"/>
    <col min="1543" max="1543" width="14.83203125" style="38" customWidth="1"/>
    <col min="1544" max="1545" width="11.83203125" style="38" customWidth="1"/>
    <col min="1546" max="1786" width="10.1640625" style="38"/>
    <col min="1787" max="1787" width="5.1640625" style="38" customWidth="1"/>
    <col min="1788" max="1788" width="19.5" style="38" customWidth="1"/>
    <col min="1789" max="1789" width="9.5" style="38" customWidth="1"/>
    <col min="1790" max="1790" width="17" style="38" customWidth="1"/>
    <col min="1791" max="1791" width="8.1640625" style="38" customWidth="1"/>
    <col min="1792" max="1792" width="10.5" style="38" customWidth="1"/>
    <col min="1793" max="1793" width="6.5" style="38" customWidth="1"/>
    <col min="1794" max="1794" width="9.5" style="38" customWidth="1"/>
    <col min="1795" max="1795" width="10" style="38" customWidth="1"/>
    <col min="1796" max="1796" width="14.1640625" style="38" customWidth="1"/>
    <col min="1797" max="1797" width="13.1640625" style="38" customWidth="1"/>
    <col min="1798" max="1798" width="16.5" style="38" customWidth="1"/>
    <col min="1799" max="1799" width="14.83203125" style="38" customWidth="1"/>
    <col min="1800" max="1801" width="11.83203125" style="38" customWidth="1"/>
    <col min="1802" max="2042" width="10.1640625" style="38"/>
    <col min="2043" max="2043" width="5.1640625" style="38" customWidth="1"/>
    <col min="2044" max="2044" width="19.5" style="38" customWidth="1"/>
    <col min="2045" max="2045" width="9.5" style="38" customWidth="1"/>
    <col min="2046" max="2046" width="17" style="38" customWidth="1"/>
    <col min="2047" max="2047" width="8.1640625" style="38" customWidth="1"/>
    <col min="2048" max="2048" width="10.5" style="38" customWidth="1"/>
    <col min="2049" max="2049" width="6.5" style="38" customWidth="1"/>
    <col min="2050" max="2050" width="9.5" style="38" customWidth="1"/>
    <col min="2051" max="2051" width="10" style="38" customWidth="1"/>
    <col min="2052" max="2052" width="14.1640625" style="38" customWidth="1"/>
    <col min="2053" max="2053" width="13.1640625" style="38" customWidth="1"/>
    <col min="2054" max="2054" width="16.5" style="38" customWidth="1"/>
    <col min="2055" max="2055" width="14.83203125" style="38" customWidth="1"/>
    <col min="2056" max="2057" width="11.83203125" style="38" customWidth="1"/>
    <col min="2058" max="2298" width="10.1640625" style="38"/>
    <col min="2299" max="2299" width="5.1640625" style="38" customWidth="1"/>
    <col min="2300" max="2300" width="19.5" style="38" customWidth="1"/>
    <col min="2301" max="2301" width="9.5" style="38" customWidth="1"/>
    <col min="2302" max="2302" width="17" style="38" customWidth="1"/>
    <col min="2303" max="2303" width="8.1640625" style="38" customWidth="1"/>
    <col min="2304" max="2304" width="10.5" style="38" customWidth="1"/>
    <col min="2305" max="2305" width="6.5" style="38" customWidth="1"/>
    <col min="2306" max="2306" width="9.5" style="38" customWidth="1"/>
    <col min="2307" max="2307" width="10" style="38" customWidth="1"/>
    <col min="2308" max="2308" width="14.1640625" style="38" customWidth="1"/>
    <col min="2309" max="2309" width="13.1640625" style="38" customWidth="1"/>
    <col min="2310" max="2310" width="16.5" style="38" customWidth="1"/>
    <col min="2311" max="2311" width="14.83203125" style="38" customWidth="1"/>
    <col min="2312" max="2313" width="11.83203125" style="38" customWidth="1"/>
    <col min="2314" max="2554" width="10.1640625" style="38"/>
    <col min="2555" max="2555" width="5.1640625" style="38" customWidth="1"/>
    <col min="2556" max="2556" width="19.5" style="38" customWidth="1"/>
    <col min="2557" max="2557" width="9.5" style="38" customWidth="1"/>
    <col min="2558" max="2558" width="17" style="38" customWidth="1"/>
    <col min="2559" max="2559" width="8.1640625" style="38" customWidth="1"/>
    <col min="2560" max="2560" width="10.5" style="38" customWidth="1"/>
    <col min="2561" max="2561" width="6.5" style="38" customWidth="1"/>
    <col min="2562" max="2562" width="9.5" style="38" customWidth="1"/>
    <col min="2563" max="2563" width="10" style="38" customWidth="1"/>
    <col min="2564" max="2564" width="14.1640625" style="38" customWidth="1"/>
    <col min="2565" max="2565" width="13.1640625" style="38" customWidth="1"/>
    <col min="2566" max="2566" width="16.5" style="38" customWidth="1"/>
    <col min="2567" max="2567" width="14.83203125" style="38" customWidth="1"/>
    <col min="2568" max="2569" width="11.83203125" style="38" customWidth="1"/>
    <col min="2570" max="2810" width="10.1640625" style="38"/>
    <col min="2811" max="2811" width="5.1640625" style="38" customWidth="1"/>
    <col min="2812" max="2812" width="19.5" style="38" customWidth="1"/>
    <col min="2813" max="2813" width="9.5" style="38" customWidth="1"/>
    <col min="2814" max="2814" width="17" style="38" customWidth="1"/>
    <col min="2815" max="2815" width="8.1640625" style="38" customWidth="1"/>
    <col min="2816" max="2816" width="10.5" style="38" customWidth="1"/>
    <col min="2817" max="2817" width="6.5" style="38" customWidth="1"/>
    <col min="2818" max="2818" width="9.5" style="38" customWidth="1"/>
    <col min="2819" max="2819" width="10" style="38" customWidth="1"/>
    <col min="2820" max="2820" width="14.1640625" style="38" customWidth="1"/>
    <col min="2821" max="2821" width="13.1640625" style="38" customWidth="1"/>
    <col min="2822" max="2822" width="16.5" style="38" customWidth="1"/>
    <col min="2823" max="2823" width="14.83203125" style="38" customWidth="1"/>
    <col min="2824" max="2825" width="11.83203125" style="38" customWidth="1"/>
    <col min="2826" max="3066" width="10.1640625" style="38"/>
    <col min="3067" max="3067" width="5.1640625" style="38" customWidth="1"/>
    <col min="3068" max="3068" width="19.5" style="38" customWidth="1"/>
    <col min="3069" max="3069" width="9.5" style="38" customWidth="1"/>
    <col min="3070" max="3070" width="17" style="38" customWidth="1"/>
    <col min="3071" max="3071" width="8.1640625" style="38" customWidth="1"/>
    <col min="3072" max="3072" width="10.5" style="38" customWidth="1"/>
    <col min="3073" max="3073" width="6.5" style="38" customWidth="1"/>
    <col min="3074" max="3074" width="9.5" style="38" customWidth="1"/>
    <col min="3075" max="3075" width="10" style="38" customWidth="1"/>
    <col min="3076" max="3076" width="14.1640625" style="38" customWidth="1"/>
    <col min="3077" max="3077" width="13.1640625" style="38" customWidth="1"/>
    <col min="3078" max="3078" width="16.5" style="38" customWidth="1"/>
    <col min="3079" max="3079" width="14.83203125" style="38" customWidth="1"/>
    <col min="3080" max="3081" width="11.83203125" style="38" customWidth="1"/>
    <col min="3082" max="3322" width="10.1640625" style="38"/>
    <col min="3323" max="3323" width="5.1640625" style="38" customWidth="1"/>
    <col min="3324" max="3324" width="19.5" style="38" customWidth="1"/>
    <col min="3325" max="3325" width="9.5" style="38" customWidth="1"/>
    <col min="3326" max="3326" width="17" style="38" customWidth="1"/>
    <col min="3327" max="3327" width="8.1640625" style="38" customWidth="1"/>
    <col min="3328" max="3328" width="10.5" style="38" customWidth="1"/>
    <col min="3329" max="3329" width="6.5" style="38" customWidth="1"/>
    <col min="3330" max="3330" width="9.5" style="38" customWidth="1"/>
    <col min="3331" max="3331" width="10" style="38" customWidth="1"/>
    <col min="3332" max="3332" width="14.1640625" style="38" customWidth="1"/>
    <col min="3333" max="3333" width="13.1640625" style="38" customWidth="1"/>
    <col min="3334" max="3334" width="16.5" style="38" customWidth="1"/>
    <col min="3335" max="3335" width="14.83203125" style="38" customWidth="1"/>
    <col min="3336" max="3337" width="11.83203125" style="38" customWidth="1"/>
    <col min="3338" max="3578" width="10.1640625" style="38"/>
    <col min="3579" max="3579" width="5.1640625" style="38" customWidth="1"/>
    <col min="3580" max="3580" width="19.5" style="38" customWidth="1"/>
    <col min="3581" max="3581" width="9.5" style="38" customWidth="1"/>
    <col min="3582" max="3582" width="17" style="38" customWidth="1"/>
    <col min="3583" max="3583" width="8.1640625" style="38" customWidth="1"/>
    <col min="3584" max="3584" width="10.5" style="38" customWidth="1"/>
    <col min="3585" max="3585" width="6.5" style="38" customWidth="1"/>
    <col min="3586" max="3586" width="9.5" style="38" customWidth="1"/>
    <col min="3587" max="3587" width="10" style="38" customWidth="1"/>
    <col min="3588" max="3588" width="14.1640625" style="38" customWidth="1"/>
    <col min="3589" max="3589" width="13.1640625" style="38" customWidth="1"/>
    <col min="3590" max="3590" width="16.5" style="38" customWidth="1"/>
    <col min="3591" max="3591" width="14.83203125" style="38" customWidth="1"/>
    <col min="3592" max="3593" width="11.83203125" style="38" customWidth="1"/>
    <col min="3594" max="3834" width="10.1640625" style="38"/>
    <col min="3835" max="3835" width="5.1640625" style="38" customWidth="1"/>
    <col min="3836" max="3836" width="19.5" style="38" customWidth="1"/>
    <col min="3837" max="3837" width="9.5" style="38" customWidth="1"/>
    <col min="3838" max="3838" width="17" style="38" customWidth="1"/>
    <col min="3839" max="3839" width="8.1640625" style="38" customWidth="1"/>
    <col min="3840" max="3840" width="10.5" style="38" customWidth="1"/>
    <col min="3841" max="3841" width="6.5" style="38" customWidth="1"/>
    <col min="3842" max="3842" width="9.5" style="38" customWidth="1"/>
    <col min="3843" max="3843" width="10" style="38" customWidth="1"/>
    <col min="3844" max="3844" width="14.1640625" style="38" customWidth="1"/>
    <col min="3845" max="3845" width="13.1640625" style="38" customWidth="1"/>
    <col min="3846" max="3846" width="16.5" style="38" customWidth="1"/>
    <col min="3847" max="3847" width="14.83203125" style="38" customWidth="1"/>
    <col min="3848" max="3849" width="11.83203125" style="38" customWidth="1"/>
    <col min="3850" max="4090" width="10.1640625" style="38"/>
    <col min="4091" max="4091" width="5.1640625" style="38" customWidth="1"/>
    <col min="4092" max="4092" width="19.5" style="38" customWidth="1"/>
    <col min="4093" max="4093" width="9.5" style="38" customWidth="1"/>
    <col min="4094" max="4094" width="17" style="38" customWidth="1"/>
    <col min="4095" max="4095" width="8.1640625" style="38" customWidth="1"/>
    <col min="4096" max="4096" width="10.5" style="38" customWidth="1"/>
    <col min="4097" max="4097" width="6.5" style="38" customWidth="1"/>
    <col min="4098" max="4098" width="9.5" style="38" customWidth="1"/>
    <col min="4099" max="4099" width="10" style="38" customWidth="1"/>
    <col min="4100" max="4100" width="14.1640625" style="38" customWidth="1"/>
    <col min="4101" max="4101" width="13.1640625" style="38" customWidth="1"/>
    <col min="4102" max="4102" width="16.5" style="38" customWidth="1"/>
    <col min="4103" max="4103" width="14.83203125" style="38" customWidth="1"/>
    <col min="4104" max="4105" width="11.83203125" style="38" customWidth="1"/>
    <col min="4106" max="4346" width="10.1640625" style="38"/>
    <col min="4347" max="4347" width="5.1640625" style="38" customWidth="1"/>
    <col min="4348" max="4348" width="19.5" style="38" customWidth="1"/>
    <col min="4349" max="4349" width="9.5" style="38" customWidth="1"/>
    <col min="4350" max="4350" width="17" style="38" customWidth="1"/>
    <col min="4351" max="4351" width="8.1640625" style="38" customWidth="1"/>
    <col min="4352" max="4352" width="10.5" style="38" customWidth="1"/>
    <col min="4353" max="4353" width="6.5" style="38" customWidth="1"/>
    <col min="4354" max="4354" width="9.5" style="38" customWidth="1"/>
    <col min="4355" max="4355" width="10" style="38" customWidth="1"/>
    <col min="4356" max="4356" width="14.1640625" style="38" customWidth="1"/>
    <col min="4357" max="4357" width="13.1640625" style="38" customWidth="1"/>
    <col min="4358" max="4358" width="16.5" style="38" customWidth="1"/>
    <col min="4359" max="4359" width="14.83203125" style="38" customWidth="1"/>
    <col min="4360" max="4361" width="11.83203125" style="38" customWidth="1"/>
    <col min="4362" max="4602" width="10.1640625" style="38"/>
    <col min="4603" max="4603" width="5.1640625" style="38" customWidth="1"/>
    <col min="4604" max="4604" width="19.5" style="38" customWidth="1"/>
    <col min="4605" max="4605" width="9.5" style="38" customWidth="1"/>
    <col min="4606" max="4606" width="17" style="38" customWidth="1"/>
    <col min="4607" max="4607" width="8.1640625" style="38" customWidth="1"/>
    <col min="4608" max="4608" width="10.5" style="38" customWidth="1"/>
    <col min="4609" max="4609" width="6.5" style="38" customWidth="1"/>
    <col min="4610" max="4610" width="9.5" style="38" customWidth="1"/>
    <col min="4611" max="4611" width="10" style="38" customWidth="1"/>
    <col min="4612" max="4612" width="14.1640625" style="38" customWidth="1"/>
    <col min="4613" max="4613" width="13.1640625" style="38" customWidth="1"/>
    <col min="4614" max="4614" width="16.5" style="38" customWidth="1"/>
    <col min="4615" max="4615" width="14.83203125" style="38" customWidth="1"/>
    <col min="4616" max="4617" width="11.83203125" style="38" customWidth="1"/>
    <col min="4618" max="4858" width="10.1640625" style="38"/>
    <col min="4859" max="4859" width="5.1640625" style="38" customWidth="1"/>
    <col min="4860" max="4860" width="19.5" style="38" customWidth="1"/>
    <col min="4861" max="4861" width="9.5" style="38" customWidth="1"/>
    <col min="4862" max="4862" width="17" style="38" customWidth="1"/>
    <col min="4863" max="4863" width="8.1640625" style="38" customWidth="1"/>
    <col min="4864" max="4864" width="10.5" style="38" customWidth="1"/>
    <col min="4865" max="4865" width="6.5" style="38" customWidth="1"/>
    <col min="4866" max="4866" width="9.5" style="38" customWidth="1"/>
    <col min="4867" max="4867" width="10" style="38" customWidth="1"/>
    <col min="4868" max="4868" width="14.1640625" style="38" customWidth="1"/>
    <col min="4869" max="4869" width="13.1640625" style="38" customWidth="1"/>
    <col min="4870" max="4870" width="16.5" style="38" customWidth="1"/>
    <col min="4871" max="4871" width="14.83203125" style="38" customWidth="1"/>
    <col min="4872" max="4873" width="11.83203125" style="38" customWidth="1"/>
    <col min="4874" max="5114" width="10.1640625" style="38"/>
    <col min="5115" max="5115" width="5.1640625" style="38" customWidth="1"/>
    <col min="5116" max="5116" width="19.5" style="38" customWidth="1"/>
    <col min="5117" max="5117" width="9.5" style="38" customWidth="1"/>
    <col min="5118" max="5118" width="17" style="38" customWidth="1"/>
    <col min="5119" max="5119" width="8.1640625" style="38" customWidth="1"/>
    <col min="5120" max="5120" width="10.5" style="38" customWidth="1"/>
    <col min="5121" max="5121" width="6.5" style="38" customWidth="1"/>
    <col min="5122" max="5122" width="9.5" style="38" customWidth="1"/>
    <col min="5123" max="5123" width="10" style="38" customWidth="1"/>
    <col min="5124" max="5124" width="14.1640625" style="38" customWidth="1"/>
    <col min="5125" max="5125" width="13.1640625" style="38" customWidth="1"/>
    <col min="5126" max="5126" width="16.5" style="38" customWidth="1"/>
    <col min="5127" max="5127" width="14.83203125" style="38" customWidth="1"/>
    <col min="5128" max="5129" width="11.83203125" style="38" customWidth="1"/>
    <col min="5130" max="5370" width="10.1640625" style="38"/>
    <col min="5371" max="5371" width="5.1640625" style="38" customWidth="1"/>
    <col min="5372" max="5372" width="19.5" style="38" customWidth="1"/>
    <col min="5373" max="5373" width="9.5" style="38" customWidth="1"/>
    <col min="5374" max="5374" width="17" style="38" customWidth="1"/>
    <col min="5375" max="5375" width="8.1640625" style="38" customWidth="1"/>
    <col min="5376" max="5376" width="10.5" style="38" customWidth="1"/>
    <col min="5377" max="5377" width="6.5" style="38" customWidth="1"/>
    <col min="5378" max="5378" width="9.5" style="38" customWidth="1"/>
    <col min="5379" max="5379" width="10" style="38" customWidth="1"/>
    <col min="5380" max="5380" width="14.1640625" style="38" customWidth="1"/>
    <col min="5381" max="5381" width="13.1640625" style="38" customWidth="1"/>
    <col min="5382" max="5382" width="16.5" style="38" customWidth="1"/>
    <col min="5383" max="5383" width="14.83203125" style="38" customWidth="1"/>
    <col min="5384" max="5385" width="11.83203125" style="38" customWidth="1"/>
    <col min="5386" max="5626" width="10.1640625" style="38"/>
    <col min="5627" max="5627" width="5.1640625" style="38" customWidth="1"/>
    <col min="5628" max="5628" width="19.5" style="38" customWidth="1"/>
    <col min="5629" max="5629" width="9.5" style="38" customWidth="1"/>
    <col min="5630" max="5630" width="17" style="38" customWidth="1"/>
    <col min="5631" max="5631" width="8.1640625" style="38" customWidth="1"/>
    <col min="5632" max="5632" width="10.5" style="38" customWidth="1"/>
    <col min="5633" max="5633" width="6.5" style="38" customWidth="1"/>
    <col min="5634" max="5634" width="9.5" style="38" customWidth="1"/>
    <col min="5635" max="5635" width="10" style="38" customWidth="1"/>
    <col min="5636" max="5636" width="14.1640625" style="38" customWidth="1"/>
    <col min="5637" max="5637" width="13.1640625" style="38" customWidth="1"/>
    <col min="5638" max="5638" width="16.5" style="38" customWidth="1"/>
    <col min="5639" max="5639" width="14.83203125" style="38" customWidth="1"/>
    <col min="5640" max="5641" width="11.83203125" style="38" customWidth="1"/>
    <col min="5642" max="5882" width="10.1640625" style="38"/>
    <col min="5883" max="5883" width="5.1640625" style="38" customWidth="1"/>
    <col min="5884" max="5884" width="19.5" style="38" customWidth="1"/>
    <col min="5885" max="5885" width="9.5" style="38" customWidth="1"/>
    <col min="5886" max="5886" width="17" style="38" customWidth="1"/>
    <col min="5887" max="5887" width="8.1640625" style="38" customWidth="1"/>
    <col min="5888" max="5888" width="10.5" style="38" customWidth="1"/>
    <col min="5889" max="5889" width="6.5" style="38" customWidth="1"/>
    <col min="5890" max="5890" width="9.5" style="38" customWidth="1"/>
    <col min="5891" max="5891" width="10" style="38" customWidth="1"/>
    <col min="5892" max="5892" width="14.1640625" style="38" customWidth="1"/>
    <col min="5893" max="5893" width="13.1640625" style="38" customWidth="1"/>
    <col min="5894" max="5894" width="16.5" style="38" customWidth="1"/>
    <col min="5895" max="5895" width="14.83203125" style="38" customWidth="1"/>
    <col min="5896" max="5897" width="11.83203125" style="38" customWidth="1"/>
    <col min="5898" max="6138" width="10.1640625" style="38"/>
    <col min="6139" max="6139" width="5.1640625" style="38" customWidth="1"/>
    <col min="6140" max="6140" width="19.5" style="38" customWidth="1"/>
    <col min="6141" max="6141" width="9.5" style="38" customWidth="1"/>
    <col min="6142" max="6142" width="17" style="38" customWidth="1"/>
    <col min="6143" max="6143" width="8.1640625" style="38" customWidth="1"/>
    <col min="6144" max="6144" width="10.5" style="38" customWidth="1"/>
    <col min="6145" max="6145" width="6.5" style="38" customWidth="1"/>
    <col min="6146" max="6146" width="9.5" style="38" customWidth="1"/>
    <col min="6147" max="6147" width="10" style="38" customWidth="1"/>
    <col min="6148" max="6148" width="14.1640625" style="38" customWidth="1"/>
    <col min="6149" max="6149" width="13.1640625" style="38" customWidth="1"/>
    <col min="6150" max="6150" width="16.5" style="38" customWidth="1"/>
    <col min="6151" max="6151" width="14.83203125" style="38" customWidth="1"/>
    <col min="6152" max="6153" width="11.83203125" style="38" customWidth="1"/>
    <col min="6154" max="6394" width="10.1640625" style="38"/>
    <col min="6395" max="6395" width="5.1640625" style="38" customWidth="1"/>
    <col min="6396" max="6396" width="19.5" style="38" customWidth="1"/>
    <col min="6397" max="6397" width="9.5" style="38" customWidth="1"/>
    <col min="6398" max="6398" width="17" style="38" customWidth="1"/>
    <col min="6399" max="6399" width="8.1640625" style="38" customWidth="1"/>
    <col min="6400" max="6400" width="10.5" style="38" customWidth="1"/>
    <col min="6401" max="6401" width="6.5" style="38" customWidth="1"/>
    <col min="6402" max="6402" width="9.5" style="38" customWidth="1"/>
    <col min="6403" max="6403" width="10" style="38" customWidth="1"/>
    <col min="6404" max="6404" width="14.1640625" style="38" customWidth="1"/>
    <col min="6405" max="6405" width="13.1640625" style="38" customWidth="1"/>
    <col min="6406" max="6406" width="16.5" style="38" customWidth="1"/>
    <col min="6407" max="6407" width="14.83203125" style="38" customWidth="1"/>
    <col min="6408" max="6409" width="11.83203125" style="38" customWidth="1"/>
    <col min="6410" max="6650" width="10.1640625" style="38"/>
    <col min="6651" max="6651" width="5.1640625" style="38" customWidth="1"/>
    <col min="6652" max="6652" width="19.5" style="38" customWidth="1"/>
    <col min="6653" max="6653" width="9.5" style="38" customWidth="1"/>
    <col min="6654" max="6654" width="17" style="38" customWidth="1"/>
    <col min="6655" max="6655" width="8.1640625" style="38" customWidth="1"/>
    <col min="6656" max="6656" width="10.5" style="38" customWidth="1"/>
    <col min="6657" max="6657" width="6.5" style="38" customWidth="1"/>
    <col min="6658" max="6658" width="9.5" style="38" customWidth="1"/>
    <col min="6659" max="6659" width="10" style="38" customWidth="1"/>
    <col min="6660" max="6660" width="14.1640625" style="38" customWidth="1"/>
    <col min="6661" max="6661" width="13.1640625" style="38" customWidth="1"/>
    <col min="6662" max="6662" width="16.5" style="38" customWidth="1"/>
    <col min="6663" max="6663" width="14.83203125" style="38" customWidth="1"/>
    <col min="6664" max="6665" width="11.83203125" style="38" customWidth="1"/>
    <col min="6666" max="6906" width="10.1640625" style="38"/>
    <col min="6907" max="6907" width="5.1640625" style="38" customWidth="1"/>
    <col min="6908" max="6908" width="19.5" style="38" customWidth="1"/>
    <col min="6909" max="6909" width="9.5" style="38" customWidth="1"/>
    <col min="6910" max="6910" width="17" style="38" customWidth="1"/>
    <col min="6911" max="6911" width="8.1640625" style="38" customWidth="1"/>
    <col min="6912" max="6912" width="10.5" style="38" customWidth="1"/>
    <col min="6913" max="6913" width="6.5" style="38" customWidth="1"/>
    <col min="6914" max="6914" width="9.5" style="38" customWidth="1"/>
    <col min="6915" max="6915" width="10" style="38" customWidth="1"/>
    <col min="6916" max="6916" width="14.1640625" style="38" customWidth="1"/>
    <col min="6917" max="6917" width="13.1640625" style="38" customWidth="1"/>
    <col min="6918" max="6918" width="16.5" style="38" customWidth="1"/>
    <col min="6919" max="6919" width="14.83203125" style="38" customWidth="1"/>
    <col min="6920" max="6921" width="11.83203125" style="38" customWidth="1"/>
    <col min="6922" max="7162" width="10.1640625" style="38"/>
    <col min="7163" max="7163" width="5.1640625" style="38" customWidth="1"/>
    <col min="7164" max="7164" width="19.5" style="38" customWidth="1"/>
    <col min="7165" max="7165" width="9.5" style="38" customWidth="1"/>
    <col min="7166" max="7166" width="17" style="38" customWidth="1"/>
    <col min="7167" max="7167" width="8.1640625" style="38" customWidth="1"/>
    <col min="7168" max="7168" width="10.5" style="38" customWidth="1"/>
    <col min="7169" max="7169" width="6.5" style="38" customWidth="1"/>
    <col min="7170" max="7170" width="9.5" style="38" customWidth="1"/>
    <col min="7171" max="7171" width="10" style="38" customWidth="1"/>
    <col min="7172" max="7172" width="14.1640625" style="38" customWidth="1"/>
    <col min="7173" max="7173" width="13.1640625" style="38" customWidth="1"/>
    <col min="7174" max="7174" width="16.5" style="38" customWidth="1"/>
    <col min="7175" max="7175" width="14.83203125" style="38" customWidth="1"/>
    <col min="7176" max="7177" width="11.83203125" style="38" customWidth="1"/>
    <col min="7178" max="7418" width="10.1640625" style="38"/>
    <col min="7419" max="7419" width="5.1640625" style="38" customWidth="1"/>
    <col min="7420" max="7420" width="19.5" style="38" customWidth="1"/>
    <col min="7421" max="7421" width="9.5" style="38" customWidth="1"/>
    <col min="7422" max="7422" width="17" style="38" customWidth="1"/>
    <col min="7423" max="7423" width="8.1640625" style="38" customWidth="1"/>
    <col min="7424" max="7424" width="10.5" style="38" customWidth="1"/>
    <col min="7425" max="7425" width="6.5" style="38" customWidth="1"/>
    <col min="7426" max="7426" width="9.5" style="38" customWidth="1"/>
    <col min="7427" max="7427" width="10" style="38" customWidth="1"/>
    <col min="7428" max="7428" width="14.1640625" style="38" customWidth="1"/>
    <col min="7429" max="7429" width="13.1640625" style="38" customWidth="1"/>
    <col min="7430" max="7430" width="16.5" style="38" customWidth="1"/>
    <col min="7431" max="7431" width="14.83203125" style="38" customWidth="1"/>
    <col min="7432" max="7433" width="11.83203125" style="38" customWidth="1"/>
    <col min="7434" max="7674" width="10.1640625" style="38"/>
    <col min="7675" max="7675" width="5.1640625" style="38" customWidth="1"/>
    <col min="7676" max="7676" width="19.5" style="38" customWidth="1"/>
    <col min="7677" max="7677" width="9.5" style="38" customWidth="1"/>
    <col min="7678" max="7678" width="17" style="38" customWidth="1"/>
    <col min="7679" max="7679" width="8.1640625" style="38" customWidth="1"/>
    <col min="7680" max="7680" width="10.5" style="38" customWidth="1"/>
    <col min="7681" max="7681" width="6.5" style="38" customWidth="1"/>
    <col min="7682" max="7682" width="9.5" style="38" customWidth="1"/>
    <col min="7683" max="7683" width="10" style="38" customWidth="1"/>
    <col min="7684" max="7684" width="14.1640625" style="38" customWidth="1"/>
    <col min="7685" max="7685" width="13.1640625" style="38" customWidth="1"/>
    <col min="7686" max="7686" width="16.5" style="38" customWidth="1"/>
    <col min="7687" max="7687" width="14.83203125" style="38" customWidth="1"/>
    <col min="7688" max="7689" width="11.83203125" style="38" customWidth="1"/>
    <col min="7690" max="7930" width="10.1640625" style="38"/>
    <col min="7931" max="7931" width="5.1640625" style="38" customWidth="1"/>
    <col min="7932" max="7932" width="19.5" style="38" customWidth="1"/>
    <col min="7933" max="7933" width="9.5" style="38" customWidth="1"/>
    <col min="7934" max="7934" width="17" style="38" customWidth="1"/>
    <col min="7935" max="7935" width="8.1640625" style="38" customWidth="1"/>
    <col min="7936" max="7936" width="10.5" style="38" customWidth="1"/>
    <col min="7937" max="7937" width="6.5" style="38" customWidth="1"/>
    <col min="7938" max="7938" width="9.5" style="38" customWidth="1"/>
    <col min="7939" max="7939" width="10" style="38" customWidth="1"/>
    <col min="7940" max="7940" width="14.1640625" style="38" customWidth="1"/>
    <col min="7941" max="7941" width="13.1640625" style="38" customWidth="1"/>
    <col min="7942" max="7942" width="16.5" style="38" customWidth="1"/>
    <col min="7943" max="7943" width="14.83203125" style="38" customWidth="1"/>
    <col min="7944" max="7945" width="11.83203125" style="38" customWidth="1"/>
    <col min="7946" max="8186" width="10.1640625" style="38"/>
    <col min="8187" max="8187" width="5.1640625" style="38" customWidth="1"/>
    <col min="8188" max="8188" width="19.5" style="38" customWidth="1"/>
    <col min="8189" max="8189" width="9.5" style="38" customWidth="1"/>
    <col min="8190" max="8190" width="17" style="38" customWidth="1"/>
    <col min="8191" max="8191" width="8.1640625" style="38" customWidth="1"/>
    <col min="8192" max="8192" width="10.5" style="38" customWidth="1"/>
    <col min="8193" max="8193" width="6.5" style="38" customWidth="1"/>
    <col min="8194" max="8194" width="9.5" style="38" customWidth="1"/>
    <col min="8195" max="8195" width="10" style="38" customWidth="1"/>
    <col min="8196" max="8196" width="14.1640625" style="38" customWidth="1"/>
    <col min="8197" max="8197" width="13.1640625" style="38" customWidth="1"/>
    <col min="8198" max="8198" width="16.5" style="38" customWidth="1"/>
    <col min="8199" max="8199" width="14.83203125" style="38" customWidth="1"/>
    <col min="8200" max="8201" width="11.83203125" style="38" customWidth="1"/>
    <col min="8202" max="8442" width="10.1640625" style="38"/>
    <col min="8443" max="8443" width="5.1640625" style="38" customWidth="1"/>
    <col min="8444" max="8444" width="19.5" style="38" customWidth="1"/>
    <col min="8445" max="8445" width="9.5" style="38" customWidth="1"/>
    <col min="8446" max="8446" width="17" style="38" customWidth="1"/>
    <col min="8447" max="8447" width="8.1640625" style="38" customWidth="1"/>
    <col min="8448" max="8448" width="10.5" style="38" customWidth="1"/>
    <col min="8449" max="8449" width="6.5" style="38" customWidth="1"/>
    <col min="8450" max="8450" width="9.5" style="38" customWidth="1"/>
    <col min="8451" max="8451" width="10" style="38" customWidth="1"/>
    <col min="8452" max="8452" width="14.1640625" style="38" customWidth="1"/>
    <col min="8453" max="8453" width="13.1640625" style="38" customWidth="1"/>
    <col min="8454" max="8454" width="16.5" style="38" customWidth="1"/>
    <col min="8455" max="8455" width="14.83203125" style="38" customWidth="1"/>
    <col min="8456" max="8457" width="11.83203125" style="38" customWidth="1"/>
    <col min="8458" max="8698" width="10.1640625" style="38"/>
    <col min="8699" max="8699" width="5.1640625" style="38" customWidth="1"/>
    <col min="8700" max="8700" width="19.5" style="38" customWidth="1"/>
    <col min="8701" max="8701" width="9.5" style="38" customWidth="1"/>
    <col min="8702" max="8702" width="17" style="38" customWidth="1"/>
    <col min="8703" max="8703" width="8.1640625" style="38" customWidth="1"/>
    <col min="8704" max="8704" width="10.5" style="38" customWidth="1"/>
    <col min="8705" max="8705" width="6.5" style="38" customWidth="1"/>
    <col min="8706" max="8706" width="9.5" style="38" customWidth="1"/>
    <col min="8707" max="8707" width="10" style="38" customWidth="1"/>
    <col min="8708" max="8708" width="14.1640625" style="38" customWidth="1"/>
    <col min="8709" max="8709" width="13.1640625" style="38" customWidth="1"/>
    <col min="8710" max="8710" width="16.5" style="38" customWidth="1"/>
    <col min="8711" max="8711" width="14.83203125" style="38" customWidth="1"/>
    <col min="8712" max="8713" width="11.83203125" style="38" customWidth="1"/>
    <col min="8714" max="8954" width="10.1640625" style="38"/>
    <col min="8955" max="8955" width="5.1640625" style="38" customWidth="1"/>
    <col min="8956" max="8956" width="19.5" style="38" customWidth="1"/>
    <col min="8957" max="8957" width="9.5" style="38" customWidth="1"/>
    <col min="8958" max="8958" width="17" style="38" customWidth="1"/>
    <col min="8959" max="8959" width="8.1640625" style="38" customWidth="1"/>
    <col min="8960" max="8960" width="10.5" style="38" customWidth="1"/>
    <col min="8961" max="8961" width="6.5" style="38" customWidth="1"/>
    <col min="8962" max="8962" width="9.5" style="38" customWidth="1"/>
    <col min="8963" max="8963" width="10" style="38" customWidth="1"/>
    <col min="8964" max="8964" width="14.1640625" style="38" customWidth="1"/>
    <col min="8965" max="8965" width="13.1640625" style="38" customWidth="1"/>
    <col min="8966" max="8966" width="16.5" style="38" customWidth="1"/>
    <col min="8967" max="8967" width="14.83203125" style="38" customWidth="1"/>
    <col min="8968" max="8969" width="11.83203125" style="38" customWidth="1"/>
    <col min="8970" max="9210" width="10.1640625" style="38"/>
    <col min="9211" max="9211" width="5.1640625" style="38" customWidth="1"/>
    <col min="9212" max="9212" width="19.5" style="38" customWidth="1"/>
    <col min="9213" max="9213" width="9.5" style="38" customWidth="1"/>
    <col min="9214" max="9214" width="17" style="38" customWidth="1"/>
    <col min="9215" max="9215" width="8.1640625" style="38" customWidth="1"/>
    <col min="9216" max="9216" width="10.5" style="38" customWidth="1"/>
    <col min="9217" max="9217" width="6.5" style="38" customWidth="1"/>
    <col min="9218" max="9218" width="9.5" style="38" customWidth="1"/>
    <col min="9219" max="9219" width="10" style="38" customWidth="1"/>
    <col min="9220" max="9220" width="14.1640625" style="38" customWidth="1"/>
    <col min="9221" max="9221" width="13.1640625" style="38" customWidth="1"/>
    <col min="9222" max="9222" width="16.5" style="38" customWidth="1"/>
    <col min="9223" max="9223" width="14.83203125" style="38" customWidth="1"/>
    <col min="9224" max="9225" width="11.83203125" style="38" customWidth="1"/>
    <col min="9226" max="9466" width="10.1640625" style="38"/>
    <col min="9467" max="9467" width="5.1640625" style="38" customWidth="1"/>
    <col min="9468" max="9468" width="19.5" style="38" customWidth="1"/>
    <col min="9469" max="9469" width="9.5" style="38" customWidth="1"/>
    <col min="9470" max="9470" width="17" style="38" customWidth="1"/>
    <col min="9471" max="9471" width="8.1640625" style="38" customWidth="1"/>
    <col min="9472" max="9472" width="10.5" style="38" customWidth="1"/>
    <col min="9473" max="9473" width="6.5" style="38" customWidth="1"/>
    <col min="9474" max="9474" width="9.5" style="38" customWidth="1"/>
    <col min="9475" max="9475" width="10" style="38" customWidth="1"/>
    <col min="9476" max="9476" width="14.1640625" style="38" customWidth="1"/>
    <col min="9477" max="9477" width="13.1640625" style="38" customWidth="1"/>
    <col min="9478" max="9478" width="16.5" style="38" customWidth="1"/>
    <col min="9479" max="9479" width="14.83203125" style="38" customWidth="1"/>
    <col min="9480" max="9481" width="11.83203125" style="38" customWidth="1"/>
    <col min="9482" max="9722" width="10.1640625" style="38"/>
    <col min="9723" max="9723" width="5.1640625" style="38" customWidth="1"/>
    <col min="9724" max="9724" width="19.5" style="38" customWidth="1"/>
    <col min="9725" max="9725" width="9.5" style="38" customWidth="1"/>
    <col min="9726" max="9726" width="17" style="38" customWidth="1"/>
    <col min="9727" max="9727" width="8.1640625" style="38" customWidth="1"/>
    <col min="9728" max="9728" width="10.5" style="38" customWidth="1"/>
    <col min="9729" max="9729" width="6.5" style="38" customWidth="1"/>
    <col min="9730" max="9730" width="9.5" style="38" customWidth="1"/>
    <col min="9731" max="9731" width="10" style="38" customWidth="1"/>
    <col min="9732" max="9732" width="14.1640625" style="38" customWidth="1"/>
    <col min="9733" max="9733" width="13.1640625" style="38" customWidth="1"/>
    <col min="9734" max="9734" width="16.5" style="38" customWidth="1"/>
    <col min="9735" max="9735" width="14.83203125" style="38" customWidth="1"/>
    <col min="9736" max="9737" width="11.83203125" style="38" customWidth="1"/>
    <col min="9738" max="9978" width="10.1640625" style="38"/>
    <col min="9979" max="9979" width="5.1640625" style="38" customWidth="1"/>
    <col min="9980" max="9980" width="19.5" style="38" customWidth="1"/>
    <col min="9981" max="9981" width="9.5" style="38" customWidth="1"/>
    <col min="9982" max="9982" width="17" style="38" customWidth="1"/>
    <col min="9983" max="9983" width="8.1640625" style="38" customWidth="1"/>
    <col min="9984" max="9984" width="10.5" style="38" customWidth="1"/>
    <col min="9985" max="9985" width="6.5" style="38" customWidth="1"/>
    <col min="9986" max="9986" width="9.5" style="38" customWidth="1"/>
    <col min="9987" max="9987" width="10" style="38" customWidth="1"/>
    <col min="9988" max="9988" width="14.1640625" style="38" customWidth="1"/>
    <col min="9989" max="9989" width="13.1640625" style="38" customWidth="1"/>
    <col min="9990" max="9990" width="16.5" style="38" customWidth="1"/>
    <col min="9991" max="9991" width="14.83203125" style="38" customWidth="1"/>
    <col min="9992" max="9993" width="11.83203125" style="38" customWidth="1"/>
    <col min="9994" max="10234" width="10.1640625" style="38"/>
    <col min="10235" max="10235" width="5.1640625" style="38" customWidth="1"/>
    <col min="10236" max="10236" width="19.5" style="38" customWidth="1"/>
    <col min="10237" max="10237" width="9.5" style="38" customWidth="1"/>
    <col min="10238" max="10238" width="17" style="38" customWidth="1"/>
    <col min="10239" max="10239" width="8.1640625" style="38" customWidth="1"/>
    <col min="10240" max="10240" width="10.5" style="38" customWidth="1"/>
    <col min="10241" max="10241" width="6.5" style="38" customWidth="1"/>
    <col min="10242" max="10242" width="9.5" style="38" customWidth="1"/>
    <col min="10243" max="10243" width="10" style="38" customWidth="1"/>
    <col min="10244" max="10244" width="14.1640625" style="38" customWidth="1"/>
    <col min="10245" max="10245" width="13.1640625" style="38" customWidth="1"/>
    <col min="10246" max="10246" width="16.5" style="38" customWidth="1"/>
    <col min="10247" max="10247" width="14.83203125" style="38" customWidth="1"/>
    <col min="10248" max="10249" width="11.83203125" style="38" customWidth="1"/>
    <col min="10250" max="10490" width="10.1640625" style="38"/>
    <col min="10491" max="10491" width="5.1640625" style="38" customWidth="1"/>
    <col min="10492" max="10492" width="19.5" style="38" customWidth="1"/>
    <col min="10493" max="10493" width="9.5" style="38" customWidth="1"/>
    <col min="10494" max="10494" width="17" style="38" customWidth="1"/>
    <col min="10495" max="10495" width="8.1640625" style="38" customWidth="1"/>
    <col min="10496" max="10496" width="10.5" style="38" customWidth="1"/>
    <col min="10497" max="10497" width="6.5" style="38" customWidth="1"/>
    <col min="10498" max="10498" width="9.5" style="38" customWidth="1"/>
    <col min="10499" max="10499" width="10" style="38" customWidth="1"/>
    <col min="10500" max="10500" width="14.1640625" style="38" customWidth="1"/>
    <col min="10501" max="10501" width="13.1640625" style="38" customWidth="1"/>
    <col min="10502" max="10502" width="16.5" style="38" customWidth="1"/>
    <col min="10503" max="10503" width="14.83203125" style="38" customWidth="1"/>
    <col min="10504" max="10505" width="11.83203125" style="38" customWidth="1"/>
    <col min="10506" max="10746" width="10.1640625" style="38"/>
    <col min="10747" max="10747" width="5.1640625" style="38" customWidth="1"/>
    <col min="10748" max="10748" width="19.5" style="38" customWidth="1"/>
    <col min="10749" max="10749" width="9.5" style="38" customWidth="1"/>
    <col min="10750" max="10750" width="17" style="38" customWidth="1"/>
    <col min="10751" max="10751" width="8.1640625" style="38" customWidth="1"/>
    <col min="10752" max="10752" width="10.5" style="38" customWidth="1"/>
    <col min="10753" max="10753" width="6.5" style="38" customWidth="1"/>
    <col min="10754" max="10754" width="9.5" style="38" customWidth="1"/>
    <col min="10755" max="10755" width="10" style="38" customWidth="1"/>
    <col min="10756" max="10756" width="14.1640625" style="38" customWidth="1"/>
    <col min="10757" max="10757" width="13.1640625" style="38" customWidth="1"/>
    <col min="10758" max="10758" width="16.5" style="38" customWidth="1"/>
    <col min="10759" max="10759" width="14.83203125" style="38" customWidth="1"/>
    <col min="10760" max="10761" width="11.83203125" style="38" customWidth="1"/>
    <col min="10762" max="11002" width="10.1640625" style="38"/>
    <col min="11003" max="11003" width="5.1640625" style="38" customWidth="1"/>
    <col min="11004" max="11004" width="19.5" style="38" customWidth="1"/>
    <col min="11005" max="11005" width="9.5" style="38" customWidth="1"/>
    <col min="11006" max="11006" width="17" style="38" customWidth="1"/>
    <col min="11007" max="11007" width="8.1640625" style="38" customWidth="1"/>
    <col min="11008" max="11008" width="10.5" style="38" customWidth="1"/>
    <col min="11009" max="11009" width="6.5" style="38" customWidth="1"/>
    <col min="11010" max="11010" width="9.5" style="38" customWidth="1"/>
    <col min="11011" max="11011" width="10" style="38" customWidth="1"/>
    <col min="11012" max="11012" width="14.1640625" style="38" customWidth="1"/>
    <col min="11013" max="11013" width="13.1640625" style="38" customWidth="1"/>
    <col min="11014" max="11014" width="16.5" style="38" customWidth="1"/>
    <col min="11015" max="11015" width="14.83203125" style="38" customWidth="1"/>
    <col min="11016" max="11017" width="11.83203125" style="38" customWidth="1"/>
    <col min="11018" max="11258" width="10.1640625" style="38"/>
    <col min="11259" max="11259" width="5.1640625" style="38" customWidth="1"/>
    <col min="11260" max="11260" width="19.5" style="38" customWidth="1"/>
    <col min="11261" max="11261" width="9.5" style="38" customWidth="1"/>
    <col min="11262" max="11262" width="17" style="38" customWidth="1"/>
    <col min="11263" max="11263" width="8.1640625" style="38" customWidth="1"/>
    <col min="11264" max="11264" width="10.5" style="38" customWidth="1"/>
    <col min="11265" max="11265" width="6.5" style="38" customWidth="1"/>
    <col min="11266" max="11266" width="9.5" style="38" customWidth="1"/>
    <col min="11267" max="11267" width="10" style="38" customWidth="1"/>
    <col min="11268" max="11268" width="14.1640625" style="38" customWidth="1"/>
    <col min="11269" max="11269" width="13.1640625" style="38" customWidth="1"/>
    <col min="11270" max="11270" width="16.5" style="38" customWidth="1"/>
    <col min="11271" max="11271" width="14.83203125" style="38" customWidth="1"/>
    <col min="11272" max="11273" width="11.83203125" style="38" customWidth="1"/>
    <col min="11274" max="11514" width="10.1640625" style="38"/>
    <col min="11515" max="11515" width="5.1640625" style="38" customWidth="1"/>
    <col min="11516" max="11516" width="19.5" style="38" customWidth="1"/>
    <col min="11517" max="11517" width="9.5" style="38" customWidth="1"/>
    <col min="11518" max="11518" width="17" style="38" customWidth="1"/>
    <col min="11519" max="11519" width="8.1640625" style="38" customWidth="1"/>
    <col min="11520" max="11520" width="10.5" style="38" customWidth="1"/>
    <col min="11521" max="11521" width="6.5" style="38" customWidth="1"/>
    <col min="11522" max="11522" width="9.5" style="38" customWidth="1"/>
    <col min="11523" max="11523" width="10" style="38" customWidth="1"/>
    <col min="11524" max="11524" width="14.1640625" style="38" customWidth="1"/>
    <col min="11525" max="11525" width="13.1640625" style="38" customWidth="1"/>
    <col min="11526" max="11526" width="16.5" style="38" customWidth="1"/>
    <col min="11527" max="11527" width="14.83203125" style="38" customWidth="1"/>
    <col min="11528" max="11529" width="11.83203125" style="38" customWidth="1"/>
    <col min="11530" max="11770" width="10.1640625" style="38"/>
    <col min="11771" max="11771" width="5.1640625" style="38" customWidth="1"/>
    <col min="11772" max="11772" width="19.5" style="38" customWidth="1"/>
    <col min="11773" max="11773" width="9.5" style="38" customWidth="1"/>
    <col min="11774" max="11774" width="17" style="38" customWidth="1"/>
    <col min="11775" max="11775" width="8.1640625" style="38" customWidth="1"/>
    <col min="11776" max="11776" width="10.5" style="38" customWidth="1"/>
    <col min="11777" max="11777" width="6.5" style="38" customWidth="1"/>
    <col min="11778" max="11778" width="9.5" style="38" customWidth="1"/>
    <col min="11779" max="11779" width="10" style="38" customWidth="1"/>
    <col min="11780" max="11780" width="14.1640625" style="38" customWidth="1"/>
    <col min="11781" max="11781" width="13.1640625" style="38" customWidth="1"/>
    <col min="11782" max="11782" width="16.5" style="38" customWidth="1"/>
    <col min="11783" max="11783" width="14.83203125" style="38" customWidth="1"/>
    <col min="11784" max="11785" width="11.83203125" style="38" customWidth="1"/>
    <col min="11786" max="12026" width="10.1640625" style="38"/>
    <col min="12027" max="12027" width="5.1640625" style="38" customWidth="1"/>
    <col min="12028" max="12028" width="19.5" style="38" customWidth="1"/>
    <col min="12029" max="12029" width="9.5" style="38" customWidth="1"/>
    <col min="12030" max="12030" width="17" style="38" customWidth="1"/>
    <col min="12031" max="12031" width="8.1640625" style="38" customWidth="1"/>
    <col min="12032" max="12032" width="10.5" style="38" customWidth="1"/>
    <col min="12033" max="12033" width="6.5" style="38" customWidth="1"/>
    <col min="12034" max="12034" width="9.5" style="38" customWidth="1"/>
    <col min="12035" max="12035" width="10" style="38" customWidth="1"/>
    <col min="12036" max="12036" width="14.1640625" style="38" customWidth="1"/>
    <col min="12037" max="12037" width="13.1640625" style="38" customWidth="1"/>
    <col min="12038" max="12038" width="16.5" style="38" customWidth="1"/>
    <col min="12039" max="12039" width="14.83203125" style="38" customWidth="1"/>
    <col min="12040" max="12041" width="11.83203125" style="38" customWidth="1"/>
    <col min="12042" max="12282" width="10.1640625" style="38"/>
    <col min="12283" max="12283" width="5.1640625" style="38" customWidth="1"/>
    <col min="12284" max="12284" width="19.5" style="38" customWidth="1"/>
    <col min="12285" max="12285" width="9.5" style="38" customWidth="1"/>
    <col min="12286" max="12286" width="17" style="38" customWidth="1"/>
    <col min="12287" max="12287" width="8.1640625" style="38" customWidth="1"/>
    <col min="12288" max="12288" width="10.5" style="38" customWidth="1"/>
    <col min="12289" max="12289" width="6.5" style="38" customWidth="1"/>
    <col min="12290" max="12290" width="9.5" style="38" customWidth="1"/>
    <col min="12291" max="12291" width="10" style="38" customWidth="1"/>
    <col min="12292" max="12292" width="14.1640625" style="38" customWidth="1"/>
    <col min="12293" max="12293" width="13.1640625" style="38" customWidth="1"/>
    <col min="12294" max="12294" width="16.5" style="38" customWidth="1"/>
    <col min="12295" max="12295" width="14.83203125" style="38" customWidth="1"/>
    <col min="12296" max="12297" width="11.83203125" style="38" customWidth="1"/>
    <col min="12298" max="12538" width="10.1640625" style="38"/>
    <col min="12539" max="12539" width="5.1640625" style="38" customWidth="1"/>
    <col min="12540" max="12540" width="19.5" style="38" customWidth="1"/>
    <col min="12541" max="12541" width="9.5" style="38" customWidth="1"/>
    <col min="12542" max="12542" width="17" style="38" customWidth="1"/>
    <col min="12543" max="12543" width="8.1640625" style="38" customWidth="1"/>
    <col min="12544" max="12544" width="10.5" style="38" customWidth="1"/>
    <col min="12545" max="12545" width="6.5" style="38" customWidth="1"/>
    <col min="12546" max="12546" width="9.5" style="38" customWidth="1"/>
    <col min="12547" max="12547" width="10" style="38" customWidth="1"/>
    <col min="12548" max="12548" width="14.1640625" style="38" customWidth="1"/>
    <col min="12549" max="12549" width="13.1640625" style="38" customWidth="1"/>
    <col min="12550" max="12550" width="16.5" style="38" customWidth="1"/>
    <col min="12551" max="12551" width="14.83203125" style="38" customWidth="1"/>
    <col min="12552" max="12553" width="11.83203125" style="38" customWidth="1"/>
    <col min="12554" max="12794" width="10.1640625" style="38"/>
    <col min="12795" max="12795" width="5.1640625" style="38" customWidth="1"/>
    <col min="12796" max="12796" width="19.5" style="38" customWidth="1"/>
    <col min="12797" max="12797" width="9.5" style="38" customWidth="1"/>
    <col min="12798" max="12798" width="17" style="38" customWidth="1"/>
    <col min="12799" max="12799" width="8.1640625" style="38" customWidth="1"/>
    <col min="12800" max="12800" width="10.5" style="38" customWidth="1"/>
    <col min="12801" max="12801" width="6.5" style="38" customWidth="1"/>
    <col min="12802" max="12802" width="9.5" style="38" customWidth="1"/>
    <col min="12803" max="12803" width="10" style="38" customWidth="1"/>
    <col min="12804" max="12804" width="14.1640625" style="38" customWidth="1"/>
    <col min="12805" max="12805" width="13.1640625" style="38" customWidth="1"/>
    <col min="12806" max="12806" width="16.5" style="38" customWidth="1"/>
    <col min="12807" max="12807" width="14.83203125" style="38" customWidth="1"/>
    <col min="12808" max="12809" width="11.83203125" style="38" customWidth="1"/>
    <col min="12810" max="13050" width="10.1640625" style="38"/>
    <col min="13051" max="13051" width="5.1640625" style="38" customWidth="1"/>
    <col min="13052" max="13052" width="19.5" style="38" customWidth="1"/>
    <col min="13053" max="13053" width="9.5" style="38" customWidth="1"/>
    <col min="13054" max="13054" width="17" style="38" customWidth="1"/>
    <col min="13055" max="13055" width="8.1640625" style="38" customWidth="1"/>
    <col min="13056" max="13056" width="10.5" style="38" customWidth="1"/>
    <col min="13057" max="13057" width="6.5" style="38" customWidth="1"/>
    <col min="13058" max="13058" width="9.5" style="38" customWidth="1"/>
    <col min="13059" max="13059" width="10" style="38" customWidth="1"/>
    <col min="13060" max="13060" width="14.1640625" style="38" customWidth="1"/>
    <col min="13061" max="13061" width="13.1640625" style="38" customWidth="1"/>
    <col min="13062" max="13062" width="16.5" style="38" customWidth="1"/>
    <col min="13063" max="13063" width="14.83203125" style="38" customWidth="1"/>
    <col min="13064" max="13065" width="11.83203125" style="38" customWidth="1"/>
    <col min="13066" max="13306" width="10.1640625" style="38"/>
    <col min="13307" max="13307" width="5.1640625" style="38" customWidth="1"/>
    <col min="13308" max="13308" width="19.5" style="38" customWidth="1"/>
    <col min="13309" max="13309" width="9.5" style="38" customWidth="1"/>
    <col min="13310" max="13310" width="17" style="38" customWidth="1"/>
    <col min="13311" max="13311" width="8.1640625" style="38" customWidth="1"/>
    <col min="13312" max="13312" width="10.5" style="38" customWidth="1"/>
    <col min="13313" max="13313" width="6.5" style="38" customWidth="1"/>
    <col min="13314" max="13314" width="9.5" style="38" customWidth="1"/>
    <col min="13315" max="13315" width="10" style="38" customWidth="1"/>
    <col min="13316" max="13316" width="14.1640625" style="38" customWidth="1"/>
    <col min="13317" max="13317" width="13.1640625" style="38" customWidth="1"/>
    <col min="13318" max="13318" width="16.5" style="38" customWidth="1"/>
    <col min="13319" max="13319" width="14.83203125" style="38" customWidth="1"/>
    <col min="13320" max="13321" width="11.83203125" style="38" customWidth="1"/>
    <col min="13322" max="13562" width="10.1640625" style="38"/>
    <col min="13563" max="13563" width="5.1640625" style="38" customWidth="1"/>
    <col min="13564" max="13564" width="19.5" style="38" customWidth="1"/>
    <col min="13565" max="13565" width="9.5" style="38" customWidth="1"/>
    <col min="13566" max="13566" width="17" style="38" customWidth="1"/>
    <col min="13567" max="13567" width="8.1640625" style="38" customWidth="1"/>
    <col min="13568" max="13568" width="10.5" style="38" customWidth="1"/>
    <col min="13569" max="13569" width="6.5" style="38" customWidth="1"/>
    <col min="13570" max="13570" width="9.5" style="38" customWidth="1"/>
    <col min="13571" max="13571" width="10" style="38" customWidth="1"/>
    <col min="13572" max="13572" width="14.1640625" style="38" customWidth="1"/>
    <col min="13573" max="13573" width="13.1640625" style="38" customWidth="1"/>
    <col min="13574" max="13574" width="16.5" style="38" customWidth="1"/>
    <col min="13575" max="13575" width="14.83203125" style="38" customWidth="1"/>
    <col min="13576" max="13577" width="11.83203125" style="38" customWidth="1"/>
    <col min="13578" max="13818" width="10.1640625" style="38"/>
    <col min="13819" max="13819" width="5.1640625" style="38" customWidth="1"/>
    <col min="13820" max="13820" width="19.5" style="38" customWidth="1"/>
    <col min="13821" max="13821" width="9.5" style="38" customWidth="1"/>
    <col min="13822" max="13822" width="17" style="38" customWidth="1"/>
    <col min="13823" max="13823" width="8.1640625" style="38" customWidth="1"/>
    <col min="13824" max="13824" width="10.5" style="38" customWidth="1"/>
    <col min="13825" max="13825" width="6.5" style="38" customWidth="1"/>
    <col min="13826" max="13826" width="9.5" style="38" customWidth="1"/>
    <col min="13827" max="13827" width="10" style="38" customWidth="1"/>
    <col min="13828" max="13828" width="14.1640625" style="38" customWidth="1"/>
    <col min="13829" max="13829" width="13.1640625" style="38" customWidth="1"/>
    <col min="13830" max="13830" width="16.5" style="38" customWidth="1"/>
    <col min="13831" max="13831" width="14.83203125" style="38" customWidth="1"/>
    <col min="13832" max="13833" width="11.83203125" style="38" customWidth="1"/>
    <col min="13834" max="14074" width="10.1640625" style="38"/>
    <col min="14075" max="14075" width="5.1640625" style="38" customWidth="1"/>
    <col min="14076" max="14076" width="19.5" style="38" customWidth="1"/>
    <col min="14077" max="14077" width="9.5" style="38" customWidth="1"/>
    <col min="14078" max="14078" width="17" style="38" customWidth="1"/>
    <col min="14079" max="14079" width="8.1640625" style="38" customWidth="1"/>
    <col min="14080" max="14080" width="10.5" style="38" customWidth="1"/>
    <col min="14081" max="14081" width="6.5" style="38" customWidth="1"/>
    <col min="14082" max="14082" width="9.5" style="38" customWidth="1"/>
    <col min="14083" max="14083" width="10" style="38" customWidth="1"/>
    <col min="14084" max="14084" width="14.1640625" style="38" customWidth="1"/>
    <col min="14085" max="14085" width="13.1640625" style="38" customWidth="1"/>
    <col min="14086" max="14086" width="16.5" style="38" customWidth="1"/>
    <col min="14087" max="14087" width="14.83203125" style="38" customWidth="1"/>
    <col min="14088" max="14089" width="11.83203125" style="38" customWidth="1"/>
    <col min="14090" max="14330" width="10.1640625" style="38"/>
    <col min="14331" max="14331" width="5.1640625" style="38" customWidth="1"/>
    <col min="14332" max="14332" width="19.5" style="38" customWidth="1"/>
    <col min="14333" max="14333" width="9.5" style="38" customWidth="1"/>
    <col min="14334" max="14334" width="17" style="38" customWidth="1"/>
    <col min="14335" max="14335" width="8.1640625" style="38" customWidth="1"/>
    <col min="14336" max="14336" width="10.5" style="38" customWidth="1"/>
    <col min="14337" max="14337" width="6.5" style="38" customWidth="1"/>
    <col min="14338" max="14338" width="9.5" style="38" customWidth="1"/>
    <col min="14339" max="14339" width="10" style="38" customWidth="1"/>
    <col min="14340" max="14340" width="14.1640625" style="38" customWidth="1"/>
    <col min="14341" max="14341" width="13.1640625" style="38" customWidth="1"/>
    <col min="14342" max="14342" width="16.5" style="38" customWidth="1"/>
    <col min="14343" max="14343" width="14.83203125" style="38" customWidth="1"/>
    <col min="14344" max="14345" width="11.83203125" style="38" customWidth="1"/>
    <col min="14346" max="14586" width="10.1640625" style="38"/>
    <col min="14587" max="14587" width="5.1640625" style="38" customWidth="1"/>
    <col min="14588" max="14588" width="19.5" style="38" customWidth="1"/>
    <col min="14589" max="14589" width="9.5" style="38" customWidth="1"/>
    <col min="14590" max="14590" width="17" style="38" customWidth="1"/>
    <col min="14591" max="14591" width="8.1640625" style="38" customWidth="1"/>
    <col min="14592" max="14592" width="10.5" style="38" customWidth="1"/>
    <col min="14593" max="14593" width="6.5" style="38" customWidth="1"/>
    <col min="14594" max="14594" width="9.5" style="38" customWidth="1"/>
    <col min="14595" max="14595" width="10" style="38" customWidth="1"/>
    <col min="14596" max="14596" width="14.1640625" style="38" customWidth="1"/>
    <col min="14597" max="14597" width="13.1640625" style="38" customWidth="1"/>
    <col min="14598" max="14598" width="16.5" style="38" customWidth="1"/>
    <col min="14599" max="14599" width="14.83203125" style="38" customWidth="1"/>
    <col min="14600" max="14601" width="11.83203125" style="38" customWidth="1"/>
    <col min="14602" max="14842" width="10.1640625" style="38"/>
    <col min="14843" max="14843" width="5.1640625" style="38" customWidth="1"/>
    <col min="14844" max="14844" width="19.5" style="38" customWidth="1"/>
    <col min="14845" max="14845" width="9.5" style="38" customWidth="1"/>
    <col min="14846" max="14846" width="17" style="38" customWidth="1"/>
    <col min="14847" max="14847" width="8.1640625" style="38" customWidth="1"/>
    <col min="14848" max="14848" width="10.5" style="38" customWidth="1"/>
    <col min="14849" max="14849" width="6.5" style="38" customWidth="1"/>
    <col min="14850" max="14850" width="9.5" style="38" customWidth="1"/>
    <col min="14851" max="14851" width="10" style="38" customWidth="1"/>
    <col min="14852" max="14852" width="14.1640625" style="38" customWidth="1"/>
    <col min="14853" max="14853" width="13.1640625" style="38" customWidth="1"/>
    <col min="14854" max="14854" width="16.5" style="38" customWidth="1"/>
    <col min="14855" max="14855" width="14.83203125" style="38" customWidth="1"/>
    <col min="14856" max="14857" width="11.83203125" style="38" customWidth="1"/>
    <col min="14858" max="15098" width="10.1640625" style="38"/>
    <col min="15099" max="15099" width="5.1640625" style="38" customWidth="1"/>
    <col min="15100" max="15100" width="19.5" style="38" customWidth="1"/>
    <col min="15101" max="15101" width="9.5" style="38" customWidth="1"/>
    <col min="15102" max="15102" width="17" style="38" customWidth="1"/>
    <col min="15103" max="15103" width="8.1640625" style="38" customWidth="1"/>
    <col min="15104" max="15104" width="10.5" style="38" customWidth="1"/>
    <col min="15105" max="15105" width="6.5" style="38" customWidth="1"/>
    <col min="15106" max="15106" width="9.5" style="38" customWidth="1"/>
    <col min="15107" max="15107" width="10" style="38" customWidth="1"/>
    <col min="15108" max="15108" width="14.1640625" style="38" customWidth="1"/>
    <col min="15109" max="15109" width="13.1640625" style="38" customWidth="1"/>
    <col min="15110" max="15110" width="16.5" style="38" customWidth="1"/>
    <col min="15111" max="15111" width="14.83203125" style="38" customWidth="1"/>
    <col min="15112" max="15113" width="11.83203125" style="38" customWidth="1"/>
    <col min="15114" max="15354" width="10.1640625" style="38"/>
    <col min="15355" max="15355" width="5.1640625" style="38" customWidth="1"/>
    <col min="15356" max="15356" width="19.5" style="38" customWidth="1"/>
    <col min="15357" max="15357" width="9.5" style="38" customWidth="1"/>
    <col min="15358" max="15358" width="17" style="38" customWidth="1"/>
    <col min="15359" max="15359" width="8.1640625" style="38" customWidth="1"/>
    <col min="15360" max="15360" width="10.5" style="38" customWidth="1"/>
    <col min="15361" max="15361" width="6.5" style="38" customWidth="1"/>
    <col min="15362" max="15362" width="9.5" style="38" customWidth="1"/>
    <col min="15363" max="15363" width="10" style="38" customWidth="1"/>
    <col min="15364" max="15364" width="14.1640625" style="38" customWidth="1"/>
    <col min="15365" max="15365" width="13.1640625" style="38" customWidth="1"/>
    <col min="15366" max="15366" width="16.5" style="38" customWidth="1"/>
    <col min="15367" max="15367" width="14.83203125" style="38" customWidth="1"/>
    <col min="15368" max="15369" width="11.83203125" style="38" customWidth="1"/>
    <col min="15370" max="15610" width="10.1640625" style="38"/>
    <col min="15611" max="15611" width="5.1640625" style="38" customWidth="1"/>
    <col min="15612" max="15612" width="19.5" style="38" customWidth="1"/>
    <col min="15613" max="15613" width="9.5" style="38" customWidth="1"/>
    <col min="15614" max="15614" width="17" style="38" customWidth="1"/>
    <col min="15615" max="15615" width="8.1640625" style="38" customWidth="1"/>
    <col min="15616" max="15616" width="10.5" style="38" customWidth="1"/>
    <col min="15617" max="15617" width="6.5" style="38" customWidth="1"/>
    <col min="15618" max="15618" width="9.5" style="38" customWidth="1"/>
    <col min="15619" max="15619" width="10" style="38" customWidth="1"/>
    <col min="15620" max="15620" width="14.1640625" style="38" customWidth="1"/>
    <col min="15621" max="15621" width="13.1640625" style="38" customWidth="1"/>
    <col min="15622" max="15622" width="16.5" style="38" customWidth="1"/>
    <col min="15623" max="15623" width="14.83203125" style="38" customWidth="1"/>
    <col min="15624" max="15625" width="11.83203125" style="38" customWidth="1"/>
    <col min="15626" max="15866" width="10.1640625" style="38"/>
    <col min="15867" max="15867" width="5.1640625" style="38" customWidth="1"/>
    <col min="15868" max="15868" width="19.5" style="38" customWidth="1"/>
    <col min="15869" max="15869" width="9.5" style="38" customWidth="1"/>
    <col min="15870" max="15870" width="17" style="38" customWidth="1"/>
    <col min="15871" max="15871" width="8.1640625" style="38" customWidth="1"/>
    <col min="15872" max="15872" width="10.5" style="38" customWidth="1"/>
    <col min="15873" max="15873" width="6.5" style="38" customWidth="1"/>
    <col min="15874" max="15874" width="9.5" style="38" customWidth="1"/>
    <col min="15875" max="15875" width="10" style="38" customWidth="1"/>
    <col min="15876" max="15876" width="14.1640625" style="38" customWidth="1"/>
    <col min="15877" max="15877" width="13.1640625" style="38" customWidth="1"/>
    <col min="15878" max="15878" width="16.5" style="38" customWidth="1"/>
    <col min="15879" max="15879" width="14.83203125" style="38" customWidth="1"/>
    <col min="15880" max="15881" width="11.83203125" style="38" customWidth="1"/>
    <col min="15882" max="16122" width="10.1640625" style="38"/>
    <col min="16123" max="16123" width="5.1640625" style="38" customWidth="1"/>
    <col min="16124" max="16124" width="19.5" style="38" customWidth="1"/>
    <col min="16125" max="16125" width="9.5" style="38" customWidth="1"/>
    <col min="16126" max="16126" width="17" style="38" customWidth="1"/>
    <col min="16127" max="16127" width="8.1640625" style="38" customWidth="1"/>
    <col min="16128" max="16128" width="10.5" style="38" customWidth="1"/>
    <col min="16129" max="16129" width="6.5" style="38" customWidth="1"/>
    <col min="16130" max="16130" width="9.5" style="38" customWidth="1"/>
    <col min="16131" max="16131" width="10" style="38" customWidth="1"/>
    <col min="16132" max="16132" width="14.1640625" style="38" customWidth="1"/>
    <col min="16133" max="16133" width="13.1640625" style="38" customWidth="1"/>
    <col min="16134" max="16134" width="16.5" style="38" customWidth="1"/>
    <col min="16135" max="16135" width="14.83203125" style="38" customWidth="1"/>
    <col min="16136" max="16137" width="11.83203125" style="38" customWidth="1"/>
    <col min="16138" max="16384" width="10.1640625" style="38"/>
  </cols>
  <sheetData>
    <row r="1" spans="1:27" s="34" customFormat="1" ht="18" customHeight="1">
      <c r="A1" s="94" t="s">
        <v>0</v>
      </c>
      <c r="B1" s="94"/>
      <c r="C1" s="94"/>
      <c r="D1" s="94"/>
      <c r="E1" s="95" t="s">
        <v>1</v>
      </c>
      <c r="F1" s="95"/>
      <c r="G1" s="95"/>
      <c r="H1" s="95"/>
      <c r="I1" s="95"/>
      <c r="J1" s="94" t="s">
        <v>0</v>
      </c>
      <c r="K1" s="94"/>
      <c r="L1" s="94"/>
      <c r="M1" s="94"/>
      <c r="N1" s="95" t="s">
        <v>1</v>
      </c>
      <c r="O1" s="95"/>
      <c r="P1" s="95"/>
      <c r="Q1" s="95"/>
      <c r="R1" s="95"/>
      <c r="S1" s="94" t="s">
        <v>0</v>
      </c>
      <c r="T1" s="94"/>
      <c r="U1" s="94"/>
      <c r="V1" s="94"/>
      <c r="W1" s="95" t="s">
        <v>1</v>
      </c>
      <c r="X1" s="95"/>
      <c r="Y1" s="95"/>
      <c r="Z1" s="95"/>
      <c r="AA1" s="95"/>
    </row>
    <row r="2" spans="1:27" s="34" customFormat="1" ht="18" customHeight="1">
      <c r="A2" s="95" t="s">
        <v>2</v>
      </c>
      <c r="B2" s="95"/>
      <c r="C2" s="95"/>
      <c r="D2" s="95"/>
      <c r="E2" s="96" t="s">
        <v>3</v>
      </c>
      <c r="F2" s="96"/>
      <c r="G2" s="96"/>
      <c r="H2" s="96"/>
      <c r="I2" s="96"/>
      <c r="J2" s="95" t="s">
        <v>2</v>
      </c>
      <c r="K2" s="95"/>
      <c r="L2" s="95"/>
      <c r="M2" s="95"/>
      <c r="N2" s="96" t="s">
        <v>3</v>
      </c>
      <c r="O2" s="96"/>
      <c r="P2" s="96"/>
      <c r="Q2" s="96"/>
      <c r="R2" s="96"/>
      <c r="S2" s="95" t="s">
        <v>2</v>
      </c>
      <c r="T2" s="95"/>
      <c r="U2" s="95"/>
      <c r="V2" s="95"/>
      <c r="W2" s="96" t="s">
        <v>3</v>
      </c>
      <c r="X2" s="96"/>
      <c r="Y2" s="96"/>
      <c r="Z2" s="96"/>
      <c r="AA2" s="96"/>
    </row>
    <row r="3" spans="1:27" ht="82.25" customHeight="1">
      <c r="A3" s="97" t="s">
        <v>4</v>
      </c>
      <c r="B3" s="97"/>
      <c r="C3" s="97"/>
      <c r="D3" s="97"/>
      <c r="E3" s="97"/>
      <c r="F3" s="97"/>
      <c r="G3" s="97"/>
      <c r="H3" s="97"/>
      <c r="I3" s="97"/>
      <c r="J3" s="97" t="s">
        <v>5</v>
      </c>
      <c r="K3" s="97"/>
      <c r="L3" s="97"/>
      <c r="M3" s="97"/>
      <c r="N3" s="97"/>
      <c r="O3" s="97"/>
      <c r="P3" s="97"/>
      <c r="Q3" s="97"/>
      <c r="R3" s="97"/>
      <c r="S3" s="97" t="s">
        <v>6</v>
      </c>
      <c r="T3" s="97"/>
      <c r="U3" s="97"/>
      <c r="V3" s="97"/>
      <c r="W3" s="97"/>
      <c r="X3" s="97"/>
      <c r="Y3" s="97"/>
      <c r="Z3" s="97"/>
      <c r="AA3" s="97"/>
    </row>
    <row r="4" spans="1:27" ht="42" customHeight="1">
      <c r="A4" s="44" t="s">
        <v>7</v>
      </c>
      <c r="B4" s="98" t="s">
        <v>8</v>
      </c>
      <c r="C4" s="98"/>
      <c r="D4" s="45" t="s">
        <v>9</v>
      </c>
      <c r="E4" s="45" t="s">
        <v>10</v>
      </c>
      <c r="F4" s="44" t="s">
        <v>11</v>
      </c>
      <c r="G4" s="46" t="s">
        <v>12</v>
      </c>
      <c r="H4" s="46" t="s">
        <v>13</v>
      </c>
      <c r="I4" s="59" t="s">
        <v>14</v>
      </c>
      <c r="J4" s="44" t="s">
        <v>7</v>
      </c>
      <c r="K4" s="98" t="s">
        <v>8</v>
      </c>
      <c r="L4" s="98"/>
      <c r="M4" s="45" t="s">
        <v>9</v>
      </c>
      <c r="N4" s="45" t="s">
        <v>10</v>
      </c>
      <c r="O4" s="45" t="s">
        <v>11</v>
      </c>
      <c r="P4" s="46" t="s">
        <v>12</v>
      </c>
      <c r="Q4" s="46" t="s">
        <v>13</v>
      </c>
      <c r="R4" s="59" t="s">
        <v>14</v>
      </c>
      <c r="S4" s="44" t="s">
        <v>7</v>
      </c>
      <c r="T4" s="98" t="s">
        <v>8</v>
      </c>
      <c r="U4" s="98"/>
      <c r="V4" s="45" t="s">
        <v>9</v>
      </c>
      <c r="W4" s="45" t="s">
        <v>10</v>
      </c>
      <c r="X4" s="44" t="s">
        <v>11</v>
      </c>
      <c r="Y4" s="46" t="s">
        <v>12</v>
      </c>
      <c r="Z4" s="46" t="s">
        <v>13</v>
      </c>
      <c r="AA4" s="59" t="s">
        <v>15</v>
      </c>
    </row>
    <row r="5" spans="1:27" ht="24" customHeight="1">
      <c r="A5" s="47">
        <v>1</v>
      </c>
      <c r="B5" s="48" t="s">
        <v>16</v>
      </c>
      <c r="C5" s="49" t="s">
        <v>17</v>
      </c>
      <c r="D5" s="50" t="s">
        <v>18</v>
      </c>
      <c r="E5" s="50" t="s">
        <v>19</v>
      </c>
      <c r="F5" s="51">
        <f>'[1]Chấm công'!$AK$6</f>
        <v>57</v>
      </c>
      <c r="G5" s="52">
        <f>42000/60%</f>
        <v>70000</v>
      </c>
      <c r="H5" s="53">
        <f>F5*G5</f>
        <v>3990000</v>
      </c>
      <c r="I5" s="67"/>
      <c r="J5" s="47">
        <v>1</v>
      </c>
      <c r="K5" s="68" t="s">
        <v>20</v>
      </c>
      <c r="L5" s="49" t="s">
        <v>21</v>
      </c>
      <c r="M5" s="86" t="s">
        <v>22</v>
      </c>
      <c r="N5" s="50" t="s">
        <v>19</v>
      </c>
      <c r="O5" s="51">
        <f>'[1]Chấm công'!$AK$44</f>
        <v>53</v>
      </c>
      <c r="P5" s="52">
        <v>70000</v>
      </c>
      <c r="Q5" s="53">
        <f>O5*P5</f>
        <v>3710000</v>
      </c>
      <c r="R5" s="67"/>
      <c r="S5" s="47">
        <v>1</v>
      </c>
      <c r="T5" s="48" t="s">
        <v>23</v>
      </c>
      <c r="U5" s="49" t="s">
        <v>24</v>
      </c>
      <c r="V5" s="87" t="s">
        <v>25</v>
      </c>
      <c r="W5" s="50" t="s">
        <v>19</v>
      </c>
      <c r="X5" s="51">
        <f>'[1]Chấm công'!$AK$87</f>
        <v>50</v>
      </c>
      <c r="Y5" s="52">
        <v>80000</v>
      </c>
      <c r="Z5" s="52">
        <f>X5*Y5</f>
        <v>4000000</v>
      </c>
      <c r="AA5" s="52"/>
    </row>
    <row r="6" spans="1:27" s="35" customFormat="1" ht="24" customHeight="1">
      <c r="A6" s="47">
        <v>2</v>
      </c>
      <c r="B6" s="48" t="s">
        <v>26</v>
      </c>
      <c r="C6" s="49" t="s">
        <v>27</v>
      </c>
      <c r="D6" s="86" t="s">
        <v>28</v>
      </c>
      <c r="E6" s="50" t="s">
        <v>19</v>
      </c>
      <c r="F6" s="51">
        <f>'[1]Chấm công'!$AK$7</f>
        <v>20</v>
      </c>
      <c r="G6" s="52">
        <f t="shared" ref="G6:G20" si="0">42000/60%</f>
        <v>70000</v>
      </c>
      <c r="H6" s="53">
        <f t="shared" ref="H6:H20" si="1">F6*G6</f>
        <v>1400000</v>
      </c>
      <c r="I6" s="69"/>
      <c r="J6" s="47">
        <v>2</v>
      </c>
      <c r="K6" s="68" t="s">
        <v>29</v>
      </c>
      <c r="L6" s="49" t="s">
        <v>30</v>
      </c>
      <c r="M6" s="86" t="s">
        <v>31</v>
      </c>
      <c r="N6" s="50" t="s">
        <v>19</v>
      </c>
      <c r="O6" s="51">
        <f>'[1]Chấm công'!$AK$47</f>
        <v>41</v>
      </c>
      <c r="P6" s="52">
        <v>70000</v>
      </c>
      <c r="Q6" s="53">
        <f t="shared" ref="Q6:Q21" si="2">O6*P6</f>
        <v>2870000</v>
      </c>
      <c r="R6" s="69"/>
      <c r="S6" s="47">
        <v>2</v>
      </c>
      <c r="T6" s="68" t="s">
        <v>32</v>
      </c>
      <c r="U6" s="49" t="s">
        <v>33</v>
      </c>
      <c r="V6" s="87" t="s">
        <v>34</v>
      </c>
      <c r="W6" s="50" t="s">
        <v>19</v>
      </c>
      <c r="X6" s="51">
        <f>'[1]Chấm công'!$AK$88</f>
        <v>30</v>
      </c>
      <c r="Y6" s="52">
        <v>80000</v>
      </c>
      <c r="Z6" s="52">
        <f t="shared" ref="Z6:Z17" si="3">X6*Y6</f>
        <v>2400000</v>
      </c>
      <c r="AA6" s="52"/>
    </row>
    <row r="7" spans="1:27" s="35" customFormat="1" ht="24" customHeight="1">
      <c r="A7" s="47">
        <v>3</v>
      </c>
      <c r="B7" s="48" t="s">
        <v>29</v>
      </c>
      <c r="C7" s="49" t="s">
        <v>30</v>
      </c>
      <c r="D7" s="88" t="s">
        <v>31</v>
      </c>
      <c r="E7" s="47" t="s">
        <v>19</v>
      </c>
      <c r="F7" s="47">
        <f>'[1]Chấm công'!$AK$8</f>
        <v>16</v>
      </c>
      <c r="G7" s="52">
        <f t="shared" si="0"/>
        <v>70000</v>
      </c>
      <c r="H7" s="53">
        <f t="shared" si="1"/>
        <v>1120000</v>
      </c>
      <c r="I7" s="69"/>
      <c r="J7" s="47">
        <v>3</v>
      </c>
      <c r="K7" s="48" t="s">
        <v>35</v>
      </c>
      <c r="L7" s="49" t="s">
        <v>36</v>
      </c>
      <c r="M7" s="86" t="s">
        <v>37</v>
      </c>
      <c r="N7" s="50" t="s">
        <v>38</v>
      </c>
      <c r="O7" s="51">
        <f>'[1]Chấm công'!$AK$55</f>
        <v>43</v>
      </c>
      <c r="P7" s="52">
        <v>70000</v>
      </c>
      <c r="Q7" s="53">
        <f t="shared" si="2"/>
        <v>3010000</v>
      </c>
      <c r="R7" s="69"/>
      <c r="S7" s="47">
        <v>3</v>
      </c>
      <c r="T7" s="68" t="s">
        <v>39</v>
      </c>
      <c r="U7" s="49" t="s">
        <v>40</v>
      </c>
      <c r="V7" s="87" t="s">
        <v>41</v>
      </c>
      <c r="W7" s="50" t="s">
        <v>38</v>
      </c>
      <c r="X7" s="51">
        <f>'[1]Chấm công'!$AK$89</f>
        <v>47</v>
      </c>
      <c r="Y7" s="52">
        <v>80000</v>
      </c>
      <c r="Z7" s="52">
        <f t="shared" si="3"/>
        <v>3760000</v>
      </c>
      <c r="AA7" s="52"/>
    </row>
    <row r="8" spans="1:27" s="35" customFormat="1" ht="24" customHeight="1">
      <c r="A8" s="47">
        <v>4</v>
      </c>
      <c r="B8" s="48" t="s">
        <v>35</v>
      </c>
      <c r="C8" s="49" t="s">
        <v>36</v>
      </c>
      <c r="D8" s="86" t="s">
        <v>37</v>
      </c>
      <c r="E8" s="50" t="s">
        <v>38</v>
      </c>
      <c r="F8" s="47">
        <f>'[1]Chấm công'!$AK$16</f>
        <v>20</v>
      </c>
      <c r="G8" s="52">
        <f t="shared" si="0"/>
        <v>70000</v>
      </c>
      <c r="H8" s="53">
        <f t="shared" si="1"/>
        <v>1400000</v>
      </c>
      <c r="I8" s="69"/>
      <c r="J8" s="47">
        <v>4</v>
      </c>
      <c r="K8" s="48" t="s">
        <v>42</v>
      </c>
      <c r="L8" s="49" t="s">
        <v>43</v>
      </c>
      <c r="M8" s="86" t="s">
        <v>44</v>
      </c>
      <c r="N8" s="50" t="s">
        <v>38</v>
      </c>
      <c r="O8" s="51">
        <f>'[1]Chấm công'!$AK$57</f>
        <v>40</v>
      </c>
      <c r="P8" s="52">
        <v>70000</v>
      </c>
      <c r="Q8" s="53">
        <f t="shared" si="2"/>
        <v>2800000</v>
      </c>
      <c r="R8" s="69"/>
      <c r="S8" s="47">
        <v>4</v>
      </c>
      <c r="T8" s="48" t="s">
        <v>45</v>
      </c>
      <c r="U8" s="49" t="s">
        <v>46</v>
      </c>
      <c r="V8" s="87" t="s">
        <v>44</v>
      </c>
      <c r="W8" s="50" t="s">
        <v>38</v>
      </c>
      <c r="X8" s="51">
        <f>'[1]Chấm công'!$AK$91</f>
        <v>60</v>
      </c>
      <c r="Y8" s="52">
        <v>80000</v>
      </c>
      <c r="Z8" s="52">
        <f t="shared" si="3"/>
        <v>4800000</v>
      </c>
      <c r="AA8" s="52"/>
    </row>
    <row r="9" spans="1:27" s="35" customFormat="1" ht="24" customHeight="1">
      <c r="A9" s="47">
        <v>5</v>
      </c>
      <c r="B9" s="48" t="s">
        <v>47</v>
      </c>
      <c r="C9" s="49" t="s">
        <v>48</v>
      </c>
      <c r="D9" s="50">
        <v>221425382</v>
      </c>
      <c r="E9" s="50" t="s">
        <v>38</v>
      </c>
      <c r="F9" s="47">
        <f>'[1]Chấm công'!$AK$17</f>
        <v>65</v>
      </c>
      <c r="G9" s="52">
        <f t="shared" si="0"/>
        <v>70000</v>
      </c>
      <c r="H9" s="53">
        <f t="shared" si="1"/>
        <v>4550000</v>
      </c>
      <c r="I9" s="69"/>
      <c r="J9" s="47">
        <v>5</v>
      </c>
      <c r="K9" s="48" t="s">
        <v>49</v>
      </c>
      <c r="L9" s="49" t="s">
        <v>50</v>
      </c>
      <c r="M9" s="86" t="s">
        <v>51</v>
      </c>
      <c r="N9" s="50" t="s">
        <v>38</v>
      </c>
      <c r="O9" s="51">
        <f>'[1]Chấm công'!$AK$51</f>
        <v>22</v>
      </c>
      <c r="P9" s="52">
        <v>70000</v>
      </c>
      <c r="Q9" s="53">
        <f t="shared" si="2"/>
        <v>1540000</v>
      </c>
      <c r="R9" s="69"/>
      <c r="S9" s="47">
        <v>5</v>
      </c>
      <c r="T9" s="48" t="s">
        <v>52</v>
      </c>
      <c r="U9" s="49" t="s">
        <v>53</v>
      </c>
      <c r="V9" s="89" t="s">
        <v>54</v>
      </c>
      <c r="W9" s="50" t="s">
        <v>38</v>
      </c>
      <c r="X9" s="51">
        <f>'[1]Chấm công'!$AK$93</f>
        <v>29</v>
      </c>
      <c r="Y9" s="52">
        <v>80000</v>
      </c>
      <c r="Z9" s="52">
        <f t="shared" si="3"/>
        <v>2320000</v>
      </c>
      <c r="AA9" s="52"/>
    </row>
    <row r="10" spans="1:27" s="35" customFormat="1" ht="24" customHeight="1">
      <c r="A10" s="47">
        <v>6</v>
      </c>
      <c r="B10" s="48" t="s">
        <v>55</v>
      </c>
      <c r="C10" s="49" t="s">
        <v>56</v>
      </c>
      <c r="D10" s="88" t="s">
        <v>57</v>
      </c>
      <c r="E10" s="47" t="s">
        <v>38</v>
      </c>
      <c r="F10" s="47">
        <f>'[1]Chấm công'!$AK$14</f>
        <v>22</v>
      </c>
      <c r="G10" s="52">
        <f t="shared" si="0"/>
        <v>70000</v>
      </c>
      <c r="H10" s="53">
        <f t="shared" si="1"/>
        <v>1540000</v>
      </c>
      <c r="I10" s="69"/>
      <c r="J10" s="47">
        <v>6</v>
      </c>
      <c r="K10" s="48" t="s">
        <v>35</v>
      </c>
      <c r="L10" s="49" t="s">
        <v>58</v>
      </c>
      <c r="M10" s="90" t="s">
        <v>59</v>
      </c>
      <c r="N10" s="50" t="s">
        <v>60</v>
      </c>
      <c r="O10" s="51">
        <f>'[1]Chấm công'!$AK$58</f>
        <v>26</v>
      </c>
      <c r="P10" s="52">
        <v>70000</v>
      </c>
      <c r="Q10" s="53">
        <f t="shared" si="2"/>
        <v>1820000</v>
      </c>
      <c r="R10" s="69"/>
      <c r="S10" s="47">
        <v>6</v>
      </c>
      <c r="T10" s="48" t="s">
        <v>35</v>
      </c>
      <c r="U10" s="49" t="s">
        <v>58</v>
      </c>
      <c r="V10" s="91" t="s">
        <v>59</v>
      </c>
      <c r="W10" s="50" t="s">
        <v>60</v>
      </c>
      <c r="X10" s="51">
        <f>'[1]Chấm công'!$AK$97</f>
        <v>36</v>
      </c>
      <c r="Y10" s="52">
        <v>80000</v>
      </c>
      <c r="Z10" s="52">
        <f t="shared" si="3"/>
        <v>2880000</v>
      </c>
      <c r="AA10" s="52"/>
    </row>
    <row r="11" spans="1:27" s="35" customFormat="1" ht="24" customHeight="1">
      <c r="A11" s="47">
        <v>7</v>
      </c>
      <c r="B11" s="48" t="s">
        <v>35</v>
      </c>
      <c r="C11" s="49" t="s">
        <v>58</v>
      </c>
      <c r="D11" s="90" t="s">
        <v>59</v>
      </c>
      <c r="E11" s="47" t="s">
        <v>60</v>
      </c>
      <c r="F11" s="47">
        <f>'[1]Chấm công'!$AK$19</f>
        <v>12</v>
      </c>
      <c r="G11" s="52">
        <f t="shared" si="0"/>
        <v>70000</v>
      </c>
      <c r="H11" s="53">
        <f t="shared" si="1"/>
        <v>840000</v>
      </c>
      <c r="I11" s="69"/>
      <c r="J11" s="47">
        <v>7</v>
      </c>
      <c r="K11" s="48" t="s">
        <v>55</v>
      </c>
      <c r="L11" s="49" t="s">
        <v>61</v>
      </c>
      <c r="M11" s="86" t="s">
        <v>62</v>
      </c>
      <c r="N11" s="50" t="s">
        <v>60</v>
      </c>
      <c r="O11" s="51">
        <f>'[1]Chấm công'!$AK$60</f>
        <v>30</v>
      </c>
      <c r="P11" s="52">
        <v>70000</v>
      </c>
      <c r="Q11" s="53">
        <f t="shared" si="2"/>
        <v>2100000</v>
      </c>
      <c r="R11" s="69"/>
      <c r="S11" s="47">
        <v>7</v>
      </c>
      <c r="T11" s="48" t="s">
        <v>63</v>
      </c>
      <c r="U11" s="49" t="s">
        <v>64</v>
      </c>
      <c r="V11" s="73">
        <v>191510101</v>
      </c>
      <c r="W11" s="50" t="s">
        <v>60</v>
      </c>
      <c r="X11" s="51">
        <f>'[1]Chấm công'!$AK$100</f>
        <v>12</v>
      </c>
      <c r="Y11" s="52">
        <v>80000</v>
      </c>
      <c r="Z11" s="52">
        <f t="shared" si="3"/>
        <v>960000</v>
      </c>
      <c r="AA11" s="52"/>
    </row>
    <row r="12" spans="1:27" s="35" customFormat="1" ht="24" customHeight="1">
      <c r="A12" s="47">
        <v>8</v>
      </c>
      <c r="B12" s="48" t="s">
        <v>65</v>
      </c>
      <c r="C12" s="49" t="s">
        <v>66</v>
      </c>
      <c r="D12" s="47">
        <v>281341723</v>
      </c>
      <c r="E12" s="47" t="s">
        <v>60</v>
      </c>
      <c r="F12" s="47">
        <f>'[1]Chấm công'!$AK$20</f>
        <v>45</v>
      </c>
      <c r="G12" s="52">
        <f t="shared" si="0"/>
        <v>70000</v>
      </c>
      <c r="H12" s="53">
        <f t="shared" si="1"/>
        <v>3150000</v>
      </c>
      <c r="I12" s="69"/>
      <c r="J12" s="47">
        <v>8</v>
      </c>
      <c r="K12" s="68" t="s">
        <v>67</v>
      </c>
      <c r="L12" s="49" t="s">
        <v>68</v>
      </c>
      <c r="M12" s="86" t="s">
        <v>69</v>
      </c>
      <c r="N12" s="50" t="s">
        <v>60</v>
      </c>
      <c r="O12" s="51">
        <f>'[1]Chấm công'!$AK$62</f>
        <v>12</v>
      </c>
      <c r="P12" s="52">
        <v>70000</v>
      </c>
      <c r="Q12" s="53">
        <f t="shared" si="2"/>
        <v>840000</v>
      </c>
      <c r="R12" s="69"/>
      <c r="S12" s="47">
        <v>8</v>
      </c>
      <c r="T12" s="48" t="s">
        <v>70</v>
      </c>
      <c r="U12" s="49" t="s">
        <v>71</v>
      </c>
      <c r="V12" s="74">
        <v>272039905</v>
      </c>
      <c r="W12" s="50" t="s">
        <v>72</v>
      </c>
      <c r="X12" s="51">
        <f>'[1]Chấm công'!$AK$103</f>
        <v>28</v>
      </c>
      <c r="Y12" s="52">
        <v>80000</v>
      </c>
      <c r="Z12" s="52">
        <f t="shared" si="3"/>
        <v>2240000</v>
      </c>
      <c r="AA12" s="52"/>
    </row>
    <row r="13" spans="1:27" s="35" customFormat="1" ht="24" customHeight="1">
      <c r="A13" s="47">
        <v>9</v>
      </c>
      <c r="B13" s="48" t="s">
        <v>55</v>
      </c>
      <c r="C13" s="49" t="s">
        <v>61</v>
      </c>
      <c r="D13" s="88" t="s">
        <v>62</v>
      </c>
      <c r="E13" s="47" t="s">
        <v>60</v>
      </c>
      <c r="F13" s="47">
        <f>'[1]Chấm công'!$AK$21</f>
        <v>15</v>
      </c>
      <c r="G13" s="52">
        <f t="shared" si="0"/>
        <v>70000</v>
      </c>
      <c r="H13" s="53">
        <f t="shared" si="1"/>
        <v>1050000</v>
      </c>
      <c r="I13" s="69"/>
      <c r="J13" s="47">
        <v>9</v>
      </c>
      <c r="K13" s="48" t="s">
        <v>73</v>
      </c>
      <c r="L13" s="49" t="s">
        <v>74</v>
      </c>
      <c r="M13" s="50">
        <v>301446773</v>
      </c>
      <c r="N13" s="70" t="s">
        <v>72</v>
      </c>
      <c r="O13" s="51">
        <f>'[1]Chấm công'!$AK$63</f>
        <v>28</v>
      </c>
      <c r="P13" s="52">
        <v>70000</v>
      </c>
      <c r="Q13" s="53">
        <f t="shared" si="2"/>
        <v>1960000</v>
      </c>
      <c r="R13" s="69"/>
      <c r="S13" s="47">
        <v>9</v>
      </c>
      <c r="T13" s="48" t="s">
        <v>73</v>
      </c>
      <c r="U13" s="49" t="s">
        <v>74</v>
      </c>
      <c r="V13" s="73">
        <v>301446773</v>
      </c>
      <c r="W13" s="50" t="s">
        <v>72</v>
      </c>
      <c r="X13" s="51">
        <f>'[1]Chấm công'!$AK$102</f>
        <v>27</v>
      </c>
      <c r="Y13" s="52">
        <v>80000</v>
      </c>
      <c r="Z13" s="52">
        <f t="shared" si="3"/>
        <v>2160000</v>
      </c>
      <c r="AA13" s="52"/>
    </row>
    <row r="14" spans="1:27" s="35" customFormat="1" ht="24" customHeight="1">
      <c r="A14" s="47">
        <v>10</v>
      </c>
      <c r="B14" s="54" t="s">
        <v>75</v>
      </c>
      <c r="C14" s="55" t="s">
        <v>76</v>
      </c>
      <c r="D14" s="56">
        <v>241227700</v>
      </c>
      <c r="E14" s="47" t="s">
        <v>72</v>
      </c>
      <c r="F14" s="47">
        <f>'[1]Chấm công'!$AK$27</f>
        <v>43</v>
      </c>
      <c r="G14" s="52">
        <f t="shared" si="0"/>
        <v>70000</v>
      </c>
      <c r="H14" s="53">
        <f t="shared" si="1"/>
        <v>3010000</v>
      </c>
      <c r="I14" s="69"/>
      <c r="J14" s="47">
        <v>10</v>
      </c>
      <c r="K14" s="54" t="s">
        <v>75</v>
      </c>
      <c r="L14" s="55" t="s">
        <v>76</v>
      </c>
      <c r="M14" s="56">
        <v>241227700</v>
      </c>
      <c r="N14" s="47" t="s">
        <v>72</v>
      </c>
      <c r="O14" s="47">
        <f>'[1]Chấm công'!$AK$66</f>
        <v>13</v>
      </c>
      <c r="P14" s="52">
        <v>70000</v>
      </c>
      <c r="Q14" s="53">
        <f t="shared" si="2"/>
        <v>910000</v>
      </c>
      <c r="R14" s="69"/>
      <c r="S14" s="47">
        <v>10</v>
      </c>
      <c r="T14" s="54" t="s">
        <v>77</v>
      </c>
      <c r="U14" s="55" t="s">
        <v>78</v>
      </c>
      <c r="V14" s="92" t="s">
        <v>79</v>
      </c>
      <c r="W14" s="50" t="s">
        <v>80</v>
      </c>
      <c r="X14" s="51">
        <f>'[1]Chấm công'!$AK$106</f>
        <v>18</v>
      </c>
      <c r="Y14" s="52">
        <v>80000</v>
      </c>
      <c r="Z14" s="52">
        <f t="shared" si="3"/>
        <v>1440000</v>
      </c>
      <c r="AA14" s="52"/>
    </row>
    <row r="15" spans="1:27" s="35" customFormat="1" ht="24" customHeight="1">
      <c r="A15" s="47">
        <v>11</v>
      </c>
      <c r="B15" s="48" t="s">
        <v>81</v>
      </c>
      <c r="C15" s="49" t="s">
        <v>82</v>
      </c>
      <c r="D15" s="88" t="s">
        <v>83</v>
      </c>
      <c r="E15" s="47" t="s">
        <v>72</v>
      </c>
      <c r="F15" s="47">
        <f>'[1]Chấm công'!$AK$26</f>
        <v>26</v>
      </c>
      <c r="G15" s="52">
        <f t="shared" si="0"/>
        <v>70000</v>
      </c>
      <c r="H15" s="53">
        <f t="shared" si="1"/>
        <v>1820000</v>
      </c>
      <c r="I15" s="47"/>
      <c r="J15" s="47">
        <v>11</v>
      </c>
      <c r="K15" s="48" t="s">
        <v>81</v>
      </c>
      <c r="L15" s="49" t="s">
        <v>82</v>
      </c>
      <c r="M15" s="86" t="s">
        <v>83</v>
      </c>
      <c r="N15" s="70" t="s">
        <v>72</v>
      </c>
      <c r="O15" s="51">
        <f>'[1]Chấm công'!$AK$65</f>
        <v>30</v>
      </c>
      <c r="P15" s="52">
        <v>70000</v>
      </c>
      <c r="Q15" s="53">
        <f t="shared" si="2"/>
        <v>2100000</v>
      </c>
      <c r="R15" s="69"/>
      <c r="S15" s="47">
        <v>11</v>
      </c>
      <c r="T15" s="48" t="s">
        <v>84</v>
      </c>
      <c r="U15" s="49" t="s">
        <v>56</v>
      </c>
      <c r="V15" s="73">
        <v>212332575</v>
      </c>
      <c r="W15" s="50" t="s">
        <v>80</v>
      </c>
      <c r="X15" s="51">
        <f>'[1]Chấm công'!$AK$107</f>
        <v>22</v>
      </c>
      <c r="Y15" s="52">
        <v>80000</v>
      </c>
      <c r="Z15" s="52">
        <f t="shared" si="3"/>
        <v>1760000</v>
      </c>
      <c r="AA15" s="52"/>
    </row>
    <row r="16" spans="1:27" s="35" customFormat="1" ht="24" customHeight="1">
      <c r="A16" s="47">
        <v>12</v>
      </c>
      <c r="B16" s="48" t="s">
        <v>84</v>
      </c>
      <c r="C16" s="49" t="s">
        <v>56</v>
      </c>
      <c r="D16" s="47">
        <v>212332575</v>
      </c>
      <c r="E16" s="47" t="s">
        <v>80</v>
      </c>
      <c r="F16" s="47">
        <f>'[1]Chấm công'!$AK$29</f>
        <v>20</v>
      </c>
      <c r="G16" s="52">
        <f t="shared" si="0"/>
        <v>70000</v>
      </c>
      <c r="H16" s="53">
        <f t="shared" si="1"/>
        <v>1400000</v>
      </c>
      <c r="I16" s="69"/>
      <c r="J16" s="47">
        <v>12</v>
      </c>
      <c r="K16" s="54" t="s">
        <v>77</v>
      </c>
      <c r="L16" s="55" t="s">
        <v>78</v>
      </c>
      <c r="M16" s="93" t="s">
        <v>79</v>
      </c>
      <c r="N16" s="50" t="s">
        <v>80</v>
      </c>
      <c r="O16" s="51">
        <f>'[1]Chấm công'!$AK$67</f>
        <v>16</v>
      </c>
      <c r="P16" s="52">
        <v>70000</v>
      </c>
      <c r="Q16" s="53">
        <f t="shared" si="2"/>
        <v>1120000</v>
      </c>
      <c r="R16" s="69"/>
      <c r="S16" s="47">
        <v>12</v>
      </c>
      <c r="T16" s="54" t="s">
        <v>85</v>
      </c>
      <c r="U16" s="55" t="s">
        <v>40</v>
      </c>
      <c r="V16" s="92" t="s">
        <v>86</v>
      </c>
      <c r="W16" s="50" t="s">
        <v>87</v>
      </c>
      <c r="X16" s="51">
        <f>'[1]Chấm công'!$AK$109</f>
        <v>31</v>
      </c>
      <c r="Y16" s="52">
        <v>80000</v>
      </c>
      <c r="Z16" s="52">
        <f t="shared" si="3"/>
        <v>2480000</v>
      </c>
      <c r="AA16" s="52"/>
    </row>
    <row r="17" spans="1:27" s="35" customFormat="1" ht="24" customHeight="1">
      <c r="A17" s="47">
        <v>13</v>
      </c>
      <c r="B17" s="48" t="s">
        <v>88</v>
      </c>
      <c r="C17" s="49" t="s">
        <v>89</v>
      </c>
      <c r="D17" s="47">
        <v>212262621</v>
      </c>
      <c r="E17" s="47" t="s">
        <v>87</v>
      </c>
      <c r="F17" s="47">
        <f>'[1]Chấm công'!$AK$33</f>
        <v>4</v>
      </c>
      <c r="G17" s="52">
        <f t="shared" si="0"/>
        <v>70000</v>
      </c>
      <c r="H17" s="53">
        <f t="shared" si="1"/>
        <v>280000</v>
      </c>
      <c r="I17" s="69"/>
      <c r="J17" s="47">
        <v>13</v>
      </c>
      <c r="K17" s="48" t="s">
        <v>84</v>
      </c>
      <c r="L17" s="49" t="s">
        <v>90</v>
      </c>
      <c r="M17" s="50">
        <v>211885921</v>
      </c>
      <c r="N17" s="50" t="s">
        <v>80</v>
      </c>
      <c r="O17" s="47">
        <f>'[1]Chấm công'!$AK$69</f>
        <v>24</v>
      </c>
      <c r="P17" s="52">
        <v>70000</v>
      </c>
      <c r="Q17" s="53">
        <f t="shared" si="2"/>
        <v>1680000</v>
      </c>
      <c r="R17" s="69"/>
      <c r="S17" s="47">
        <v>13</v>
      </c>
      <c r="T17" s="54" t="s">
        <v>91</v>
      </c>
      <c r="U17" s="55" t="s">
        <v>92</v>
      </c>
      <c r="V17" s="92" t="s">
        <v>93</v>
      </c>
      <c r="W17" s="50" t="s">
        <v>87</v>
      </c>
      <c r="X17" s="51">
        <f>'[1]Chấm công'!$AK$110</f>
        <v>38</v>
      </c>
      <c r="Y17" s="52">
        <v>80000</v>
      </c>
      <c r="Z17" s="52">
        <f t="shared" si="3"/>
        <v>3040000</v>
      </c>
      <c r="AA17" s="52"/>
    </row>
    <row r="18" spans="1:27" s="35" customFormat="1" ht="24" customHeight="1">
      <c r="A18" s="47">
        <v>14</v>
      </c>
      <c r="B18" s="48" t="s">
        <v>94</v>
      </c>
      <c r="C18" s="49" t="s">
        <v>95</v>
      </c>
      <c r="D18" s="88" t="s">
        <v>96</v>
      </c>
      <c r="E18" s="47" t="s">
        <v>87</v>
      </c>
      <c r="F18" s="47">
        <f>'[1]Chấm công'!$AK$34</f>
        <v>20</v>
      </c>
      <c r="G18" s="52">
        <f t="shared" si="0"/>
        <v>70000</v>
      </c>
      <c r="H18" s="53">
        <f t="shared" si="1"/>
        <v>1400000</v>
      </c>
      <c r="I18" s="69"/>
      <c r="J18" s="47">
        <v>14</v>
      </c>
      <c r="K18" s="54" t="s">
        <v>91</v>
      </c>
      <c r="L18" s="55" t="s">
        <v>92</v>
      </c>
      <c r="M18" s="93" t="s">
        <v>93</v>
      </c>
      <c r="N18" s="50" t="s">
        <v>87</v>
      </c>
      <c r="O18" s="47">
        <f>'[1]Chấm công'!$AK$71</f>
        <v>15</v>
      </c>
      <c r="P18" s="52">
        <v>70000</v>
      </c>
      <c r="Q18" s="53">
        <f t="shared" si="2"/>
        <v>1050000</v>
      </c>
      <c r="R18" s="69"/>
      <c r="S18" s="47">
        <v>14</v>
      </c>
      <c r="T18" s="48" t="s">
        <v>88</v>
      </c>
      <c r="U18" s="49" t="s">
        <v>89</v>
      </c>
      <c r="V18" s="47">
        <v>212262621</v>
      </c>
      <c r="W18" s="50" t="s">
        <v>87</v>
      </c>
      <c r="X18" s="51">
        <f>'[1]Chấm công'!$AK$111</f>
        <v>19</v>
      </c>
      <c r="Y18" s="52">
        <v>80000</v>
      </c>
      <c r="Z18" s="52">
        <f t="shared" ref="Z18:Z20" si="4">X18*Y18</f>
        <v>1520000</v>
      </c>
      <c r="AA18" s="52"/>
    </row>
    <row r="19" spans="1:27" s="35" customFormat="1" ht="24" customHeight="1">
      <c r="A19" s="47">
        <v>15</v>
      </c>
      <c r="B19" s="54" t="s">
        <v>84</v>
      </c>
      <c r="C19" s="55" t="s">
        <v>97</v>
      </c>
      <c r="D19" s="57">
        <v>186571736</v>
      </c>
      <c r="E19" s="47" t="s">
        <v>98</v>
      </c>
      <c r="F19" s="47">
        <f>'[1]Chấm công'!$AK$35</f>
        <v>16</v>
      </c>
      <c r="G19" s="52">
        <f t="shared" si="0"/>
        <v>70000</v>
      </c>
      <c r="H19" s="53">
        <f t="shared" si="1"/>
        <v>1120000</v>
      </c>
      <c r="I19" s="69"/>
      <c r="J19" s="47">
        <v>15</v>
      </c>
      <c r="K19" s="48" t="s">
        <v>88</v>
      </c>
      <c r="L19" s="49" t="s">
        <v>89</v>
      </c>
      <c r="M19" s="50">
        <v>212262621</v>
      </c>
      <c r="N19" s="50" t="s">
        <v>87</v>
      </c>
      <c r="O19" s="51">
        <f>'[1]Chấm công'!$AK$72</f>
        <v>8</v>
      </c>
      <c r="P19" s="52">
        <v>70000</v>
      </c>
      <c r="Q19" s="53">
        <f t="shared" si="2"/>
        <v>560000</v>
      </c>
      <c r="R19" s="69"/>
      <c r="S19" s="47">
        <v>15</v>
      </c>
      <c r="T19" s="54" t="s">
        <v>84</v>
      </c>
      <c r="U19" s="55" t="s">
        <v>97</v>
      </c>
      <c r="V19" s="75">
        <v>186571736</v>
      </c>
      <c r="W19" s="50" t="s">
        <v>98</v>
      </c>
      <c r="X19" s="51">
        <f>'[1]Chấm công'!$AK$113</f>
        <v>21</v>
      </c>
      <c r="Y19" s="52">
        <v>80000</v>
      </c>
      <c r="Z19" s="52">
        <f t="shared" si="4"/>
        <v>1680000</v>
      </c>
      <c r="AA19" s="52"/>
    </row>
    <row r="20" spans="1:27" s="36" customFormat="1" ht="24" customHeight="1">
      <c r="A20" s="47">
        <v>16</v>
      </c>
      <c r="B20" s="48" t="s">
        <v>99</v>
      </c>
      <c r="C20" s="49" t="s">
        <v>100</v>
      </c>
      <c r="D20" s="47" t="s">
        <v>18</v>
      </c>
      <c r="E20" s="47" t="s">
        <v>98</v>
      </c>
      <c r="F20" s="47">
        <f>'[1]Chấm công'!$AK$37</f>
        <v>24</v>
      </c>
      <c r="G20" s="52">
        <f t="shared" si="0"/>
        <v>70000</v>
      </c>
      <c r="H20" s="53">
        <f t="shared" si="1"/>
        <v>1680000</v>
      </c>
      <c r="I20" s="47"/>
      <c r="J20" s="47">
        <v>16</v>
      </c>
      <c r="K20" s="48" t="s">
        <v>99</v>
      </c>
      <c r="L20" s="49" t="s">
        <v>100</v>
      </c>
      <c r="M20" s="50" t="s">
        <v>18</v>
      </c>
      <c r="N20" s="50" t="s">
        <v>98</v>
      </c>
      <c r="O20" s="51">
        <f>'[1]Chấm công'!$AK$76</f>
        <v>16</v>
      </c>
      <c r="P20" s="52">
        <v>70000</v>
      </c>
      <c r="Q20" s="53">
        <f t="shared" si="2"/>
        <v>1120000</v>
      </c>
      <c r="R20" s="69"/>
      <c r="S20" s="47">
        <v>16</v>
      </c>
      <c r="T20" s="48" t="s">
        <v>101</v>
      </c>
      <c r="U20" s="49" t="s">
        <v>46</v>
      </c>
      <c r="V20" s="87" t="s">
        <v>102</v>
      </c>
      <c r="W20" s="76" t="s">
        <v>98</v>
      </c>
      <c r="X20" s="51">
        <f>'[1]Chấm công'!$AK$116</f>
        <v>47</v>
      </c>
      <c r="Y20" s="82">
        <v>80000</v>
      </c>
      <c r="Z20" s="82">
        <f t="shared" si="4"/>
        <v>3760000</v>
      </c>
      <c r="AA20" s="82"/>
    </row>
    <row r="21" spans="1:27" s="36" customFormat="1" ht="24" customHeight="1">
      <c r="A21" s="99" t="s">
        <v>103</v>
      </c>
      <c r="B21" s="100"/>
      <c r="C21" s="100"/>
      <c r="D21" s="101"/>
      <c r="E21" s="58"/>
      <c r="F21" s="59">
        <f>SUM(F5:F20)</f>
        <v>425</v>
      </c>
      <c r="G21" s="59">
        <v>70000</v>
      </c>
      <c r="H21" s="59">
        <f>SUM(H5:H20)</f>
        <v>29750000</v>
      </c>
      <c r="I21" s="71"/>
      <c r="J21" s="47">
        <v>17</v>
      </c>
      <c r="K21" s="54" t="s">
        <v>84</v>
      </c>
      <c r="L21" s="55" t="s">
        <v>97</v>
      </c>
      <c r="M21" s="57">
        <v>186571736</v>
      </c>
      <c r="N21" s="47" t="s">
        <v>98</v>
      </c>
      <c r="O21" s="47">
        <f>'[1]Chấm công'!$AK$74</f>
        <v>8</v>
      </c>
      <c r="P21" s="52">
        <v>70000</v>
      </c>
      <c r="Q21" s="53">
        <f t="shared" si="2"/>
        <v>560000</v>
      </c>
      <c r="R21" s="77"/>
      <c r="S21" s="47">
        <v>17</v>
      </c>
      <c r="T21" s="48" t="s">
        <v>26</v>
      </c>
      <c r="U21" s="49" t="s">
        <v>27</v>
      </c>
      <c r="V21" s="86" t="s">
        <v>28</v>
      </c>
      <c r="W21" s="78" t="s">
        <v>104</v>
      </c>
      <c r="X21" s="78">
        <f>'[1]Chấm công'!$AK$85</f>
        <v>15</v>
      </c>
      <c r="Y21" s="82">
        <v>80000</v>
      </c>
      <c r="Z21" s="82">
        <f t="shared" ref="Z21:Z26" si="5">X21*Y21</f>
        <v>1200000</v>
      </c>
      <c r="AA21" s="83"/>
    </row>
    <row r="22" spans="1:27" s="34" customFormat="1" ht="24" customHeight="1">
      <c r="A22" s="42"/>
      <c r="B22" s="43"/>
      <c r="C22" s="43"/>
      <c r="D22" s="60"/>
      <c r="E22" s="61"/>
      <c r="F22" s="62"/>
      <c r="G22" s="62"/>
      <c r="H22" s="62"/>
      <c r="I22" s="72"/>
      <c r="J22" s="99" t="s">
        <v>103</v>
      </c>
      <c r="K22" s="100"/>
      <c r="L22" s="100"/>
      <c r="M22" s="101"/>
      <c r="N22" s="58"/>
      <c r="O22" s="59">
        <f>SUM(O5:O21)</f>
        <v>425</v>
      </c>
      <c r="P22" s="59">
        <v>70000</v>
      </c>
      <c r="Q22" s="59">
        <f>SUM(Q5:Q21)</f>
        <v>29750000</v>
      </c>
      <c r="R22" s="69"/>
      <c r="S22" s="47">
        <v>18</v>
      </c>
      <c r="T22" s="48" t="s">
        <v>29</v>
      </c>
      <c r="U22" s="49" t="s">
        <v>30</v>
      </c>
      <c r="V22" s="88" t="s">
        <v>31</v>
      </c>
      <c r="W22" s="78" t="s">
        <v>19</v>
      </c>
      <c r="X22" s="78">
        <f>'[1]Chấm công'!$AK$86</f>
        <v>5</v>
      </c>
      <c r="Y22" s="82">
        <v>80000</v>
      </c>
      <c r="Z22" s="82">
        <f t="shared" si="5"/>
        <v>400000</v>
      </c>
      <c r="AA22" s="84"/>
    </row>
    <row r="23" spans="1:27" s="37" customFormat="1" ht="24" customHeight="1">
      <c r="A23" s="63"/>
      <c r="B23" s="63"/>
      <c r="C23" s="63"/>
      <c r="D23" s="63"/>
      <c r="E23" s="102" t="s">
        <v>105</v>
      </c>
      <c r="F23" s="102"/>
      <c r="G23" s="102"/>
      <c r="H23" s="102"/>
      <c r="I23" s="102"/>
      <c r="K23" s="63"/>
      <c r="L23" s="63"/>
      <c r="M23" s="63"/>
      <c r="N23" s="103"/>
      <c r="O23" s="103"/>
      <c r="P23" s="103"/>
      <c r="Q23" s="103"/>
      <c r="R23" s="103"/>
      <c r="S23" s="47">
        <v>19</v>
      </c>
      <c r="T23" s="48" t="s">
        <v>55</v>
      </c>
      <c r="U23" s="49" t="s">
        <v>56</v>
      </c>
      <c r="V23" s="88" t="s">
        <v>57</v>
      </c>
      <c r="W23" s="78" t="s">
        <v>38</v>
      </c>
      <c r="X23" s="78">
        <f>'[1]Chấm công'!$AK$92</f>
        <v>15</v>
      </c>
      <c r="Y23" s="82">
        <v>80000</v>
      </c>
      <c r="Z23" s="82">
        <f t="shared" si="5"/>
        <v>1200000</v>
      </c>
      <c r="AA23" s="84"/>
    </row>
    <row r="24" spans="1:27" s="37" customFormat="1" ht="24" customHeight="1">
      <c r="A24" s="104" t="s">
        <v>106</v>
      </c>
      <c r="B24" s="104"/>
      <c r="C24" s="104"/>
      <c r="D24" s="64"/>
      <c r="E24" s="104" t="s">
        <v>107</v>
      </c>
      <c r="F24" s="104"/>
      <c r="G24" s="104"/>
      <c r="H24" s="104"/>
      <c r="I24" s="104"/>
      <c r="J24" s="63"/>
      <c r="K24" s="63"/>
      <c r="L24" s="63"/>
      <c r="M24" s="63"/>
      <c r="N24" s="102" t="s">
        <v>105</v>
      </c>
      <c r="O24" s="102"/>
      <c r="P24" s="102"/>
      <c r="Q24" s="102"/>
      <c r="R24" s="102"/>
      <c r="S24" s="47">
        <v>20</v>
      </c>
      <c r="T24" s="48" t="s">
        <v>81</v>
      </c>
      <c r="U24" s="49" t="s">
        <v>82</v>
      </c>
      <c r="V24" s="88" t="s">
        <v>83</v>
      </c>
      <c r="W24" s="78" t="s">
        <v>72</v>
      </c>
      <c r="X24" s="78">
        <f>'[1]Chấm công'!$AK$104</f>
        <v>5</v>
      </c>
      <c r="Y24" s="82">
        <v>80000</v>
      </c>
      <c r="Z24" s="82">
        <f t="shared" si="5"/>
        <v>400000</v>
      </c>
      <c r="AA24" s="84"/>
    </row>
    <row r="25" spans="1:27" s="37" customFormat="1" ht="24" customHeight="1">
      <c r="D25" s="65"/>
      <c r="E25" s="66"/>
      <c r="H25" s="66"/>
      <c r="J25" s="104" t="s">
        <v>106</v>
      </c>
      <c r="K25" s="104"/>
      <c r="L25" s="104"/>
      <c r="M25" s="64"/>
      <c r="N25" s="104" t="s">
        <v>107</v>
      </c>
      <c r="O25" s="104"/>
      <c r="P25" s="104"/>
      <c r="Q25" s="104"/>
      <c r="R25" s="104"/>
      <c r="S25" s="51">
        <v>21</v>
      </c>
      <c r="T25" s="79" t="s">
        <v>84</v>
      </c>
      <c r="U25" s="80" t="s">
        <v>90</v>
      </c>
      <c r="V25" s="76">
        <v>211885921</v>
      </c>
      <c r="W25" s="81" t="s">
        <v>80</v>
      </c>
      <c r="X25" s="81">
        <f>'[1]Chấm công'!$AK$108</f>
        <v>5</v>
      </c>
      <c r="Y25" s="82">
        <v>80000</v>
      </c>
      <c r="Z25" s="82">
        <f t="shared" si="5"/>
        <v>400000</v>
      </c>
      <c r="AA25" s="85"/>
    </row>
    <row r="26" spans="1:27" s="37" customFormat="1" ht="24" customHeight="1">
      <c r="H26" s="66"/>
      <c r="M26" s="65"/>
      <c r="N26" s="66"/>
      <c r="Q26" s="66"/>
      <c r="S26" s="51">
        <v>22</v>
      </c>
      <c r="T26" s="48" t="s">
        <v>99</v>
      </c>
      <c r="U26" s="49" t="s">
        <v>100</v>
      </c>
      <c r="V26" s="50" t="s">
        <v>18</v>
      </c>
      <c r="W26" s="50" t="s">
        <v>98</v>
      </c>
      <c r="X26" s="78">
        <v>5</v>
      </c>
      <c r="Y26" s="82">
        <v>80000</v>
      </c>
      <c r="Z26" s="82">
        <f t="shared" si="5"/>
        <v>400000</v>
      </c>
      <c r="AA26" s="77"/>
    </row>
    <row r="27" spans="1:27" s="37" customFormat="1" ht="24" customHeight="1">
      <c r="A27" s="34"/>
      <c r="B27" s="38"/>
      <c r="C27" s="38"/>
      <c r="D27" s="38"/>
      <c r="E27" s="39"/>
      <c r="F27" s="39"/>
      <c r="G27" s="40"/>
      <c r="H27" s="38"/>
      <c r="I27" s="41"/>
      <c r="Q27" s="66"/>
      <c r="S27" s="99" t="s">
        <v>103</v>
      </c>
      <c r="T27" s="100"/>
      <c r="U27" s="100"/>
      <c r="V27" s="101"/>
      <c r="W27" s="58"/>
      <c r="X27" s="59">
        <f>SUM(X5:X26)</f>
        <v>565</v>
      </c>
      <c r="Y27" s="59">
        <v>80000</v>
      </c>
      <c r="Z27" s="59">
        <f>SUM(Z5:Z26)</f>
        <v>45200000</v>
      </c>
      <c r="AA27" s="69"/>
    </row>
    <row r="28" spans="1:27" s="34" customFormat="1" ht="24" customHeight="1">
      <c r="A28" s="105" t="s">
        <v>108</v>
      </c>
      <c r="B28" s="105"/>
      <c r="C28" s="105"/>
      <c r="D28" s="38"/>
      <c r="E28" s="104" t="s">
        <v>109</v>
      </c>
      <c r="F28" s="104"/>
      <c r="G28" s="104"/>
      <c r="H28" s="104"/>
      <c r="I28" s="104"/>
      <c r="K28" s="38"/>
      <c r="L28" s="38"/>
      <c r="M28" s="38"/>
      <c r="N28" s="39"/>
      <c r="O28" s="39"/>
      <c r="P28" s="40"/>
      <c r="Q28" s="38"/>
      <c r="R28" s="41"/>
      <c r="T28" s="38"/>
      <c r="U28" s="38"/>
      <c r="V28" s="38"/>
      <c r="W28" s="39"/>
      <c r="X28" s="39"/>
      <c r="Y28" s="40"/>
      <c r="Z28" s="40"/>
      <c r="AA28" s="40"/>
    </row>
    <row r="29" spans="1:27" s="34" customFormat="1" ht="24" customHeight="1">
      <c r="B29" s="38"/>
      <c r="C29" s="38"/>
      <c r="D29" s="38"/>
      <c r="E29" s="39"/>
      <c r="F29" s="39"/>
      <c r="G29" s="40"/>
      <c r="H29" s="38"/>
      <c r="I29" s="41"/>
      <c r="J29" s="105" t="s">
        <v>108</v>
      </c>
      <c r="K29" s="105"/>
      <c r="L29" s="105"/>
      <c r="M29" s="38"/>
      <c r="N29" s="104" t="s">
        <v>109</v>
      </c>
      <c r="O29" s="104"/>
      <c r="P29" s="104"/>
      <c r="Q29" s="104"/>
      <c r="R29" s="104"/>
      <c r="S29" s="63"/>
      <c r="T29" s="63"/>
      <c r="U29" s="63"/>
      <c r="V29" s="63"/>
      <c r="W29" s="102" t="s">
        <v>105</v>
      </c>
      <c r="X29" s="102"/>
      <c r="Y29" s="102"/>
      <c r="Z29" s="102"/>
      <c r="AA29" s="102"/>
    </row>
    <row r="30" spans="1:27" s="34" customFormat="1" ht="24" customHeight="1">
      <c r="B30" s="38"/>
      <c r="C30" s="38"/>
      <c r="D30" s="38"/>
      <c r="E30" s="39"/>
      <c r="F30" s="39"/>
      <c r="G30" s="40"/>
      <c r="H30" s="38"/>
      <c r="I30" s="41"/>
      <c r="S30" s="104" t="s">
        <v>106</v>
      </c>
      <c r="T30" s="104"/>
      <c r="U30" s="104"/>
      <c r="V30" s="104"/>
      <c r="W30" s="104" t="s">
        <v>107</v>
      </c>
      <c r="X30" s="104"/>
      <c r="Y30" s="104"/>
      <c r="Z30" s="104"/>
      <c r="AA30" s="104"/>
    </row>
    <row r="31" spans="1:27" ht="24" customHeight="1">
      <c r="S31" s="37"/>
      <c r="T31" s="37"/>
      <c r="U31" s="37"/>
      <c r="V31" s="65"/>
      <c r="W31" s="66"/>
      <c r="X31" s="66"/>
      <c r="Y31" s="37"/>
      <c r="Z31" s="66"/>
      <c r="AA31" s="37"/>
    </row>
    <row r="32" spans="1:27">
      <c r="S32" s="37"/>
      <c r="T32" s="37"/>
      <c r="U32" s="37"/>
      <c r="V32" s="37"/>
      <c r="W32" s="37"/>
      <c r="X32" s="66"/>
      <c r="Y32" s="37"/>
      <c r="Z32" s="66"/>
      <c r="AA32" s="37"/>
    </row>
    <row r="33" spans="1:27">
      <c r="A33" s="37"/>
      <c r="B33" s="37"/>
      <c r="C33" s="37"/>
      <c r="D33" s="37"/>
      <c r="E33" s="37"/>
      <c r="F33" s="37"/>
      <c r="G33" s="37"/>
      <c r="H33" s="37"/>
      <c r="I33" s="37"/>
      <c r="Z33" s="38"/>
      <c r="AA33" s="41"/>
    </row>
    <row r="34" spans="1:27">
      <c r="S34" s="105" t="s">
        <v>108</v>
      </c>
      <c r="T34" s="105"/>
      <c r="U34" s="105"/>
      <c r="V34" s="105"/>
      <c r="W34" s="104" t="s">
        <v>109</v>
      </c>
      <c r="X34" s="104"/>
      <c r="Y34" s="104"/>
      <c r="Z34" s="104"/>
      <c r="AA34" s="104"/>
    </row>
    <row r="37" spans="1:27" s="37" customFormat="1">
      <c r="A37" s="34"/>
      <c r="B37" s="38"/>
      <c r="C37" s="38"/>
      <c r="D37" s="38"/>
      <c r="E37" s="39"/>
      <c r="F37" s="39"/>
      <c r="G37" s="40"/>
      <c r="H37" s="38"/>
      <c r="I37" s="41"/>
      <c r="S37" s="34"/>
      <c r="T37" s="38"/>
      <c r="U37" s="38"/>
      <c r="V37" s="38"/>
      <c r="W37" s="39"/>
      <c r="X37" s="39"/>
      <c r="Y37" s="40"/>
      <c r="Z37" s="40"/>
      <c r="AA37" s="40"/>
    </row>
  </sheetData>
  <mergeCells count="37">
    <mergeCell ref="S34:V34"/>
    <mergeCell ref="W34:AA34"/>
    <mergeCell ref="J29:L29"/>
    <mergeCell ref="N29:R29"/>
    <mergeCell ref="W29:AA29"/>
    <mergeCell ref="S30:V30"/>
    <mergeCell ref="W30:AA30"/>
    <mergeCell ref="J25:L25"/>
    <mergeCell ref="N25:R25"/>
    <mergeCell ref="S27:V27"/>
    <mergeCell ref="A28:C28"/>
    <mergeCell ref="E28:I28"/>
    <mergeCell ref="A21:D21"/>
    <mergeCell ref="J22:M22"/>
    <mergeCell ref="E23:I23"/>
    <mergeCell ref="N23:R23"/>
    <mergeCell ref="A24:C24"/>
    <mergeCell ref="E24:I24"/>
    <mergeCell ref="N24:R24"/>
    <mergeCell ref="A3:I3"/>
    <mergeCell ref="J3:R3"/>
    <mergeCell ref="S3:AA3"/>
    <mergeCell ref="B4:C4"/>
    <mergeCell ref="K4:L4"/>
    <mergeCell ref="T4:U4"/>
    <mergeCell ref="W1:AA1"/>
    <mergeCell ref="A2:D2"/>
    <mergeCell ref="E2:I2"/>
    <mergeCell ref="J2:M2"/>
    <mergeCell ref="N2:R2"/>
    <mergeCell ref="S2:V2"/>
    <mergeCell ref="W2:AA2"/>
    <mergeCell ref="A1:D1"/>
    <mergeCell ref="E1:I1"/>
    <mergeCell ref="J1:M1"/>
    <mergeCell ref="N1:R1"/>
    <mergeCell ref="S1:V1"/>
  </mergeCells>
  <printOptions horizontalCentered="1"/>
  <pageMargins left="0" right="0" top="0" bottom="0" header="0.3" footer="0.3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J287"/>
  <sheetViews>
    <sheetView tabSelected="1" zoomScale="85" zoomScaleNormal="85" workbookViewId="0">
      <selection activeCell="B32" sqref="B32:B33"/>
    </sheetView>
  </sheetViews>
  <sheetFormatPr baseColWidth="10" defaultColWidth="10.1640625" defaultRowHeight="27" customHeight="1"/>
  <cols>
    <col min="1" max="1" width="4.6640625" style="1" customWidth="1"/>
    <col min="2" max="2" width="22.83203125" style="4" customWidth="1"/>
    <col min="3" max="3" width="9.83203125" style="5" customWidth="1"/>
    <col min="4" max="4" width="15.33203125" style="6" customWidth="1"/>
    <col min="5" max="6" width="4" style="7" customWidth="1"/>
    <col min="7" max="11" width="4" style="8" customWidth="1"/>
    <col min="12" max="13" width="4" style="7" customWidth="1"/>
    <col min="14" max="18" width="4" style="8" customWidth="1"/>
    <col min="19" max="20" width="4" style="7" customWidth="1"/>
    <col min="21" max="25" width="4" style="8" customWidth="1"/>
    <col min="26" max="27" width="4" style="7" customWidth="1"/>
    <col min="28" max="32" width="4" style="8" customWidth="1"/>
    <col min="33" max="34" width="4" style="7" customWidth="1"/>
    <col min="35" max="35" width="8" style="9" customWidth="1"/>
    <col min="36" max="36" width="10.33203125" style="6" customWidth="1"/>
    <col min="37" max="16384" width="10.1640625" style="1"/>
  </cols>
  <sheetData>
    <row r="1" spans="1:36" ht="24.5" customHeight="1">
      <c r="A1" s="106" t="s">
        <v>110</v>
      </c>
      <c r="B1" s="106"/>
      <c r="C1" s="106"/>
      <c r="D1" s="106"/>
      <c r="E1" s="106"/>
      <c r="F1" s="106"/>
      <c r="G1" s="106"/>
      <c r="H1" s="106"/>
      <c r="J1" s="1"/>
      <c r="L1" s="8"/>
      <c r="M1" s="8"/>
      <c r="N1" s="1"/>
      <c r="R1" s="1"/>
      <c r="S1" s="8"/>
      <c r="T1" s="8"/>
      <c r="V1" s="1"/>
      <c r="Z1" s="1"/>
      <c r="AA1" s="8"/>
      <c r="AD1" s="1"/>
      <c r="AG1" s="8"/>
      <c r="AH1" s="8"/>
      <c r="AI1" s="29"/>
      <c r="AJ1" s="8"/>
    </row>
    <row r="2" spans="1:36" ht="24.5" customHeight="1">
      <c r="A2" s="107" t="s">
        <v>111</v>
      </c>
      <c r="B2" s="107"/>
      <c r="C2" s="107"/>
      <c r="D2" s="107"/>
      <c r="E2" s="107"/>
      <c r="F2" s="107"/>
      <c r="G2" s="107"/>
      <c r="H2" s="107"/>
      <c r="I2" s="10"/>
      <c r="J2" s="2"/>
      <c r="K2" s="10"/>
      <c r="L2" s="10"/>
      <c r="M2" s="10"/>
      <c r="N2" s="2"/>
      <c r="O2" s="10"/>
      <c r="P2" s="10"/>
      <c r="Q2" s="10"/>
      <c r="R2" s="2"/>
      <c r="S2" s="10"/>
      <c r="T2" s="10"/>
      <c r="U2" s="10"/>
      <c r="V2" s="2"/>
      <c r="W2" s="10"/>
      <c r="X2" s="10"/>
      <c r="Y2" s="10"/>
      <c r="Z2" s="2"/>
      <c r="AA2" s="10"/>
      <c r="AB2" s="10"/>
      <c r="AC2" s="10"/>
      <c r="AD2" s="2"/>
      <c r="AE2" s="10"/>
      <c r="AF2" s="10"/>
      <c r="AG2" s="10"/>
      <c r="AH2" s="10"/>
      <c r="AI2" s="29"/>
      <c r="AJ2" s="8"/>
    </row>
    <row r="3" spans="1:36" ht="57" customHeight="1">
      <c r="A3" s="108" t="s">
        <v>112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s="2" customFormat="1" ht="28.5" customHeight="1">
      <c r="A4" s="110" t="s">
        <v>7</v>
      </c>
      <c r="B4" s="111" t="s">
        <v>113</v>
      </c>
      <c r="C4" s="111"/>
      <c r="D4" s="111" t="s">
        <v>114</v>
      </c>
      <c r="E4" s="109" t="s">
        <v>115</v>
      </c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2" t="s">
        <v>116</v>
      </c>
      <c r="AJ4" s="111" t="s">
        <v>117</v>
      </c>
    </row>
    <row r="5" spans="1:36" s="2" customFormat="1" ht="28.5" customHeight="1">
      <c r="A5" s="110"/>
      <c r="B5" s="111"/>
      <c r="C5" s="111"/>
      <c r="D5" s="111"/>
      <c r="E5" s="11">
        <f t="shared" ref="E5:I5" si="0">+D5+1</f>
        <v>1</v>
      </c>
      <c r="F5" s="11">
        <f t="shared" si="0"/>
        <v>2</v>
      </c>
      <c r="G5" s="12">
        <f t="shared" si="0"/>
        <v>3</v>
      </c>
      <c r="H5" s="12">
        <f t="shared" si="0"/>
        <v>4</v>
      </c>
      <c r="I5" s="12">
        <f t="shared" si="0"/>
        <v>5</v>
      </c>
      <c r="J5" s="12">
        <f t="shared" ref="J5" si="1">+I5+1</f>
        <v>6</v>
      </c>
      <c r="K5" s="12">
        <f t="shared" ref="K5" si="2">+J5+1</f>
        <v>7</v>
      </c>
      <c r="L5" s="11">
        <f t="shared" ref="L5" si="3">+K5+1</f>
        <v>8</v>
      </c>
      <c r="M5" s="11">
        <f t="shared" ref="M5" si="4">+L5+1</f>
        <v>9</v>
      </c>
      <c r="N5" s="12">
        <f t="shared" ref="N5" si="5">+M5+1</f>
        <v>10</v>
      </c>
      <c r="O5" s="12">
        <f t="shared" ref="O5" si="6">+N5+1</f>
        <v>11</v>
      </c>
      <c r="P5" s="12">
        <f t="shared" ref="P5" si="7">+O5+1</f>
        <v>12</v>
      </c>
      <c r="Q5" s="12">
        <f t="shared" ref="Q5" si="8">+P5+1</f>
        <v>13</v>
      </c>
      <c r="R5" s="12">
        <f t="shared" ref="R5" si="9">+Q5+1</f>
        <v>14</v>
      </c>
      <c r="S5" s="11">
        <f t="shared" ref="S5" si="10">+R5+1</f>
        <v>15</v>
      </c>
      <c r="T5" s="11">
        <f t="shared" ref="T5" si="11">+S5+1</f>
        <v>16</v>
      </c>
      <c r="U5" s="12">
        <f t="shared" ref="U5" si="12">+T5+1</f>
        <v>17</v>
      </c>
      <c r="V5" s="12">
        <f t="shared" ref="V5" si="13">+U5+1</f>
        <v>18</v>
      </c>
      <c r="W5" s="12">
        <f t="shared" ref="W5" si="14">+V5+1</f>
        <v>19</v>
      </c>
      <c r="X5" s="12">
        <f t="shared" ref="X5" si="15">+W5+1</f>
        <v>20</v>
      </c>
      <c r="Y5" s="12">
        <f t="shared" ref="Y5" si="16">+X5+1</f>
        <v>21</v>
      </c>
      <c r="Z5" s="11">
        <f t="shared" ref="Z5" si="17">+Y5+1</f>
        <v>22</v>
      </c>
      <c r="AA5" s="11">
        <f t="shared" ref="AA5" si="18">+Z5+1</f>
        <v>23</v>
      </c>
      <c r="AB5" s="12">
        <f t="shared" ref="AB5" si="19">+AA5+1</f>
        <v>24</v>
      </c>
      <c r="AC5" s="12">
        <f t="shared" ref="AC5" si="20">+AB5+1</f>
        <v>25</v>
      </c>
      <c r="AD5" s="12">
        <f t="shared" ref="AD5" si="21">+AC5+1</f>
        <v>26</v>
      </c>
      <c r="AE5" s="12">
        <f t="shared" ref="AE5" si="22">+AD5+1</f>
        <v>27</v>
      </c>
      <c r="AF5" s="12">
        <f t="shared" ref="AF5:AH5" si="23">+AE5+1</f>
        <v>28</v>
      </c>
      <c r="AG5" s="11">
        <f t="shared" si="23"/>
        <v>29</v>
      </c>
      <c r="AH5" s="11">
        <f t="shared" si="23"/>
        <v>30</v>
      </c>
      <c r="AI5" s="112"/>
      <c r="AJ5" s="111"/>
    </row>
    <row r="6" spans="1:36" s="2" customFormat="1" ht="28.5" customHeight="1">
      <c r="A6" s="110"/>
      <c r="B6" s="111"/>
      <c r="C6" s="111"/>
      <c r="D6" s="111"/>
      <c r="E6" s="11" t="s">
        <v>118</v>
      </c>
      <c r="F6" s="11" t="s">
        <v>119</v>
      </c>
      <c r="G6" s="13" t="s">
        <v>120</v>
      </c>
      <c r="H6" s="13" t="s">
        <v>121</v>
      </c>
      <c r="I6" s="13" t="s">
        <v>122</v>
      </c>
      <c r="J6" s="13" t="s">
        <v>123</v>
      </c>
      <c r="K6" s="13" t="s">
        <v>124</v>
      </c>
      <c r="L6" s="11" t="s">
        <v>118</v>
      </c>
      <c r="M6" s="11" t="s">
        <v>119</v>
      </c>
      <c r="N6" s="13" t="s">
        <v>120</v>
      </c>
      <c r="O6" s="13" t="s">
        <v>121</v>
      </c>
      <c r="P6" s="13" t="s">
        <v>122</v>
      </c>
      <c r="Q6" s="13" t="s">
        <v>123</v>
      </c>
      <c r="R6" s="13" t="s">
        <v>124</v>
      </c>
      <c r="S6" s="11" t="s">
        <v>118</v>
      </c>
      <c r="T6" s="11" t="s">
        <v>119</v>
      </c>
      <c r="U6" s="13" t="s">
        <v>120</v>
      </c>
      <c r="V6" s="13" t="s">
        <v>121</v>
      </c>
      <c r="W6" s="13" t="s">
        <v>122</v>
      </c>
      <c r="X6" s="13" t="s">
        <v>123</v>
      </c>
      <c r="Y6" s="13" t="s">
        <v>124</v>
      </c>
      <c r="Z6" s="11" t="s">
        <v>118</v>
      </c>
      <c r="AA6" s="11" t="s">
        <v>119</v>
      </c>
      <c r="AB6" s="13" t="s">
        <v>120</v>
      </c>
      <c r="AC6" s="13" t="s">
        <v>121</v>
      </c>
      <c r="AD6" s="13" t="s">
        <v>122</v>
      </c>
      <c r="AE6" s="13" t="s">
        <v>123</v>
      </c>
      <c r="AF6" s="13" t="s">
        <v>124</v>
      </c>
      <c r="AG6" s="11" t="s">
        <v>118</v>
      </c>
      <c r="AH6" s="11" t="s">
        <v>119</v>
      </c>
      <c r="AI6" s="112"/>
      <c r="AJ6" s="111"/>
    </row>
    <row r="7" spans="1:36" s="2" customFormat="1" ht="36" customHeight="1">
      <c r="A7" s="14">
        <v>1</v>
      </c>
      <c r="B7" s="15" t="s">
        <v>125</v>
      </c>
      <c r="C7" s="16" t="s">
        <v>126</v>
      </c>
      <c r="D7" s="17" t="s">
        <v>127</v>
      </c>
      <c r="E7" s="18"/>
      <c r="F7" s="18"/>
      <c r="G7" s="19">
        <v>3</v>
      </c>
      <c r="H7" s="19"/>
      <c r="I7" s="19"/>
      <c r="J7" s="19"/>
      <c r="K7" s="19">
        <v>2</v>
      </c>
      <c r="L7" s="18"/>
      <c r="M7" s="18"/>
      <c r="N7" s="19">
        <v>3</v>
      </c>
      <c r="O7" s="28"/>
      <c r="P7" s="28"/>
      <c r="Q7" s="19"/>
      <c r="R7" s="19">
        <v>2</v>
      </c>
      <c r="S7" s="18"/>
      <c r="T7" s="18"/>
      <c r="U7" s="19">
        <v>3</v>
      </c>
      <c r="V7" s="28"/>
      <c r="W7" s="28"/>
      <c r="X7" s="19"/>
      <c r="Y7" s="19"/>
      <c r="Z7" s="18"/>
      <c r="AA7" s="18"/>
      <c r="AB7" s="19">
        <v>3</v>
      </c>
      <c r="AC7" s="28"/>
      <c r="AD7" s="28"/>
      <c r="AE7" s="19"/>
      <c r="AF7" s="19">
        <v>2</v>
      </c>
      <c r="AG7" s="18"/>
      <c r="AH7" s="18"/>
      <c r="AI7" s="31">
        <v>8</v>
      </c>
      <c r="AJ7" s="32">
        <f>SUM(G7:AI7)</f>
        <v>26</v>
      </c>
    </row>
    <row r="8" spans="1:36" s="2" customFormat="1" ht="36" customHeight="1">
      <c r="A8" s="14">
        <v>2</v>
      </c>
      <c r="B8" s="15" t="s">
        <v>128</v>
      </c>
      <c r="C8" s="16" t="s">
        <v>129</v>
      </c>
      <c r="D8" s="20" t="s">
        <v>38</v>
      </c>
      <c r="E8" s="18"/>
      <c r="F8" s="18"/>
      <c r="G8" s="19"/>
      <c r="H8" s="19"/>
      <c r="I8" s="19"/>
      <c r="J8" s="19"/>
      <c r="K8" s="19"/>
      <c r="L8" s="18"/>
      <c r="M8" s="18"/>
      <c r="N8" s="19"/>
      <c r="O8" s="28"/>
      <c r="P8" s="28"/>
      <c r="Q8" s="19"/>
      <c r="R8" s="19"/>
      <c r="S8" s="18"/>
      <c r="T8" s="18"/>
      <c r="U8" s="19"/>
      <c r="V8" s="28"/>
      <c r="W8" s="28"/>
      <c r="X8" s="19"/>
      <c r="Y8" s="19"/>
      <c r="Z8" s="18"/>
      <c r="AA8" s="18"/>
      <c r="AB8" s="19"/>
      <c r="AC8" s="28"/>
      <c r="AD8" s="28"/>
      <c r="AE8" s="19"/>
      <c r="AF8" s="19"/>
      <c r="AG8" s="18"/>
      <c r="AH8" s="18"/>
      <c r="AI8" s="30"/>
      <c r="AJ8" s="32">
        <f t="shared" ref="AJ8:AJ28" si="24">SUM(G8:AI8)</f>
        <v>0</v>
      </c>
    </row>
    <row r="9" spans="1:36" s="3" customFormat="1" ht="36" customHeight="1">
      <c r="A9" s="14">
        <v>3</v>
      </c>
      <c r="B9" s="15" t="s">
        <v>130</v>
      </c>
      <c r="C9" s="16" t="s">
        <v>131</v>
      </c>
      <c r="D9" s="20" t="s">
        <v>38</v>
      </c>
      <c r="E9" s="18"/>
      <c r="F9" s="18"/>
      <c r="G9" s="19"/>
      <c r="H9" s="19">
        <v>2</v>
      </c>
      <c r="I9" s="19"/>
      <c r="J9" s="19">
        <v>2</v>
      </c>
      <c r="K9" s="19">
        <v>4</v>
      </c>
      <c r="L9" s="18"/>
      <c r="M9" s="18"/>
      <c r="N9" s="19"/>
      <c r="O9" s="28">
        <v>2</v>
      </c>
      <c r="P9" s="28"/>
      <c r="Q9" s="19">
        <v>2</v>
      </c>
      <c r="R9" s="19">
        <v>4</v>
      </c>
      <c r="S9" s="18"/>
      <c r="T9" s="18"/>
      <c r="U9" s="19"/>
      <c r="V9" s="28">
        <v>2</v>
      </c>
      <c r="W9" s="28"/>
      <c r="X9" s="19">
        <v>2</v>
      </c>
      <c r="Y9" s="19"/>
      <c r="Z9" s="18"/>
      <c r="AA9" s="18"/>
      <c r="AB9" s="19"/>
      <c r="AC9" s="28">
        <v>2</v>
      </c>
      <c r="AD9" s="28"/>
      <c r="AE9" s="19">
        <v>2</v>
      </c>
      <c r="AF9" s="19">
        <v>4</v>
      </c>
      <c r="AG9" s="18"/>
      <c r="AH9" s="18"/>
      <c r="AI9" s="31"/>
      <c r="AJ9" s="32">
        <f t="shared" si="24"/>
        <v>28</v>
      </c>
    </row>
    <row r="10" spans="1:36" s="3" customFormat="1" ht="36" customHeight="1">
      <c r="A10" s="14">
        <v>4</v>
      </c>
      <c r="B10" s="15" t="s">
        <v>132</v>
      </c>
      <c r="C10" s="16" t="s">
        <v>92</v>
      </c>
      <c r="D10" s="20" t="s">
        <v>38</v>
      </c>
      <c r="E10" s="18"/>
      <c r="F10" s="18"/>
      <c r="G10" s="19">
        <v>2</v>
      </c>
      <c r="H10" s="19">
        <v>5</v>
      </c>
      <c r="I10" s="19"/>
      <c r="J10" s="19">
        <v>5</v>
      </c>
      <c r="K10" s="19"/>
      <c r="L10" s="18"/>
      <c r="M10" s="18"/>
      <c r="N10" s="19">
        <v>2</v>
      </c>
      <c r="O10" s="28">
        <v>5</v>
      </c>
      <c r="P10" s="28"/>
      <c r="Q10" s="19">
        <v>5</v>
      </c>
      <c r="R10" s="19"/>
      <c r="S10" s="18"/>
      <c r="T10" s="18"/>
      <c r="U10" s="19">
        <v>2</v>
      </c>
      <c r="V10" s="28">
        <v>5</v>
      </c>
      <c r="W10" s="28"/>
      <c r="X10" s="19">
        <v>5</v>
      </c>
      <c r="Y10" s="19"/>
      <c r="Z10" s="18"/>
      <c r="AA10" s="18"/>
      <c r="AB10" s="19">
        <v>2</v>
      </c>
      <c r="AC10" s="28">
        <v>5</v>
      </c>
      <c r="AD10" s="28"/>
      <c r="AE10" s="19">
        <v>5</v>
      </c>
      <c r="AF10" s="19"/>
      <c r="AG10" s="18"/>
      <c r="AH10" s="18"/>
      <c r="AI10" s="31"/>
      <c r="AJ10" s="32">
        <f t="shared" si="24"/>
        <v>48</v>
      </c>
    </row>
    <row r="11" spans="1:36" s="3" customFormat="1" ht="36" customHeight="1">
      <c r="A11" s="14">
        <v>5</v>
      </c>
      <c r="B11" s="15" t="s">
        <v>133</v>
      </c>
      <c r="C11" s="16" t="s">
        <v>27</v>
      </c>
      <c r="D11" s="17" t="s">
        <v>134</v>
      </c>
      <c r="E11" s="18"/>
      <c r="F11" s="18"/>
      <c r="G11" s="19">
        <v>3</v>
      </c>
      <c r="H11" s="19"/>
      <c r="I11" s="19">
        <v>2</v>
      </c>
      <c r="J11" s="19"/>
      <c r="K11" s="19"/>
      <c r="L11" s="18"/>
      <c r="M11" s="18"/>
      <c r="N11" s="19">
        <v>3</v>
      </c>
      <c r="O11" s="28"/>
      <c r="P11" s="28">
        <v>2</v>
      </c>
      <c r="Q11" s="19"/>
      <c r="R11" s="19"/>
      <c r="S11" s="18"/>
      <c r="T11" s="18"/>
      <c r="U11" s="19">
        <v>3</v>
      </c>
      <c r="V11" s="28"/>
      <c r="W11" s="28">
        <v>2</v>
      </c>
      <c r="X11" s="19"/>
      <c r="Y11" s="19"/>
      <c r="Z11" s="18"/>
      <c r="AA11" s="18"/>
      <c r="AB11" s="19">
        <v>3</v>
      </c>
      <c r="AC11" s="28"/>
      <c r="AD11" s="28">
        <v>2</v>
      </c>
      <c r="AE11" s="19"/>
      <c r="AF11" s="19"/>
      <c r="AG11" s="18"/>
      <c r="AH11" s="18"/>
      <c r="AI11" s="31">
        <v>8</v>
      </c>
      <c r="AJ11" s="32">
        <f t="shared" si="24"/>
        <v>28</v>
      </c>
    </row>
    <row r="12" spans="1:36" s="3" customFormat="1" ht="36" customHeight="1">
      <c r="A12" s="14">
        <v>6</v>
      </c>
      <c r="B12" s="15" t="s">
        <v>135</v>
      </c>
      <c r="C12" s="16" t="s">
        <v>136</v>
      </c>
      <c r="D12" s="17" t="s">
        <v>137</v>
      </c>
      <c r="E12" s="18"/>
      <c r="F12" s="18"/>
      <c r="G12" s="19">
        <v>2</v>
      </c>
      <c r="H12" s="19"/>
      <c r="I12" s="19">
        <v>4</v>
      </c>
      <c r="J12" s="19"/>
      <c r="K12" s="19">
        <v>3</v>
      </c>
      <c r="L12" s="18"/>
      <c r="M12" s="18"/>
      <c r="N12" s="19">
        <v>2</v>
      </c>
      <c r="O12" s="28"/>
      <c r="P12" s="28">
        <v>2</v>
      </c>
      <c r="Q12" s="19"/>
      <c r="R12" s="19">
        <v>1</v>
      </c>
      <c r="S12" s="18"/>
      <c r="T12" s="18"/>
      <c r="U12" s="19">
        <v>2</v>
      </c>
      <c r="V12" s="28"/>
      <c r="W12" s="28">
        <v>2</v>
      </c>
      <c r="X12" s="19"/>
      <c r="Y12" s="19"/>
      <c r="Z12" s="18"/>
      <c r="AA12" s="18"/>
      <c r="AB12" s="19">
        <v>2</v>
      </c>
      <c r="AC12" s="28"/>
      <c r="AD12" s="28">
        <v>2</v>
      </c>
      <c r="AE12" s="19"/>
      <c r="AF12" s="19">
        <v>1</v>
      </c>
      <c r="AG12" s="18"/>
      <c r="AH12" s="18"/>
      <c r="AI12" s="31">
        <v>8</v>
      </c>
      <c r="AJ12" s="32">
        <f t="shared" si="24"/>
        <v>31</v>
      </c>
    </row>
    <row r="13" spans="1:36" s="3" customFormat="1" ht="36" customHeight="1">
      <c r="A13" s="14">
        <v>7</v>
      </c>
      <c r="B13" s="15" t="s">
        <v>138</v>
      </c>
      <c r="C13" s="16" t="s">
        <v>139</v>
      </c>
      <c r="D13" s="20" t="s">
        <v>19</v>
      </c>
      <c r="E13" s="18"/>
      <c r="F13" s="18"/>
      <c r="G13" s="19"/>
      <c r="H13" s="19"/>
      <c r="I13" s="19">
        <v>4</v>
      </c>
      <c r="J13" s="19"/>
      <c r="K13" s="19">
        <v>4</v>
      </c>
      <c r="L13" s="18"/>
      <c r="M13" s="18"/>
      <c r="N13" s="19"/>
      <c r="O13" s="28"/>
      <c r="P13" s="28">
        <v>4</v>
      </c>
      <c r="Q13" s="19"/>
      <c r="R13" s="19">
        <v>4</v>
      </c>
      <c r="S13" s="18"/>
      <c r="T13" s="18"/>
      <c r="U13" s="19"/>
      <c r="V13" s="28"/>
      <c r="W13" s="28">
        <v>4</v>
      </c>
      <c r="X13" s="19"/>
      <c r="Y13" s="19"/>
      <c r="Z13" s="18"/>
      <c r="AA13" s="18"/>
      <c r="AB13" s="19"/>
      <c r="AC13" s="28"/>
      <c r="AD13" s="28">
        <v>4</v>
      </c>
      <c r="AE13" s="19"/>
      <c r="AF13" s="19">
        <v>4</v>
      </c>
      <c r="AG13" s="18"/>
      <c r="AH13" s="18"/>
      <c r="AI13" s="31"/>
      <c r="AJ13" s="32">
        <f t="shared" si="24"/>
        <v>28</v>
      </c>
    </row>
    <row r="14" spans="1:36" s="3" customFormat="1" ht="36" customHeight="1">
      <c r="A14" s="14">
        <v>8</v>
      </c>
      <c r="B14" s="15" t="s">
        <v>140</v>
      </c>
      <c r="C14" s="16" t="s">
        <v>141</v>
      </c>
      <c r="D14" s="20" t="s">
        <v>19</v>
      </c>
      <c r="E14" s="18"/>
      <c r="F14" s="18"/>
      <c r="G14" s="19"/>
      <c r="H14" s="19">
        <v>1</v>
      </c>
      <c r="I14" s="19"/>
      <c r="J14" s="19"/>
      <c r="K14" s="19">
        <v>3</v>
      </c>
      <c r="L14" s="18"/>
      <c r="M14" s="18"/>
      <c r="N14" s="19"/>
      <c r="O14" s="28"/>
      <c r="P14" s="28">
        <v>2</v>
      </c>
      <c r="Q14" s="19">
        <v>3</v>
      </c>
      <c r="R14" s="19">
        <v>3</v>
      </c>
      <c r="S14" s="18"/>
      <c r="T14" s="18"/>
      <c r="U14" s="19"/>
      <c r="V14" s="28"/>
      <c r="W14" s="28">
        <v>2</v>
      </c>
      <c r="X14" s="19">
        <v>3</v>
      </c>
      <c r="Y14" s="19"/>
      <c r="Z14" s="18"/>
      <c r="AA14" s="18"/>
      <c r="AB14" s="19"/>
      <c r="AC14" s="28"/>
      <c r="AD14" s="28">
        <v>2</v>
      </c>
      <c r="AE14" s="19">
        <v>3</v>
      </c>
      <c r="AF14" s="19">
        <v>3</v>
      </c>
      <c r="AG14" s="18"/>
      <c r="AH14" s="18"/>
      <c r="AI14" s="31"/>
      <c r="AJ14" s="32">
        <f t="shared" si="24"/>
        <v>25</v>
      </c>
    </row>
    <row r="15" spans="1:36" s="3" customFormat="1" ht="36" customHeight="1">
      <c r="A15" s="14">
        <v>9</v>
      </c>
      <c r="B15" s="15" t="s">
        <v>130</v>
      </c>
      <c r="C15" s="16" t="s">
        <v>40</v>
      </c>
      <c r="D15" s="20" t="s">
        <v>87</v>
      </c>
      <c r="E15" s="18"/>
      <c r="F15" s="18"/>
      <c r="G15" s="19"/>
      <c r="H15" s="19">
        <v>2</v>
      </c>
      <c r="I15" s="19"/>
      <c r="J15" s="19"/>
      <c r="K15" s="19"/>
      <c r="L15" s="18"/>
      <c r="M15" s="18"/>
      <c r="N15" s="19"/>
      <c r="O15" s="28">
        <v>2</v>
      </c>
      <c r="P15" s="28"/>
      <c r="Q15" s="19"/>
      <c r="R15" s="19"/>
      <c r="S15" s="18"/>
      <c r="T15" s="18"/>
      <c r="U15" s="19"/>
      <c r="V15" s="28">
        <v>2</v>
      </c>
      <c r="W15" s="28"/>
      <c r="X15" s="19"/>
      <c r="Y15" s="19"/>
      <c r="Z15" s="18"/>
      <c r="AA15" s="18"/>
      <c r="AB15" s="19"/>
      <c r="AC15" s="28">
        <v>2</v>
      </c>
      <c r="AD15" s="28"/>
      <c r="AE15" s="19"/>
      <c r="AF15" s="19"/>
      <c r="AG15" s="18"/>
      <c r="AH15" s="18"/>
      <c r="AI15" s="31"/>
      <c r="AJ15" s="32">
        <f t="shared" si="24"/>
        <v>8</v>
      </c>
    </row>
    <row r="16" spans="1:36" s="3" customFormat="1" ht="36" customHeight="1">
      <c r="A16" s="14">
        <v>10</v>
      </c>
      <c r="B16" s="15" t="s">
        <v>142</v>
      </c>
      <c r="C16" s="16" t="s">
        <v>40</v>
      </c>
      <c r="D16" s="20" t="s">
        <v>87</v>
      </c>
      <c r="E16" s="18"/>
      <c r="F16" s="18"/>
      <c r="G16" s="19"/>
      <c r="H16" s="19"/>
      <c r="I16" s="19"/>
      <c r="J16" s="19">
        <v>4</v>
      </c>
      <c r="K16" s="19"/>
      <c r="L16" s="18"/>
      <c r="M16" s="18"/>
      <c r="N16" s="19"/>
      <c r="O16" s="28"/>
      <c r="P16" s="28"/>
      <c r="Q16" s="19">
        <v>4</v>
      </c>
      <c r="R16" s="19"/>
      <c r="S16" s="18"/>
      <c r="T16" s="18"/>
      <c r="U16" s="19"/>
      <c r="V16" s="28"/>
      <c r="W16" s="28"/>
      <c r="X16" s="19">
        <v>4</v>
      </c>
      <c r="Y16" s="19"/>
      <c r="Z16" s="18"/>
      <c r="AA16" s="18"/>
      <c r="AB16" s="19"/>
      <c r="AC16" s="28"/>
      <c r="AD16" s="28"/>
      <c r="AE16" s="19">
        <v>4</v>
      </c>
      <c r="AF16" s="19"/>
      <c r="AG16" s="18"/>
      <c r="AH16" s="18"/>
      <c r="AI16" s="31"/>
      <c r="AJ16" s="32">
        <f t="shared" si="24"/>
        <v>16</v>
      </c>
    </row>
    <row r="17" spans="1:36" s="3" customFormat="1" ht="36" customHeight="1">
      <c r="A17" s="14">
        <v>11</v>
      </c>
      <c r="B17" s="15" t="s">
        <v>143</v>
      </c>
      <c r="C17" s="16" t="s">
        <v>144</v>
      </c>
      <c r="D17" s="17" t="s">
        <v>145</v>
      </c>
      <c r="E17" s="18"/>
      <c r="F17" s="18"/>
      <c r="G17" s="19">
        <v>4</v>
      </c>
      <c r="H17" s="19">
        <v>3</v>
      </c>
      <c r="I17" s="19"/>
      <c r="J17" s="19"/>
      <c r="K17" s="19"/>
      <c r="L17" s="18"/>
      <c r="M17" s="18"/>
      <c r="N17" s="19">
        <v>4</v>
      </c>
      <c r="O17" s="28">
        <v>3</v>
      </c>
      <c r="P17" s="28"/>
      <c r="Q17" s="19"/>
      <c r="R17" s="19"/>
      <c r="S17" s="18"/>
      <c r="T17" s="18"/>
      <c r="U17" s="19">
        <v>4</v>
      </c>
      <c r="V17" s="28">
        <v>3</v>
      </c>
      <c r="W17" s="28"/>
      <c r="X17" s="19"/>
      <c r="Y17" s="19"/>
      <c r="Z17" s="18"/>
      <c r="AA17" s="18"/>
      <c r="AB17" s="19">
        <v>4</v>
      </c>
      <c r="AC17" s="28">
        <v>3</v>
      </c>
      <c r="AD17" s="28"/>
      <c r="AE17" s="19"/>
      <c r="AF17" s="19"/>
      <c r="AG17" s="18"/>
      <c r="AH17" s="18"/>
      <c r="AI17" s="31">
        <v>8</v>
      </c>
      <c r="AJ17" s="32">
        <f t="shared" si="24"/>
        <v>36</v>
      </c>
    </row>
    <row r="18" spans="1:36" s="3" customFormat="1" ht="36" customHeight="1">
      <c r="A18" s="14">
        <v>12</v>
      </c>
      <c r="B18" s="15" t="s">
        <v>146</v>
      </c>
      <c r="C18" s="16" t="s">
        <v>147</v>
      </c>
      <c r="D18" s="17" t="s">
        <v>148</v>
      </c>
      <c r="E18" s="18"/>
      <c r="F18" s="18"/>
      <c r="G18" s="19">
        <v>3</v>
      </c>
      <c r="H18" s="19"/>
      <c r="I18" s="19"/>
      <c r="J18" s="19"/>
      <c r="K18" s="19"/>
      <c r="L18" s="18"/>
      <c r="M18" s="18"/>
      <c r="N18" s="19">
        <v>3</v>
      </c>
      <c r="O18" s="28"/>
      <c r="P18" s="28"/>
      <c r="Q18" s="19"/>
      <c r="R18" s="19"/>
      <c r="S18" s="18"/>
      <c r="T18" s="18"/>
      <c r="U18" s="19">
        <v>3</v>
      </c>
      <c r="V18" s="28"/>
      <c r="W18" s="28"/>
      <c r="X18" s="19"/>
      <c r="Y18" s="19"/>
      <c r="Z18" s="18"/>
      <c r="AA18" s="18"/>
      <c r="AB18" s="19">
        <v>3</v>
      </c>
      <c r="AC18" s="28"/>
      <c r="AD18" s="28"/>
      <c r="AE18" s="19"/>
      <c r="AF18" s="19"/>
      <c r="AG18" s="18"/>
      <c r="AH18" s="18"/>
      <c r="AI18" s="31">
        <v>8</v>
      </c>
      <c r="AJ18" s="32">
        <f t="shared" si="24"/>
        <v>20</v>
      </c>
    </row>
    <row r="19" spans="1:36" s="3" customFormat="1" ht="36" customHeight="1">
      <c r="A19" s="14">
        <v>13</v>
      </c>
      <c r="B19" s="15" t="s">
        <v>149</v>
      </c>
      <c r="C19" s="16" t="s">
        <v>150</v>
      </c>
      <c r="D19" s="20" t="s">
        <v>151</v>
      </c>
      <c r="E19" s="18"/>
      <c r="F19" s="18"/>
      <c r="G19" s="19"/>
      <c r="H19" s="19"/>
      <c r="I19" s="19">
        <v>4</v>
      </c>
      <c r="J19" s="19"/>
      <c r="K19" s="19"/>
      <c r="L19" s="18"/>
      <c r="M19" s="18"/>
      <c r="N19" s="19"/>
      <c r="O19" s="28"/>
      <c r="P19" s="28">
        <v>4</v>
      </c>
      <c r="Q19" s="19"/>
      <c r="R19" s="19"/>
      <c r="S19" s="18"/>
      <c r="T19" s="18"/>
      <c r="U19" s="19"/>
      <c r="V19" s="28"/>
      <c r="W19" s="28">
        <v>4</v>
      </c>
      <c r="X19" s="19"/>
      <c r="Y19" s="19"/>
      <c r="Z19" s="18"/>
      <c r="AA19" s="18"/>
      <c r="AB19" s="19"/>
      <c r="AC19" s="28"/>
      <c r="AD19" s="28">
        <v>4</v>
      </c>
      <c r="AE19" s="19"/>
      <c r="AF19" s="19"/>
      <c r="AG19" s="18"/>
      <c r="AH19" s="18"/>
      <c r="AI19" s="31"/>
      <c r="AJ19" s="32">
        <f t="shared" si="24"/>
        <v>16</v>
      </c>
    </row>
    <row r="20" spans="1:36" s="3" customFormat="1" ht="36" customHeight="1">
      <c r="A20" s="14">
        <v>14</v>
      </c>
      <c r="B20" s="15" t="s">
        <v>152</v>
      </c>
      <c r="C20" s="16" t="s">
        <v>36</v>
      </c>
      <c r="D20" s="20" t="s">
        <v>60</v>
      </c>
      <c r="E20" s="18"/>
      <c r="F20" s="18"/>
      <c r="G20" s="19">
        <v>2</v>
      </c>
      <c r="H20" s="19">
        <v>2</v>
      </c>
      <c r="I20" s="19">
        <v>2</v>
      </c>
      <c r="J20" s="19">
        <v>2</v>
      </c>
      <c r="K20" s="19"/>
      <c r="L20" s="18"/>
      <c r="M20" s="18"/>
      <c r="N20" s="19">
        <v>2</v>
      </c>
      <c r="O20" s="28">
        <v>2</v>
      </c>
      <c r="P20" s="28">
        <v>2</v>
      </c>
      <c r="Q20" s="19">
        <v>2</v>
      </c>
      <c r="R20" s="19"/>
      <c r="S20" s="18"/>
      <c r="T20" s="18"/>
      <c r="U20" s="19">
        <v>2</v>
      </c>
      <c r="V20" s="28">
        <v>2</v>
      </c>
      <c r="W20" s="28">
        <v>2</v>
      </c>
      <c r="X20" s="19">
        <v>2</v>
      </c>
      <c r="Y20" s="19"/>
      <c r="Z20" s="18"/>
      <c r="AA20" s="18"/>
      <c r="AB20" s="19">
        <v>2</v>
      </c>
      <c r="AC20" s="28">
        <v>2</v>
      </c>
      <c r="AD20" s="28">
        <v>2</v>
      </c>
      <c r="AE20" s="19">
        <v>2</v>
      </c>
      <c r="AF20" s="19"/>
      <c r="AG20" s="18"/>
      <c r="AH20" s="18"/>
      <c r="AI20" s="31"/>
      <c r="AJ20" s="32">
        <f t="shared" si="24"/>
        <v>32</v>
      </c>
    </row>
    <row r="21" spans="1:36" s="3" customFormat="1" ht="36" customHeight="1">
      <c r="A21" s="14">
        <v>15</v>
      </c>
      <c r="B21" s="15" t="s">
        <v>153</v>
      </c>
      <c r="C21" s="16" t="s">
        <v>154</v>
      </c>
      <c r="D21" s="20" t="s">
        <v>60</v>
      </c>
      <c r="E21" s="18"/>
      <c r="F21" s="18"/>
      <c r="G21" s="19"/>
      <c r="H21" s="19">
        <v>2</v>
      </c>
      <c r="I21" s="19"/>
      <c r="J21" s="19"/>
      <c r="K21" s="19"/>
      <c r="L21" s="18"/>
      <c r="M21" s="18"/>
      <c r="N21" s="19"/>
      <c r="O21" s="28">
        <v>2</v>
      </c>
      <c r="P21" s="28"/>
      <c r="Q21" s="19"/>
      <c r="R21" s="19"/>
      <c r="S21" s="18"/>
      <c r="T21" s="18"/>
      <c r="U21" s="19"/>
      <c r="V21" s="28">
        <v>2</v>
      </c>
      <c r="W21" s="28"/>
      <c r="X21" s="19"/>
      <c r="Y21" s="19"/>
      <c r="Z21" s="18"/>
      <c r="AA21" s="18"/>
      <c r="AB21" s="19"/>
      <c r="AC21" s="28">
        <v>2</v>
      </c>
      <c r="AD21" s="28"/>
      <c r="AE21" s="19"/>
      <c r="AF21" s="19"/>
      <c r="AG21" s="18"/>
      <c r="AH21" s="18"/>
      <c r="AI21" s="31"/>
      <c r="AJ21" s="32">
        <f t="shared" si="24"/>
        <v>8</v>
      </c>
    </row>
    <row r="22" spans="1:36" s="3" customFormat="1" ht="36" customHeight="1">
      <c r="A22" s="14">
        <v>16</v>
      </c>
      <c r="B22" s="15" t="s">
        <v>155</v>
      </c>
      <c r="C22" s="16" t="s">
        <v>61</v>
      </c>
      <c r="D22" s="20" t="s">
        <v>60</v>
      </c>
      <c r="E22" s="18"/>
      <c r="F22" s="18"/>
      <c r="G22" s="19">
        <v>1</v>
      </c>
      <c r="H22" s="19"/>
      <c r="I22" s="19"/>
      <c r="J22" s="19"/>
      <c r="K22" s="19">
        <v>4</v>
      </c>
      <c r="L22" s="18"/>
      <c r="M22" s="18"/>
      <c r="N22" s="19">
        <v>1</v>
      </c>
      <c r="O22" s="28"/>
      <c r="P22" s="28"/>
      <c r="Q22" s="19"/>
      <c r="R22" s="19">
        <v>4</v>
      </c>
      <c r="S22" s="18"/>
      <c r="T22" s="18"/>
      <c r="U22" s="19">
        <v>1</v>
      </c>
      <c r="V22" s="28"/>
      <c r="W22" s="28"/>
      <c r="X22" s="19"/>
      <c r="Y22" s="19"/>
      <c r="Z22" s="18"/>
      <c r="AA22" s="18"/>
      <c r="AB22" s="19"/>
      <c r="AC22" s="28"/>
      <c r="AD22" s="28"/>
      <c r="AE22" s="19"/>
      <c r="AF22" s="19">
        <v>5</v>
      </c>
      <c r="AG22" s="18"/>
      <c r="AH22" s="18"/>
      <c r="AI22" s="31"/>
      <c r="AJ22" s="32">
        <f t="shared" si="24"/>
        <v>16</v>
      </c>
    </row>
    <row r="23" spans="1:36" s="3" customFormat="1" ht="36" customHeight="1">
      <c r="A23" s="14">
        <v>17</v>
      </c>
      <c r="B23" s="15" t="s">
        <v>156</v>
      </c>
      <c r="C23" s="16" t="s">
        <v>157</v>
      </c>
      <c r="D23" s="20" t="s">
        <v>158</v>
      </c>
      <c r="E23" s="18"/>
      <c r="F23" s="18"/>
      <c r="G23" s="19"/>
      <c r="H23" s="19">
        <v>2</v>
      </c>
      <c r="I23" s="19">
        <v>2</v>
      </c>
      <c r="J23" s="19"/>
      <c r="K23" s="19"/>
      <c r="L23" s="18"/>
      <c r="M23" s="18"/>
      <c r="N23" s="19"/>
      <c r="O23" s="28">
        <v>2</v>
      </c>
      <c r="P23" s="28">
        <v>2</v>
      </c>
      <c r="Q23" s="19"/>
      <c r="R23" s="19"/>
      <c r="S23" s="18"/>
      <c r="T23" s="18"/>
      <c r="U23" s="19"/>
      <c r="V23" s="28">
        <v>2</v>
      </c>
      <c r="W23" s="28">
        <v>2</v>
      </c>
      <c r="X23" s="19"/>
      <c r="Y23" s="19"/>
      <c r="Z23" s="18"/>
      <c r="AA23" s="18"/>
      <c r="AB23" s="19"/>
      <c r="AC23" s="28">
        <v>2</v>
      </c>
      <c r="AD23" s="28">
        <v>2</v>
      </c>
      <c r="AE23" s="19"/>
      <c r="AF23" s="19"/>
      <c r="AG23" s="18"/>
      <c r="AH23" s="18"/>
      <c r="AI23" s="31"/>
      <c r="AJ23" s="32">
        <f t="shared" si="24"/>
        <v>16</v>
      </c>
    </row>
    <row r="24" spans="1:36" s="3" customFormat="1" ht="36" customHeight="1">
      <c r="A24" s="14">
        <v>18</v>
      </c>
      <c r="B24" s="15" t="s">
        <v>159</v>
      </c>
      <c r="C24" s="16" t="s">
        <v>160</v>
      </c>
      <c r="D24" s="20" t="s">
        <v>158</v>
      </c>
      <c r="E24" s="18"/>
      <c r="F24" s="18"/>
      <c r="G24" s="19"/>
      <c r="H24" s="19">
        <v>2</v>
      </c>
      <c r="I24" s="19"/>
      <c r="J24" s="19">
        <v>4</v>
      </c>
      <c r="K24" s="19">
        <v>2</v>
      </c>
      <c r="L24" s="18"/>
      <c r="M24" s="18"/>
      <c r="N24" s="19"/>
      <c r="O24" s="28">
        <v>2</v>
      </c>
      <c r="P24" s="28"/>
      <c r="Q24" s="19">
        <v>4</v>
      </c>
      <c r="R24" s="19">
        <v>2</v>
      </c>
      <c r="S24" s="18"/>
      <c r="T24" s="18"/>
      <c r="U24" s="19"/>
      <c r="V24" s="28">
        <v>2</v>
      </c>
      <c r="W24" s="28"/>
      <c r="X24" s="19">
        <v>4</v>
      </c>
      <c r="Y24" s="19"/>
      <c r="Z24" s="18"/>
      <c r="AA24" s="18"/>
      <c r="AB24" s="19"/>
      <c r="AC24" s="28">
        <v>2</v>
      </c>
      <c r="AD24" s="28"/>
      <c r="AE24" s="19">
        <v>4</v>
      </c>
      <c r="AF24" s="19">
        <v>2</v>
      </c>
      <c r="AG24" s="18"/>
      <c r="AH24" s="18"/>
      <c r="AI24" s="31"/>
      <c r="AJ24" s="32">
        <f t="shared" si="24"/>
        <v>30</v>
      </c>
    </row>
    <row r="25" spans="1:36" s="3" customFormat="1" ht="36" customHeight="1">
      <c r="A25" s="14">
        <v>19</v>
      </c>
      <c r="B25" s="15" t="s">
        <v>161</v>
      </c>
      <c r="C25" s="16" t="s">
        <v>162</v>
      </c>
      <c r="D25" s="20" t="s">
        <v>80</v>
      </c>
      <c r="E25" s="18"/>
      <c r="F25" s="18"/>
      <c r="G25" s="19"/>
      <c r="H25" s="19">
        <v>2</v>
      </c>
      <c r="I25" s="19"/>
      <c r="J25" s="19"/>
      <c r="K25" s="19"/>
      <c r="L25" s="18"/>
      <c r="M25" s="18"/>
      <c r="N25" s="19"/>
      <c r="O25" s="28">
        <v>2</v>
      </c>
      <c r="P25" s="28"/>
      <c r="Q25" s="19"/>
      <c r="R25" s="19"/>
      <c r="S25" s="18"/>
      <c r="T25" s="18"/>
      <c r="U25" s="19"/>
      <c r="V25" s="28">
        <v>2</v>
      </c>
      <c r="W25" s="28"/>
      <c r="X25" s="19"/>
      <c r="Y25" s="19"/>
      <c r="Z25" s="18"/>
      <c r="AA25" s="18"/>
      <c r="AB25" s="19"/>
      <c r="AC25" s="28">
        <v>2</v>
      </c>
      <c r="AD25" s="28"/>
      <c r="AE25" s="19"/>
      <c r="AF25" s="19"/>
      <c r="AG25" s="18"/>
      <c r="AH25" s="18"/>
      <c r="AI25" s="31"/>
      <c r="AJ25" s="32">
        <f t="shared" si="24"/>
        <v>8</v>
      </c>
    </row>
    <row r="26" spans="1:36" s="3" customFormat="1" ht="36" customHeight="1">
      <c r="A26" s="14">
        <v>20</v>
      </c>
      <c r="B26" s="15" t="s">
        <v>163</v>
      </c>
      <c r="C26" s="16" t="s">
        <v>164</v>
      </c>
      <c r="D26" s="17" t="s">
        <v>165</v>
      </c>
      <c r="E26" s="18"/>
      <c r="F26" s="18"/>
      <c r="G26" s="19">
        <v>4</v>
      </c>
      <c r="H26" s="19"/>
      <c r="I26" s="19">
        <v>1</v>
      </c>
      <c r="J26" s="19"/>
      <c r="K26" s="19"/>
      <c r="L26" s="18"/>
      <c r="M26" s="18"/>
      <c r="N26" s="19">
        <v>4</v>
      </c>
      <c r="O26" s="28"/>
      <c r="P26" s="28">
        <v>1</v>
      </c>
      <c r="Q26" s="19"/>
      <c r="R26" s="19"/>
      <c r="S26" s="18"/>
      <c r="T26" s="18"/>
      <c r="U26" s="19">
        <v>4</v>
      </c>
      <c r="V26" s="28"/>
      <c r="W26" s="28">
        <v>1</v>
      </c>
      <c r="X26" s="19"/>
      <c r="Y26" s="19"/>
      <c r="Z26" s="18"/>
      <c r="AA26" s="18"/>
      <c r="AB26" s="19">
        <v>4</v>
      </c>
      <c r="AC26" s="28"/>
      <c r="AD26" s="28">
        <v>1</v>
      </c>
      <c r="AE26" s="19"/>
      <c r="AF26" s="19"/>
      <c r="AG26" s="18"/>
      <c r="AH26" s="18"/>
      <c r="AI26" s="31">
        <v>8</v>
      </c>
      <c r="AJ26" s="32">
        <f t="shared" si="24"/>
        <v>28</v>
      </c>
    </row>
    <row r="27" spans="1:36" s="3" customFormat="1" ht="36" customHeight="1">
      <c r="A27" s="14">
        <v>21</v>
      </c>
      <c r="B27" s="15" t="s">
        <v>166</v>
      </c>
      <c r="C27" s="16" t="s">
        <v>167</v>
      </c>
      <c r="D27" s="20" t="s">
        <v>168</v>
      </c>
      <c r="E27" s="18"/>
      <c r="F27" s="18"/>
      <c r="G27" s="19"/>
      <c r="H27" s="19"/>
      <c r="I27" s="19">
        <v>4</v>
      </c>
      <c r="J27" s="19">
        <v>2</v>
      </c>
      <c r="K27" s="19"/>
      <c r="L27" s="18"/>
      <c r="M27" s="18"/>
      <c r="N27" s="19"/>
      <c r="O27" s="28"/>
      <c r="P27" s="28">
        <v>4</v>
      </c>
      <c r="Q27" s="19">
        <v>2</v>
      </c>
      <c r="R27" s="19"/>
      <c r="S27" s="18"/>
      <c r="T27" s="18"/>
      <c r="U27" s="19"/>
      <c r="V27" s="28"/>
      <c r="W27" s="28">
        <v>4</v>
      </c>
      <c r="X27" s="19">
        <v>2</v>
      </c>
      <c r="Y27" s="19"/>
      <c r="Z27" s="18"/>
      <c r="AA27" s="18"/>
      <c r="AB27" s="19"/>
      <c r="AC27" s="28"/>
      <c r="AD27" s="28">
        <v>4</v>
      </c>
      <c r="AE27" s="19">
        <v>2</v>
      </c>
      <c r="AF27" s="19"/>
      <c r="AG27" s="18"/>
      <c r="AH27" s="18"/>
      <c r="AI27" s="31"/>
      <c r="AJ27" s="32">
        <f t="shared" si="24"/>
        <v>24</v>
      </c>
    </row>
    <row r="28" spans="1:36" s="3" customFormat="1" ht="36" customHeight="1">
      <c r="A28" s="14">
        <v>22</v>
      </c>
      <c r="B28" s="21" t="s">
        <v>169</v>
      </c>
      <c r="C28" s="22" t="s">
        <v>170</v>
      </c>
      <c r="D28" s="20" t="s">
        <v>171</v>
      </c>
      <c r="E28" s="18"/>
      <c r="F28" s="18"/>
      <c r="G28" s="19"/>
      <c r="H28" s="19"/>
      <c r="I28" s="19">
        <v>2</v>
      </c>
      <c r="J28" s="19">
        <v>4</v>
      </c>
      <c r="K28" s="19"/>
      <c r="L28" s="18"/>
      <c r="M28" s="18"/>
      <c r="N28" s="19"/>
      <c r="O28" s="28"/>
      <c r="P28" s="28">
        <v>2</v>
      </c>
      <c r="Q28" s="19">
        <v>4</v>
      </c>
      <c r="R28" s="19"/>
      <c r="S28" s="18"/>
      <c r="T28" s="18"/>
      <c r="U28" s="19"/>
      <c r="V28" s="28"/>
      <c r="W28" s="28">
        <v>2</v>
      </c>
      <c r="X28" s="19">
        <v>4</v>
      </c>
      <c r="Y28" s="19"/>
      <c r="Z28" s="18"/>
      <c r="AA28" s="18"/>
      <c r="AB28" s="19"/>
      <c r="AC28" s="28"/>
      <c r="AD28" s="28">
        <v>2</v>
      </c>
      <c r="AE28" s="19">
        <v>4</v>
      </c>
      <c r="AF28" s="19"/>
      <c r="AG28" s="18"/>
      <c r="AH28" s="18"/>
      <c r="AI28" s="31"/>
      <c r="AJ28" s="32">
        <f t="shared" si="24"/>
        <v>24</v>
      </c>
    </row>
    <row r="29" spans="1:36" s="3" customFormat="1" ht="36" customHeight="1">
      <c r="A29" s="14"/>
      <c r="B29" s="21"/>
      <c r="C29" s="22"/>
      <c r="D29" s="23"/>
      <c r="E29" s="18"/>
      <c r="F29" s="18"/>
      <c r="G29" s="19"/>
      <c r="H29" s="19"/>
      <c r="I29" s="28"/>
      <c r="J29" s="19"/>
      <c r="K29" s="19"/>
      <c r="L29" s="18"/>
      <c r="M29" s="18"/>
      <c r="N29" s="19"/>
      <c r="O29" s="28"/>
      <c r="P29" s="28"/>
      <c r="Q29" s="19"/>
      <c r="R29" s="19"/>
      <c r="S29" s="18"/>
      <c r="T29" s="18"/>
      <c r="U29" s="19"/>
      <c r="V29" s="28"/>
      <c r="W29" s="28"/>
      <c r="X29" s="19"/>
      <c r="Y29" s="19"/>
      <c r="Z29" s="18"/>
      <c r="AA29" s="18"/>
      <c r="AB29" s="19"/>
      <c r="AC29" s="28"/>
      <c r="AD29" s="28"/>
      <c r="AE29" s="19"/>
      <c r="AF29" s="19"/>
      <c r="AG29" s="18"/>
      <c r="AH29" s="18"/>
      <c r="AI29" s="31"/>
      <c r="AJ29" s="32">
        <f>SUM(G29:AI29)</f>
        <v>0</v>
      </c>
    </row>
    <row r="30" spans="1:36" ht="36" customHeight="1">
      <c r="A30" s="12"/>
      <c r="B30" s="24"/>
      <c r="C30" s="12" t="s">
        <v>103</v>
      </c>
      <c r="D30" s="12"/>
      <c r="E30" s="25">
        <f>SUM(E7:E29)</f>
        <v>0</v>
      </c>
      <c r="F30" s="25">
        <f>SUM(F7:F29)</f>
        <v>0</v>
      </c>
      <c r="G30" s="26">
        <f t="shared" ref="G30:K30" si="25">SUM(G7:G29)</f>
        <v>24</v>
      </c>
      <c r="H30" s="26">
        <f t="shared" si="25"/>
        <v>23</v>
      </c>
      <c r="I30" s="26">
        <f t="shared" si="25"/>
        <v>25</v>
      </c>
      <c r="J30" s="26">
        <f t="shared" si="25"/>
        <v>23</v>
      </c>
      <c r="K30" s="26">
        <f t="shared" si="25"/>
        <v>22</v>
      </c>
      <c r="L30" s="25">
        <f t="shared" ref="L30:AI30" si="26">SUM(L7:L29)</f>
        <v>0</v>
      </c>
      <c r="M30" s="25">
        <f t="shared" si="26"/>
        <v>0</v>
      </c>
      <c r="N30" s="26">
        <f t="shared" si="26"/>
        <v>24</v>
      </c>
      <c r="O30" s="26">
        <f t="shared" si="26"/>
        <v>22</v>
      </c>
      <c r="P30" s="26">
        <f t="shared" si="26"/>
        <v>25</v>
      </c>
      <c r="Q30" s="26">
        <f t="shared" si="26"/>
        <v>26</v>
      </c>
      <c r="R30" s="26">
        <f t="shared" si="26"/>
        <v>20</v>
      </c>
      <c r="S30" s="25">
        <f t="shared" si="26"/>
        <v>0</v>
      </c>
      <c r="T30" s="25">
        <f t="shared" si="26"/>
        <v>0</v>
      </c>
      <c r="U30" s="26">
        <f t="shared" si="26"/>
        <v>24</v>
      </c>
      <c r="V30" s="26">
        <f t="shared" si="26"/>
        <v>22</v>
      </c>
      <c r="W30" s="26">
        <f t="shared" si="26"/>
        <v>25</v>
      </c>
      <c r="X30" s="26">
        <f t="shared" si="26"/>
        <v>26</v>
      </c>
      <c r="Y30" s="26">
        <f t="shared" si="26"/>
        <v>0</v>
      </c>
      <c r="Z30" s="25">
        <f t="shared" si="26"/>
        <v>0</v>
      </c>
      <c r="AA30" s="25">
        <f t="shared" si="26"/>
        <v>0</v>
      </c>
      <c r="AB30" s="26">
        <f t="shared" si="26"/>
        <v>23</v>
      </c>
      <c r="AC30" s="26">
        <f t="shared" si="26"/>
        <v>22</v>
      </c>
      <c r="AD30" s="26">
        <f t="shared" si="26"/>
        <v>25</v>
      </c>
      <c r="AE30" s="26">
        <f t="shared" si="26"/>
        <v>26</v>
      </c>
      <c r="AF30" s="26">
        <f t="shared" si="26"/>
        <v>21</v>
      </c>
      <c r="AG30" s="25">
        <f t="shared" si="26"/>
        <v>0</v>
      </c>
      <c r="AH30" s="25">
        <f t="shared" si="26"/>
        <v>0</v>
      </c>
      <c r="AI30" s="33">
        <f t="shared" si="26"/>
        <v>48</v>
      </c>
      <c r="AJ30" s="32">
        <f>SUM(G30:AI30)</f>
        <v>496</v>
      </c>
    </row>
    <row r="31" spans="1:36" ht="27" customHeight="1">
      <c r="B31" s="27"/>
      <c r="C31" s="2"/>
      <c r="D31" s="8"/>
      <c r="E31" s="8"/>
      <c r="F31" s="8"/>
      <c r="L31" s="8"/>
      <c r="M31" s="8"/>
      <c r="S31" s="8"/>
      <c r="T31" s="8"/>
      <c r="Z31" s="8"/>
      <c r="AA31" s="8"/>
      <c r="AG31" s="8"/>
      <c r="AH31" s="8"/>
      <c r="AI31" s="29"/>
      <c r="AJ31" s="8"/>
    </row>
    <row r="32" spans="1:36" ht="27" customHeight="1">
      <c r="B32" s="27"/>
      <c r="C32" s="2"/>
      <c r="D32" s="8"/>
      <c r="E32" s="8"/>
      <c r="F32" s="8"/>
      <c r="L32" s="8"/>
      <c r="M32" s="8"/>
      <c r="S32" s="8"/>
      <c r="T32" s="8"/>
      <c r="Z32" s="8"/>
      <c r="AA32" s="8"/>
      <c r="AG32" s="8"/>
      <c r="AH32" s="8"/>
      <c r="AI32" s="29"/>
      <c r="AJ32" s="8"/>
    </row>
    <row r="33" spans="2:36" ht="27" customHeight="1">
      <c r="B33" s="27"/>
      <c r="C33" s="2"/>
      <c r="D33" s="8"/>
      <c r="E33" s="8"/>
      <c r="F33" s="8"/>
      <c r="L33" s="8"/>
      <c r="M33" s="8"/>
      <c r="S33" s="8"/>
      <c r="T33" s="8"/>
      <c r="Z33" s="8"/>
      <c r="AA33" s="8"/>
      <c r="AG33" s="8"/>
      <c r="AH33" s="8"/>
      <c r="AI33" s="29"/>
      <c r="AJ33" s="8"/>
    </row>
    <row r="34" spans="2:36" ht="27" customHeight="1">
      <c r="B34" s="27"/>
      <c r="C34" s="2"/>
      <c r="D34" s="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Z34" s="8"/>
      <c r="AA34" s="8"/>
      <c r="AG34" s="8"/>
      <c r="AH34" s="8"/>
      <c r="AI34" s="29"/>
      <c r="AJ34" s="8"/>
    </row>
    <row r="35" spans="2:36" ht="27" customHeight="1">
      <c r="B35" s="27"/>
      <c r="C35" s="2"/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Z35" s="8"/>
      <c r="AA35" s="8"/>
      <c r="AG35" s="8"/>
      <c r="AH35" s="8"/>
      <c r="AI35" s="29"/>
      <c r="AJ35" s="8"/>
    </row>
    <row r="36" spans="2:36" ht="27" customHeight="1">
      <c r="B36" s="27"/>
      <c r="C36" s="2"/>
      <c r="D36" s="8"/>
      <c r="E36" s="8"/>
      <c r="F36" s="8"/>
      <c r="L36" s="8"/>
      <c r="M36" s="8"/>
      <c r="S36" s="8"/>
      <c r="T36" s="8"/>
      <c r="Z36" s="8"/>
      <c r="AA36" s="8"/>
      <c r="AG36" s="8"/>
      <c r="AH36" s="8"/>
      <c r="AI36" s="29"/>
      <c r="AJ36" s="8"/>
    </row>
    <row r="37" spans="2:36" ht="27" customHeight="1">
      <c r="B37" s="27"/>
      <c r="C37" s="2"/>
      <c r="D37" s="8"/>
      <c r="E37" s="8"/>
      <c r="F37" s="8"/>
      <c r="L37" s="8"/>
      <c r="M37" s="8"/>
      <c r="S37" s="8"/>
      <c r="T37" s="8"/>
      <c r="Z37" s="8"/>
      <c r="AA37" s="8"/>
      <c r="AG37" s="8"/>
      <c r="AH37" s="8"/>
      <c r="AI37" s="29"/>
      <c r="AJ37" s="8"/>
    </row>
    <row r="38" spans="2:36" ht="27" customHeight="1">
      <c r="B38" s="27"/>
      <c r="C38" s="2"/>
      <c r="D38" s="8"/>
      <c r="E38" s="8"/>
      <c r="F38" s="8"/>
      <c r="L38" s="8"/>
      <c r="M38" s="8"/>
      <c r="S38" s="8"/>
      <c r="T38" s="8"/>
      <c r="Z38" s="8"/>
      <c r="AA38" s="8"/>
      <c r="AG38" s="8"/>
      <c r="AH38" s="8"/>
      <c r="AI38" s="29"/>
      <c r="AJ38" s="8"/>
    </row>
    <row r="39" spans="2:36" ht="27" customHeight="1">
      <c r="B39" s="27"/>
      <c r="C39" s="2"/>
      <c r="D39" s="8"/>
      <c r="E39" s="8"/>
      <c r="F39" s="8"/>
      <c r="L39" s="8"/>
      <c r="M39" s="8"/>
      <c r="S39" s="8"/>
      <c r="T39" s="8"/>
      <c r="Z39" s="8"/>
      <c r="AA39" s="8"/>
      <c r="AG39" s="8"/>
      <c r="AH39" s="8"/>
      <c r="AI39" s="29"/>
      <c r="AJ39" s="8"/>
    </row>
    <row r="40" spans="2:36" ht="27" customHeight="1">
      <c r="B40" s="27"/>
      <c r="C40" s="2"/>
      <c r="D40" s="8"/>
      <c r="E40" s="8"/>
      <c r="F40" s="8"/>
      <c r="L40" s="8"/>
      <c r="M40" s="8"/>
      <c r="S40" s="8"/>
      <c r="T40" s="8"/>
      <c r="Z40" s="8"/>
      <c r="AA40" s="8"/>
      <c r="AG40" s="8"/>
      <c r="AH40" s="8"/>
      <c r="AI40" s="29"/>
      <c r="AJ40" s="8"/>
    </row>
    <row r="41" spans="2:36" ht="27" customHeight="1">
      <c r="B41" s="27"/>
      <c r="C41" s="2"/>
      <c r="D41" s="8"/>
      <c r="E41" s="8"/>
      <c r="F41" s="8"/>
      <c r="L41" s="8"/>
      <c r="M41" s="8"/>
      <c r="S41" s="8"/>
      <c r="T41" s="8"/>
      <c r="Z41" s="8"/>
      <c r="AA41" s="8"/>
      <c r="AG41" s="8"/>
      <c r="AH41" s="8"/>
      <c r="AI41" s="29"/>
      <c r="AJ41" s="8"/>
    </row>
    <row r="42" spans="2:36" ht="27" customHeight="1">
      <c r="B42" s="27"/>
      <c r="C42" s="2"/>
      <c r="D42" s="8"/>
      <c r="E42" s="8"/>
      <c r="F42" s="8"/>
      <c r="L42" s="8"/>
      <c r="M42" s="8"/>
      <c r="S42" s="8"/>
      <c r="T42" s="8"/>
      <c r="Z42" s="8"/>
      <c r="AA42" s="8"/>
      <c r="AG42" s="8"/>
      <c r="AH42" s="8"/>
      <c r="AI42" s="29"/>
      <c r="AJ42" s="8"/>
    </row>
    <row r="43" spans="2:36" ht="27" customHeight="1">
      <c r="B43" s="27"/>
      <c r="C43" s="2"/>
      <c r="D43" s="8"/>
      <c r="E43" s="8"/>
      <c r="F43" s="8"/>
      <c r="L43" s="8"/>
      <c r="M43" s="8"/>
      <c r="S43" s="8"/>
      <c r="T43" s="8"/>
      <c r="Z43" s="8"/>
      <c r="AA43" s="8"/>
      <c r="AG43" s="8"/>
      <c r="AH43" s="8"/>
      <c r="AI43" s="29"/>
      <c r="AJ43" s="8"/>
    </row>
    <row r="44" spans="2:36" ht="27" customHeight="1">
      <c r="B44" s="27"/>
      <c r="C44" s="2"/>
      <c r="D44" s="8"/>
      <c r="E44" s="8"/>
      <c r="F44" s="8"/>
      <c r="L44" s="8"/>
      <c r="M44" s="8"/>
      <c r="S44" s="8"/>
      <c r="T44" s="8"/>
      <c r="Z44" s="8"/>
      <c r="AA44" s="8"/>
      <c r="AG44" s="8"/>
      <c r="AH44" s="8"/>
      <c r="AI44" s="29"/>
      <c r="AJ44" s="8"/>
    </row>
    <row r="45" spans="2:36" ht="27" customHeight="1">
      <c r="B45" s="27"/>
      <c r="C45" s="2"/>
      <c r="D45" s="8"/>
      <c r="E45" s="8"/>
      <c r="F45" s="8"/>
      <c r="L45" s="8"/>
      <c r="M45" s="8"/>
      <c r="S45" s="8"/>
      <c r="T45" s="8"/>
      <c r="Z45" s="8"/>
      <c r="AA45" s="8"/>
      <c r="AG45" s="8"/>
      <c r="AH45" s="8"/>
      <c r="AI45" s="29"/>
      <c r="AJ45" s="8"/>
    </row>
    <row r="46" spans="2:36" ht="27" customHeight="1">
      <c r="B46" s="27"/>
      <c r="C46" s="2"/>
      <c r="D46" s="8"/>
      <c r="E46" s="8"/>
      <c r="F46" s="8"/>
      <c r="L46" s="8"/>
      <c r="M46" s="8"/>
      <c r="S46" s="8"/>
      <c r="T46" s="8"/>
      <c r="Z46" s="8"/>
      <c r="AA46" s="8"/>
      <c r="AG46" s="8"/>
      <c r="AH46" s="8"/>
      <c r="AI46" s="29"/>
      <c r="AJ46" s="8"/>
    </row>
    <row r="47" spans="2:36" ht="27" customHeight="1">
      <c r="B47" s="27"/>
      <c r="C47" s="2"/>
      <c r="D47" s="8"/>
      <c r="E47" s="8"/>
      <c r="F47" s="8"/>
      <c r="L47" s="8"/>
      <c r="M47" s="8"/>
      <c r="S47" s="8"/>
      <c r="T47" s="8"/>
      <c r="Z47" s="8"/>
      <c r="AA47" s="8"/>
      <c r="AG47" s="8"/>
      <c r="AH47" s="8"/>
      <c r="AI47" s="29"/>
      <c r="AJ47" s="8"/>
    </row>
    <row r="48" spans="2:36" ht="27" customHeight="1">
      <c r="B48" s="27"/>
      <c r="C48" s="2"/>
      <c r="D48" s="8"/>
      <c r="E48" s="8"/>
      <c r="F48" s="8"/>
      <c r="L48" s="8"/>
      <c r="M48" s="8"/>
      <c r="S48" s="8"/>
      <c r="T48" s="8"/>
      <c r="Z48" s="8"/>
      <c r="AA48" s="8"/>
      <c r="AG48" s="8"/>
      <c r="AH48" s="8"/>
      <c r="AI48" s="29"/>
      <c r="AJ48" s="8"/>
    </row>
    <row r="49" spans="2:36" ht="27" customHeight="1">
      <c r="B49" s="27"/>
      <c r="C49" s="2"/>
      <c r="D49" s="8"/>
      <c r="E49" s="8"/>
      <c r="F49" s="8"/>
      <c r="L49" s="8"/>
      <c r="M49" s="8"/>
      <c r="S49" s="8"/>
      <c r="T49" s="8"/>
      <c r="Z49" s="8"/>
      <c r="AA49" s="8"/>
      <c r="AG49" s="8"/>
      <c r="AH49" s="8"/>
      <c r="AI49" s="29"/>
      <c r="AJ49" s="8"/>
    </row>
    <row r="50" spans="2:36" ht="27" customHeight="1">
      <c r="B50" s="27"/>
      <c r="C50" s="2"/>
      <c r="D50" s="8"/>
      <c r="E50" s="8"/>
      <c r="F50" s="8"/>
      <c r="L50" s="8"/>
      <c r="M50" s="8"/>
      <c r="S50" s="8"/>
      <c r="T50" s="8"/>
      <c r="Z50" s="8"/>
      <c r="AA50" s="8"/>
      <c r="AG50" s="8"/>
      <c r="AH50" s="8"/>
      <c r="AI50" s="29"/>
      <c r="AJ50" s="8"/>
    </row>
    <row r="51" spans="2:36" ht="27" customHeight="1">
      <c r="B51" s="27"/>
      <c r="C51" s="2"/>
      <c r="D51" s="8"/>
      <c r="E51" s="8"/>
      <c r="F51" s="8"/>
      <c r="L51" s="8"/>
      <c r="M51" s="8"/>
      <c r="S51" s="8"/>
      <c r="T51" s="8"/>
      <c r="Z51" s="8"/>
      <c r="AA51" s="8"/>
      <c r="AG51" s="8"/>
      <c r="AH51" s="8"/>
      <c r="AI51" s="29"/>
      <c r="AJ51" s="8"/>
    </row>
    <row r="52" spans="2:36" ht="27" customHeight="1">
      <c r="B52" s="27"/>
      <c r="C52" s="2"/>
      <c r="D52" s="8"/>
      <c r="E52" s="8"/>
      <c r="F52" s="8"/>
      <c r="L52" s="8"/>
      <c r="M52" s="8"/>
      <c r="S52" s="8"/>
      <c r="T52" s="8"/>
      <c r="Z52" s="8"/>
      <c r="AA52" s="8"/>
      <c r="AG52" s="8"/>
      <c r="AH52" s="8"/>
      <c r="AI52" s="29"/>
      <c r="AJ52" s="8"/>
    </row>
    <row r="53" spans="2:36" ht="27" customHeight="1">
      <c r="B53" s="27"/>
      <c r="C53" s="2"/>
      <c r="D53" s="8"/>
      <c r="E53" s="8"/>
      <c r="F53" s="8"/>
      <c r="L53" s="8"/>
      <c r="M53" s="8"/>
      <c r="S53" s="8"/>
      <c r="T53" s="8"/>
      <c r="Z53" s="8"/>
      <c r="AA53" s="8"/>
      <c r="AG53" s="8"/>
      <c r="AH53" s="8"/>
      <c r="AI53" s="29"/>
      <c r="AJ53" s="8"/>
    </row>
    <row r="54" spans="2:36" ht="27" customHeight="1">
      <c r="B54" s="27"/>
      <c r="C54" s="2"/>
      <c r="D54" s="8"/>
      <c r="E54" s="8"/>
      <c r="F54" s="8"/>
      <c r="L54" s="8"/>
      <c r="M54" s="8"/>
      <c r="S54" s="8"/>
      <c r="T54" s="8"/>
      <c r="Z54" s="8"/>
      <c r="AA54" s="8"/>
      <c r="AG54" s="8"/>
      <c r="AH54" s="8"/>
      <c r="AI54" s="29"/>
      <c r="AJ54" s="8"/>
    </row>
    <row r="55" spans="2:36" ht="27" customHeight="1">
      <c r="B55" s="27"/>
      <c r="C55" s="2"/>
      <c r="D55" s="8"/>
      <c r="E55" s="8"/>
      <c r="F55" s="8"/>
      <c r="L55" s="8"/>
      <c r="M55" s="8"/>
      <c r="S55" s="8"/>
      <c r="T55" s="8"/>
      <c r="Z55" s="8"/>
      <c r="AA55" s="8"/>
      <c r="AG55" s="8"/>
      <c r="AH55" s="8"/>
      <c r="AI55" s="29"/>
      <c r="AJ55" s="8"/>
    </row>
    <row r="56" spans="2:36" ht="27" customHeight="1">
      <c r="B56" s="27"/>
      <c r="C56" s="2"/>
      <c r="D56" s="8"/>
      <c r="E56" s="8"/>
      <c r="F56" s="8"/>
      <c r="L56" s="8"/>
      <c r="M56" s="8"/>
      <c r="S56" s="8"/>
      <c r="T56" s="8"/>
      <c r="Z56" s="8"/>
      <c r="AA56" s="8"/>
      <c r="AG56" s="8"/>
      <c r="AH56" s="8"/>
      <c r="AI56" s="29"/>
      <c r="AJ56" s="8"/>
    </row>
    <row r="57" spans="2:36" ht="27" customHeight="1">
      <c r="B57" s="27"/>
      <c r="C57" s="2"/>
      <c r="D57" s="8"/>
      <c r="E57" s="8"/>
      <c r="F57" s="8"/>
      <c r="L57" s="8"/>
      <c r="M57" s="8"/>
      <c r="S57" s="8"/>
      <c r="T57" s="8"/>
      <c r="Z57" s="8"/>
      <c r="AA57" s="8"/>
      <c r="AG57" s="8"/>
      <c r="AH57" s="8"/>
      <c r="AI57" s="29"/>
      <c r="AJ57" s="8"/>
    </row>
    <row r="58" spans="2:36" ht="27" customHeight="1">
      <c r="B58" s="27"/>
      <c r="C58" s="2"/>
      <c r="D58" s="8"/>
      <c r="E58" s="8"/>
      <c r="F58" s="8"/>
      <c r="L58" s="8"/>
      <c r="M58" s="8"/>
      <c r="S58" s="8"/>
      <c r="T58" s="8"/>
      <c r="Z58" s="8"/>
      <c r="AA58" s="8"/>
      <c r="AG58" s="8"/>
      <c r="AH58" s="8"/>
      <c r="AI58" s="29"/>
      <c r="AJ58" s="8"/>
    </row>
    <row r="59" spans="2:36" ht="27" customHeight="1">
      <c r="B59" s="27"/>
      <c r="C59" s="2"/>
      <c r="D59" s="8"/>
      <c r="E59" s="8"/>
      <c r="F59" s="8"/>
      <c r="L59" s="8"/>
      <c r="M59" s="8"/>
      <c r="S59" s="8"/>
      <c r="T59" s="8"/>
      <c r="Z59" s="8"/>
      <c r="AA59" s="8"/>
      <c r="AG59" s="8"/>
      <c r="AH59" s="8"/>
      <c r="AI59" s="29"/>
      <c r="AJ59" s="8"/>
    </row>
    <row r="60" spans="2:36" ht="27" customHeight="1">
      <c r="B60" s="27"/>
      <c r="C60" s="2"/>
      <c r="D60" s="8"/>
      <c r="E60" s="8"/>
      <c r="F60" s="8"/>
      <c r="L60" s="8"/>
      <c r="M60" s="8"/>
      <c r="S60" s="8"/>
      <c r="T60" s="8"/>
      <c r="Z60" s="8"/>
      <c r="AA60" s="8"/>
      <c r="AG60" s="8"/>
      <c r="AH60" s="8"/>
      <c r="AI60" s="29"/>
      <c r="AJ60" s="8"/>
    </row>
    <row r="61" spans="2:36" ht="27" customHeight="1">
      <c r="B61" s="27"/>
      <c r="C61" s="2"/>
      <c r="D61" s="8"/>
      <c r="E61" s="8"/>
      <c r="F61" s="8"/>
      <c r="L61" s="8"/>
      <c r="M61" s="8"/>
      <c r="S61" s="8"/>
      <c r="T61" s="8"/>
      <c r="Z61" s="8"/>
      <c r="AA61" s="8"/>
      <c r="AG61" s="8"/>
      <c r="AH61" s="8"/>
      <c r="AI61" s="29"/>
      <c r="AJ61" s="8"/>
    </row>
    <row r="62" spans="2:36" ht="27" customHeight="1">
      <c r="B62" s="27"/>
      <c r="C62" s="2"/>
      <c r="D62" s="8"/>
      <c r="E62" s="8"/>
      <c r="F62" s="8"/>
      <c r="L62" s="8"/>
      <c r="M62" s="8"/>
      <c r="S62" s="8"/>
      <c r="T62" s="8"/>
      <c r="Z62" s="8"/>
      <c r="AA62" s="8"/>
      <c r="AG62" s="8"/>
      <c r="AH62" s="8"/>
      <c r="AI62" s="29"/>
      <c r="AJ62" s="8"/>
    </row>
    <row r="63" spans="2:36" ht="27" customHeight="1">
      <c r="B63" s="27"/>
      <c r="C63" s="2"/>
      <c r="D63" s="8"/>
      <c r="E63" s="8"/>
      <c r="F63" s="8"/>
      <c r="L63" s="8"/>
      <c r="M63" s="8"/>
      <c r="S63" s="8"/>
      <c r="T63" s="8"/>
      <c r="Z63" s="8"/>
      <c r="AA63" s="8"/>
      <c r="AG63" s="8"/>
      <c r="AH63" s="8"/>
      <c r="AI63" s="29"/>
      <c r="AJ63" s="8"/>
    </row>
    <row r="64" spans="2:36" ht="27" customHeight="1">
      <c r="B64" s="27"/>
      <c r="C64" s="2"/>
      <c r="D64" s="8"/>
      <c r="E64" s="8"/>
      <c r="F64" s="8"/>
      <c r="L64" s="8"/>
      <c r="M64" s="8"/>
      <c r="S64" s="8"/>
      <c r="T64" s="8"/>
      <c r="Z64" s="8"/>
      <c r="AA64" s="8"/>
      <c r="AG64" s="8"/>
      <c r="AH64" s="8"/>
      <c r="AI64" s="29"/>
      <c r="AJ64" s="8"/>
    </row>
    <row r="65" spans="2:36" ht="27" customHeight="1">
      <c r="B65" s="27"/>
      <c r="C65" s="2"/>
      <c r="D65" s="8"/>
      <c r="E65" s="8"/>
      <c r="F65" s="8"/>
      <c r="L65" s="8"/>
      <c r="M65" s="8"/>
      <c r="S65" s="8"/>
      <c r="T65" s="8"/>
      <c r="Z65" s="8"/>
      <c r="AA65" s="8"/>
      <c r="AG65" s="8"/>
      <c r="AH65" s="8"/>
      <c r="AI65" s="29"/>
      <c r="AJ65" s="8"/>
    </row>
    <row r="66" spans="2:36" ht="27" customHeight="1">
      <c r="B66" s="27"/>
      <c r="C66" s="2"/>
      <c r="D66" s="8"/>
      <c r="E66" s="8"/>
      <c r="F66" s="8"/>
      <c r="L66" s="8"/>
      <c r="M66" s="8"/>
      <c r="S66" s="8"/>
      <c r="T66" s="8"/>
      <c r="Z66" s="8"/>
      <c r="AA66" s="8"/>
      <c r="AG66" s="8"/>
      <c r="AH66" s="8"/>
      <c r="AI66" s="29"/>
      <c r="AJ66" s="8"/>
    </row>
    <row r="67" spans="2:36" ht="27" customHeight="1">
      <c r="B67" s="27"/>
      <c r="C67" s="2"/>
      <c r="D67" s="8"/>
      <c r="E67" s="8"/>
      <c r="F67" s="8"/>
      <c r="L67" s="8"/>
      <c r="M67" s="8"/>
      <c r="S67" s="8"/>
      <c r="T67" s="8"/>
      <c r="Z67" s="8"/>
      <c r="AA67" s="8"/>
      <c r="AG67" s="8"/>
      <c r="AH67" s="8"/>
      <c r="AI67" s="29"/>
      <c r="AJ67" s="8"/>
    </row>
    <row r="68" spans="2:36" ht="27" customHeight="1">
      <c r="B68" s="27"/>
      <c r="C68" s="2"/>
      <c r="D68" s="8"/>
      <c r="E68" s="8"/>
      <c r="F68" s="8"/>
      <c r="L68" s="8"/>
      <c r="M68" s="8"/>
      <c r="S68" s="8"/>
      <c r="T68" s="8"/>
      <c r="Z68" s="8"/>
      <c r="AA68" s="8"/>
      <c r="AG68" s="8"/>
      <c r="AH68" s="8"/>
      <c r="AI68" s="29"/>
      <c r="AJ68" s="8"/>
    </row>
    <row r="69" spans="2:36" ht="27" customHeight="1">
      <c r="B69" s="27"/>
      <c r="C69" s="2"/>
      <c r="D69" s="8"/>
      <c r="E69" s="8"/>
      <c r="F69" s="8"/>
      <c r="L69" s="8"/>
      <c r="M69" s="8"/>
      <c r="S69" s="8"/>
      <c r="T69" s="8"/>
      <c r="Z69" s="8"/>
      <c r="AA69" s="8"/>
      <c r="AG69" s="8"/>
      <c r="AH69" s="8"/>
      <c r="AI69" s="29"/>
      <c r="AJ69" s="8"/>
    </row>
    <row r="70" spans="2:36" ht="27" customHeight="1">
      <c r="B70" s="27"/>
      <c r="C70" s="2"/>
      <c r="D70" s="8"/>
      <c r="E70" s="8"/>
      <c r="F70" s="8"/>
      <c r="L70" s="8"/>
      <c r="M70" s="8"/>
      <c r="S70" s="8"/>
      <c r="T70" s="8"/>
      <c r="Z70" s="8"/>
      <c r="AA70" s="8"/>
      <c r="AG70" s="8"/>
      <c r="AH70" s="8"/>
      <c r="AI70" s="29"/>
      <c r="AJ70" s="8"/>
    </row>
    <row r="71" spans="2:36" ht="27" customHeight="1">
      <c r="B71" s="27"/>
      <c r="C71" s="2"/>
      <c r="D71" s="8"/>
      <c r="E71" s="8"/>
      <c r="F71" s="8"/>
      <c r="L71" s="8"/>
      <c r="M71" s="8"/>
      <c r="S71" s="8"/>
      <c r="T71" s="8"/>
      <c r="Z71" s="8"/>
      <c r="AA71" s="8"/>
      <c r="AG71" s="8"/>
      <c r="AH71" s="8"/>
      <c r="AI71" s="29"/>
      <c r="AJ71" s="8"/>
    </row>
    <row r="72" spans="2:36" ht="27" customHeight="1">
      <c r="B72" s="27"/>
      <c r="C72" s="2"/>
      <c r="D72" s="8"/>
      <c r="E72" s="8"/>
      <c r="F72" s="8"/>
      <c r="L72" s="8"/>
      <c r="M72" s="8"/>
      <c r="S72" s="8"/>
      <c r="T72" s="8"/>
      <c r="Z72" s="8"/>
      <c r="AA72" s="8"/>
      <c r="AG72" s="8"/>
      <c r="AH72" s="8"/>
      <c r="AI72" s="29"/>
      <c r="AJ72" s="8"/>
    </row>
    <row r="73" spans="2:36" ht="27" customHeight="1">
      <c r="B73" s="27"/>
      <c r="C73" s="2"/>
      <c r="D73" s="8"/>
      <c r="E73" s="8"/>
      <c r="F73" s="8"/>
      <c r="L73" s="8"/>
      <c r="M73" s="8"/>
      <c r="S73" s="8"/>
      <c r="T73" s="8"/>
      <c r="Z73" s="8"/>
      <c r="AA73" s="8"/>
      <c r="AG73" s="8"/>
      <c r="AH73" s="8"/>
      <c r="AI73" s="29"/>
      <c r="AJ73" s="8"/>
    </row>
    <row r="74" spans="2:36" ht="27" customHeight="1">
      <c r="B74" s="27"/>
      <c r="C74" s="2"/>
      <c r="D74" s="8"/>
      <c r="E74" s="8"/>
      <c r="F74" s="8"/>
      <c r="L74" s="8"/>
      <c r="M74" s="8"/>
      <c r="S74" s="8"/>
      <c r="T74" s="8"/>
      <c r="Z74" s="8"/>
      <c r="AA74" s="8"/>
      <c r="AG74" s="8"/>
      <c r="AH74" s="8"/>
      <c r="AI74" s="29"/>
      <c r="AJ74" s="8"/>
    </row>
    <row r="75" spans="2:36" ht="27" customHeight="1">
      <c r="B75" s="27"/>
      <c r="C75" s="2"/>
      <c r="D75" s="8"/>
      <c r="E75" s="8"/>
      <c r="F75" s="8"/>
      <c r="L75" s="8"/>
      <c r="M75" s="8"/>
      <c r="S75" s="8"/>
      <c r="T75" s="8"/>
      <c r="Z75" s="8"/>
      <c r="AA75" s="8"/>
      <c r="AG75" s="8"/>
      <c r="AH75" s="8"/>
      <c r="AI75" s="29"/>
      <c r="AJ75" s="8"/>
    </row>
    <row r="76" spans="2:36" ht="27" customHeight="1">
      <c r="B76" s="27"/>
      <c r="C76" s="2"/>
      <c r="D76" s="8"/>
      <c r="E76" s="8"/>
      <c r="F76" s="8"/>
      <c r="L76" s="8"/>
      <c r="M76" s="8"/>
      <c r="S76" s="8"/>
      <c r="T76" s="8"/>
      <c r="Z76" s="8"/>
      <c r="AA76" s="8"/>
      <c r="AG76" s="8"/>
      <c r="AH76" s="8"/>
      <c r="AI76" s="29"/>
      <c r="AJ76" s="8"/>
    </row>
    <row r="77" spans="2:36" ht="27" customHeight="1">
      <c r="B77" s="27"/>
      <c r="C77" s="2"/>
      <c r="D77" s="8"/>
      <c r="E77" s="8"/>
      <c r="F77" s="8"/>
      <c r="L77" s="8"/>
      <c r="M77" s="8"/>
      <c r="S77" s="8"/>
      <c r="T77" s="8"/>
      <c r="Z77" s="8"/>
      <c r="AA77" s="8"/>
      <c r="AG77" s="8"/>
      <c r="AH77" s="8"/>
      <c r="AI77" s="29"/>
      <c r="AJ77" s="8"/>
    </row>
    <row r="78" spans="2:36" ht="27" customHeight="1">
      <c r="B78" s="27"/>
      <c r="C78" s="2"/>
      <c r="D78" s="8"/>
      <c r="E78" s="8"/>
      <c r="F78" s="8"/>
      <c r="L78" s="8"/>
      <c r="M78" s="8"/>
      <c r="S78" s="8"/>
      <c r="T78" s="8"/>
      <c r="Z78" s="8"/>
      <c r="AA78" s="8"/>
      <c r="AG78" s="8"/>
      <c r="AH78" s="8"/>
      <c r="AI78" s="29"/>
      <c r="AJ78" s="8"/>
    </row>
    <row r="79" spans="2:36" ht="27" customHeight="1">
      <c r="B79" s="27"/>
      <c r="C79" s="2"/>
      <c r="D79" s="8"/>
      <c r="E79" s="8"/>
      <c r="F79" s="8"/>
      <c r="L79" s="8"/>
      <c r="M79" s="8"/>
      <c r="S79" s="8"/>
      <c r="T79" s="8"/>
      <c r="Z79" s="8"/>
      <c r="AA79" s="8"/>
      <c r="AG79" s="8"/>
      <c r="AH79" s="8"/>
      <c r="AI79" s="29"/>
      <c r="AJ79" s="8"/>
    </row>
    <row r="80" spans="2:36" ht="27" customHeight="1">
      <c r="B80" s="27"/>
      <c r="C80" s="2"/>
      <c r="D80" s="8"/>
      <c r="E80" s="8"/>
      <c r="F80" s="8"/>
      <c r="L80" s="8"/>
      <c r="M80" s="8"/>
      <c r="S80" s="8"/>
      <c r="T80" s="8"/>
      <c r="Z80" s="8"/>
      <c r="AA80" s="8"/>
      <c r="AG80" s="8"/>
      <c r="AH80" s="8"/>
      <c r="AI80" s="29"/>
      <c r="AJ80" s="8"/>
    </row>
    <row r="81" spans="2:36" ht="27" customHeight="1">
      <c r="B81" s="27"/>
      <c r="C81" s="2"/>
      <c r="D81" s="8"/>
      <c r="E81" s="8"/>
      <c r="F81" s="8"/>
      <c r="L81" s="8"/>
      <c r="M81" s="8"/>
      <c r="S81" s="8"/>
      <c r="T81" s="8"/>
      <c r="Z81" s="8"/>
      <c r="AA81" s="8"/>
      <c r="AG81" s="8"/>
      <c r="AH81" s="8"/>
      <c r="AI81" s="29"/>
      <c r="AJ81" s="8"/>
    </row>
    <row r="82" spans="2:36" ht="27" customHeight="1">
      <c r="B82" s="27"/>
      <c r="C82" s="2"/>
      <c r="D82" s="8"/>
      <c r="E82" s="8"/>
      <c r="F82" s="8"/>
      <c r="L82" s="8"/>
      <c r="M82" s="8"/>
      <c r="S82" s="8"/>
      <c r="T82" s="8"/>
      <c r="Z82" s="8"/>
      <c r="AA82" s="8"/>
      <c r="AG82" s="8"/>
      <c r="AH82" s="8"/>
      <c r="AI82" s="29"/>
      <c r="AJ82" s="8"/>
    </row>
    <row r="83" spans="2:36" ht="27" customHeight="1">
      <c r="B83" s="27"/>
      <c r="C83" s="2"/>
      <c r="D83" s="8"/>
      <c r="E83" s="8"/>
      <c r="F83" s="8"/>
      <c r="L83" s="8"/>
      <c r="M83" s="8"/>
      <c r="S83" s="8"/>
      <c r="T83" s="8"/>
      <c r="Z83" s="8"/>
      <c r="AA83" s="8"/>
      <c r="AG83" s="8"/>
      <c r="AH83" s="8"/>
      <c r="AI83" s="29"/>
      <c r="AJ83" s="8"/>
    </row>
    <row r="84" spans="2:36" ht="27" customHeight="1">
      <c r="B84" s="27"/>
      <c r="C84" s="2"/>
      <c r="D84" s="8"/>
      <c r="E84" s="8"/>
      <c r="F84" s="8"/>
      <c r="L84" s="8"/>
      <c r="M84" s="8"/>
      <c r="S84" s="8"/>
      <c r="T84" s="8"/>
      <c r="Z84" s="8"/>
      <c r="AA84" s="8"/>
      <c r="AG84" s="8"/>
      <c r="AH84" s="8"/>
      <c r="AI84" s="29"/>
      <c r="AJ84" s="8"/>
    </row>
    <row r="85" spans="2:36" ht="27" customHeight="1">
      <c r="B85" s="27"/>
      <c r="C85" s="2"/>
      <c r="D85" s="8"/>
      <c r="E85" s="8"/>
      <c r="F85" s="8"/>
      <c r="L85" s="8"/>
      <c r="M85" s="8"/>
      <c r="S85" s="8"/>
      <c r="T85" s="8"/>
      <c r="Z85" s="8"/>
      <c r="AA85" s="8"/>
      <c r="AG85" s="8"/>
      <c r="AH85" s="8"/>
      <c r="AI85" s="29"/>
      <c r="AJ85" s="8"/>
    </row>
    <row r="86" spans="2:36" ht="27" customHeight="1">
      <c r="B86" s="27"/>
      <c r="C86" s="2"/>
      <c r="D86" s="8"/>
      <c r="E86" s="8"/>
      <c r="F86" s="8"/>
      <c r="L86" s="8"/>
      <c r="M86" s="8"/>
      <c r="S86" s="8"/>
      <c r="T86" s="8"/>
      <c r="Z86" s="8"/>
      <c r="AA86" s="8"/>
      <c r="AG86" s="8"/>
      <c r="AH86" s="8"/>
      <c r="AI86" s="29"/>
      <c r="AJ86" s="8"/>
    </row>
    <row r="87" spans="2:36" ht="27" customHeight="1">
      <c r="B87" s="27"/>
      <c r="C87" s="2"/>
      <c r="D87" s="8"/>
      <c r="E87" s="8"/>
      <c r="F87" s="8"/>
      <c r="L87" s="8"/>
      <c r="M87" s="8"/>
      <c r="S87" s="8"/>
      <c r="T87" s="8"/>
      <c r="Z87" s="8"/>
      <c r="AA87" s="8"/>
      <c r="AG87" s="8"/>
      <c r="AH87" s="8"/>
      <c r="AI87" s="29"/>
      <c r="AJ87" s="8"/>
    </row>
    <row r="88" spans="2:36" ht="27" customHeight="1">
      <c r="B88" s="27"/>
      <c r="C88" s="2"/>
      <c r="D88" s="8"/>
      <c r="E88" s="8"/>
      <c r="F88" s="8"/>
      <c r="L88" s="8"/>
      <c r="M88" s="8"/>
      <c r="S88" s="8"/>
      <c r="T88" s="8"/>
      <c r="Z88" s="8"/>
      <c r="AA88" s="8"/>
      <c r="AG88" s="8"/>
      <c r="AH88" s="8"/>
      <c r="AI88" s="29"/>
      <c r="AJ88" s="8"/>
    </row>
    <row r="89" spans="2:36" ht="27" customHeight="1">
      <c r="B89" s="27"/>
      <c r="C89" s="2"/>
      <c r="D89" s="8"/>
      <c r="E89" s="8"/>
      <c r="F89" s="8"/>
      <c r="L89" s="8"/>
      <c r="M89" s="8"/>
      <c r="S89" s="8"/>
      <c r="T89" s="8"/>
      <c r="Z89" s="8"/>
      <c r="AA89" s="8"/>
      <c r="AG89" s="8"/>
      <c r="AH89" s="8"/>
      <c r="AI89" s="29"/>
      <c r="AJ89" s="8"/>
    </row>
    <row r="90" spans="2:36" ht="27" customHeight="1">
      <c r="B90" s="27"/>
      <c r="C90" s="2"/>
      <c r="D90" s="8"/>
      <c r="E90" s="8"/>
      <c r="F90" s="8"/>
      <c r="L90" s="8"/>
      <c r="M90" s="8"/>
      <c r="S90" s="8"/>
      <c r="T90" s="8"/>
      <c r="Z90" s="8"/>
      <c r="AA90" s="8"/>
      <c r="AG90" s="8"/>
      <c r="AH90" s="8"/>
      <c r="AI90" s="29"/>
      <c r="AJ90" s="8"/>
    </row>
    <row r="91" spans="2:36" ht="27" customHeight="1">
      <c r="B91" s="27"/>
      <c r="C91" s="2"/>
      <c r="D91" s="8"/>
      <c r="E91" s="8"/>
      <c r="F91" s="8"/>
      <c r="L91" s="8"/>
      <c r="M91" s="8"/>
      <c r="S91" s="8"/>
      <c r="T91" s="8"/>
      <c r="Z91" s="8"/>
      <c r="AA91" s="8"/>
      <c r="AG91" s="8"/>
      <c r="AH91" s="8"/>
      <c r="AI91" s="29"/>
      <c r="AJ91" s="8"/>
    </row>
    <row r="92" spans="2:36" ht="27" customHeight="1">
      <c r="B92" s="27"/>
      <c r="C92" s="2"/>
      <c r="D92" s="8"/>
      <c r="E92" s="8"/>
      <c r="F92" s="8"/>
      <c r="L92" s="8"/>
      <c r="M92" s="8"/>
      <c r="S92" s="8"/>
      <c r="T92" s="8"/>
      <c r="Z92" s="8"/>
      <c r="AA92" s="8"/>
      <c r="AG92" s="8"/>
      <c r="AH92" s="8"/>
      <c r="AI92" s="29"/>
      <c r="AJ92" s="8"/>
    </row>
    <row r="93" spans="2:36" ht="27" customHeight="1">
      <c r="B93" s="27"/>
      <c r="C93" s="2"/>
      <c r="D93" s="8"/>
      <c r="E93" s="8"/>
      <c r="F93" s="8"/>
      <c r="L93" s="8"/>
      <c r="M93" s="8"/>
      <c r="S93" s="8"/>
      <c r="T93" s="8"/>
      <c r="Z93" s="8"/>
      <c r="AA93" s="8"/>
      <c r="AG93" s="8"/>
      <c r="AH93" s="8"/>
      <c r="AI93" s="29"/>
      <c r="AJ93" s="8"/>
    </row>
    <row r="94" spans="2:36" ht="27" customHeight="1">
      <c r="B94" s="27"/>
      <c r="C94" s="2"/>
      <c r="D94" s="8"/>
      <c r="E94" s="8"/>
      <c r="F94" s="8"/>
      <c r="L94" s="8"/>
      <c r="M94" s="8"/>
      <c r="S94" s="8"/>
      <c r="T94" s="8"/>
      <c r="Z94" s="8"/>
      <c r="AA94" s="8"/>
      <c r="AG94" s="8"/>
      <c r="AH94" s="8"/>
      <c r="AI94" s="29"/>
      <c r="AJ94" s="8"/>
    </row>
    <row r="95" spans="2:36" ht="27" customHeight="1">
      <c r="B95" s="27"/>
      <c r="C95" s="2"/>
      <c r="D95" s="8"/>
      <c r="E95" s="8"/>
      <c r="F95" s="8"/>
      <c r="L95" s="8"/>
      <c r="M95" s="8"/>
      <c r="S95" s="8"/>
      <c r="T95" s="8"/>
      <c r="Z95" s="8"/>
      <c r="AA95" s="8"/>
      <c r="AG95" s="8"/>
      <c r="AH95" s="8"/>
      <c r="AI95" s="29"/>
      <c r="AJ95" s="8"/>
    </row>
    <row r="96" spans="2:36" ht="27" customHeight="1">
      <c r="B96" s="27"/>
      <c r="C96" s="2"/>
      <c r="D96" s="8"/>
      <c r="E96" s="8"/>
      <c r="F96" s="8"/>
      <c r="L96" s="8"/>
      <c r="M96" s="8"/>
      <c r="S96" s="8"/>
      <c r="T96" s="8"/>
      <c r="Z96" s="8"/>
      <c r="AA96" s="8"/>
      <c r="AG96" s="8"/>
      <c r="AH96" s="8"/>
      <c r="AI96" s="29"/>
      <c r="AJ96" s="8"/>
    </row>
    <row r="97" spans="2:36" ht="27" customHeight="1">
      <c r="B97" s="27"/>
      <c r="C97" s="2"/>
      <c r="D97" s="8"/>
      <c r="E97" s="8"/>
      <c r="F97" s="8"/>
      <c r="L97" s="8"/>
      <c r="M97" s="8"/>
      <c r="S97" s="8"/>
      <c r="T97" s="8"/>
      <c r="Z97" s="8"/>
      <c r="AA97" s="8"/>
      <c r="AG97" s="8"/>
      <c r="AH97" s="8"/>
      <c r="AI97" s="29"/>
      <c r="AJ97" s="8"/>
    </row>
    <row r="98" spans="2:36" ht="27" customHeight="1">
      <c r="B98" s="27"/>
      <c r="C98" s="2"/>
      <c r="D98" s="8"/>
      <c r="E98" s="8"/>
      <c r="F98" s="8"/>
      <c r="L98" s="8"/>
      <c r="M98" s="8"/>
      <c r="S98" s="8"/>
      <c r="T98" s="8"/>
      <c r="Z98" s="8"/>
      <c r="AA98" s="8"/>
      <c r="AG98" s="8"/>
      <c r="AH98" s="8"/>
      <c r="AI98" s="29"/>
      <c r="AJ98" s="8"/>
    </row>
    <row r="99" spans="2:36" ht="27" customHeight="1">
      <c r="B99" s="27"/>
      <c r="C99" s="2"/>
      <c r="D99" s="8"/>
      <c r="E99" s="8"/>
      <c r="F99" s="8"/>
      <c r="L99" s="8"/>
      <c r="M99" s="8"/>
      <c r="S99" s="8"/>
      <c r="T99" s="8"/>
      <c r="Z99" s="8"/>
      <c r="AA99" s="8"/>
      <c r="AG99" s="8"/>
      <c r="AH99" s="8"/>
      <c r="AI99" s="29"/>
      <c r="AJ99" s="8"/>
    </row>
    <row r="100" spans="2:36" ht="27" customHeight="1">
      <c r="B100" s="27"/>
      <c r="C100" s="2"/>
      <c r="D100" s="8"/>
      <c r="E100" s="8"/>
      <c r="F100" s="8"/>
      <c r="L100" s="8"/>
      <c r="M100" s="8"/>
      <c r="S100" s="8"/>
      <c r="T100" s="8"/>
      <c r="Z100" s="8"/>
      <c r="AA100" s="8"/>
      <c r="AG100" s="8"/>
      <c r="AH100" s="8"/>
      <c r="AI100" s="29"/>
      <c r="AJ100" s="8"/>
    </row>
    <row r="101" spans="2:36" ht="27" customHeight="1">
      <c r="B101" s="27"/>
      <c r="C101" s="2"/>
      <c r="D101" s="8"/>
      <c r="E101" s="8"/>
      <c r="F101" s="8"/>
      <c r="L101" s="8"/>
      <c r="M101" s="8"/>
      <c r="S101" s="8"/>
      <c r="T101" s="8"/>
      <c r="Z101" s="8"/>
      <c r="AA101" s="8"/>
      <c r="AG101" s="8"/>
      <c r="AH101" s="8"/>
      <c r="AI101" s="29"/>
      <c r="AJ101" s="8"/>
    </row>
    <row r="102" spans="2:36" ht="27" customHeight="1">
      <c r="B102" s="27"/>
      <c r="C102" s="2"/>
      <c r="D102" s="8"/>
      <c r="E102" s="8"/>
      <c r="F102" s="8"/>
      <c r="L102" s="8"/>
      <c r="M102" s="8"/>
      <c r="S102" s="8"/>
      <c r="T102" s="8"/>
      <c r="Z102" s="8"/>
      <c r="AA102" s="8"/>
      <c r="AG102" s="8"/>
      <c r="AH102" s="8"/>
      <c r="AI102" s="29"/>
      <c r="AJ102" s="8"/>
    </row>
    <row r="103" spans="2:36" ht="27" customHeight="1">
      <c r="B103" s="27"/>
      <c r="C103" s="2"/>
      <c r="D103" s="8"/>
      <c r="E103" s="8"/>
      <c r="F103" s="8"/>
      <c r="L103" s="8"/>
      <c r="M103" s="8"/>
      <c r="S103" s="8"/>
      <c r="T103" s="8"/>
      <c r="Z103" s="8"/>
      <c r="AA103" s="8"/>
      <c r="AG103" s="8"/>
      <c r="AH103" s="8"/>
      <c r="AI103" s="29"/>
      <c r="AJ103" s="8"/>
    </row>
    <row r="104" spans="2:36" ht="27" customHeight="1">
      <c r="B104" s="27"/>
      <c r="C104" s="2"/>
      <c r="D104" s="8"/>
      <c r="E104" s="8"/>
      <c r="F104" s="8"/>
      <c r="L104" s="8"/>
      <c r="M104" s="8"/>
      <c r="S104" s="8"/>
      <c r="T104" s="8"/>
      <c r="Z104" s="8"/>
      <c r="AA104" s="8"/>
      <c r="AG104" s="8"/>
      <c r="AH104" s="8"/>
      <c r="AI104" s="29"/>
      <c r="AJ104" s="8"/>
    </row>
    <row r="105" spans="2:36" ht="27" customHeight="1">
      <c r="B105" s="27"/>
      <c r="C105" s="2"/>
      <c r="D105" s="8"/>
      <c r="E105" s="8"/>
      <c r="F105" s="8"/>
      <c r="L105" s="8"/>
      <c r="M105" s="8"/>
      <c r="S105" s="8"/>
      <c r="T105" s="8"/>
      <c r="Z105" s="8"/>
      <c r="AA105" s="8"/>
      <c r="AG105" s="8"/>
      <c r="AH105" s="8"/>
      <c r="AI105" s="29"/>
      <c r="AJ105" s="8"/>
    </row>
    <row r="106" spans="2:36" ht="27" customHeight="1">
      <c r="B106" s="27"/>
      <c r="C106" s="2"/>
      <c r="D106" s="8"/>
      <c r="E106" s="8"/>
      <c r="F106" s="8"/>
      <c r="L106" s="8"/>
      <c r="M106" s="8"/>
      <c r="S106" s="8"/>
      <c r="T106" s="8"/>
      <c r="Z106" s="8"/>
      <c r="AA106" s="8"/>
      <c r="AG106" s="8"/>
      <c r="AH106" s="8"/>
      <c r="AI106" s="29"/>
      <c r="AJ106" s="8"/>
    </row>
    <row r="107" spans="2:36" ht="27" customHeight="1">
      <c r="B107" s="27"/>
      <c r="C107" s="2"/>
      <c r="D107" s="8"/>
      <c r="E107" s="8"/>
      <c r="F107" s="8"/>
      <c r="L107" s="8"/>
      <c r="M107" s="8"/>
      <c r="S107" s="8"/>
      <c r="T107" s="8"/>
      <c r="Z107" s="8"/>
      <c r="AA107" s="8"/>
      <c r="AG107" s="8"/>
      <c r="AH107" s="8"/>
      <c r="AI107" s="29"/>
      <c r="AJ107" s="8"/>
    </row>
    <row r="108" spans="2:36" ht="27" customHeight="1">
      <c r="B108" s="27"/>
      <c r="C108" s="2"/>
      <c r="D108" s="8"/>
      <c r="E108" s="8"/>
      <c r="F108" s="8"/>
      <c r="L108" s="8"/>
      <c r="M108" s="8"/>
      <c r="S108" s="8"/>
      <c r="T108" s="8"/>
      <c r="Z108" s="8"/>
      <c r="AA108" s="8"/>
      <c r="AG108" s="8"/>
      <c r="AH108" s="8"/>
      <c r="AI108" s="29"/>
      <c r="AJ108" s="8"/>
    </row>
    <row r="109" spans="2:36" ht="27" customHeight="1">
      <c r="B109" s="27"/>
      <c r="C109" s="2"/>
      <c r="D109" s="8"/>
      <c r="E109" s="8"/>
      <c r="F109" s="8"/>
      <c r="L109" s="8"/>
      <c r="M109" s="8"/>
      <c r="S109" s="8"/>
      <c r="T109" s="8"/>
      <c r="Z109" s="8"/>
      <c r="AA109" s="8"/>
      <c r="AG109" s="8"/>
      <c r="AH109" s="8"/>
      <c r="AI109" s="29"/>
      <c r="AJ109" s="8"/>
    </row>
    <row r="110" spans="2:36" ht="27" customHeight="1">
      <c r="B110" s="27"/>
      <c r="C110" s="2"/>
      <c r="D110" s="8"/>
      <c r="E110" s="8"/>
      <c r="F110" s="8"/>
      <c r="L110" s="8"/>
      <c r="M110" s="8"/>
      <c r="S110" s="8"/>
      <c r="T110" s="8"/>
      <c r="Z110" s="8"/>
      <c r="AA110" s="8"/>
      <c r="AG110" s="8"/>
      <c r="AH110" s="8"/>
      <c r="AI110" s="29"/>
      <c r="AJ110" s="8"/>
    </row>
    <row r="111" spans="2:36" ht="27" customHeight="1">
      <c r="B111" s="27"/>
      <c r="C111" s="2"/>
      <c r="D111" s="8"/>
      <c r="E111" s="8"/>
      <c r="F111" s="8"/>
      <c r="L111" s="8"/>
      <c r="M111" s="8"/>
      <c r="S111" s="8"/>
      <c r="T111" s="8"/>
      <c r="Z111" s="8"/>
      <c r="AA111" s="8"/>
      <c r="AG111" s="8"/>
      <c r="AH111" s="8"/>
      <c r="AI111" s="29"/>
      <c r="AJ111" s="8"/>
    </row>
    <row r="112" spans="2:36" ht="27" customHeight="1">
      <c r="B112" s="27"/>
      <c r="C112" s="2"/>
      <c r="D112" s="8"/>
      <c r="E112" s="8"/>
      <c r="F112" s="8"/>
      <c r="L112" s="8"/>
      <c r="M112" s="8"/>
      <c r="S112" s="8"/>
      <c r="T112" s="8"/>
      <c r="Z112" s="8"/>
      <c r="AA112" s="8"/>
      <c r="AG112" s="8"/>
      <c r="AH112" s="8"/>
      <c r="AI112" s="29"/>
      <c r="AJ112" s="8"/>
    </row>
    <row r="113" spans="2:36" ht="27" customHeight="1">
      <c r="B113" s="27"/>
      <c r="C113" s="2"/>
      <c r="D113" s="8"/>
      <c r="E113" s="8"/>
      <c r="F113" s="8"/>
      <c r="L113" s="8"/>
      <c r="M113" s="8"/>
      <c r="S113" s="8"/>
      <c r="T113" s="8"/>
      <c r="Z113" s="8"/>
      <c r="AA113" s="8"/>
      <c r="AG113" s="8"/>
      <c r="AH113" s="8"/>
      <c r="AI113" s="29"/>
      <c r="AJ113" s="8"/>
    </row>
    <row r="114" spans="2:36" ht="27" customHeight="1">
      <c r="B114" s="27"/>
      <c r="C114" s="2"/>
      <c r="D114" s="8"/>
      <c r="E114" s="8"/>
      <c r="F114" s="8"/>
      <c r="L114" s="8"/>
      <c r="M114" s="8"/>
      <c r="S114" s="8"/>
      <c r="T114" s="8"/>
      <c r="Z114" s="8"/>
      <c r="AA114" s="8"/>
      <c r="AG114" s="8"/>
      <c r="AH114" s="8"/>
      <c r="AI114" s="29"/>
      <c r="AJ114" s="8"/>
    </row>
    <row r="115" spans="2:36" ht="27" customHeight="1">
      <c r="B115" s="27"/>
      <c r="C115" s="2"/>
      <c r="D115" s="8"/>
      <c r="E115" s="8"/>
      <c r="F115" s="8"/>
      <c r="L115" s="8"/>
      <c r="M115" s="8"/>
      <c r="S115" s="8"/>
      <c r="T115" s="8"/>
      <c r="Z115" s="8"/>
      <c r="AA115" s="8"/>
      <c r="AG115" s="8"/>
      <c r="AH115" s="8"/>
      <c r="AI115" s="29"/>
      <c r="AJ115" s="8"/>
    </row>
    <row r="116" spans="2:36" ht="27" customHeight="1">
      <c r="B116" s="27"/>
      <c r="C116" s="2"/>
      <c r="D116" s="8"/>
      <c r="E116" s="8"/>
      <c r="F116" s="8"/>
      <c r="L116" s="8"/>
      <c r="M116" s="8"/>
      <c r="S116" s="8"/>
      <c r="T116" s="8"/>
      <c r="Z116" s="8"/>
      <c r="AA116" s="8"/>
      <c r="AG116" s="8"/>
      <c r="AH116" s="8"/>
      <c r="AI116" s="29"/>
      <c r="AJ116" s="8"/>
    </row>
    <row r="117" spans="2:36" ht="27" customHeight="1">
      <c r="B117" s="27"/>
      <c r="C117" s="2"/>
      <c r="D117" s="8"/>
      <c r="E117" s="8"/>
      <c r="F117" s="8"/>
      <c r="L117" s="8"/>
      <c r="M117" s="8"/>
      <c r="S117" s="8"/>
      <c r="T117" s="8"/>
      <c r="Z117" s="8"/>
      <c r="AA117" s="8"/>
      <c r="AG117" s="8"/>
      <c r="AH117" s="8"/>
      <c r="AI117" s="29"/>
      <c r="AJ117" s="8"/>
    </row>
    <row r="118" spans="2:36" ht="27" customHeight="1">
      <c r="B118" s="27"/>
      <c r="C118" s="2"/>
      <c r="D118" s="8"/>
      <c r="E118" s="8"/>
      <c r="F118" s="8"/>
      <c r="L118" s="8"/>
      <c r="M118" s="8"/>
      <c r="S118" s="8"/>
      <c r="T118" s="8"/>
      <c r="Z118" s="8"/>
      <c r="AA118" s="8"/>
      <c r="AG118" s="8"/>
      <c r="AH118" s="8"/>
      <c r="AI118" s="29"/>
      <c r="AJ118" s="8"/>
    </row>
    <row r="119" spans="2:36" ht="27" customHeight="1">
      <c r="B119" s="27"/>
      <c r="C119" s="2"/>
      <c r="D119" s="8"/>
      <c r="E119" s="8"/>
      <c r="F119" s="8"/>
      <c r="L119" s="8"/>
      <c r="M119" s="8"/>
      <c r="S119" s="8"/>
      <c r="T119" s="8"/>
      <c r="Z119" s="8"/>
      <c r="AA119" s="8"/>
      <c r="AG119" s="8"/>
      <c r="AH119" s="8"/>
      <c r="AI119" s="29"/>
      <c r="AJ119" s="8"/>
    </row>
    <row r="120" spans="2:36" ht="27" customHeight="1">
      <c r="B120" s="27"/>
      <c r="C120" s="2"/>
      <c r="D120" s="8"/>
      <c r="E120" s="8"/>
      <c r="F120" s="8"/>
      <c r="L120" s="8"/>
      <c r="M120" s="8"/>
      <c r="S120" s="8"/>
      <c r="T120" s="8"/>
      <c r="Z120" s="8"/>
      <c r="AA120" s="8"/>
      <c r="AG120" s="8"/>
      <c r="AH120" s="8"/>
      <c r="AI120" s="29"/>
      <c r="AJ120" s="8"/>
    </row>
    <row r="121" spans="2:36" ht="27" customHeight="1">
      <c r="B121" s="27"/>
      <c r="C121" s="2"/>
      <c r="D121" s="8"/>
      <c r="E121" s="8"/>
      <c r="F121" s="8"/>
      <c r="L121" s="8"/>
      <c r="M121" s="8"/>
      <c r="S121" s="8"/>
      <c r="T121" s="8"/>
      <c r="Z121" s="8"/>
      <c r="AA121" s="8"/>
      <c r="AG121" s="8"/>
      <c r="AH121" s="8"/>
      <c r="AI121" s="29"/>
      <c r="AJ121" s="8"/>
    </row>
    <row r="122" spans="2:36" ht="27" customHeight="1">
      <c r="B122" s="27"/>
      <c r="C122" s="2"/>
      <c r="D122" s="8"/>
      <c r="E122" s="8"/>
      <c r="F122" s="8"/>
      <c r="L122" s="8"/>
      <c r="M122" s="8"/>
      <c r="S122" s="8"/>
      <c r="T122" s="8"/>
      <c r="Z122" s="8"/>
      <c r="AA122" s="8"/>
      <c r="AG122" s="8"/>
      <c r="AH122" s="8"/>
      <c r="AI122" s="29"/>
      <c r="AJ122" s="8"/>
    </row>
    <row r="123" spans="2:36" ht="27" customHeight="1">
      <c r="B123" s="27"/>
      <c r="C123" s="2"/>
      <c r="D123" s="8"/>
      <c r="E123" s="8"/>
      <c r="F123" s="8"/>
      <c r="L123" s="8"/>
      <c r="M123" s="8"/>
      <c r="S123" s="8"/>
      <c r="T123" s="8"/>
      <c r="Z123" s="8"/>
      <c r="AA123" s="8"/>
      <c r="AG123" s="8"/>
      <c r="AH123" s="8"/>
      <c r="AI123" s="29"/>
      <c r="AJ123" s="8"/>
    </row>
    <row r="124" spans="2:36" ht="27" customHeight="1">
      <c r="B124" s="27"/>
      <c r="C124" s="2"/>
      <c r="D124" s="8"/>
      <c r="E124" s="8"/>
      <c r="F124" s="8"/>
      <c r="L124" s="8"/>
      <c r="M124" s="8"/>
      <c r="S124" s="8"/>
      <c r="T124" s="8"/>
      <c r="Z124" s="8"/>
      <c r="AA124" s="8"/>
      <c r="AG124" s="8"/>
      <c r="AH124" s="8"/>
      <c r="AI124" s="29"/>
      <c r="AJ124" s="8"/>
    </row>
    <row r="125" spans="2:36" ht="27" customHeight="1">
      <c r="B125" s="27"/>
      <c r="C125" s="2"/>
      <c r="D125" s="8"/>
      <c r="E125" s="8"/>
      <c r="F125" s="8"/>
      <c r="L125" s="8"/>
      <c r="M125" s="8"/>
      <c r="S125" s="8"/>
      <c r="T125" s="8"/>
      <c r="Z125" s="8"/>
      <c r="AA125" s="8"/>
      <c r="AG125" s="8"/>
      <c r="AH125" s="8"/>
      <c r="AI125" s="29"/>
      <c r="AJ125" s="8"/>
    </row>
    <row r="126" spans="2:36" ht="27" customHeight="1">
      <c r="B126" s="27"/>
      <c r="C126" s="2"/>
      <c r="D126" s="8"/>
      <c r="E126" s="8"/>
      <c r="F126" s="8"/>
      <c r="L126" s="8"/>
      <c r="M126" s="8"/>
      <c r="S126" s="8"/>
      <c r="T126" s="8"/>
      <c r="Z126" s="8"/>
      <c r="AA126" s="8"/>
      <c r="AG126" s="8"/>
      <c r="AH126" s="8"/>
      <c r="AI126" s="29"/>
      <c r="AJ126" s="8"/>
    </row>
    <row r="127" spans="2:36" ht="27" customHeight="1">
      <c r="B127" s="27"/>
      <c r="C127" s="2"/>
      <c r="D127" s="8"/>
      <c r="E127" s="8"/>
      <c r="F127" s="8"/>
      <c r="L127" s="8"/>
      <c r="M127" s="8"/>
      <c r="S127" s="8"/>
      <c r="T127" s="8"/>
      <c r="Z127" s="8"/>
      <c r="AA127" s="8"/>
      <c r="AG127" s="8"/>
      <c r="AH127" s="8"/>
      <c r="AI127" s="29"/>
      <c r="AJ127" s="8"/>
    </row>
    <row r="128" spans="2:36" ht="27" customHeight="1">
      <c r="B128" s="27"/>
      <c r="C128" s="2"/>
      <c r="D128" s="8"/>
      <c r="E128" s="8"/>
      <c r="F128" s="8"/>
      <c r="L128" s="8"/>
      <c r="M128" s="8"/>
      <c r="S128" s="8"/>
      <c r="T128" s="8"/>
      <c r="Z128" s="8"/>
      <c r="AA128" s="8"/>
      <c r="AG128" s="8"/>
      <c r="AH128" s="8"/>
      <c r="AI128" s="29"/>
      <c r="AJ128" s="8"/>
    </row>
    <row r="129" spans="2:36" ht="27" customHeight="1">
      <c r="B129" s="27"/>
      <c r="C129" s="2"/>
      <c r="D129" s="8"/>
      <c r="E129" s="8"/>
      <c r="F129" s="8"/>
      <c r="L129" s="8"/>
      <c r="M129" s="8"/>
      <c r="S129" s="8"/>
      <c r="T129" s="8"/>
      <c r="Z129" s="8"/>
      <c r="AA129" s="8"/>
      <c r="AG129" s="8"/>
      <c r="AH129" s="8"/>
      <c r="AI129" s="29"/>
      <c r="AJ129" s="8"/>
    </row>
    <row r="130" spans="2:36" ht="27" customHeight="1">
      <c r="B130" s="27"/>
      <c r="C130" s="2"/>
      <c r="D130" s="8"/>
      <c r="E130" s="8"/>
      <c r="F130" s="8"/>
      <c r="L130" s="8"/>
      <c r="M130" s="8"/>
      <c r="S130" s="8"/>
      <c r="T130" s="8"/>
      <c r="Z130" s="8"/>
      <c r="AA130" s="8"/>
      <c r="AG130" s="8"/>
      <c r="AH130" s="8"/>
      <c r="AI130" s="29"/>
      <c r="AJ130" s="8"/>
    </row>
    <row r="131" spans="2:36" ht="27" customHeight="1">
      <c r="B131" s="27"/>
      <c r="C131" s="2"/>
      <c r="D131" s="8"/>
      <c r="E131" s="8"/>
      <c r="F131" s="8"/>
      <c r="L131" s="8"/>
      <c r="M131" s="8"/>
      <c r="S131" s="8"/>
      <c r="T131" s="8"/>
      <c r="Z131" s="8"/>
      <c r="AA131" s="8"/>
      <c r="AG131" s="8"/>
      <c r="AH131" s="8"/>
      <c r="AI131" s="29"/>
      <c r="AJ131" s="8"/>
    </row>
    <row r="132" spans="2:36" ht="27" customHeight="1">
      <c r="B132" s="27"/>
      <c r="C132" s="2"/>
      <c r="D132" s="8"/>
      <c r="E132" s="8"/>
      <c r="F132" s="8"/>
      <c r="L132" s="8"/>
      <c r="M132" s="8"/>
      <c r="S132" s="8"/>
      <c r="T132" s="8"/>
      <c r="Z132" s="8"/>
      <c r="AA132" s="8"/>
      <c r="AG132" s="8"/>
      <c r="AH132" s="8"/>
      <c r="AI132" s="29"/>
      <c r="AJ132" s="8"/>
    </row>
    <row r="133" spans="2:36" ht="27" customHeight="1">
      <c r="B133" s="27"/>
      <c r="C133" s="2"/>
      <c r="D133" s="8"/>
      <c r="E133" s="8"/>
      <c r="F133" s="8"/>
      <c r="L133" s="8"/>
      <c r="M133" s="8"/>
      <c r="S133" s="8"/>
      <c r="T133" s="8"/>
      <c r="Z133" s="8"/>
      <c r="AA133" s="8"/>
      <c r="AG133" s="8"/>
      <c r="AH133" s="8"/>
      <c r="AI133" s="29"/>
      <c r="AJ133" s="8"/>
    </row>
    <row r="134" spans="2:36" ht="27" customHeight="1">
      <c r="B134" s="27"/>
      <c r="C134" s="2"/>
      <c r="D134" s="8"/>
      <c r="E134" s="8"/>
      <c r="F134" s="8"/>
      <c r="L134" s="8"/>
      <c r="M134" s="8"/>
      <c r="S134" s="8"/>
      <c r="T134" s="8"/>
      <c r="Z134" s="8"/>
      <c r="AA134" s="8"/>
      <c r="AG134" s="8"/>
      <c r="AH134" s="8"/>
      <c r="AI134" s="29"/>
      <c r="AJ134" s="8"/>
    </row>
    <row r="135" spans="2:36" ht="27" customHeight="1">
      <c r="B135" s="27"/>
      <c r="C135" s="2"/>
      <c r="D135" s="8"/>
      <c r="E135" s="8"/>
      <c r="F135" s="8"/>
      <c r="L135" s="8"/>
      <c r="M135" s="8"/>
      <c r="S135" s="8"/>
      <c r="T135" s="8"/>
      <c r="Z135" s="8"/>
      <c r="AA135" s="8"/>
      <c r="AG135" s="8"/>
      <c r="AH135" s="8"/>
      <c r="AI135" s="29"/>
      <c r="AJ135" s="8"/>
    </row>
    <row r="136" spans="2:36" ht="27" customHeight="1">
      <c r="B136" s="27"/>
      <c r="C136" s="2"/>
      <c r="D136" s="8"/>
      <c r="E136" s="8"/>
      <c r="F136" s="8"/>
      <c r="L136" s="8"/>
      <c r="M136" s="8"/>
      <c r="S136" s="8"/>
      <c r="T136" s="8"/>
      <c r="Z136" s="8"/>
      <c r="AA136" s="8"/>
      <c r="AG136" s="8"/>
      <c r="AH136" s="8"/>
      <c r="AI136" s="29"/>
      <c r="AJ136" s="8"/>
    </row>
    <row r="137" spans="2:36" ht="27" customHeight="1">
      <c r="B137" s="27"/>
      <c r="C137" s="2"/>
      <c r="D137" s="8"/>
      <c r="E137" s="8"/>
      <c r="F137" s="8"/>
      <c r="L137" s="8"/>
      <c r="M137" s="8"/>
      <c r="S137" s="8"/>
      <c r="T137" s="8"/>
      <c r="Z137" s="8"/>
      <c r="AA137" s="8"/>
      <c r="AG137" s="8"/>
      <c r="AH137" s="8"/>
      <c r="AI137" s="29"/>
      <c r="AJ137" s="8"/>
    </row>
    <row r="138" spans="2:36" ht="27" customHeight="1">
      <c r="B138" s="27"/>
      <c r="C138" s="2"/>
      <c r="D138" s="8"/>
      <c r="E138" s="8"/>
      <c r="F138" s="8"/>
      <c r="L138" s="8"/>
      <c r="M138" s="8"/>
      <c r="S138" s="8"/>
      <c r="T138" s="8"/>
      <c r="Z138" s="8"/>
      <c r="AA138" s="8"/>
      <c r="AG138" s="8"/>
      <c r="AH138" s="8"/>
      <c r="AI138" s="29"/>
      <c r="AJ138" s="8"/>
    </row>
    <row r="139" spans="2:36" ht="27" customHeight="1">
      <c r="B139" s="27"/>
      <c r="C139" s="2"/>
      <c r="D139" s="8"/>
      <c r="E139" s="8"/>
      <c r="F139" s="8"/>
      <c r="L139" s="8"/>
      <c r="M139" s="8"/>
      <c r="S139" s="8"/>
      <c r="T139" s="8"/>
      <c r="Z139" s="8"/>
      <c r="AA139" s="8"/>
      <c r="AG139" s="8"/>
      <c r="AH139" s="8"/>
      <c r="AI139" s="29"/>
      <c r="AJ139" s="8"/>
    </row>
    <row r="140" spans="2:36" ht="27" customHeight="1">
      <c r="B140" s="27"/>
      <c r="C140" s="2"/>
      <c r="D140" s="8"/>
      <c r="E140" s="8"/>
      <c r="F140" s="8"/>
      <c r="L140" s="8"/>
      <c r="M140" s="8"/>
      <c r="S140" s="8"/>
      <c r="T140" s="8"/>
      <c r="Z140" s="8"/>
      <c r="AA140" s="8"/>
      <c r="AG140" s="8"/>
      <c r="AH140" s="8"/>
      <c r="AI140" s="29"/>
      <c r="AJ140" s="8"/>
    </row>
    <row r="141" spans="2:36" ht="27" customHeight="1">
      <c r="B141" s="27"/>
      <c r="C141" s="2"/>
      <c r="D141" s="8"/>
      <c r="E141" s="8"/>
      <c r="F141" s="8"/>
      <c r="L141" s="8"/>
      <c r="M141" s="8"/>
      <c r="S141" s="8"/>
      <c r="T141" s="8"/>
      <c r="Z141" s="8"/>
      <c r="AA141" s="8"/>
      <c r="AG141" s="8"/>
      <c r="AH141" s="8"/>
      <c r="AI141" s="29"/>
      <c r="AJ141" s="8"/>
    </row>
    <row r="142" spans="2:36" ht="27" customHeight="1">
      <c r="B142" s="27"/>
      <c r="C142" s="2"/>
      <c r="D142" s="8"/>
      <c r="E142" s="8"/>
      <c r="F142" s="8"/>
      <c r="L142" s="8"/>
      <c r="M142" s="8"/>
      <c r="S142" s="8"/>
      <c r="T142" s="8"/>
      <c r="Z142" s="8"/>
      <c r="AA142" s="8"/>
      <c r="AG142" s="8"/>
      <c r="AH142" s="8"/>
      <c r="AI142" s="29"/>
      <c r="AJ142" s="8"/>
    </row>
    <row r="143" spans="2:36" ht="27" customHeight="1">
      <c r="B143" s="27"/>
      <c r="C143" s="2"/>
      <c r="D143" s="8"/>
      <c r="E143" s="8"/>
      <c r="F143" s="8"/>
      <c r="L143" s="8"/>
      <c r="M143" s="8"/>
      <c r="S143" s="8"/>
      <c r="T143" s="8"/>
      <c r="Z143" s="8"/>
      <c r="AA143" s="8"/>
      <c r="AG143" s="8"/>
      <c r="AH143" s="8"/>
      <c r="AI143" s="29"/>
      <c r="AJ143" s="8"/>
    </row>
    <row r="144" spans="2:36" ht="27" customHeight="1">
      <c r="B144" s="27"/>
      <c r="C144" s="2"/>
      <c r="D144" s="8"/>
      <c r="E144" s="8"/>
      <c r="F144" s="8"/>
      <c r="L144" s="8"/>
      <c r="M144" s="8"/>
      <c r="S144" s="8"/>
      <c r="T144" s="8"/>
      <c r="Z144" s="8"/>
      <c r="AA144" s="8"/>
      <c r="AG144" s="8"/>
      <c r="AH144" s="8"/>
      <c r="AI144" s="29"/>
      <c r="AJ144" s="8"/>
    </row>
    <row r="145" spans="2:36" ht="27" customHeight="1">
      <c r="B145" s="27"/>
      <c r="C145" s="2"/>
      <c r="D145" s="8"/>
      <c r="E145" s="8"/>
      <c r="F145" s="8"/>
      <c r="L145" s="8"/>
      <c r="M145" s="8"/>
      <c r="S145" s="8"/>
      <c r="T145" s="8"/>
      <c r="Z145" s="8"/>
      <c r="AA145" s="8"/>
      <c r="AG145" s="8"/>
      <c r="AH145" s="8"/>
      <c r="AI145" s="29"/>
      <c r="AJ145" s="8"/>
    </row>
    <row r="146" spans="2:36" ht="27" customHeight="1">
      <c r="B146" s="27"/>
      <c r="C146" s="2"/>
      <c r="D146" s="8"/>
      <c r="E146" s="8"/>
      <c r="F146" s="8"/>
      <c r="L146" s="8"/>
      <c r="M146" s="8"/>
      <c r="S146" s="8"/>
      <c r="T146" s="8"/>
      <c r="Z146" s="8"/>
      <c r="AA146" s="8"/>
      <c r="AG146" s="8"/>
      <c r="AH146" s="8"/>
      <c r="AI146" s="29"/>
      <c r="AJ146" s="8"/>
    </row>
    <row r="147" spans="2:36" ht="27" customHeight="1">
      <c r="B147" s="27"/>
      <c r="C147" s="2"/>
      <c r="D147" s="8"/>
      <c r="E147" s="8"/>
      <c r="F147" s="8"/>
      <c r="L147" s="8"/>
      <c r="M147" s="8"/>
      <c r="S147" s="8"/>
      <c r="T147" s="8"/>
      <c r="Z147" s="8"/>
      <c r="AA147" s="8"/>
      <c r="AG147" s="8"/>
      <c r="AH147" s="8"/>
      <c r="AI147" s="29"/>
      <c r="AJ147" s="8"/>
    </row>
    <row r="148" spans="2:36" ht="27" customHeight="1">
      <c r="B148" s="27"/>
      <c r="C148" s="2"/>
      <c r="D148" s="8"/>
      <c r="E148" s="8"/>
      <c r="F148" s="8"/>
      <c r="L148" s="8"/>
      <c r="M148" s="8"/>
      <c r="S148" s="8"/>
      <c r="T148" s="8"/>
      <c r="Z148" s="8"/>
      <c r="AA148" s="8"/>
      <c r="AG148" s="8"/>
      <c r="AH148" s="8"/>
      <c r="AI148" s="29"/>
      <c r="AJ148" s="8"/>
    </row>
    <row r="149" spans="2:36" ht="27" customHeight="1">
      <c r="B149" s="27"/>
      <c r="C149" s="2"/>
      <c r="D149" s="8"/>
      <c r="E149" s="8"/>
      <c r="F149" s="8"/>
      <c r="L149" s="8"/>
      <c r="M149" s="8"/>
      <c r="S149" s="8"/>
      <c r="T149" s="8"/>
      <c r="Z149" s="8"/>
      <c r="AA149" s="8"/>
      <c r="AG149" s="8"/>
      <c r="AH149" s="8"/>
      <c r="AI149" s="29"/>
      <c r="AJ149" s="8"/>
    </row>
    <row r="150" spans="2:36" ht="27" customHeight="1">
      <c r="B150" s="27"/>
      <c r="C150" s="2"/>
      <c r="D150" s="8"/>
      <c r="E150" s="8"/>
      <c r="F150" s="8"/>
      <c r="L150" s="8"/>
      <c r="M150" s="8"/>
      <c r="S150" s="8"/>
      <c r="T150" s="8"/>
      <c r="Z150" s="8"/>
      <c r="AA150" s="8"/>
      <c r="AG150" s="8"/>
      <c r="AH150" s="8"/>
      <c r="AI150" s="29"/>
      <c r="AJ150" s="8"/>
    </row>
    <row r="151" spans="2:36" ht="27" customHeight="1">
      <c r="B151" s="27"/>
      <c r="C151" s="2"/>
      <c r="D151" s="8"/>
      <c r="E151" s="8"/>
      <c r="F151" s="8"/>
      <c r="L151" s="8"/>
      <c r="M151" s="8"/>
      <c r="S151" s="8"/>
      <c r="T151" s="8"/>
      <c r="Z151" s="8"/>
      <c r="AA151" s="8"/>
      <c r="AG151" s="8"/>
      <c r="AH151" s="8"/>
      <c r="AI151" s="29"/>
      <c r="AJ151" s="8"/>
    </row>
    <row r="152" spans="2:36" ht="27" customHeight="1">
      <c r="B152" s="27"/>
      <c r="C152" s="2"/>
      <c r="D152" s="8"/>
      <c r="E152" s="8"/>
      <c r="F152" s="8"/>
      <c r="L152" s="8"/>
      <c r="M152" s="8"/>
      <c r="S152" s="8"/>
      <c r="T152" s="8"/>
      <c r="Z152" s="8"/>
      <c r="AA152" s="8"/>
      <c r="AG152" s="8"/>
      <c r="AH152" s="8"/>
      <c r="AI152" s="29"/>
      <c r="AJ152" s="8"/>
    </row>
    <row r="153" spans="2:36" ht="27" customHeight="1">
      <c r="B153" s="27"/>
      <c r="C153" s="2"/>
      <c r="D153" s="8"/>
      <c r="E153" s="8"/>
      <c r="F153" s="8"/>
      <c r="L153" s="8"/>
      <c r="M153" s="8"/>
      <c r="S153" s="8"/>
      <c r="T153" s="8"/>
      <c r="Z153" s="8"/>
      <c r="AA153" s="8"/>
      <c r="AG153" s="8"/>
      <c r="AH153" s="8"/>
      <c r="AI153" s="29"/>
      <c r="AJ153" s="8"/>
    </row>
    <row r="154" spans="2:36" ht="27" customHeight="1">
      <c r="B154" s="27"/>
      <c r="C154" s="2"/>
      <c r="D154" s="8"/>
      <c r="E154" s="8"/>
      <c r="F154" s="8"/>
      <c r="L154" s="8"/>
      <c r="M154" s="8"/>
      <c r="S154" s="8"/>
      <c r="T154" s="8"/>
      <c r="Z154" s="8"/>
      <c r="AA154" s="8"/>
      <c r="AG154" s="8"/>
      <c r="AH154" s="8"/>
      <c r="AI154" s="29"/>
      <c r="AJ154" s="8"/>
    </row>
    <row r="155" spans="2:36" ht="27" customHeight="1">
      <c r="B155" s="27"/>
      <c r="C155" s="2"/>
      <c r="D155" s="8"/>
      <c r="E155" s="8"/>
      <c r="F155" s="8"/>
      <c r="L155" s="8"/>
      <c r="M155" s="8"/>
      <c r="S155" s="8"/>
      <c r="T155" s="8"/>
      <c r="Z155" s="8"/>
      <c r="AA155" s="8"/>
      <c r="AG155" s="8"/>
      <c r="AH155" s="8"/>
      <c r="AI155" s="29"/>
      <c r="AJ155" s="8"/>
    </row>
    <row r="156" spans="2:36" ht="27" customHeight="1">
      <c r="B156" s="27"/>
      <c r="C156" s="2"/>
      <c r="D156" s="8"/>
      <c r="E156" s="8"/>
      <c r="F156" s="8"/>
      <c r="L156" s="8"/>
      <c r="M156" s="8"/>
      <c r="S156" s="8"/>
      <c r="T156" s="8"/>
      <c r="Z156" s="8"/>
      <c r="AA156" s="8"/>
      <c r="AG156" s="8"/>
      <c r="AH156" s="8"/>
      <c r="AI156" s="29"/>
      <c r="AJ156" s="8"/>
    </row>
    <row r="157" spans="2:36" ht="27" customHeight="1">
      <c r="B157" s="27"/>
      <c r="C157" s="2"/>
      <c r="D157" s="8"/>
      <c r="E157" s="8"/>
      <c r="F157" s="8"/>
      <c r="L157" s="8"/>
      <c r="M157" s="8"/>
      <c r="S157" s="8"/>
      <c r="T157" s="8"/>
      <c r="Z157" s="8"/>
      <c r="AA157" s="8"/>
      <c r="AG157" s="8"/>
      <c r="AH157" s="8"/>
      <c r="AI157" s="29"/>
      <c r="AJ157" s="8"/>
    </row>
    <row r="158" spans="2:36" ht="27" customHeight="1">
      <c r="B158" s="27"/>
      <c r="C158" s="2"/>
      <c r="D158" s="8"/>
      <c r="E158" s="8"/>
      <c r="F158" s="8"/>
      <c r="L158" s="8"/>
      <c r="M158" s="8"/>
      <c r="S158" s="8"/>
      <c r="T158" s="8"/>
      <c r="Z158" s="8"/>
      <c r="AA158" s="8"/>
      <c r="AG158" s="8"/>
      <c r="AH158" s="8"/>
      <c r="AI158" s="29"/>
      <c r="AJ158" s="8"/>
    </row>
    <row r="159" spans="2:36" ht="27" customHeight="1">
      <c r="B159" s="27"/>
      <c r="C159" s="2"/>
      <c r="D159" s="8"/>
      <c r="E159" s="8"/>
      <c r="F159" s="8"/>
      <c r="L159" s="8"/>
      <c r="M159" s="8"/>
      <c r="S159" s="8"/>
      <c r="T159" s="8"/>
      <c r="Z159" s="8"/>
      <c r="AA159" s="8"/>
      <c r="AG159" s="8"/>
      <c r="AH159" s="8"/>
      <c r="AI159" s="29"/>
      <c r="AJ159" s="8"/>
    </row>
    <row r="160" spans="2:36" ht="27" customHeight="1">
      <c r="B160" s="27"/>
      <c r="C160" s="2"/>
      <c r="D160" s="8"/>
      <c r="E160" s="8"/>
      <c r="F160" s="8"/>
      <c r="L160" s="8"/>
      <c r="M160" s="8"/>
      <c r="S160" s="8"/>
      <c r="T160" s="8"/>
      <c r="Z160" s="8"/>
      <c r="AA160" s="8"/>
      <c r="AG160" s="8"/>
      <c r="AH160" s="8"/>
      <c r="AI160" s="29"/>
      <c r="AJ160" s="8"/>
    </row>
    <row r="161" spans="2:36" ht="27" customHeight="1">
      <c r="B161" s="27"/>
      <c r="C161" s="2"/>
      <c r="D161" s="8"/>
      <c r="E161" s="8"/>
      <c r="F161" s="8"/>
      <c r="L161" s="8"/>
      <c r="M161" s="8"/>
      <c r="S161" s="8"/>
      <c r="T161" s="8"/>
      <c r="Z161" s="8"/>
      <c r="AA161" s="8"/>
      <c r="AG161" s="8"/>
      <c r="AH161" s="8"/>
      <c r="AI161" s="29"/>
      <c r="AJ161" s="8"/>
    </row>
    <row r="162" spans="2:36" ht="27" customHeight="1">
      <c r="B162" s="27"/>
      <c r="C162" s="2"/>
      <c r="D162" s="8"/>
      <c r="E162" s="8"/>
      <c r="F162" s="8"/>
      <c r="L162" s="8"/>
      <c r="M162" s="8"/>
      <c r="S162" s="8"/>
      <c r="T162" s="8"/>
      <c r="Z162" s="8"/>
      <c r="AA162" s="8"/>
      <c r="AG162" s="8"/>
      <c r="AH162" s="8"/>
      <c r="AI162" s="29"/>
      <c r="AJ162" s="8"/>
    </row>
    <row r="163" spans="2:36" ht="27" customHeight="1">
      <c r="B163" s="27"/>
      <c r="C163" s="2"/>
      <c r="D163" s="8"/>
      <c r="E163" s="8"/>
      <c r="F163" s="8"/>
      <c r="L163" s="8"/>
      <c r="M163" s="8"/>
      <c r="S163" s="8"/>
      <c r="T163" s="8"/>
      <c r="Z163" s="8"/>
      <c r="AA163" s="8"/>
      <c r="AG163" s="8"/>
      <c r="AH163" s="8"/>
      <c r="AI163" s="29"/>
      <c r="AJ163" s="8"/>
    </row>
    <row r="164" spans="2:36" ht="27" customHeight="1">
      <c r="B164" s="27"/>
      <c r="C164" s="2"/>
      <c r="D164" s="8"/>
      <c r="E164" s="8"/>
      <c r="F164" s="8"/>
      <c r="L164" s="8"/>
      <c r="M164" s="8"/>
      <c r="S164" s="8"/>
      <c r="T164" s="8"/>
      <c r="Z164" s="8"/>
      <c r="AA164" s="8"/>
      <c r="AG164" s="8"/>
      <c r="AH164" s="8"/>
      <c r="AI164" s="29"/>
      <c r="AJ164" s="8"/>
    </row>
    <row r="165" spans="2:36" ht="27" customHeight="1">
      <c r="B165" s="27"/>
      <c r="C165" s="2"/>
      <c r="D165" s="8"/>
      <c r="E165" s="8"/>
      <c r="F165" s="8"/>
      <c r="L165" s="8"/>
      <c r="M165" s="8"/>
      <c r="S165" s="8"/>
      <c r="T165" s="8"/>
      <c r="Z165" s="8"/>
      <c r="AA165" s="8"/>
      <c r="AG165" s="8"/>
      <c r="AH165" s="8"/>
      <c r="AI165" s="29"/>
      <c r="AJ165" s="8"/>
    </row>
    <row r="166" spans="2:36" ht="27" customHeight="1">
      <c r="B166" s="27"/>
      <c r="C166" s="2"/>
      <c r="D166" s="8"/>
      <c r="E166" s="8"/>
      <c r="F166" s="8"/>
      <c r="L166" s="8"/>
      <c r="M166" s="8"/>
      <c r="S166" s="8"/>
      <c r="T166" s="8"/>
      <c r="Z166" s="8"/>
      <c r="AA166" s="8"/>
      <c r="AG166" s="8"/>
      <c r="AH166" s="8"/>
      <c r="AI166" s="29"/>
      <c r="AJ166" s="8"/>
    </row>
    <row r="167" spans="2:36" ht="27" customHeight="1">
      <c r="B167" s="27"/>
      <c r="C167" s="2"/>
      <c r="D167" s="8"/>
      <c r="E167" s="8"/>
      <c r="F167" s="8"/>
      <c r="L167" s="8"/>
      <c r="M167" s="8"/>
      <c r="S167" s="8"/>
      <c r="T167" s="8"/>
      <c r="Z167" s="8"/>
      <c r="AA167" s="8"/>
      <c r="AG167" s="8"/>
      <c r="AH167" s="8"/>
      <c r="AI167" s="29"/>
      <c r="AJ167" s="8"/>
    </row>
    <row r="168" spans="2:36" ht="27" customHeight="1">
      <c r="B168" s="27"/>
      <c r="C168" s="2"/>
      <c r="D168" s="8"/>
      <c r="E168" s="8"/>
      <c r="F168" s="8"/>
      <c r="L168" s="8"/>
      <c r="M168" s="8"/>
      <c r="S168" s="8"/>
      <c r="T168" s="8"/>
      <c r="Z168" s="8"/>
      <c r="AA168" s="8"/>
      <c r="AG168" s="8"/>
      <c r="AH168" s="8"/>
      <c r="AI168" s="29"/>
      <c r="AJ168" s="8"/>
    </row>
    <row r="169" spans="2:36" ht="27" customHeight="1">
      <c r="B169" s="27"/>
      <c r="C169" s="2"/>
      <c r="D169" s="8"/>
      <c r="E169" s="8"/>
      <c r="F169" s="8"/>
      <c r="L169" s="8"/>
      <c r="M169" s="8"/>
      <c r="S169" s="8"/>
      <c r="T169" s="8"/>
      <c r="Z169" s="8"/>
      <c r="AA169" s="8"/>
      <c r="AG169" s="8"/>
      <c r="AH169" s="8"/>
      <c r="AI169" s="29"/>
      <c r="AJ169" s="8"/>
    </row>
    <row r="170" spans="2:36" ht="27" customHeight="1">
      <c r="B170" s="27"/>
      <c r="C170" s="2"/>
      <c r="D170" s="8"/>
      <c r="E170" s="8"/>
      <c r="F170" s="8"/>
      <c r="L170" s="8"/>
      <c r="M170" s="8"/>
      <c r="S170" s="8"/>
      <c r="T170" s="8"/>
      <c r="Z170" s="8"/>
      <c r="AA170" s="8"/>
      <c r="AG170" s="8"/>
      <c r="AH170" s="8"/>
      <c r="AI170" s="29"/>
      <c r="AJ170" s="8"/>
    </row>
    <row r="171" spans="2:36" ht="27" customHeight="1">
      <c r="B171" s="27"/>
      <c r="C171" s="2"/>
      <c r="D171" s="8"/>
      <c r="E171" s="8"/>
      <c r="F171" s="8"/>
      <c r="L171" s="8"/>
      <c r="M171" s="8"/>
      <c r="S171" s="8"/>
      <c r="T171" s="8"/>
      <c r="Z171" s="8"/>
      <c r="AA171" s="8"/>
      <c r="AG171" s="8"/>
      <c r="AH171" s="8"/>
      <c r="AI171" s="29"/>
      <c r="AJ171" s="8"/>
    </row>
    <row r="172" spans="2:36" ht="27" customHeight="1">
      <c r="B172" s="27"/>
      <c r="C172" s="2"/>
      <c r="D172" s="8"/>
      <c r="E172" s="8"/>
      <c r="F172" s="8"/>
      <c r="L172" s="8"/>
      <c r="M172" s="8"/>
      <c r="S172" s="8"/>
      <c r="T172" s="8"/>
      <c r="Z172" s="8"/>
      <c r="AA172" s="8"/>
      <c r="AG172" s="8"/>
      <c r="AH172" s="8"/>
      <c r="AI172" s="29"/>
      <c r="AJ172" s="8"/>
    </row>
    <row r="173" spans="2:36" ht="27" customHeight="1">
      <c r="B173" s="27"/>
      <c r="C173" s="2"/>
      <c r="D173" s="8"/>
      <c r="E173" s="8"/>
      <c r="F173" s="8"/>
      <c r="L173" s="8"/>
      <c r="M173" s="8"/>
      <c r="S173" s="8"/>
      <c r="T173" s="8"/>
      <c r="Z173" s="8"/>
      <c r="AA173" s="8"/>
      <c r="AG173" s="8"/>
      <c r="AH173" s="8"/>
      <c r="AI173" s="29"/>
      <c r="AJ173" s="8"/>
    </row>
    <row r="174" spans="2:36" ht="27" customHeight="1">
      <c r="B174" s="27"/>
      <c r="C174" s="2"/>
      <c r="D174" s="8"/>
      <c r="E174" s="8"/>
      <c r="F174" s="8"/>
      <c r="L174" s="8"/>
      <c r="M174" s="8"/>
      <c r="S174" s="8"/>
      <c r="T174" s="8"/>
      <c r="Z174" s="8"/>
      <c r="AA174" s="8"/>
      <c r="AG174" s="8"/>
      <c r="AH174" s="8"/>
      <c r="AI174" s="29"/>
      <c r="AJ174" s="8"/>
    </row>
    <row r="175" spans="2:36" ht="27" customHeight="1">
      <c r="B175" s="27"/>
      <c r="C175" s="2"/>
      <c r="D175" s="8"/>
      <c r="E175" s="8"/>
      <c r="F175" s="8"/>
      <c r="L175" s="8"/>
      <c r="M175" s="8"/>
      <c r="S175" s="8"/>
      <c r="T175" s="8"/>
      <c r="Z175" s="8"/>
      <c r="AA175" s="8"/>
      <c r="AG175" s="8"/>
      <c r="AH175" s="8"/>
      <c r="AI175" s="29"/>
      <c r="AJ175" s="8"/>
    </row>
    <row r="176" spans="2:36" ht="27" customHeight="1">
      <c r="B176" s="27"/>
      <c r="C176" s="2"/>
      <c r="D176" s="8"/>
      <c r="E176" s="8"/>
      <c r="F176" s="8"/>
      <c r="L176" s="8"/>
      <c r="M176" s="8"/>
      <c r="S176" s="8"/>
      <c r="T176" s="8"/>
      <c r="Z176" s="8"/>
      <c r="AA176" s="8"/>
      <c r="AG176" s="8"/>
      <c r="AH176" s="8"/>
      <c r="AI176" s="29"/>
      <c r="AJ176" s="8"/>
    </row>
    <row r="177" spans="2:36" ht="27" customHeight="1">
      <c r="B177" s="27"/>
      <c r="C177" s="2"/>
      <c r="D177" s="8"/>
      <c r="E177" s="8"/>
      <c r="F177" s="8"/>
      <c r="L177" s="8"/>
      <c r="M177" s="8"/>
      <c r="S177" s="8"/>
      <c r="T177" s="8"/>
      <c r="Z177" s="8"/>
      <c r="AA177" s="8"/>
      <c r="AG177" s="8"/>
      <c r="AH177" s="8"/>
      <c r="AI177" s="29"/>
      <c r="AJ177" s="8"/>
    </row>
    <row r="178" spans="2:36" ht="27" customHeight="1">
      <c r="B178" s="27"/>
      <c r="C178" s="2"/>
      <c r="D178" s="8"/>
      <c r="E178" s="8"/>
      <c r="F178" s="8"/>
      <c r="L178" s="8"/>
      <c r="M178" s="8"/>
      <c r="S178" s="8"/>
      <c r="T178" s="8"/>
      <c r="Z178" s="8"/>
      <c r="AA178" s="8"/>
      <c r="AG178" s="8"/>
      <c r="AH178" s="8"/>
      <c r="AI178" s="29"/>
      <c r="AJ178" s="8"/>
    </row>
    <row r="179" spans="2:36" ht="27" customHeight="1">
      <c r="B179" s="27"/>
      <c r="C179" s="2"/>
      <c r="D179" s="8"/>
      <c r="E179" s="8"/>
      <c r="F179" s="8"/>
      <c r="L179" s="8"/>
      <c r="M179" s="8"/>
      <c r="S179" s="8"/>
      <c r="T179" s="8"/>
      <c r="Z179" s="8"/>
      <c r="AA179" s="8"/>
      <c r="AG179" s="8"/>
      <c r="AH179" s="8"/>
      <c r="AI179" s="29"/>
      <c r="AJ179" s="8"/>
    </row>
    <row r="180" spans="2:36" ht="27" customHeight="1">
      <c r="B180" s="27"/>
      <c r="C180" s="2"/>
      <c r="D180" s="8"/>
      <c r="E180" s="8"/>
      <c r="F180" s="8"/>
      <c r="L180" s="8"/>
      <c r="M180" s="8"/>
      <c r="S180" s="8"/>
      <c r="T180" s="8"/>
      <c r="Z180" s="8"/>
      <c r="AA180" s="8"/>
      <c r="AG180" s="8"/>
      <c r="AH180" s="8"/>
      <c r="AI180" s="29"/>
      <c r="AJ180" s="8"/>
    </row>
    <row r="181" spans="2:36" ht="27" customHeight="1">
      <c r="B181" s="27"/>
      <c r="C181" s="2"/>
      <c r="D181" s="8"/>
      <c r="E181" s="8"/>
      <c r="F181" s="8"/>
      <c r="L181" s="8"/>
      <c r="M181" s="8"/>
      <c r="S181" s="8"/>
      <c r="T181" s="8"/>
      <c r="Z181" s="8"/>
      <c r="AA181" s="8"/>
      <c r="AG181" s="8"/>
      <c r="AH181" s="8"/>
      <c r="AI181" s="29"/>
      <c r="AJ181" s="8"/>
    </row>
    <row r="182" spans="2:36" ht="27" customHeight="1">
      <c r="B182" s="27"/>
      <c r="C182" s="2"/>
      <c r="D182" s="8"/>
      <c r="E182" s="8"/>
      <c r="F182" s="8"/>
      <c r="L182" s="8"/>
      <c r="M182" s="8"/>
      <c r="S182" s="8"/>
      <c r="T182" s="8"/>
      <c r="Z182" s="8"/>
      <c r="AA182" s="8"/>
      <c r="AG182" s="8"/>
      <c r="AH182" s="8"/>
      <c r="AI182" s="29"/>
      <c r="AJ182" s="8"/>
    </row>
    <row r="183" spans="2:36" ht="27" customHeight="1">
      <c r="B183" s="27"/>
      <c r="C183" s="2"/>
      <c r="D183" s="8"/>
      <c r="E183" s="8"/>
      <c r="F183" s="8"/>
      <c r="L183" s="8"/>
      <c r="M183" s="8"/>
      <c r="S183" s="8"/>
      <c r="T183" s="8"/>
      <c r="Z183" s="8"/>
      <c r="AA183" s="8"/>
      <c r="AG183" s="8"/>
      <c r="AH183" s="8"/>
      <c r="AI183" s="29"/>
      <c r="AJ183" s="8"/>
    </row>
    <row r="184" spans="2:36" ht="27" customHeight="1">
      <c r="B184" s="27"/>
      <c r="C184" s="2"/>
      <c r="D184" s="8"/>
      <c r="E184" s="8"/>
      <c r="F184" s="8"/>
      <c r="L184" s="8"/>
      <c r="M184" s="8"/>
      <c r="S184" s="8"/>
      <c r="T184" s="8"/>
      <c r="Z184" s="8"/>
      <c r="AA184" s="8"/>
      <c r="AG184" s="8"/>
      <c r="AH184" s="8"/>
      <c r="AI184" s="29"/>
      <c r="AJ184" s="8"/>
    </row>
    <row r="185" spans="2:36" ht="27" customHeight="1">
      <c r="B185" s="27"/>
      <c r="C185" s="2"/>
      <c r="D185" s="8"/>
      <c r="E185" s="8"/>
      <c r="F185" s="8"/>
      <c r="L185" s="8"/>
      <c r="M185" s="8"/>
      <c r="S185" s="8"/>
      <c r="T185" s="8"/>
      <c r="Z185" s="8"/>
      <c r="AA185" s="8"/>
      <c r="AG185" s="8"/>
      <c r="AH185" s="8"/>
      <c r="AI185" s="29"/>
      <c r="AJ185" s="8"/>
    </row>
    <row r="186" spans="2:36" ht="27" customHeight="1">
      <c r="B186" s="27"/>
      <c r="C186" s="2"/>
      <c r="D186" s="8"/>
      <c r="E186" s="8"/>
      <c r="F186" s="8"/>
      <c r="L186" s="8"/>
      <c r="M186" s="8"/>
      <c r="S186" s="8"/>
      <c r="T186" s="8"/>
      <c r="Z186" s="8"/>
      <c r="AA186" s="8"/>
      <c r="AG186" s="8"/>
      <c r="AH186" s="8"/>
      <c r="AI186" s="29"/>
      <c r="AJ186" s="8"/>
    </row>
    <row r="187" spans="2:36" ht="27" customHeight="1">
      <c r="B187" s="27"/>
      <c r="C187" s="2"/>
      <c r="D187" s="8"/>
      <c r="E187" s="8"/>
      <c r="F187" s="8"/>
      <c r="L187" s="8"/>
      <c r="M187" s="8"/>
      <c r="S187" s="8"/>
      <c r="T187" s="8"/>
      <c r="Z187" s="8"/>
      <c r="AA187" s="8"/>
      <c r="AG187" s="8"/>
      <c r="AH187" s="8"/>
      <c r="AI187" s="29"/>
      <c r="AJ187" s="8"/>
    </row>
    <row r="188" spans="2:36" ht="27" customHeight="1">
      <c r="B188" s="27"/>
      <c r="C188" s="2"/>
      <c r="D188" s="8"/>
      <c r="E188" s="8"/>
      <c r="F188" s="8"/>
      <c r="L188" s="8"/>
      <c r="M188" s="8"/>
      <c r="S188" s="8"/>
      <c r="T188" s="8"/>
      <c r="Z188" s="8"/>
      <c r="AA188" s="8"/>
      <c r="AG188" s="8"/>
      <c r="AH188" s="8"/>
      <c r="AI188" s="29"/>
      <c r="AJ188" s="8"/>
    </row>
    <row r="189" spans="2:36" ht="27" customHeight="1">
      <c r="B189" s="27"/>
      <c r="C189" s="2"/>
      <c r="D189" s="8"/>
      <c r="E189" s="8"/>
      <c r="F189" s="8"/>
      <c r="L189" s="8"/>
      <c r="M189" s="8"/>
      <c r="S189" s="8"/>
      <c r="T189" s="8"/>
      <c r="Z189" s="8"/>
      <c r="AA189" s="8"/>
      <c r="AG189" s="8"/>
      <c r="AH189" s="8"/>
      <c r="AI189" s="29"/>
      <c r="AJ189" s="8"/>
    </row>
    <row r="190" spans="2:36" ht="27" customHeight="1">
      <c r="B190" s="27"/>
      <c r="C190" s="2"/>
      <c r="D190" s="8"/>
      <c r="E190" s="8"/>
      <c r="F190" s="8"/>
      <c r="L190" s="8"/>
      <c r="M190" s="8"/>
      <c r="S190" s="8"/>
      <c r="T190" s="8"/>
      <c r="Z190" s="8"/>
      <c r="AA190" s="8"/>
      <c r="AG190" s="8"/>
      <c r="AH190" s="8"/>
      <c r="AI190" s="29"/>
      <c r="AJ190" s="8"/>
    </row>
    <row r="191" spans="2:36" ht="27" customHeight="1">
      <c r="B191" s="27"/>
      <c r="C191" s="2"/>
      <c r="D191" s="8"/>
      <c r="E191" s="8"/>
      <c r="F191" s="8"/>
      <c r="L191" s="8"/>
      <c r="M191" s="8"/>
      <c r="S191" s="8"/>
      <c r="T191" s="8"/>
      <c r="Z191" s="8"/>
      <c r="AA191" s="8"/>
      <c r="AG191" s="8"/>
      <c r="AH191" s="8"/>
      <c r="AI191" s="29"/>
      <c r="AJ191" s="8"/>
    </row>
    <row r="192" spans="2:36" ht="27" customHeight="1">
      <c r="B192" s="27"/>
      <c r="C192" s="2"/>
      <c r="D192" s="8"/>
      <c r="E192" s="8"/>
      <c r="F192" s="8"/>
      <c r="L192" s="8"/>
      <c r="M192" s="8"/>
      <c r="S192" s="8"/>
      <c r="T192" s="8"/>
      <c r="Z192" s="8"/>
      <c r="AA192" s="8"/>
      <c r="AG192" s="8"/>
      <c r="AH192" s="8"/>
      <c r="AI192" s="29"/>
      <c r="AJ192" s="8"/>
    </row>
    <row r="193" spans="2:36" ht="27" customHeight="1">
      <c r="B193" s="27"/>
      <c r="C193" s="2"/>
      <c r="D193" s="8"/>
      <c r="E193" s="8"/>
      <c r="F193" s="8"/>
      <c r="L193" s="8"/>
      <c r="M193" s="8"/>
      <c r="S193" s="8"/>
      <c r="T193" s="8"/>
      <c r="Z193" s="8"/>
      <c r="AA193" s="8"/>
      <c r="AG193" s="8"/>
      <c r="AH193" s="8"/>
      <c r="AI193" s="29"/>
      <c r="AJ193" s="8"/>
    </row>
    <row r="194" spans="2:36" ht="27" customHeight="1">
      <c r="B194" s="27"/>
      <c r="C194" s="2"/>
      <c r="D194" s="8"/>
      <c r="E194" s="8"/>
      <c r="F194" s="8"/>
      <c r="L194" s="8"/>
      <c r="M194" s="8"/>
      <c r="S194" s="8"/>
      <c r="T194" s="8"/>
      <c r="Z194" s="8"/>
      <c r="AA194" s="8"/>
      <c r="AG194" s="8"/>
      <c r="AH194" s="8"/>
      <c r="AI194" s="29"/>
      <c r="AJ194" s="8"/>
    </row>
    <row r="195" spans="2:36" ht="27" customHeight="1">
      <c r="B195" s="27"/>
      <c r="C195" s="2"/>
      <c r="D195" s="8"/>
      <c r="E195" s="8"/>
      <c r="F195" s="8"/>
      <c r="L195" s="8"/>
      <c r="M195" s="8"/>
      <c r="S195" s="8"/>
      <c r="T195" s="8"/>
      <c r="Z195" s="8"/>
      <c r="AA195" s="8"/>
      <c r="AG195" s="8"/>
      <c r="AH195" s="8"/>
      <c r="AI195" s="29"/>
      <c r="AJ195" s="8"/>
    </row>
    <row r="196" spans="2:36" ht="27" customHeight="1">
      <c r="B196" s="27"/>
      <c r="C196" s="2"/>
      <c r="D196" s="8"/>
      <c r="E196" s="8"/>
      <c r="F196" s="8"/>
      <c r="L196" s="8"/>
      <c r="M196" s="8"/>
      <c r="S196" s="8"/>
      <c r="T196" s="8"/>
      <c r="Z196" s="8"/>
      <c r="AA196" s="8"/>
      <c r="AG196" s="8"/>
      <c r="AH196" s="8"/>
      <c r="AI196" s="29"/>
      <c r="AJ196" s="8"/>
    </row>
    <row r="197" spans="2:36" ht="27" customHeight="1">
      <c r="B197" s="27"/>
      <c r="C197" s="2"/>
      <c r="D197" s="8"/>
      <c r="E197" s="8"/>
      <c r="F197" s="8"/>
      <c r="L197" s="8"/>
      <c r="M197" s="8"/>
      <c r="S197" s="8"/>
      <c r="T197" s="8"/>
      <c r="Z197" s="8"/>
      <c r="AA197" s="8"/>
      <c r="AG197" s="8"/>
      <c r="AH197" s="8"/>
      <c r="AI197" s="29"/>
      <c r="AJ197" s="8"/>
    </row>
    <row r="198" spans="2:36" ht="27" customHeight="1">
      <c r="B198" s="27"/>
      <c r="C198" s="2"/>
      <c r="D198" s="8"/>
      <c r="E198" s="8"/>
      <c r="F198" s="8"/>
      <c r="L198" s="8"/>
      <c r="M198" s="8"/>
      <c r="S198" s="8"/>
      <c r="T198" s="8"/>
      <c r="Z198" s="8"/>
      <c r="AA198" s="8"/>
      <c r="AG198" s="8"/>
      <c r="AH198" s="8"/>
      <c r="AI198" s="29"/>
      <c r="AJ198" s="8"/>
    </row>
    <row r="199" spans="2:36" ht="27" customHeight="1">
      <c r="B199" s="27"/>
      <c r="C199" s="2"/>
      <c r="D199" s="8"/>
      <c r="E199" s="8"/>
      <c r="F199" s="8"/>
      <c r="L199" s="8"/>
      <c r="M199" s="8"/>
      <c r="S199" s="8"/>
      <c r="T199" s="8"/>
      <c r="Z199" s="8"/>
      <c r="AA199" s="8"/>
      <c r="AG199" s="8"/>
      <c r="AH199" s="8"/>
      <c r="AI199" s="29"/>
      <c r="AJ199" s="8"/>
    </row>
    <row r="200" spans="2:36" ht="27" customHeight="1">
      <c r="B200" s="27"/>
      <c r="C200" s="2"/>
      <c r="D200" s="8"/>
      <c r="E200" s="8"/>
      <c r="F200" s="8"/>
      <c r="L200" s="8"/>
      <c r="M200" s="8"/>
      <c r="S200" s="8"/>
      <c r="T200" s="8"/>
      <c r="Z200" s="8"/>
      <c r="AA200" s="8"/>
      <c r="AG200" s="8"/>
      <c r="AH200" s="8"/>
      <c r="AI200" s="29"/>
      <c r="AJ200" s="8"/>
    </row>
    <row r="201" spans="2:36" ht="27" customHeight="1">
      <c r="B201" s="27"/>
      <c r="C201" s="2"/>
      <c r="D201" s="8"/>
      <c r="E201" s="8"/>
      <c r="F201" s="8"/>
      <c r="L201" s="8"/>
      <c r="M201" s="8"/>
      <c r="S201" s="8"/>
      <c r="T201" s="8"/>
      <c r="Z201" s="8"/>
      <c r="AA201" s="8"/>
      <c r="AG201" s="8"/>
      <c r="AH201" s="8"/>
      <c r="AI201" s="29"/>
      <c r="AJ201" s="8"/>
    </row>
    <row r="202" spans="2:36" ht="27" customHeight="1">
      <c r="B202" s="27"/>
      <c r="C202" s="2"/>
      <c r="D202" s="8"/>
      <c r="E202" s="8"/>
      <c r="F202" s="8"/>
      <c r="L202" s="8"/>
      <c r="M202" s="8"/>
      <c r="S202" s="8"/>
      <c r="T202" s="8"/>
      <c r="Z202" s="8"/>
      <c r="AA202" s="8"/>
      <c r="AG202" s="8"/>
      <c r="AH202" s="8"/>
      <c r="AI202" s="29"/>
      <c r="AJ202" s="8"/>
    </row>
    <row r="203" spans="2:36" ht="27" customHeight="1">
      <c r="B203" s="27"/>
      <c r="C203" s="2"/>
      <c r="D203" s="8"/>
      <c r="E203" s="8"/>
      <c r="F203" s="8"/>
      <c r="L203" s="8"/>
      <c r="M203" s="8"/>
      <c r="S203" s="8"/>
      <c r="T203" s="8"/>
      <c r="Z203" s="8"/>
      <c r="AA203" s="8"/>
      <c r="AG203" s="8"/>
      <c r="AH203" s="8"/>
      <c r="AI203" s="29"/>
      <c r="AJ203" s="8"/>
    </row>
    <row r="204" spans="2:36" ht="27" customHeight="1">
      <c r="B204" s="27"/>
      <c r="C204" s="2"/>
      <c r="D204" s="8"/>
      <c r="E204" s="8"/>
      <c r="F204" s="8"/>
      <c r="L204" s="8"/>
      <c r="M204" s="8"/>
      <c r="S204" s="8"/>
      <c r="T204" s="8"/>
      <c r="Z204" s="8"/>
      <c r="AA204" s="8"/>
      <c r="AG204" s="8"/>
      <c r="AH204" s="8"/>
      <c r="AI204" s="29"/>
      <c r="AJ204" s="8"/>
    </row>
    <row r="205" spans="2:36" ht="27" customHeight="1">
      <c r="B205" s="27"/>
      <c r="C205" s="2"/>
      <c r="D205" s="8"/>
      <c r="E205" s="8"/>
      <c r="F205" s="8"/>
      <c r="L205" s="8"/>
      <c r="M205" s="8"/>
      <c r="S205" s="8"/>
      <c r="T205" s="8"/>
      <c r="Z205" s="8"/>
      <c r="AA205" s="8"/>
      <c r="AG205" s="8"/>
      <c r="AH205" s="8"/>
      <c r="AI205" s="29"/>
      <c r="AJ205" s="8"/>
    </row>
    <row r="206" spans="2:36" ht="27" customHeight="1">
      <c r="B206" s="27"/>
      <c r="C206" s="2"/>
      <c r="D206" s="8"/>
      <c r="E206" s="8"/>
      <c r="F206" s="8"/>
      <c r="L206" s="8"/>
      <c r="M206" s="8"/>
      <c r="S206" s="8"/>
      <c r="T206" s="8"/>
      <c r="Z206" s="8"/>
      <c r="AA206" s="8"/>
      <c r="AG206" s="8"/>
      <c r="AH206" s="8"/>
      <c r="AI206" s="29"/>
      <c r="AJ206" s="8"/>
    </row>
    <row r="207" spans="2:36" ht="27" customHeight="1">
      <c r="B207" s="27"/>
      <c r="C207" s="2"/>
      <c r="D207" s="8"/>
      <c r="E207" s="8"/>
      <c r="F207" s="8"/>
      <c r="L207" s="8"/>
      <c r="M207" s="8"/>
      <c r="S207" s="8"/>
      <c r="T207" s="8"/>
      <c r="Z207" s="8"/>
      <c r="AA207" s="8"/>
      <c r="AG207" s="8"/>
      <c r="AH207" s="8"/>
      <c r="AI207" s="29"/>
      <c r="AJ207" s="8"/>
    </row>
    <row r="208" spans="2:36" ht="27" customHeight="1">
      <c r="B208" s="27"/>
      <c r="C208" s="2"/>
      <c r="D208" s="8"/>
      <c r="E208" s="8"/>
      <c r="F208" s="8"/>
      <c r="L208" s="8"/>
      <c r="M208" s="8"/>
      <c r="S208" s="8"/>
      <c r="T208" s="8"/>
      <c r="Z208" s="8"/>
      <c r="AA208" s="8"/>
      <c r="AG208" s="8"/>
      <c r="AH208" s="8"/>
      <c r="AI208" s="29"/>
      <c r="AJ208" s="8"/>
    </row>
    <row r="209" spans="2:36" ht="27" customHeight="1">
      <c r="B209" s="27"/>
      <c r="C209" s="2"/>
      <c r="D209" s="8"/>
      <c r="E209" s="8"/>
      <c r="F209" s="8"/>
      <c r="L209" s="8"/>
      <c r="M209" s="8"/>
      <c r="S209" s="8"/>
      <c r="T209" s="8"/>
      <c r="Z209" s="8"/>
      <c r="AA209" s="8"/>
      <c r="AG209" s="8"/>
      <c r="AH209" s="8"/>
      <c r="AI209" s="29"/>
      <c r="AJ209" s="8"/>
    </row>
    <row r="210" spans="2:36" ht="27" customHeight="1">
      <c r="B210" s="27"/>
      <c r="C210" s="2"/>
      <c r="D210" s="8"/>
      <c r="E210" s="8"/>
      <c r="F210" s="8"/>
      <c r="L210" s="8"/>
      <c r="M210" s="8"/>
      <c r="S210" s="8"/>
      <c r="T210" s="8"/>
      <c r="Z210" s="8"/>
      <c r="AA210" s="8"/>
      <c r="AG210" s="8"/>
      <c r="AH210" s="8"/>
      <c r="AI210" s="29"/>
      <c r="AJ210" s="8"/>
    </row>
    <row r="211" spans="2:36" ht="27" customHeight="1">
      <c r="B211" s="27"/>
      <c r="C211" s="2"/>
      <c r="D211" s="8"/>
      <c r="E211" s="8"/>
      <c r="F211" s="8"/>
      <c r="L211" s="8"/>
      <c r="M211" s="8"/>
      <c r="S211" s="8"/>
      <c r="T211" s="8"/>
      <c r="Z211" s="8"/>
      <c r="AA211" s="8"/>
      <c r="AG211" s="8"/>
      <c r="AH211" s="8"/>
      <c r="AI211" s="29"/>
      <c r="AJ211" s="8"/>
    </row>
    <row r="212" spans="2:36" ht="27" customHeight="1">
      <c r="B212" s="27"/>
      <c r="C212" s="2"/>
      <c r="D212" s="8"/>
      <c r="E212" s="8"/>
      <c r="F212" s="8"/>
      <c r="L212" s="8"/>
      <c r="M212" s="8"/>
      <c r="S212" s="8"/>
      <c r="T212" s="8"/>
      <c r="Z212" s="8"/>
      <c r="AA212" s="8"/>
      <c r="AG212" s="8"/>
      <c r="AH212" s="8"/>
      <c r="AI212" s="29"/>
      <c r="AJ212" s="8"/>
    </row>
    <row r="213" spans="2:36" ht="27" customHeight="1">
      <c r="B213" s="27"/>
      <c r="C213" s="2"/>
      <c r="D213" s="8"/>
      <c r="E213" s="8"/>
      <c r="F213" s="8"/>
      <c r="L213" s="8"/>
      <c r="M213" s="8"/>
      <c r="S213" s="8"/>
      <c r="T213" s="8"/>
      <c r="Z213" s="8"/>
      <c r="AA213" s="8"/>
      <c r="AG213" s="8"/>
      <c r="AH213" s="8"/>
      <c r="AI213" s="29"/>
      <c r="AJ213" s="8"/>
    </row>
    <row r="214" spans="2:36" ht="27" customHeight="1">
      <c r="B214" s="27"/>
      <c r="C214" s="2"/>
      <c r="D214" s="8"/>
      <c r="E214" s="8"/>
      <c r="F214" s="8"/>
      <c r="L214" s="8"/>
      <c r="M214" s="8"/>
      <c r="S214" s="8"/>
      <c r="T214" s="8"/>
      <c r="Z214" s="8"/>
      <c r="AA214" s="8"/>
      <c r="AG214" s="8"/>
      <c r="AH214" s="8"/>
      <c r="AI214" s="29"/>
      <c r="AJ214" s="8"/>
    </row>
    <row r="215" spans="2:36" ht="27" customHeight="1">
      <c r="B215" s="27"/>
      <c r="C215" s="2"/>
      <c r="D215" s="8"/>
      <c r="E215" s="8"/>
      <c r="F215" s="8"/>
      <c r="L215" s="8"/>
      <c r="M215" s="8"/>
      <c r="S215" s="8"/>
      <c r="T215" s="8"/>
      <c r="Z215" s="8"/>
      <c r="AA215" s="8"/>
      <c r="AG215" s="8"/>
      <c r="AH215" s="8"/>
      <c r="AI215" s="29"/>
      <c r="AJ215" s="8"/>
    </row>
    <row r="216" spans="2:36" ht="27" customHeight="1">
      <c r="B216" s="27"/>
      <c r="C216" s="2"/>
      <c r="D216" s="8"/>
      <c r="E216" s="8"/>
      <c r="F216" s="8"/>
      <c r="L216" s="8"/>
      <c r="M216" s="8"/>
      <c r="S216" s="8"/>
      <c r="T216" s="8"/>
      <c r="Z216" s="8"/>
      <c r="AA216" s="8"/>
      <c r="AG216" s="8"/>
      <c r="AH216" s="8"/>
      <c r="AI216" s="29"/>
      <c r="AJ216" s="8"/>
    </row>
    <row r="217" spans="2:36" ht="27" customHeight="1">
      <c r="B217" s="27"/>
      <c r="C217" s="2"/>
      <c r="D217" s="8"/>
      <c r="E217" s="8"/>
      <c r="F217" s="8"/>
      <c r="L217" s="8"/>
      <c r="M217" s="8"/>
      <c r="S217" s="8"/>
      <c r="T217" s="8"/>
      <c r="Z217" s="8"/>
      <c r="AA217" s="8"/>
      <c r="AG217" s="8"/>
      <c r="AH217" s="8"/>
      <c r="AI217" s="29"/>
      <c r="AJ217" s="8"/>
    </row>
    <row r="218" spans="2:36" ht="27" customHeight="1">
      <c r="B218" s="27"/>
      <c r="C218" s="2"/>
      <c r="D218" s="8"/>
      <c r="E218" s="8"/>
      <c r="F218" s="8"/>
      <c r="L218" s="8"/>
      <c r="M218" s="8"/>
      <c r="S218" s="8"/>
      <c r="T218" s="8"/>
      <c r="Z218" s="8"/>
      <c r="AA218" s="8"/>
      <c r="AG218" s="8"/>
      <c r="AH218" s="8"/>
      <c r="AI218" s="29"/>
      <c r="AJ218" s="8"/>
    </row>
    <row r="219" spans="2:36" ht="27" customHeight="1">
      <c r="B219" s="27"/>
      <c r="C219" s="2"/>
      <c r="D219" s="8"/>
      <c r="E219" s="8"/>
      <c r="F219" s="8"/>
      <c r="L219" s="8"/>
      <c r="M219" s="8"/>
      <c r="S219" s="8"/>
      <c r="T219" s="8"/>
      <c r="Z219" s="8"/>
      <c r="AA219" s="8"/>
      <c r="AG219" s="8"/>
      <c r="AH219" s="8"/>
      <c r="AI219" s="29"/>
      <c r="AJ219" s="8"/>
    </row>
    <row r="220" spans="2:36" ht="27" customHeight="1">
      <c r="B220" s="27"/>
      <c r="C220" s="2"/>
      <c r="D220" s="8"/>
      <c r="E220" s="8"/>
      <c r="F220" s="8"/>
      <c r="L220" s="8"/>
      <c r="M220" s="8"/>
      <c r="S220" s="8"/>
      <c r="T220" s="8"/>
      <c r="Z220" s="8"/>
      <c r="AA220" s="8"/>
      <c r="AG220" s="8"/>
      <c r="AH220" s="8"/>
      <c r="AI220" s="29"/>
      <c r="AJ220" s="8"/>
    </row>
    <row r="221" spans="2:36" ht="27" customHeight="1">
      <c r="B221" s="27"/>
      <c r="C221" s="2"/>
      <c r="D221" s="8"/>
      <c r="E221" s="8"/>
      <c r="F221" s="8"/>
      <c r="L221" s="8"/>
      <c r="M221" s="8"/>
      <c r="S221" s="8"/>
      <c r="T221" s="8"/>
      <c r="Z221" s="8"/>
      <c r="AA221" s="8"/>
      <c r="AG221" s="8"/>
      <c r="AH221" s="8"/>
      <c r="AI221" s="29"/>
      <c r="AJ221" s="8"/>
    </row>
    <row r="222" spans="2:36" ht="27" customHeight="1">
      <c r="B222" s="27"/>
      <c r="C222" s="2"/>
      <c r="D222" s="8"/>
      <c r="E222" s="8"/>
      <c r="F222" s="8"/>
      <c r="L222" s="8"/>
      <c r="M222" s="8"/>
      <c r="S222" s="8"/>
      <c r="T222" s="8"/>
      <c r="Z222" s="8"/>
      <c r="AA222" s="8"/>
      <c r="AG222" s="8"/>
      <c r="AH222" s="8"/>
      <c r="AI222" s="29"/>
      <c r="AJ222" s="8"/>
    </row>
    <row r="223" spans="2:36" ht="27" customHeight="1">
      <c r="B223" s="27"/>
      <c r="C223" s="2"/>
      <c r="D223" s="8"/>
      <c r="E223" s="8"/>
      <c r="F223" s="8"/>
      <c r="L223" s="8"/>
      <c r="M223" s="8"/>
      <c r="S223" s="8"/>
      <c r="T223" s="8"/>
      <c r="Z223" s="8"/>
      <c r="AA223" s="8"/>
      <c r="AG223" s="8"/>
      <c r="AH223" s="8"/>
      <c r="AI223" s="29"/>
      <c r="AJ223" s="8"/>
    </row>
    <row r="224" spans="2:36" ht="27" customHeight="1">
      <c r="B224" s="27"/>
      <c r="C224" s="2"/>
      <c r="D224" s="8"/>
      <c r="E224" s="8"/>
      <c r="F224" s="8"/>
      <c r="L224" s="8"/>
      <c r="M224" s="8"/>
      <c r="S224" s="8"/>
      <c r="T224" s="8"/>
      <c r="Z224" s="8"/>
      <c r="AA224" s="8"/>
      <c r="AG224" s="8"/>
      <c r="AH224" s="8"/>
      <c r="AI224" s="29"/>
      <c r="AJ224" s="8"/>
    </row>
    <row r="225" spans="2:36" ht="27" customHeight="1">
      <c r="B225" s="27"/>
      <c r="C225" s="2"/>
      <c r="D225" s="8"/>
      <c r="E225" s="8"/>
      <c r="F225" s="8"/>
      <c r="L225" s="8"/>
      <c r="M225" s="8"/>
      <c r="S225" s="8"/>
      <c r="T225" s="8"/>
      <c r="Z225" s="8"/>
      <c r="AA225" s="8"/>
      <c r="AG225" s="8"/>
      <c r="AH225" s="8"/>
      <c r="AI225" s="29"/>
      <c r="AJ225" s="8"/>
    </row>
    <row r="226" spans="2:36" ht="27" customHeight="1">
      <c r="B226" s="27"/>
      <c r="C226" s="2"/>
      <c r="D226" s="8"/>
      <c r="E226" s="8"/>
      <c r="F226" s="8"/>
      <c r="L226" s="8"/>
      <c r="M226" s="8"/>
      <c r="S226" s="8"/>
      <c r="T226" s="8"/>
      <c r="Z226" s="8"/>
      <c r="AA226" s="8"/>
      <c r="AG226" s="8"/>
      <c r="AH226" s="8"/>
      <c r="AI226" s="29"/>
      <c r="AJ226" s="8"/>
    </row>
    <row r="227" spans="2:36" ht="27" customHeight="1">
      <c r="B227" s="27"/>
      <c r="C227" s="2"/>
      <c r="D227" s="8"/>
      <c r="E227" s="8"/>
      <c r="F227" s="8"/>
      <c r="L227" s="8"/>
      <c r="M227" s="8"/>
      <c r="S227" s="8"/>
      <c r="T227" s="8"/>
      <c r="Z227" s="8"/>
      <c r="AA227" s="8"/>
      <c r="AG227" s="8"/>
      <c r="AH227" s="8"/>
      <c r="AI227" s="29"/>
      <c r="AJ227" s="8"/>
    </row>
    <row r="228" spans="2:36" ht="27" customHeight="1">
      <c r="B228" s="27"/>
      <c r="C228" s="2"/>
      <c r="D228" s="8"/>
      <c r="E228" s="8"/>
      <c r="F228" s="8"/>
      <c r="L228" s="8"/>
      <c r="M228" s="8"/>
      <c r="S228" s="8"/>
      <c r="T228" s="8"/>
      <c r="Z228" s="8"/>
      <c r="AA228" s="8"/>
      <c r="AG228" s="8"/>
      <c r="AH228" s="8"/>
      <c r="AI228" s="29"/>
      <c r="AJ228" s="8"/>
    </row>
    <row r="229" spans="2:36" ht="27" customHeight="1">
      <c r="B229" s="27"/>
      <c r="C229" s="2"/>
      <c r="D229" s="8"/>
      <c r="E229" s="8"/>
      <c r="F229" s="8"/>
      <c r="L229" s="8"/>
      <c r="M229" s="8"/>
      <c r="S229" s="8"/>
      <c r="T229" s="8"/>
      <c r="Z229" s="8"/>
      <c r="AA229" s="8"/>
      <c r="AG229" s="8"/>
      <c r="AH229" s="8"/>
      <c r="AI229" s="29"/>
      <c r="AJ229" s="8"/>
    </row>
    <row r="230" spans="2:36" ht="27" customHeight="1">
      <c r="B230" s="27"/>
      <c r="C230" s="2"/>
      <c r="D230" s="8"/>
      <c r="E230" s="8"/>
      <c r="F230" s="8"/>
      <c r="L230" s="8"/>
      <c r="M230" s="8"/>
      <c r="S230" s="8"/>
      <c r="T230" s="8"/>
      <c r="Z230" s="8"/>
      <c r="AA230" s="8"/>
      <c r="AG230" s="8"/>
      <c r="AH230" s="8"/>
      <c r="AI230" s="29"/>
      <c r="AJ230" s="8"/>
    </row>
    <row r="231" spans="2:36" ht="27" customHeight="1">
      <c r="B231" s="27"/>
      <c r="C231" s="2"/>
      <c r="D231" s="8"/>
      <c r="E231" s="8"/>
      <c r="F231" s="8"/>
      <c r="L231" s="8"/>
      <c r="M231" s="8"/>
      <c r="S231" s="8"/>
      <c r="T231" s="8"/>
      <c r="Z231" s="8"/>
      <c r="AA231" s="8"/>
      <c r="AG231" s="8"/>
      <c r="AH231" s="8"/>
      <c r="AI231" s="29"/>
      <c r="AJ231" s="8"/>
    </row>
    <row r="232" spans="2:36" ht="27" customHeight="1">
      <c r="B232" s="27"/>
      <c r="C232" s="2"/>
      <c r="D232" s="8"/>
      <c r="E232" s="8"/>
      <c r="F232" s="8"/>
      <c r="L232" s="8"/>
      <c r="M232" s="8"/>
      <c r="S232" s="8"/>
      <c r="T232" s="8"/>
      <c r="Z232" s="8"/>
      <c r="AA232" s="8"/>
      <c r="AG232" s="8"/>
      <c r="AH232" s="8"/>
      <c r="AI232" s="29"/>
      <c r="AJ232" s="8"/>
    </row>
    <row r="233" spans="2:36" ht="27" customHeight="1">
      <c r="B233" s="27"/>
      <c r="C233" s="2"/>
      <c r="D233" s="8"/>
      <c r="E233" s="8"/>
      <c r="F233" s="8"/>
      <c r="L233" s="8"/>
      <c r="M233" s="8"/>
      <c r="S233" s="8"/>
      <c r="T233" s="8"/>
      <c r="Z233" s="8"/>
      <c r="AA233" s="8"/>
      <c r="AG233" s="8"/>
      <c r="AH233" s="8"/>
      <c r="AI233" s="29"/>
      <c r="AJ233" s="8"/>
    </row>
    <row r="234" spans="2:36" ht="27" customHeight="1">
      <c r="B234" s="27"/>
      <c r="C234" s="2"/>
      <c r="D234" s="8"/>
      <c r="E234" s="8"/>
      <c r="F234" s="8"/>
      <c r="L234" s="8"/>
      <c r="M234" s="8"/>
      <c r="S234" s="8"/>
      <c r="T234" s="8"/>
      <c r="Z234" s="8"/>
      <c r="AA234" s="8"/>
      <c r="AG234" s="8"/>
      <c r="AH234" s="8"/>
      <c r="AI234" s="29"/>
      <c r="AJ234" s="8"/>
    </row>
    <row r="235" spans="2:36" ht="27" customHeight="1">
      <c r="B235" s="27"/>
      <c r="C235" s="2"/>
      <c r="D235" s="8"/>
      <c r="E235" s="8"/>
      <c r="F235" s="8"/>
      <c r="L235" s="8"/>
      <c r="M235" s="8"/>
      <c r="S235" s="8"/>
      <c r="T235" s="8"/>
      <c r="Z235" s="8"/>
      <c r="AA235" s="8"/>
      <c r="AG235" s="8"/>
      <c r="AH235" s="8"/>
      <c r="AI235" s="29"/>
      <c r="AJ235" s="8"/>
    </row>
    <row r="236" spans="2:36" ht="27" customHeight="1">
      <c r="B236" s="27"/>
      <c r="C236" s="2"/>
      <c r="D236" s="8"/>
      <c r="E236" s="8"/>
      <c r="F236" s="8"/>
      <c r="L236" s="8"/>
      <c r="M236" s="8"/>
      <c r="S236" s="8"/>
      <c r="T236" s="8"/>
      <c r="Z236" s="8"/>
      <c r="AA236" s="8"/>
      <c r="AG236" s="8"/>
      <c r="AH236" s="8"/>
      <c r="AI236" s="29"/>
      <c r="AJ236" s="8"/>
    </row>
    <row r="237" spans="2:36" ht="27" customHeight="1">
      <c r="B237" s="27"/>
      <c r="C237" s="2"/>
      <c r="D237" s="8"/>
      <c r="E237" s="8"/>
      <c r="F237" s="8"/>
      <c r="L237" s="8"/>
      <c r="M237" s="8"/>
      <c r="S237" s="8"/>
      <c r="T237" s="8"/>
      <c r="Z237" s="8"/>
      <c r="AA237" s="8"/>
      <c r="AG237" s="8"/>
      <c r="AH237" s="8"/>
      <c r="AI237" s="29"/>
      <c r="AJ237" s="8"/>
    </row>
    <row r="238" spans="2:36" ht="27" customHeight="1">
      <c r="B238" s="27"/>
      <c r="C238" s="2"/>
      <c r="D238" s="8"/>
      <c r="E238" s="8"/>
      <c r="F238" s="8"/>
      <c r="L238" s="8"/>
      <c r="M238" s="8"/>
      <c r="S238" s="8"/>
      <c r="T238" s="8"/>
      <c r="Z238" s="8"/>
      <c r="AA238" s="8"/>
      <c r="AG238" s="8"/>
      <c r="AH238" s="8"/>
      <c r="AI238" s="29"/>
      <c r="AJ238" s="8"/>
    </row>
    <row r="239" spans="2:36" ht="27" customHeight="1">
      <c r="B239" s="27"/>
      <c r="C239" s="2"/>
      <c r="D239" s="8"/>
      <c r="E239" s="8"/>
      <c r="F239" s="8"/>
      <c r="L239" s="8"/>
      <c r="M239" s="8"/>
      <c r="S239" s="8"/>
      <c r="T239" s="8"/>
      <c r="Z239" s="8"/>
      <c r="AA239" s="8"/>
      <c r="AG239" s="8"/>
      <c r="AH239" s="8"/>
      <c r="AI239" s="29"/>
      <c r="AJ239" s="8"/>
    </row>
    <row r="240" spans="2:36" ht="27" customHeight="1">
      <c r="B240" s="27"/>
      <c r="C240" s="2"/>
      <c r="D240" s="8"/>
      <c r="E240" s="8"/>
      <c r="F240" s="8"/>
      <c r="L240" s="8"/>
      <c r="M240" s="8"/>
      <c r="S240" s="8"/>
      <c r="T240" s="8"/>
      <c r="Z240" s="8"/>
      <c r="AA240" s="8"/>
      <c r="AG240" s="8"/>
      <c r="AH240" s="8"/>
      <c r="AI240" s="29"/>
      <c r="AJ240" s="8"/>
    </row>
    <row r="241" spans="2:36" ht="27" customHeight="1">
      <c r="B241" s="27"/>
      <c r="C241" s="2"/>
      <c r="D241" s="8"/>
      <c r="E241" s="8"/>
      <c r="F241" s="8"/>
      <c r="L241" s="8"/>
      <c r="M241" s="8"/>
      <c r="S241" s="8"/>
      <c r="T241" s="8"/>
      <c r="Z241" s="8"/>
      <c r="AA241" s="8"/>
      <c r="AG241" s="8"/>
      <c r="AH241" s="8"/>
      <c r="AI241" s="29"/>
      <c r="AJ241" s="8"/>
    </row>
    <row r="242" spans="2:36" ht="27" customHeight="1">
      <c r="B242" s="27"/>
      <c r="C242" s="2"/>
      <c r="D242" s="8"/>
      <c r="E242" s="8"/>
      <c r="F242" s="8"/>
      <c r="L242" s="8"/>
      <c r="M242" s="8"/>
      <c r="S242" s="8"/>
      <c r="T242" s="8"/>
      <c r="Z242" s="8"/>
      <c r="AA242" s="8"/>
      <c r="AG242" s="8"/>
      <c r="AH242" s="8"/>
      <c r="AI242" s="29"/>
      <c r="AJ242" s="8"/>
    </row>
    <row r="243" spans="2:36" ht="27" customHeight="1">
      <c r="B243" s="27"/>
      <c r="C243" s="2"/>
      <c r="D243" s="8"/>
      <c r="E243" s="8"/>
      <c r="F243" s="8"/>
      <c r="L243" s="8"/>
      <c r="M243" s="8"/>
      <c r="S243" s="8"/>
      <c r="T243" s="8"/>
      <c r="Z243" s="8"/>
      <c r="AA243" s="8"/>
      <c r="AG243" s="8"/>
      <c r="AH243" s="8"/>
      <c r="AI243" s="29"/>
      <c r="AJ243" s="8"/>
    </row>
    <row r="244" spans="2:36" ht="27" customHeight="1">
      <c r="B244" s="27"/>
      <c r="C244" s="2"/>
      <c r="D244" s="8"/>
      <c r="E244" s="8"/>
      <c r="F244" s="8"/>
      <c r="L244" s="8"/>
      <c r="M244" s="8"/>
      <c r="S244" s="8"/>
      <c r="T244" s="8"/>
      <c r="Z244" s="8"/>
      <c r="AA244" s="8"/>
      <c r="AG244" s="8"/>
      <c r="AH244" s="8"/>
      <c r="AI244" s="29"/>
      <c r="AJ244" s="8"/>
    </row>
    <row r="245" spans="2:36" ht="27" customHeight="1">
      <c r="B245" s="27"/>
      <c r="C245" s="2"/>
      <c r="D245" s="8"/>
      <c r="E245" s="8"/>
      <c r="F245" s="8"/>
      <c r="L245" s="8"/>
      <c r="M245" s="8"/>
      <c r="S245" s="8"/>
      <c r="T245" s="8"/>
      <c r="Z245" s="8"/>
      <c r="AA245" s="8"/>
      <c r="AG245" s="8"/>
      <c r="AH245" s="8"/>
      <c r="AI245" s="29"/>
      <c r="AJ245" s="8"/>
    </row>
    <row r="246" spans="2:36" ht="27" customHeight="1">
      <c r="B246" s="27"/>
      <c r="C246" s="2"/>
      <c r="D246" s="8"/>
      <c r="E246" s="8"/>
      <c r="F246" s="8"/>
      <c r="L246" s="8"/>
      <c r="M246" s="8"/>
      <c r="S246" s="8"/>
      <c r="T246" s="8"/>
      <c r="Z246" s="8"/>
      <c r="AA246" s="8"/>
      <c r="AG246" s="8"/>
      <c r="AH246" s="8"/>
      <c r="AI246" s="29"/>
      <c r="AJ246" s="8"/>
    </row>
    <row r="247" spans="2:36" ht="27" customHeight="1">
      <c r="B247" s="27"/>
      <c r="C247" s="2"/>
      <c r="D247" s="8"/>
      <c r="E247" s="8"/>
      <c r="F247" s="8"/>
      <c r="L247" s="8"/>
      <c r="M247" s="8"/>
      <c r="S247" s="8"/>
      <c r="T247" s="8"/>
      <c r="Z247" s="8"/>
      <c r="AA247" s="8"/>
      <c r="AG247" s="8"/>
      <c r="AH247" s="8"/>
      <c r="AI247" s="29"/>
      <c r="AJ247" s="8"/>
    </row>
    <row r="248" spans="2:36" ht="27" customHeight="1">
      <c r="B248" s="27"/>
      <c r="C248" s="2"/>
      <c r="D248" s="8"/>
      <c r="E248" s="8"/>
      <c r="F248" s="8"/>
      <c r="L248" s="8"/>
      <c r="M248" s="8"/>
      <c r="S248" s="8"/>
      <c r="T248" s="8"/>
      <c r="Z248" s="8"/>
      <c r="AA248" s="8"/>
      <c r="AG248" s="8"/>
      <c r="AH248" s="8"/>
      <c r="AI248" s="29"/>
      <c r="AJ248" s="8"/>
    </row>
    <row r="249" spans="2:36" ht="27" customHeight="1">
      <c r="B249" s="27"/>
      <c r="C249" s="2"/>
      <c r="D249" s="8"/>
      <c r="E249" s="8"/>
      <c r="F249" s="8"/>
      <c r="L249" s="8"/>
      <c r="M249" s="8"/>
      <c r="S249" s="8"/>
      <c r="T249" s="8"/>
      <c r="Z249" s="8"/>
      <c r="AA249" s="8"/>
      <c r="AG249" s="8"/>
      <c r="AH249" s="8"/>
      <c r="AI249" s="29"/>
      <c r="AJ249" s="8"/>
    </row>
    <row r="250" spans="2:36" ht="27" customHeight="1">
      <c r="B250" s="27"/>
      <c r="C250" s="2"/>
      <c r="D250" s="8"/>
      <c r="E250" s="8"/>
      <c r="F250" s="8"/>
      <c r="L250" s="8"/>
      <c r="M250" s="8"/>
      <c r="S250" s="8"/>
      <c r="T250" s="8"/>
      <c r="Z250" s="8"/>
      <c r="AA250" s="8"/>
      <c r="AG250" s="8"/>
      <c r="AH250" s="8"/>
      <c r="AI250" s="29"/>
      <c r="AJ250" s="8"/>
    </row>
    <row r="251" spans="2:36" ht="27" customHeight="1">
      <c r="B251" s="27"/>
      <c r="C251" s="2"/>
      <c r="D251" s="8"/>
      <c r="E251" s="8"/>
      <c r="F251" s="8"/>
      <c r="L251" s="8"/>
      <c r="M251" s="8"/>
      <c r="S251" s="8"/>
      <c r="T251" s="8"/>
      <c r="Z251" s="8"/>
      <c r="AA251" s="8"/>
      <c r="AG251" s="8"/>
      <c r="AH251" s="8"/>
      <c r="AI251" s="29"/>
      <c r="AJ251" s="8"/>
    </row>
    <row r="252" spans="2:36" ht="27" customHeight="1">
      <c r="B252" s="27"/>
      <c r="C252" s="2"/>
      <c r="D252" s="8"/>
      <c r="E252" s="8"/>
      <c r="F252" s="8"/>
      <c r="L252" s="8"/>
      <c r="M252" s="8"/>
      <c r="S252" s="8"/>
      <c r="T252" s="8"/>
      <c r="Z252" s="8"/>
      <c r="AA252" s="8"/>
      <c r="AG252" s="8"/>
      <c r="AH252" s="8"/>
      <c r="AI252" s="29"/>
      <c r="AJ252" s="8"/>
    </row>
    <row r="253" spans="2:36" ht="27" customHeight="1">
      <c r="B253" s="27"/>
      <c r="C253" s="2"/>
      <c r="D253" s="8"/>
      <c r="E253" s="8"/>
      <c r="F253" s="8"/>
      <c r="L253" s="8"/>
      <c r="M253" s="8"/>
      <c r="S253" s="8"/>
      <c r="T253" s="8"/>
      <c r="Z253" s="8"/>
      <c r="AA253" s="8"/>
      <c r="AG253" s="8"/>
      <c r="AH253" s="8"/>
      <c r="AI253" s="29"/>
      <c r="AJ253" s="8"/>
    </row>
    <row r="254" spans="2:36" ht="27" customHeight="1">
      <c r="B254" s="27"/>
      <c r="C254" s="2"/>
      <c r="D254" s="8"/>
      <c r="E254" s="8"/>
      <c r="F254" s="8"/>
      <c r="L254" s="8"/>
      <c r="M254" s="8"/>
      <c r="S254" s="8"/>
      <c r="T254" s="8"/>
      <c r="Z254" s="8"/>
      <c r="AA254" s="8"/>
      <c r="AG254" s="8"/>
      <c r="AH254" s="8"/>
      <c r="AI254" s="29"/>
      <c r="AJ254" s="8"/>
    </row>
    <row r="255" spans="2:36" ht="27" customHeight="1">
      <c r="B255" s="27"/>
      <c r="C255" s="2"/>
      <c r="D255" s="8"/>
      <c r="E255" s="8"/>
      <c r="F255" s="8"/>
      <c r="L255" s="8"/>
      <c r="M255" s="8"/>
      <c r="S255" s="8"/>
      <c r="T255" s="8"/>
      <c r="Z255" s="8"/>
      <c r="AA255" s="8"/>
      <c r="AG255" s="8"/>
      <c r="AH255" s="8"/>
      <c r="AI255" s="29"/>
      <c r="AJ255" s="8"/>
    </row>
    <row r="256" spans="2:36" ht="27" customHeight="1">
      <c r="B256" s="27"/>
      <c r="C256" s="2"/>
      <c r="D256" s="8"/>
      <c r="E256" s="8"/>
      <c r="F256" s="8"/>
      <c r="L256" s="8"/>
      <c r="M256" s="8"/>
      <c r="S256" s="8"/>
      <c r="T256" s="8"/>
      <c r="Z256" s="8"/>
      <c r="AA256" s="8"/>
      <c r="AG256" s="8"/>
      <c r="AH256" s="8"/>
      <c r="AI256" s="29"/>
      <c r="AJ256" s="8"/>
    </row>
    <row r="257" spans="2:36" ht="27" customHeight="1">
      <c r="B257" s="27"/>
      <c r="C257" s="2"/>
      <c r="D257" s="8"/>
      <c r="E257" s="8"/>
      <c r="F257" s="8"/>
      <c r="L257" s="8"/>
      <c r="M257" s="8"/>
      <c r="S257" s="8"/>
      <c r="T257" s="8"/>
      <c r="Z257" s="8"/>
      <c r="AA257" s="8"/>
      <c r="AG257" s="8"/>
      <c r="AH257" s="8"/>
      <c r="AI257" s="29"/>
      <c r="AJ257" s="8"/>
    </row>
    <row r="258" spans="2:36" ht="27" customHeight="1">
      <c r="B258" s="27"/>
      <c r="C258" s="2"/>
      <c r="D258" s="8"/>
      <c r="E258" s="8"/>
      <c r="F258" s="8"/>
      <c r="L258" s="8"/>
      <c r="M258" s="8"/>
      <c r="S258" s="8"/>
      <c r="T258" s="8"/>
      <c r="Z258" s="8"/>
      <c r="AA258" s="8"/>
      <c r="AG258" s="8"/>
      <c r="AH258" s="8"/>
      <c r="AI258" s="29"/>
      <c r="AJ258" s="8"/>
    </row>
    <row r="259" spans="2:36" ht="27" customHeight="1">
      <c r="B259" s="27"/>
      <c r="C259" s="2"/>
      <c r="D259" s="8"/>
      <c r="E259" s="8"/>
      <c r="F259" s="8"/>
      <c r="L259" s="8"/>
      <c r="M259" s="8"/>
      <c r="S259" s="8"/>
      <c r="T259" s="8"/>
      <c r="Z259" s="8"/>
      <c r="AA259" s="8"/>
      <c r="AG259" s="8"/>
      <c r="AH259" s="8"/>
      <c r="AI259" s="29"/>
      <c r="AJ259" s="8"/>
    </row>
    <row r="260" spans="2:36" ht="27" customHeight="1">
      <c r="B260" s="27"/>
      <c r="C260" s="2"/>
      <c r="D260" s="8"/>
      <c r="E260" s="8"/>
      <c r="F260" s="8"/>
      <c r="L260" s="8"/>
      <c r="M260" s="8"/>
      <c r="S260" s="8"/>
      <c r="T260" s="8"/>
      <c r="Z260" s="8"/>
      <c r="AA260" s="8"/>
      <c r="AG260" s="8"/>
      <c r="AH260" s="8"/>
      <c r="AI260" s="29"/>
      <c r="AJ260" s="8"/>
    </row>
    <row r="261" spans="2:36" ht="27" customHeight="1">
      <c r="B261" s="27"/>
      <c r="C261" s="2"/>
      <c r="D261" s="8"/>
      <c r="E261" s="8"/>
      <c r="F261" s="8"/>
      <c r="L261" s="8"/>
      <c r="M261" s="8"/>
      <c r="S261" s="8"/>
      <c r="T261" s="8"/>
      <c r="Z261" s="8"/>
      <c r="AA261" s="8"/>
      <c r="AG261" s="8"/>
      <c r="AH261" s="8"/>
      <c r="AI261" s="29"/>
      <c r="AJ261" s="8"/>
    </row>
    <row r="262" spans="2:36" ht="27" customHeight="1">
      <c r="B262" s="27"/>
      <c r="C262" s="2"/>
      <c r="D262" s="8"/>
      <c r="E262" s="8"/>
      <c r="F262" s="8"/>
      <c r="L262" s="8"/>
      <c r="M262" s="8"/>
      <c r="S262" s="8"/>
      <c r="T262" s="8"/>
      <c r="Z262" s="8"/>
      <c r="AA262" s="8"/>
      <c r="AG262" s="8"/>
      <c r="AH262" s="8"/>
      <c r="AI262" s="29"/>
      <c r="AJ262" s="8"/>
    </row>
    <row r="263" spans="2:36" ht="27" customHeight="1">
      <c r="B263" s="27"/>
      <c r="C263" s="2"/>
      <c r="D263" s="8"/>
      <c r="E263" s="8"/>
      <c r="F263" s="8"/>
      <c r="L263" s="8"/>
      <c r="M263" s="8"/>
      <c r="S263" s="8"/>
      <c r="T263" s="8"/>
      <c r="Z263" s="8"/>
      <c r="AA263" s="8"/>
      <c r="AG263" s="8"/>
      <c r="AH263" s="8"/>
      <c r="AI263" s="29"/>
      <c r="AJ263" s="8"/>
    </row>
    <row r="264" spans="2:36" ht="27" customHeight="1">
      <c r="B264" s="27"/>
      <c r="C264" s="2"/>
      <c r="D264" s="8"/>
      <c r="E264" s="8"/>
      <c r="F264" s="8"/>
      <c r="L264" s="8"/>
      <c r="M264" s="8"/>
      <c r="S264" s="8"/>
      <c r="T264" s="8"/>
      <c r="Z264" s="8"/>
      <c r="AA264" s="8"/>
      <c r="AG264" s="8"/>
      <c r="AH264" s="8"/>
      <c r="AI264" s="29"/>
      <c r="AJ264" s="8"/>
    </row>
    <row r="265" spans="2:36" ht="27" customHeight="1">
      <c r="B265" s="27"/>
      <c r="C265" s="2"/>
      <c r="D265" s="8"/>
      <c r="E265" s="8"/>
      <c r="F265" s="8"/>
      <c r="L265" s="8"/>
      <c r="M265" s="8"/>
      <c r="S265" s="8"/>
      <c r="T265" s="8"/>
      <c r="Z265" s="8"/>
      <c r="AA265" s="8"/>
      <c r="AG265" s="8"/>
      <c r="AH265" s="8"/>
      <c r="AI265" s="29"/>
      <c r="AJ265" s="8"/>
    </row>
    <row r="266" spans="2:36" ht="27" customHeight="1">
      <c r="B266" s="27"/>
      <c r="C266" s="2"/>
      <c r="D266" s="8"/>
      <c r="E266" s="8"/>
      <c r="F266" s="8"/>
      <c r="L266" s="8"/>
      <c r="M266" s="8"/>
      <c r="S266" s="8"/>
      <c r="T266" s="8"/>
      <c r="Z266" s="8"/>
      <c r="AA266" s="8"/>
      <c r="AG266" s="8"/>
      <c r="AH266" s="8"/>
      <c r="AI266" s="29"/>
      <c r="AJ266" s="8"/>
    </row>
    <row r="267" spans="2:36" ht="27" customHeight="1">
      <c r="B267" s="27"/>
      <c r="C267" s="2"/>
      <c r="D267" s="8"/>
      <c r="E267" s="8"/>
      <c r="F267" s="8"/>
      <c r="L267" s="8"/>
      <c r="M267" s="8"/>
      <c r="S267" s="8"/>
      <c r="T267" s="8"/>
      <c r="Z267" s="8"/>
      <c r="AA267" s="8"/>
      <c r="AG267" s="8"/>
      <c r="AH267" s="8"/>
      <c r="AI267" s="29"/>
      <c r="AJ267" s="8"/>
    </row>
    <row r="268" spans="2:36" ht="27" customHeight="1">
      <c r="B268" s="27"/>
      <c r="C268" s="2"/>
      <c r="D268" s="8"/>
      <c r="E268" s="8"/>
      <c r="F268" s="8"/>
      <c r="L268" s="8"/>
      <c r="M268" s="8"/>
      <c r="S268" s="8"/>
      <c r="T268" s="8"/>
      <c r="Z268" s="8"/>
      <c r="AA268" s="8"/>
      <c r="AG268" s="8"/>
      <c r="AH268" s="8"/>
      <c r="AI268" s="29"/>
      <c r="AJ268" s="8"/>
    </row>
    <row r="269" spans="2:36" ht="27" customHeight="1">
      <c r="B269" s="27"/>
      <c r="C269" s="2"/>
      <c r="D269" s="8"/>
      <c r="E269" s="8"/>
      <c r="F269" s="8"/>
      <c r="L269" s="8"/>
      <c r="M269" s="8"/>
      <c r="S269" s="8"/>
      <c r="T269" s="8"/>
      <c r="Z269" s="8"/>
      <c r="AA269" s="8"/>
      <c r="AG269" s="8"/>
      <c r="AH269" s="8"/>
      <c r="AI269" s="29"/>
      <c r="AJ269" s="8"/>
    </row>
    <row r="270" spans="2:36" ht="27" customHeight="1">
      <c r="B270" s="27"/>
      <c r="C270" s="2"/>
      <c r="D270" s="8"/>
      <c r="E270" s="8"/>
      <c r="F270" s="8"/>
      <c r="L270" s="8"/>
      <c r="M270" s="8"/>
      <c r="S270" s="8"/>
      <c r="T270" s="8"/>
      <c r="Z270" s="8"/>
      <c r="AA270" s="8"/>
      <c r="AG270" s="8"/>
      <c r="AH270" s="8"/>
      <c r="AI270" s="29"/>
      <c r="AJ270" s="8"/>
    </row>
    <row r="271" spans="2:36" ht="27" customHeight="1">
      <c r="B271" s="27"/>
      <c r="C271" s="2"/>
      <c r="D271" s="8"/>
      <c r="E271" s="8"/>
      <c r="F271" s="8"/>
      <c r="L271" s="8"/>
      <c r="M271" s="8"/>
      <c r="S271" s="8"/>
      <c r="T271" s="8"/>
      <c r="Z271" s="8"/>
      <c r="AA271" s="8"/>
      <c r="AG271" s="8"/>
      <c r="AH271" s="8"/>
      <c r="AI271" s="29"/>
      <c r="AJ271" s="8"/>
    </row>
    <row r="272" spans="2:36" ht="27" customHeight="1">
      <c r="B272" s="27"/>
      <c r="C272" s="2"/>
      <c r="D272" s="8"/>
      <c r="E272" s="8"/>
      <c r="F272" s="8"/>
      <c r="L272" s="8"/>
      <c r="M272" s="8"/>
      <c r="S272" s="8"/>
      <c r="T272" s="8"/>
      <c r="Z272" s="8"/>
      <c r="AA272" s="8"/>
      <c r="AG272" s="8"/>
      <c r="AH272" s="8"/>
      <c r="AI272" s="29"/>
      <c r="AJ272" s="8"/>
    </row>
    <row r="273" spans="2:36" ht="27" customHeight="1">
      <c r="B273" s="27"/>
      <c r="C273" s="2"/>
      <c r="D273" s="8"/>
      <c r="E273" s="8"/>
      <c r="F273" s="8"/>
      <c r="L273" s="8"/>
      <c r="M273" s="8"/>
      <c r="S273" s="8"/>
      <c r="T273" s="8"/>
      <c r="Z273" s="8"/>
      <c r="AA273" s="8"/>
      <c r="AG273" s="8"/>
      <c r="AH273" s="8"/>
      <c r="AI273" s="29"/>
      <c r="AJ273" s="8"/>
    </row>
    <row r="274" spans="2:36" ht="27" customHeight="1">
      <c r="B274" s="27"/>
      <c r="C274" s="2"/>
      <c r="D274" s="8"/>
      <c r="E274" s="8"/>
      <c r="F274" s="8"/>
      <c r="L274" s="8"/>
      <c r="M274" s="8"/>
      <c r="S274" s="8"/>
      <c r="T274" s="8"/>
      <c r="Z274" s="8"/>
      <c r="AA274" s="8"/>
      <c r="AG274" s="8"/>
      <c r="AH274" s="8"/>
      <c r="AI274" s="29"/>
      <c r="AJ274" s="8"/>
    </row>
    <row r="275" spans="2:36" ht="27" customHeight="1">
      <c r="B275" s="27"/>
      <c r="C275" s="2"/>
      <c r="D275" s="8"/>
      <c r="E275" s="8"/>
      <c r="F275" s="8"/>
      <c r="L275" s="8"/>
      <c r="M275" s="8"/>
      <c r="S275" s="8"/>
      <c r="T275" s="8"/>
      <c r="Z275" s="8"/>
      <c r="AA275" s="8"/>
      <c r="AG275" s="8"/>
      <c r="AH275" s="8"/>
      <c r="AI275" s="29"/>
      <c r="AJ275" s="8"/>
    </row>
    <row r="276" spans="2:36" ht="27" customHeight="1">
      <c r="B276" s="27"/>
      <c r="C276" s="2"/>
      <c r="D276" s="8"/>
      <c r="E276" s="8"/>
      <c r="F276" s="8"/>
      <c r="L276" s="8"/>
      <c r="M276" s="8"/>
      <c r="S276" s="8"/>
      <c r="T276" s="8"/>
      <c r="Z276" s="8"/>
      <c r="AA276" s="8"/>
      <c r="AG276" s="8"/>
      <c r="AH276" s="8"/>
      <c r="AI276" s="29"/>
      <c r="AJ276" s="8"/>
    </row>
    <row r="277" spans="2:36" ht="27" customHeight="1">
      <c r="B277" s="27"/>
      <c r="C277" s="2"/>
      <c r="D277" s="8"/>
      <c r="E277" s="8"/>
      <c r="F277" s="8"/>
      <c r="L277" s="8"/>
      <c r="M277" s="8"/>
      <c r="S277" s="8"/>
      <c r="T277" s="8"/>
      <c r="Z277" s="8"/>
      <c r="AA277" s="8"/>
      <c r="AG277" s="8"/>
      <c r="AH277" s="8"/>
      <c r="AI277" s="29"/>
      <c r="AJ277" s="8"/>
    </row>
    <row r="278" spans="2:36" ht="27" customHeight="1">
      <c r="B278" s="27"/>
      <c r="C278" s="2"/>
      <c r="D278" s="8"/>
      <c r="E278" s="8"/>
      <c r="F278" s="8"/>
      <c r="L278" s="8"/>
      <c r="M278" s="8"/>
      <c r="S278" s="8"/>
      <c r="T278" s="8"/>
      <c r="Z278" s="8"/>
      <c r="AA278" s="8"/>
      <c r="AG278" s="8"/>
      <c r="AH278" s="8"/>
      <c r="AI278" s="29"/>
      <c r="AJ278" s="8"/>
    </row>
    <row r="279" spans="2:36" ht="27" customHeight="1">
      <c r="B279" s="27"/>
      <c r="C279" s="2"/>
      <c r="D279" s="8"/>
      <c r="E279" s="8"/>
      <c r="F279" s="8"/>
      <c r="L279" s="8"/>
      <c r="M279" s="8"/>
      <c r="S279" s="8"/>
      <c r="T279" s="8"/>
      <c r="Z279" s="8"/>
      <c r="AA279" s="8"/>
      <c r="AG279" s="8"/>
      <c r="AH279" s="8"/>
      <c r="AI279" s="29"/>
      <c r="AJ279" s="8"/>
    </row>
    <row r="280" spans="2:36" ht="27" customHeight="1">
      <c r="B280" s="27"/>
      <c r="C280" s="2"/>
      <c r="D280" s="8"/>
      <c r="E280" s="8"/>
      <c r="F280" s="8"/>
      <c r="L280" s="8"/>
      <c r="M280" s="8"/>
      <c r="S280" s="8"/>
      <c r="T280" s="8"/>
      <c r="Z280" s="8"/>
      <c r="AA280" s="8"/>
      <c r="AG280" s="8"/>
      <c r="AH280" s="8"/>
      <c r="AI280" s="29"/>
      <c r="AJ280" s="8"/>
    </row>
    <row r="281" spans="2:36" ht="27" customHeight="1">
      <c r="B281" s="27"/>
      <c r="C281" s="2"/>
      <c r="D281" s="8"/>
      <c r="E281" s="8"/>
      <c r="F281" s="8"/>
      <c r="L281" s="8"/>
      <c r="M281" s="8"/>
      <c r="S281" s="8"/>
      <c r="T281" s="8"/>
      <c r="Z281" s="8"/>
      <c r="AA281" s="8"/>
      <c r="AG281" s="8"/>
      <c r="AH281" s="8"/>
      <c r="AI281" s="29"/>
      <c r="AJ281" s="8"/>
    </row>
    <row r="282" spans="2:36" ht="27" customHeight="1">
      <c r="B282" s="27"/>
      <c r="C282" s="2"/>
      <c r="D282" s="8"/>
      <c r="E282" s="8"/>
      <c r="F282" s="8"/>
      <c r="L282" s="8"/>
      <c r="M282" s="8"/>
      <c r="S282" s="8"/>
      <c r="T282" s="8"/>
      <c r="Z282" s="8"/>
      <c r="AA282" s="8"/>
      <c r="AG282" s="8"/>
      <c r="AH282" s="8"/>
      <c r="AI282" s="29"/>
      <c r="AJ282" s="8"/>
    </row>
    <row r="283" spans="2:36" ht="27" customHeight="1">
      <c r="B283" s="27"/>
      <c r="C283" s="2"/>
      <c r="D283" s="8"/>
      <c r="E283" s="8"/>
      <c r="F283" s="8"/>
      <c r="L283" s="8"/>
      <c r="M283" s="8"/>
      <c r="S283" s="8"/>
      <c r="T283" s="8"/>
      <c r="Z283" s="8"/>
      <c r="AA283" s="8"/>
      <c r="AG283" s="8"/>
      <c r="AH283" s="8"/>
      <c r="AI283" s="29"/>
      <c r="AJ283" s="8"/>
    </row>
    <row r="284" spans="2:36" ht="27" customHeight="1">
      <c r="B284" s="27"/>
      <c r="C284" s="2"/>
      <c r="D284" s="8"/>
      <c r="E284" s="8"/>
      <c r="F284" s="8"/>
      <c r="L284" s="8"/>
      <c r="M284" s="8"/>
      <c r="S284" s="8"/>
      <c r="T284" s="8"/>
      <c r="Z284" s="8"/>
      <c r="AA284" s="8"/>
      <c r="AG284" s="8"/>
      <c r="AH284" s="8"/>
      <c r="AI284" s="29"/>
      <c r="AJ284" s="8"/>
    </row>
    <row r="285" spans="2:36" ht="27" customHeight="1">
      <c r="B285" s="27"/>
      <c r="C285" s="2"/>
      <c r="D285" s="8"/>
      <c r="E285" s="8"/>
      <c r="F285" s="8"/>
      <c r="L285" s="8"/>
      <c r="M285" s="8"/>
      <c r="S285" s="8"/>
      <c r="T285" s="8"/>
      <c r="Z285" s="8"/>
      <c r="AA285" s="8"/>
      <c r="AG285" s="8"/>
      <c r="AH285" s="8"/>
      <c r="AI285" s="29"/>
      <c r="AJ285" s="8"/>
    </row>
    <row r="286" spans="2:36" ht="27" customHeight="1">
      <c r="B286" s="27"/>
      <c r="C286" s="2"/>
      <c r="D286" s="8"/>
      <c r="E286" s="8"/>
      <c r="F286" s="8"/>
      <c r="L286" s="8"/>
      <c r="M286" s="8"/>
      <c r="S286" s="8"/>
      <c r="T286" s="8"/>
      <c r="Z286" s="8"/>
      <c r="AA286" s="8"/>
      <c r="AG286" s="8"/>
      <c r="AH286" s="8"/>
      <c r="AI286" s="29"/>
      <c r="AJ286" s="8"/>
    </row>
    <row r="287" spans="2:36" ht="27" customHeight="1">
      <c r="B287" s="27"/>
      <c r="C287" s="2"/>
      <c r="D287" s="8"/>
      <c r="E287" s="8"/>
      <c r="F287" s="8"/>
      <c r="L287" s="8"/>
      <c r="M287" s="8"/>
      <c r="S287" s="8"/>
      <c r="T287" s="8"/>
      <c r="Z287" s="8"/>
      <c r="AA287" s="8"/>
      <c r="AG287" s="8"/>
      <c r="AH287" s="8"/>
      <c r="AI287" s="29"/>
      <c r="AJ287" s="8"/>
    </row>
  </sheetData>
  <mergeCells count="9">
    <mergeCell ref="A4:A6"/>
    <mergeCell ref="D4:D6"/>
    <mergeCell ref="A1:H1"/>
    <mergeCell ref="A2:H2"/>
    <mergeCell ref="A3:AJ3"/>
    <mergeCell ref="E4:AH4"/>
    <mergeCell ref="AI4:AI6"/>
    <mergeCell ref="AJ4:AJ6"/>
    <mergeCell ref="B4:C6"/>
  </mergeCells>
  <printOptions horizontalCentered="1"/>
  <pageMargins left="0" right="0" top="0.25" bottom="0" header="0.3" footer="0.3"/>
  <pageSetup paperSize="9" scale="74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THÙ LAO DẠY</vt:lpstr>
      <vt:lpstr>T11.25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LTT2026</dc:creator>
  <cp:lastModifiedBy>PHI HUYNH ANH HAO</cp:lastModifiedBy>
  <cp:lastPrinted>2025-11-30T15:33:00Z</cp:lastPrinted>
  <dcterms:created xsi:type="dcterms:W3CDTF">2020-10-17T08:55:00Z</dcterms:created>
  <dcterms:modified xsi:type="dcterms:W3CDTF">2026-02-04T01:36:44Z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D765DFDEBD574C12AD3284BA27B0E617_12</vt:lpwstr>
  </property>
  <property fmtid="{D5CDD505-2E9C-101B-9397-08002B2CF9AE}" pid="3" name="KSOProductBuildVer">
    <vt:lpwstr>1033-12.2.0.13266</vt:lpwstr>
  </property>
</Properties>
</file>