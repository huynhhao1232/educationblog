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iustran89/Documents/GDNN-GDTX/2024-2025/WEBLESSON/education-blog/templates_excel/"/>
    </mc:Choice>
  </mc:AlternateContent>
  <xr:revisionPtr revIDLastSave="0" documentId="13_ncr:1_{2A87B142-251F-9B4F-8569-EFE7F5C4E94E}" xr6:coauthVersionLast="47" xr6:coauthVersionMax="47" xr10:uidLastSave="{00000000-0000-0000-0000-000000000000}"/>
  <bookViews>
    <workbookView xWindow="0" yWindow="0" windowWidth="28800" windowHeight="18000" tabRatio="638" xr2:uid="{00000000-000D-0000-FFFF-FFFF00000000}"/>
  </bookViews>
  <sheets>
    <sheet name="In_GIAO NHAN BAI" sheetId="145" r:id="rId1"/>
    <sheet name="4_Sơ đồ mẫu" sheetId="193" r:id="rId2"/>
  </sheets>
  <externalReferences>
    <externalReference r:id="rId3"/>
  </externalReferences>
  <definedNames>
    <definedName name="_xlnm._FilterDatabase" localSheetId="0" hidden="1">'In_GIAO NHAN BAI'!$A$8:$P$42</definedName>
    <definedName name="_xlnm.Print_Area" localSheetId="1">'4_Sơ đồ mẫu'!$A$1:$AA$15</definedName>
    <definedName name="_xlnm.Print_Area" localSheetId="0">'In_GIAO NHAN BAI'!$A$1:$P$42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193" l="1"/>
  <c r="Y6" i="193" s="1"/>
  <c r="W6" i="193" s="1"/>
  <c r="V6" i="193" s="1"/>
  <c r="V7" i="193" s="1"/>
  <c r="W7" i="193" s="1"/>
  <c r="Y7" i="193" s="1"/>
  <c r="Z7" i="193" s="1"/>
  <c r="Z8" i="193" s="1"/>
  <c r="Y8" i="193" s="1"/>
  <c r="W8" i="193" s="1"/>
  <c r="V8" i="193" s="1"/>
  <c r="V9" i="193" s="1"/>
  <c r="W9" i="193" s="1"/>
  <c r="Y9" i="193" s="1"/>
  <c r="Z9" i="193" s="1"/>
  <c r="Z10" i="193" s="1"/>
  <c r="Y10" i="193" s="1"/>
  <c r="W10" i="193" s="1"/>
  <c r="V10" i="193" s="1"/>
  <c r="W11" i="193" s="1"/>
  <c r="Y11" i="193" s="1"/>
  <c r="O6" i="193"/>
  <c r="P6" i="193" s="1"/>
  <c r="R6" i="193" s="1"/>
  <c r="S6" i="193" s="1"/>
  <c r="S7" i="193" s="1"/>
  <c r="R7" i="193" s="1"/>
  <c r="P7" i="193" s="1"/>
  <c r="O7" i="193" s="1"/>
  <c r="O8" i="193" s="1"/>
  <c r="P8" i="193" s="1"/>
  <c r="R8" i="193" s="1"/>
  <c r="S8" i="193" s="1"/>
  <c r="S9" i="193" s="1"/>
  <c r="R9" i="193" s="1"/>
  <c r="P9" i="193" s="1"/>
  <c r="O9" i="193" s="1"/>
  <c r="O10" i="193" s="1"/>
  <c r="P10" i="193" s="1"/>
  <c r="R10" i="193" s="1"/>
  <c r="S10" i="193" s="1"/>
  <c r="R11" i="193" s="1"/>
  <c r="P11" i="193" s="1"/>
  <c r="L6" i="193"/>
  <c r="K6" i="193" s="1"/>
  <c r="H3" i="193"/>
  <c r="V2" i="193"/>
  <c r="O2" i="193"/>
  <c r="H2" i="193"/>
  <c r="A3" i="193"/>
  <c r="A1" i="193"/>
  <c r="H1" i="193" s="1"/>
  <c r="O1" i="193" s="1"/>
  <c r="V1" i="193" s="1"/>
  <c r="D29" i="145" a="1"/>
  <c r="D29" i="145" s="1"/>
  <c r="J4" i="145"/>
  <c r="O7" i="145"/>
  <c r="I7" i="145"/>
  <c r="M7" i="145"/>
  <c r="K7" i="145"/>
  <c r="E25" i="145" a="1"/>
  <c r="E25" i="145" s="1"/>
  <c r="P4" i="145"/>
  <c r="G14" i="145" a="1"/>
  <c r="G14" i="145" s="1"/>
  <c r="H11" i="145" a="1"/>
  <c r="H11" i="145" s="1"/>
  <c r="C16" i="145" a="1"/>
  <c r="C16" i="145" s="1"/>
  <c r="E29" i="145" a="1"/>
  <c r="E29" i="145"/>
  <c r="H10" i="145" a="1"/>
  <c r="H10" i="145" s="1"/>
  <c r="G17" i="145" a="1"/>
  <c r="G17" i="145" s="1"/>
  <c r="H30" i="145" a="1"/>
  <c r="H30" i="145" s="1"/>
  <c r="D26" i="145" a="1"/>
  <c r="D26" i="145" s="1"/>
  <c r="F26" i="145" a="1"/>
  <c r="F26" i="145" s="1"/>
  <c r="C26" i="145" a="1"/>
  <c r="C26" i="145" s="1"/>
  <c r="G20" i="145" a="1"/>
  <c r="G20" i="145" s="1"/>
  <c r="H31" i="145" a="1"/>
  <c r="H31" i="145" s="1"/>
  <c r="H12" i="145" a="1"/>
  <c r="H12" i="145" s="1"/>
  <c r="D36" i="145" a="1"/>
  <c r="D36" i="145" s="1"/>
  <c r="C29" i="145" a="1"/>
  <c r="C29" i="145" s="1"/>
  <c r="F32" i="145" a="1"/>
  <c r="F32" i="145" s="1"/>
  <c r="E34" i="145" a="1"/>
  <c r="E34" i="145" s="1"/>
  <c r="F13" i="145" a="1"/>
  <c r="F13" i="145" s="1"/>
  <c r="C12" i="145" a="1"/>
  <c r="C12" i="145" s="1"/>
  <c r="D27" i="145" a="1"/>
  <c r="D27" i="145" s="1"/>
  <c r="F37" i="145" a="1"/>
  <c r="F37" i="145" s="1"/>
  <c r="F30" i="145" a="1"/>
  <c r="F30" i="145" s="1"/>
  <c r="C20" i="145" a="1"/>
  <c r="C20" i="145" s="1"/>
  <c r="C23" i="145" a="1"/>
  <c r="C23" i="145" s="1"/>
  <c r="C27" i="145" a="1"/>
  <c r="C27" i="145" s="1"/>
  <c r="D38" i="145" a="1"/>
  <c r="D38" i="145" s="1"/>
  <c r="D17" i="145" a="1"/>
  <c r="D17" i="145" s="1"/>
  <c r="H13" i="145" a="1"/>
  <c r="H13" i="145" s="1"/>
  <c r="F35" i="145" a="1"/>
  <c r="F35" i="145" s="1"/>
  <c r="H24" i="145" a="1"/>
  <c r="H24" i="145" s="1"/>
  <c r="C21" i="145" a="1"/>
  <c r="C21" i="145" s="1"/>
  <c r="D15" i="145" a="1"/>
  <c r="D15" i="145"/>
  <c r="H14" i="145" a="1"/>
  <c r="H14" i="145" s="1"/>
  <c r="F31" i="145" a="1"/>
  <c r="F31" i="145" s="1"/>
  <c r="D31" i="145" a="1"/>
  <c r="D31" i="145" s="1"/>
  <c r="E22" i="145" a="1"/>
  <c r="E22" i="145" s="1"/>
  <c r="C28" i="145" a="1"/>
  <c r="C28" i="145" s="1"/>
  <c r="F18" i="145" a="1"/>
  <c r="F18" i="145" s="1"/>
  <c r="E24" i="145" a="1"/>
  <c r="E24" i="145" s="1"/>
  <c r="H36" i="145" a="1"/>
  <c r="H36" i="145" s="1"/>
  <c r="F40" i="145" a="1"/>
  <c r="F40" i="145" s="1"/>
  <c r="G32" i="145" a="1"/>
  <c r="G32" i="145" s="1"/>
  <c r="D25" i="145" a="1"/>
  <c r="D25" i="145" s="1"/>
  <c r="H28" i="145" a="1"/>
  <c r="H28" i="145" s="1"/>
  <c r="G35" i="145" a="1"/>
  <c r="G35" i="145" s="1"/>
  <c r="C10" i="145" a="1"/>
  <c r="C10" i="145" s="1"/>
  <c r="H27" i="145" a="1"/>
  <c r="H27" i="145" s="1"/>
  <c r="E31" i="145" a="1"/>
  <c r="E31" i="145" s="1"/>
  <c r="F36" i="145" a="1"/>
  <c r="F36" i="145" s="1"/>
  <c r="D14" i="145" a="1"/>
  <c r="D14" i="145" s="1"/>
  <c r="C14" i="145" a="1"/>
  <c r="C14" i="145" s="1"/>
  <c r="D10" i="145" a="1"/>
  <c r="D10" i="145" s="1"/>
  <c r="G12" i="145" a="1"/>
  <c r="G12" i="145" s="1"/>
  <c r="E20" i="145" a="1"/>
  <c r="E20" i="145" s="1"/>
  <c r="D28" i="145" a="1"/>
  <c r="D28" i="145"/>
  <c r="H32" i="145" a="1"/>
  <c r="H32" i="145" s="1"/>
  <c r="F20" i="145" a="1"/>
  <c r="F20" i="145" s="1"/>
  <c r="G37" i="145" a="1"/>
  <c r="G37" i="145" s="1"/>
  <c r="H40" i="145" a="1"/>
  <c r="H40" i="145" s="1"/>
  <c r="G39" i="145" a="1"/>
  <c r="G39" i="145" s="1"/>
  <c r="G38" i="145" a="1"/>
  <c r="G38" i="145" s="1"/>
  <c r="D37" i="145" a="1"/>
  <c r="D37" i="145" s="1"/>
  <c r="C9" i="145" a="1"/>
  <c r="C9" i="145"/>
  <c r="F11" i="145" a="1"/>
  <c r="F11" i="145" s="1"/>
  <c r="C36" i="145" a="1"/>
  <c r="C36" i="145" s="1"/>
  <c r="F38" i="145" a="1"/>
  <c r="F38" i="145" s="1"/>
  <c r="E39" i="145" a="1"/>
  <c r="E39" i="145"/>
  <c r="D19" i="145" a="1"/>
  <c r="D19" i="145" s="1"/>
  <c r="E16" i="145" a="1"/>
  <c r="E16" i="145" s="1"/>
  <c r="D34" i="145" a="1"/>
  <c r="D34" i="145" s="1"/>
  <c r="D16" i="145" a="1"/>
  <c r="D16" i="145" s="1"/>
  <c r="D13" i="145" a="1"/>
  <c r="D13" i="145" s="1"/>
  <c r="H16" i="145" a="1"/>
  <c r="H16" i="145" s="1"/>
  <c r="G28" i="145" a="1"/>
  <c r="G28" i="145" s="1"/>
  <c r="H25" i="145" a="1"/>
  <c r="H25" i="145" s="1"/>
  <c r="E37" i="145" a="1"/>
  <c r="E37" i="145" s="1"/>
  <c r="F9" i="145" a="1"/>
  <c r="F9" i="145" s="1"/>
  <c r="C31" i="145" a="1"/>
  <c r="C31" i="145" s="1"/>
  <c r="F22" i="145" a="1"/>
  <c r="F22" i="145" s="1"/>
  <c r="G25" i="145" a="1"/>
  <c r="G25" i="145" s="1"/>
  <c r="C30" i="145" a="1"/>
  <c r="C30" i="145"/>
  <c r="H19" i="145" a="1"/>
  <c r="H19" i="145" s="1"/>
  <c r="C22" i="145" a="1"/>
  <c r="C22" i="145" s="1"/>
  <c r="G21" i="145" a="1"/>
  <c r="G21" i="145" s="1"/>
  <c r="E19" i="145" a="1"/>
  <c r="E19" i="145" s="1"/>
  <c r="E36" i="145" a="1"/>
  <c r="E36" i="145" s="1"/>
  <c r="D11" i="145" a="1"/>
  <c r="D11" i="145" s="1"/>
  <c r="E38" i="145" a="1"/>
  <c r="E38" i="145"/>
  <c r="F28" i="145" a="1"/>
  <c r="F28" i="145" s="1"/>
  <c r="D22" i="145" a="1"/>
  <c r="D22" i="145" s="1"/>
  <c r="C37" i="145" a="1"/>
  <c r="C37" i="145" s="1"/>
  <c r="H21" i="145" a="1"/>
  <c r="H21" i="145" s="1"/>
  <c r="F33" i="145" a="1"/>
  <c r="F33" i="145" s="1"/>
  <c r="E32" i="145" a="1"/>
  <c r="E32" i="145" s="1"/>
  <c r="G36" i="145" a="1"/>
  <c r="G36" i="145" s="1"/>
  <c r="E23" i="145" a="1"/>
  <c r="E23" i="145" s="1"/>
  <c r="G18" i="145" a="1"/>
  <c r="G18" i="145" s="1"/>
  <c r="G9" i="145" a="1"/>
  <c r="G9" i="145" s="1"/>
  <c r="F21" i="145" a="1"/>
  <c r="F21" i="145" s="1"/>
  <c r="E33" i="145" a="1"/>
  <c r="E33" i="145" s="1"/>
  <c r="E27" i="145" a="1"/>
  <c r="E27" i="145" s="1"/>
  <c r="G23" i="145" a="1"/>
  <c r="G23" i="145" s="1"/>
  <c r="C24" i="145" a="1"/>
  <c r="C24" i="145" s="1"/>
  <c r="G27" i="145" a="1"/>
  <c r="G27" i="145" s="1"/>
  <c r="C25" i="145" a="1"/>
  <c r="C25" i="145" s="1"/>
  <c r="F27" i="145" a="1"/>
  <c r="F27" i="145" s="1"/>
  <c r="G15" i="145" a="1"/>
  <c r="G15" i="145" s="1"/>
  <c r="D40" i="145" a="1"/>
  <c r="D40" i="145" s="1"/>
  <c r="F23" i="145" l="1" a="1"/>
  <c r="F23" i="145" s="1"/>
  <c r="H39" i="145" a="1"/>
  <c r="H39" i="145" s="1"/>
  <c r="G11" i="145" a="1"/>
  <c r="G11" i="145" s="1"/>
  <c r="C13" i="145" a="1"/>
  <c r="C13" i="145" s="1"/>
  <c r="F25" i="145" a="1"/>
  <c r="F25" i="145" s="1"/>
  <c r="H33" i="145" a="1"/>
  <c r="H33" i="145" s="1"/>
  <c r="E26" i="145" a="1"/>
  <c r="E26" i="145" s="1"/>
  <c r="D9" i="145" a="1"/>
  <c r="D9" i="145" s="1"/>
  <c r="H17" i="145" a="1"/>
  <c r="H17" i="145" s="1"/>
  <c r="H26" i="145" a="1"/>
  <c r="H26" i="145" s="1"/>
  <c r="E17" i="145" a="1"/>
  <c r="E17" i="145" s="1"/>
  <c r="H9" i="145" a="1"/>
  <c r="H9" i="145" s="1"/>
  <c r="E13" i="145" a="1"/>
  <c r="E13" i="145" s="1"/>
  <c r="C40" i="145" a="1"/>
  <c r="C40" i="145" s="1"/>
  <c r="H15" i="145" a="1"/>
  <c r="H15" i="145" s="1"/>
  <c r="D21" i="145" a="1"/>
  <c r="D21" i="145" s="1"/>
  <c r="F12" i="145" a="1"/>
  <c r="F12" i="145" s="1"/>
  <c r="D23" i="145" a="1"/>
  <c r="D23" i="145" s="1"/>
  <c r="H34" i="145" a="1"/>
  <c r="H34" i="145" s="1"/>
  <c r="E30" i="145" a="1"/>
  <c r="E30" i="145" s="1"/>
  <c r="F14" i="145" a="1"/>
  <c r="F14" i="145" s="1"/>
  <c r="F29" i="145" a="1"/>
  <c r="F29" i="145" s="1"/>
  <c r="H18" i="145" a="1"/>
  <c r="H18" i="145" s="1"/>
  <c r="D33" i="145" a="1"/>
  <c r="D33" i="145" s="1"/>
  <c r="F10" i="145" a="1"/>
  <c r="F10" i="145" s="1"/>
  <c r="F16" i="145" a="1"/>
  <c r="F16" i="145" s="1"/>
  <c r="D39" i="145" a="1"/>
  <c r="D39" i="145" s="1"/>
  <c r="H23" i="145" a="1"/>
  <c r="H23" i="145" s="1"/>
  <c r="C33" i="145" a="1"/>
  <c r="C33" i="145" s="1"/>
  <c r="C11" i="145" a="1"/>
  <c r="C11" i="145" s="1"/>
  <c r="G34" i="145" a="1"/>
  <c r="G34" i="145" s="1"/>
  <c r="D20" i="145" a="1"/>
  <c r="D20" i="145" s="1"/>
  <c r="C17" i="145" a="1"/>
  <c r="C17" i="145" s="1"/>
  <c r="G33" i="145" a="1"/>
  <c r="G33" i="145" s="1"/>
  <c r="G16" i="145" a="1"/>
  <c r="G16" i="145" s="1"/>
  <c r="C18" i="145" a="1"/>
  <c r="C18" i="145" s="1"/>
  <c r="H29" i="145" a="1"/>
  <c r="H29" i="145" s="1"/>
  <c r="G19" i="145" a="1"/>
  <c r="G19" i="145" s="1"/>
  <c r="D18" i="145" a="1"/>
  <c r="D18" i="145" s="1"/>
  <c r="G26" i="145" a="1"/>
  <c r="G26" i="145" s="1"/>
  <c r="H38" i="145" a="1"/>
  <c r="H38" i="145" s="1"/>
  <c r="C35" i="145" a="1"/>
  <c r="C35" i="145" s="1"/>
  <c r="F39" i="145" a="1"/>
  <c r="F39" i="145" s="1"/>
  <c r="C39" i="145" a="1"/>
  <c r="C39" i="145" s="1"/>
  <c r="G30" i="145" a="1"/>
  <c r="G30" i="145" s="1"/>
  <c r="G31" i="145" a="1"/>
  <c r="G31" i="145" s="1"/>
  <c r="F19" i="145" a="1"/>
  <c r="F19" i="145" s="1"/>
  <c r="E21" i="145" a="1"/>
  <c r="E21" i="145" s="1"/>
  <c r="D30" i="145" a="1"/>
  <c r="D30" i="145" s="1"/>
  <c r="F17" i="145" a="1"/>
  <c r="F17" i="145" s="1"/>
  <c r="E11" i="145" a="1"/>
  <c r="E11" i="145" s="1"/>
  <c r="E35" i="145" a="1"/>
  <c r="E35" i="145" s="1"/>
  <c r="C34" i="145" a="1"/>
  <c r="C34" i="145" s="1"/>
  <c r="G24" i="145" a="1"/>
  <c r="G24" i="145" s="1"/>
  <c r="H20" i="145" a="1"/>
  <c r="H20" i="145" s="1"/>
  <c r="G29" i="145" a="1"/>
  <c r="G29" i="145" s="1"/>
  <c r="E28" i="145" a="1"/>
  <c r="E28" i="145" s="1"/>
  <c r="D35" i="145" a="1"/>
  <c r="D35" i="145" s="1"/>
  <c r="H37" i="145" a="1"/>
  <c r="H37" i="145" s="1"/>
  <c r="F15" i="145" a="1"/>
  <c r="F15" i="145" s="1"/>
  <c r="D12" i="145" a="1"/>
  <c r="D12" i="145" s="1"/>
  <c r="G13" i="145" a="1"/>
  <c r="G13" i="145" s="1"/>
  <c r="D24" i="145" a="1"/>
  <c r="D24" i="145" s="1"/>
  <c r="H35" i="145" a="1"/>
  <c r="H35" i="145" s="1"/>
  <c r="G40" i="145" a="1"/>
  <c r="G40" i="145" s="1"/>
  <c r="H22" i="145" a="1"/>
  <c r="H22" i="145" s="1"/>
  <c r="G22" i="145" a="1"/>
  <c r="G22" i="145" s="1"/>
  <c r="G10" i="145" a="1"/>
  <c r="G10" i="145" s="1"/>
  <c r="C19" i="145" a="1"/>
  <c r="C19" i="145" s="1"/>
  <c r="E9" i="145" a="1"/>
  <c r="E9" i="145" s="1"/>
  <c r="E40" i="145" a="1"/>
  <c r="E40" i="145" s="1"/>
  <c r="F24" i="145" a="1"/>
  <c r="F24" i="145" s="1"/>
  <c r="E18" i="145" a="1"/>
  <c r="E18" i="145" s="1"/>
  <c r="C32" i="145" a="1"/>
  <c r="C32" i="145" s="1"/>
  <c r="E14" i="145" a="1"/>
  <c r="E14" i="145" s="1"/>
  <c r="F34" i="145" a="1"/>
  <c r="F34" i="145" s="1"/>
  <c r="C38" i="145" a="1"/>
  <c r="C38" i="145" s="1"/>
  <c r="E12" i="145" a="1"/>
  <c r="E12" i="145" s="1"/>
  <c r="C15" i="145" a="1"/>
  <c r="C15" i="145" s="1"/>
  <c r="D32" i="145" a="1"/>
  <c r="D32" i="145" s="1"/>
  <c r="E10" i="145" a="1"/>
  <c r="E10" i="145" s="1"/>
  <c r="E15" i="145" a="1"/>
  <c r="E15" i="145" s="1"/>
  <c r="E3" i="193"/>
  <c r="L3" i="193" s="1"/>
  <c r="S3" i="193" s="1"/>
  <c r="Z3" i="193" s="1"/>
  <c r="A6" i="193"/>
  <c r="L7" i="193"/>
  <c r="O3" i="193"/>
  <c r="V3" i="193"/>
  <c r="H6" i="193"/>
  <c r="I6" i="193"/>
  <c r="K7" i="193" l="1"/>
  <c r="I7" i="193"/>
  <c r="H7" i="193"/>
  <c r="L8" i="193"/>
  <c r="E6" i="193"/>
  <c r="D6" i="193"/>
  <c r="A7" i="193"/>
  <c r="B6" i="193"/>
  <c r="E7" i="193" l="1"/>
  <c r="D7" i="193"/>
  <c r="A8" i="193"/>
  <c r="B7" i="193"/>
  <c r="I8" i="193"/>
  <c r="H8" i="193"/>
  <c r="L9" i="193"/>
  <c r="K8" i="193"/>
  <c r="H9" i="193" l="1"/>
  <c r="L10" i="193"/>
  <c r="K9" i="193"/>
  <c r="I9" i="193"/>
  <c r="E8" i="193"/>
  <c r="D8" i="193"/>
  <c r="A9" i="193"/>
  <c r="B8" i="193"/>
  <c r="E9" i="193" l="1"/>
  <c r="D9" i="193"/>
  <c r="A10" i="193"/>
  <c r="B9" i="193"/>
  <c r="K10" i="193"/>
  <c r="K11" i="193" s="1"/>
  <c r="I10" i="193"/>
  <c r="I11" i="193" s="1"/>
  <c r="H10" i="193"/>
  <c r="E10" i="193" l="1"/>
  <c r="D10" i="193"/>
  <c r="D11" i="193" s="1"/>
  <c r="B10" i="193"/>
  <c r="B11" i="193" s="1"/>
</calcChain>
</file>

<file path=xl/sharedStrings.xml><?xml version="1.0" encoding="utf-8"?>
<sst xmlns="http://schemas.openxmlformats.org/spreadsheetml/2006/main" count="35" uniqueCount="24">
  <si>
    <t>CỘNG HÒA XÃ HỘI CHỦ NGHĨA VIỆT NAM</t>
  </si>
  <si>
    <t>Độc lập - Tự do - Hạnh phúc</t>
  </si>
  <si>
    <t>Lớp</t>
  </si>
  <si>
    <t>Số tờ</t>
  </si>
  <si>
    <t>Ký tên</t>
  </si>
  <si>
    <t xml:space="preserve">Giám thị: </t>
  </si>
  <si>
    <t>Ký tên:……………………………..</t>
  </si>
  <si>
    <t>Stt</t>
  </si>
  <si>
    <t>SBD</t>
  </si>
  <si>
    <t>MÔN THI</t>
  </si>
  <si>
    <t>Ghi 
chú</t>
  </si>
  <si>
    <t>Mã đề</t>
  </si>
  <si>
    <t>Tổng cộng số bài  thi:</t>
  </si>
  <si>
    <t>PHÒNG THI:</t>
  </si>
  <si>
    <t>Phòng
thi</t>
  </si>
  <si>
    <t>SỞ GD&amp;ĐT TP HỒ CHÍ MINH</t>
  </si>
  <si>
    <t>TRUNG TÂM GDNN - GDTX THỦ ĐỨC</t>
  </si>
  <si>
    <t>tên</t>
  </si>
  <si>
    <t>Họ và</t>
  </si>
  <si>
    <t>Sơ đồ chỗ ngồi</t>
  </si>
  <si>
    <t>Bàn Giáo viên</t>
  </si>
  <si>
    <t>Ngày: 19/03/2026</t>
  </si>
  <si>
    <t>DANH SÁCH GIAO NHẬN BÀI KIỂM TRA CUỐI HỌC KỲ II - NH 2025-2026</t>
  </si>
  <si>
    <t>Tổ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</si>
</sst>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0"/>
    <numFmt numFmtId="165" formatCode="0.0"/>
    <numFmt numFmtId="166" formatCode="\-"/>
  </numFmts>
  <fonts count="43">
    <font>
      <sz val="10"/>
      <name val="Arial"/>
    </font>
    <font>
      <sz val="10"/>
      <name val="Arial"/>
      <family val="2"/>
    </font>
    <font>
      <sz val="12"/>
      <name val="VNI-Times"/>
    </font>
    <font>
      <sz val="13"/>
      <color indexed="8"/>
      <name val="Times New Roman"/>
      <family val="1"/>
    </font>
    <font>
      <b/>
      <u/>
      <sz val="13"/>
      <color indexed="8"/>
      <name val="Times New Roman"/>
      <family val="1"/>
    </font>
    <font>
      <sz val="13"/>
      <name val="Times New Roman"/>
      <family val="1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3"/>
      <color indexed="8"/>
      <name val="VNI-Times"/>
    </font>
    <font>
      <b/>
      <i/>
      <sz val="13"/>
      <color indexed="8"/>
      <name val="VNI-Times"/>
    </font>
    <font>
      <sz val="10"/>
      <name val="Vini"/>
    </font>
    <font>
      <sz val="8"/>
      <name val="Arial"/>
      <family val="2"/>
    </font>
    <font>
      <b/>
      <sz val="13"/>
      <name val="Times New Roman"/>
      <family val="1"/>
    </font>
    <font>
      <b/>
      <i/>
      <sz val="9"/>
      <name val="Times New Roman"/>
      <family val="1"/>
    </font>
    <font>
      <b/>
      <i/>
      <sz val="14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Arial"/>
      <family val="2"/>
    </font>
    <font>
      <b/>
      <sz val="13"/>
      <color rgb="FF0000CC"/>
      <name val="Times New Roman"/>
      <family val="1"/>
    </font>
    <font>
      <b/>
      <sz val="14"/>
      <color rgb="FF000066"/>
      <name val="Times New Roman"/>
      <family val="1"/>
    </font>
    <font>
      <b/>
      <sz val="18"/>
      <color rgb="FFC00000"/>
      <name val="Times New Roman"/>
      <family val="1"/>
    </font>
    <font>
      <b/>
      <sz val="18"/>
      <color rgb="FF002060"/>
      <name val="Times New Roman"/>
      <family val="1"/>
    </font>
    <font>
      <b/>
      <sz val="25"/>
      <color rgb="FFC00000"/>
      <name val="Times New Roman"/>
      <family val="1"/>
    </font>
    <font>
      <b/>
      <sz val="17"/>
      <color rgb="FF002060"/>
      <name val="Times New Roman"/>
      <family val="1"/>
    </font>
    <font>
      <b/>
      <sz val="16"/>
      <color rgb="FFC00000"/>
      <name val="Times New Roman"/>
      <family val="1"/>
    </font>
    <font>
      <b/>
      <sz val="15"/>
      <color rgb="FFC00000"/>
      <name val="Times New Roman"/>
      <family val="1"/>
    </font>
    <font>
      <b/>
      <sz val="12"/>
      <color rgb="FFC00000"/>
      <name val="Times New Roman"/>
      <family val="1"/>
    </font>
    <font>
      <b/>
      <sz val="17"/>
      <color rgb="FFC00000"/>
      <name val="Times New Roman"/>
      <family val="1"/>
    </font>
    <font>
      <b/>
      <sz val="18"/>
      <color theme="1"/>
      <name val="Times New Roman"/>
      <family val="1"/>
    </font>
    <font>
      <b/>
      <i/>
      <sz val="14"/>
      <color theme="1"/>
      <name val="Times New Roman"/>
      <family val="1"/>
    </font>
    <font>
      <sz val="12"/>
      <color theme="1"/>
      <name val="Times New Roman"/>
      <family val="2"/>
    </font>
    <font>
      <b/>
      <sz val="16"/>
      <color rgb="FF000099"/>
      <name val="Times New Roman"/>
      <family val="1"/>
    </font>
    <font>
      <b/>
      <sz val="16"/>
      <color indexed="8"/>
      <name val="Times New Roman"/>
      <family val="1"/>
    </font>
    <font>
      <sz val="16"/>
      <color indexed="8"/>
      <name val="Times New Roman"/>
      <family val="2"/>
    </font>
    <font>
      <sz val="13"/>
      <color indexed="8"/>
      <name val="Times New Roman"/>
      <family val="2"/>
    </font>
    <font>
      <b/>
      <sz val="15"/>
      <color indexed="8"/>
      <name val="Times New Roman"/>
      <family val="1"/>
    </font>
    <font>
      <sz val="13"/>
      <color rgb="FFC00000"/>
      <name val="Times New Roman"/>
      <family val="1"/>
    </font>
    <font>
      <sz val="13"/>
      <color theme="1"/>
      <name val="Times New Roman"/>
      <family val="1"/>
    </font>
    <font>
      <sz val="13"/>
      <color rgb="FF0000C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9" fillId="0" borderId="0"/>
    <xf numFmtId="0" fontId="1" fillId="0" borderId="0"/>
    <xf numFmtId="0" fontId="1" fillId="0" borderId="0"/>
    <xf numFmtId="0" fontId="20" fillId="0" borderId="0"/>
    <xf numFmtId="0" fontId="6" fillId="0" borderId="0"/>
    <xf numFmtId="0" fontId="19" fillId="0" borderId="0"/>
    <xf numFmtId="0" fontId="2" fillId="0" borderId="0"/>
    <xf numFmtId="0" fontId="34" fillId="0" borderId="0"/>
  </cellStyleXfs>
  <cellXfs count="93">
    <xf numFmtId="0" fontId="0" fillId="0" borderId="0" xfId="0"/>
    <xf numFmtId="0" fontId="21" fillId="0" borderId="0" xfId="0" applyFont="1"/>
    <xf numFmtId="0" fontId="9" fillId="0" borderId="0" xfId="7" applyFont="1"/>
    <xf numFmtId="0" fontId="10" fillId="0" borderId="0" xfId="7" applyFont="1"/>
    <xf numFmtId="0" fontId="13" fillId="0" borderId="1" xfId="7" applyFont="1" applyBorder="1" applyAlignment="1">
      <alignment vertical="center"/>
    </xf>
    <xf numFmtId="0" fontId="8" fillId="0" borderId="0" xfId="7" applyFont="1" applyAlignment="1">
      <alignment horizontal="center" shrinkToFit="1"/>
    </xf>
    <xf numFmtId="0" fontId="10" fillId="0" borderId="0" xfId="7" applyFont="1" applyAlignment="1">
      <alignment horizontal="center" shrinkToFit="1"/>
    </xf>
    <xf numFmtId="0" fontId="21" fillId="0" borderId="0" xfId="0" applyFont="1" applyAlignment="1">
      <alignment horizontal="center" shrinkToFit="1"/>
    </xf>
    <xf numFmtId="0" fontId="21" fillId="0" borderId="0" xfId="0" applyFont="1" applyAlignment="1">
      <alignment shrinkToFit="1"/>
    </xf>
    <xf numFmtId="1" fontId="7" fillId="0" borderId="10" xfId="7" applyNumberFormat="1" applyFont="1" applyBorder="1" applyAlignment="1">
      <alignment horizontal="center" vertical="center"/>
    </xf>
    <xf numFmtId="165" fontId="11" fillId="0" borderId="10" xfId="7" applyNumberFormat="1" applyFont="1" applyBorder="1" applyAlignment="1">
      <alignment horizontal="center" vertical="center"/>
    </xf>
    <xf numFmtId="165" fontId="11" fillId="0" borderId="11" xfId="7" applyNumberFormat="1" applyFont="1" applyBorder="1" applyAlignment="1">
      <alignment horizontal="center" vertical="center"/>
    </xf>
    <xf numFmtId="0" fontId="11" fillId="0" borderId="10" xfId="7" applyFont="1" applyBorder="1" applyAlignment="1">
      <alignment horizontal="center" vertical="center"/>
    </xf>
    <xf numFmtId="0" fontId="12" fillId="0" borderId="10" xfId="7" applyFont="1" applyBorder="1" applyAlignment="1">
      <alignment vertical="center"/>
    </xf>
    <xf numFmtId="1" fontId="7" fillId="0" borderId="12" xfId="7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 shrinkToFit="1"/>
    </xf>
    <xf numFmtId="41" fontId="5" fillId="0" borderId="13" xfId="0" applyNumberFormat="1" applyFont="1" applyBorder="1" applyAlignment="1">
      <alignment horizontal="center" vertical="center" shrinkToFit="1"/>
    </xf>
    <xf numFmtId="41" fontId="15" fillId="0" borderId="13" xfId="0" applyNumberFormat="1" applyFont="1" applyBorder="1" applyAlignment="1">
      <alignment horizontal="center" vertical="center" shrinkToFit="1"/>
    </xf>
    <xf numFmtId="165" fontId="11" fillId="0" borderId="12" xfId="7" applyNumberFormat="1" applyFont="1" applyBorder="1" applyAlignment="1">
      <alignment horizontal="center" vertical="center"/>
    </xf>
    <xf numFmtId="165" fontId="11" fillId="0" borderId="13" xfId="7" applyNumberFormat="1" applyFont="1" applyBorder="1" applyAlignment="1">
      <alignment horizontal="center" vertical="center"/>
    </xf>
    <xf numFmtId="165" fontId="8" fillId="3" borderId="1" xfId="7" applyNumberFormat="1" applyFont="1" applyFill="1" applyBorder="1" applyAlignment="1">
      <alignment horizontal="center" vertical="center"/>
    </xf>
    <xf numFmtId="164" fontId="24" fillId="0" borderId="5" xfId="7" applyNumberFormat="1" applyFont="1" applyBorder="1" applyAlignment="1">
      <alignment horizontal="center" vertical="center"/>
    </xf>
    <xf numFmtId="164" fontId="25" fillId="0" borderId="5" xfId="7" applyNumberFormat="1" applyFont="1" applyBorder="1" applyAlignment="1">
      <alignment vertical="center"/>
    </xf>
    <xf numFmtId="164" fontId="24" fillId="0" borderId="5" xfId="7" applyNumberFormat="1" applyFont="1" applyBorder="1" applyAlignment="1">
      <alignment horizontal="right" vertical="center" shrinkToFit="1"/>
    </xf>
    <xf numFmtId="166" fontId="24" fillId="0" borderId="5" xfId="0" applyNumberFormat="1" applyFont="1" applyBorder="1" applyAlignment="1">
      <alignment horizontal="left" vertical="center" shrinkToFit="1"/>
    </xf>
    <xf numFmtId="0" fontId="26" fillId="0" borderId="5" xfId="0" applyFont="1" applyBorder="1" applyAlignment="1">
      <alignment vertical="center" shrinkToFit="1"/>
    </xf>
    <xf numFmtId="164" fontId="27" fillId="2" borderId="0" xfId="7" applyNumberFormat="1" applyFont="1" applyFill="1" applyAlignment="1">
      <alignment vertical="center"/>
    </xf>
    <xf numFmtId="41" fontId="24" fillId="2" borderId="0" xfId="0" applyNumberFormat="1" applyFont="1" applyFill="1" applyAlignment="1">
      <alignment shrinkToFit="1"/>
    </xf>
    <xf numFmtId="41" fontId="22" fillId="0" borderId="13" xfId="0" applyNumberFormat="1" applyFont="1" applyBorder="1" applyAlignment="1">
      <alignment horizontal="left" vertical="center" shrinkToFit="1"/>
    </xf>
    <xf numFmtId="41" fontId="22" fillId="0" borderId="14" xfId="0" applyNumberFormat="1" applyFont="1" applyBorder="1" applyAlignment="1">
      <alignment horizontal="left" vertical="center" shrinkToFit="1"/>
    </xf>
    <xf numFmtId="41" fontId="18" fillId="0" borderId="13" xfId="0" applyNumberFormat="1" applyFont="1" applyBorder="1" applyAlignment="1">
      <alignment horizontal="center" vertical="center"/>
    </xf>
    <xf numFmtId="0" fontId="35" fillId="0" borderId="0" xfId="8" applyFont="1" applyAlignment="1">
      <alignment horizontal="center" shrinkToFit="1"/>
    </xf>
    <xf numFmtId="0" fontId="36" fillId="0" borderId="18" xfId="8" applyFont="1" applyBorder="1"/>
    <xf numFmtId="0" fontId="37" fillId="0" borderId="0" xfId="8" applyFont="1"/>
    <xf numFmtId="0" fontId="35" fillId="0" borderId="18" xfId="8" applyFont="1" applyBorder="1" applyAlignment="1">
      <alignment horizontal="center" shrinkToFit="1"/>
    </xf>
    <xf numFmtId="0" fontId="38" fillId="0" borderId="0" xfId="8" applyFont="1"/>
    <xf numFmtId="0" fontId="39" fillId="0" borderId="0" xfId="8" applyFont="1" applyAlignment="1">
      <alignment horizontal="center"/>
    </xf>
    <xf numFmtId="0" fontId="39" fillId="0" borderId="18" xfId="8" applyFont="1" applyBorder="1" applyAlignment="1">
      <alignment horizontal="center"/>
    </xf>
    <xf numFmtId="0" fontId="36" fillId="0" borderId="0" xfId="8" applyFont="1"/>
    <xf numFmtId="0" fontId="37" fillId="0" borderId="0" xfId="8" applyFont="1" applyAlignment="1">
      <alignment shrinkToFit="1"/>
    </xf>
    <xf numFmtId="0" fontId="28" fillId="0" borderId="0" xfId="8" applyFont="1" applyAlignment="1">
      <alignment horizontal="center" shrinkToFit="1"/>
    </xf>
    <xf numFmtId="0" fontId="37" fillId="0" borderId="18" xfId="8" applyFont="1" applyBorder="1" applyAlignment="1">
      <alignment horizontal="right" shrinkToFit="1"/>
    </xf>
    <xf numFmtId="0" fontId="37" fillId="0" borderId="0" xfId="8" applyFont="1" applyAlignment="1">
      <alignment horizontal="right" shrinkToFit="1"/>
    </xf>
    <xf numFmtId="0" fontId="37" fillId="0" borderId="0" xfId="8" applyFont="1" applyAlignment="1">
      <alignment horizontal="right"/>
    </xf>
    <xf numFmtId="0" fontId="37" fillId="0" borderId="18" xfId="8" applyFont="1" applyBorder="1"/>
    <xf numFmtId="0" fontId="37" fillId="0" borderId="18" xfId="8" applyFont="1" applyBorder="1" applyAlignment="1">
      <alignment horizontal="right"/>
    </xf>
    <xf numFmtId="0" fontId="40" fillId="0" borderId="1" xfId="8" applyFont="1" applyBorder="1" applyAlignment="1">
      <alignment horizontal="center" vertical="center" wrapText="1"/>
    </xf>
    <xf numFmtId="0" fontId="3" fillId="0" borderId="1" xfId="8" applyFont="1" applyBorder="1" applyAlignment="1">
      <alignment horizontal="center" vertical="center" wrapText="1"/>
    </xf>
    <xf numFmtId="0" fontId="3" fillId="0" borderId="6" xfId="8" applyFont="1" applyBorder="1" applyAlignment="1">
      <alignment horizontal="center" vertical="center" wrapText="1"/>
    </xf>
    <xf numFmtId="0" fontId="3" fillId="0" borderId="18" xfId="8" applyFont="1" applyBorder="1" applyAlignment="1">
      <alignment horizontal="center" vertical="center" wrapText="1"/>
    </xf>
    <xf numFmtId="0" fontId="36" fillId="0" borderId="0" xfId="8" applyFont="1" applyAlignment="1">
      <alignment horizontal="center" vertical="center"/>
    </xf>
    <xf numFmtId="0" fontId="41" fillId="0" borderId="1" xfId="8" applyFont="1" applyBorder="1" applyAlignment="1">
      <alignment horizontal="center" vertical="center" wrapText="1"/>
    </xf>
    <xf numFmtId="0" fontId="3" fillId="0" borderId="0" xfId="8" applyFont="1" applyAlignment="1">
      <alignment horizontal="center" vertical="center" wrapText="1"/>
    </xf>
    <xf numFmtId="0" fontId="42" fillId="0" borderId="1" xfId="8" applyFont="1" applyBorder="1" applyAlignment="1">
      <alignment horizontal="center" vertical="center" wrapText="1"/>
    </xf>
    <xf numFmtId="0" fontId="36" fillId="0" borderId="0" xfId="8" applyFont="1" applyAlignment="1">
      <alignment horizontal="center"/>
    </xf>
    <xf numFmtId="0" fontId="41" fillId="0" borderId="0" xfId="8" applyFont="1" applyAlignment="1">
      <alignment horizontal="center" vertical="center" wrapText="1"/>
    </xf>
    <xf numFmtId="0" fontId="17" fillId="0" borderId="3" xfId="7" applyFont="1" applyBorder="1" applyAlignment="1">
      <alignment horizontal="right" vertical="center"/>
    </xf>
    <xf numFmtId="0" fontId="17" fillId="0" borderId="4" xfId="7" applyFont="1" applyBorder="1" applyAlignment="1">
      <alignment horizontal="right" vertical="center"/>
    </xf>
    <xf numFmtId="0" fontId="17" fillId="0" borderId="2" xfId="7" applyFont="1" applyBorder="1" applyAlignment="1">
      <alignment horizontal="right" vertical="center"/>
    </xf>
    <xf numFmtId="164" fontId="31" fillId="2" borderId="0" xfId="7" applyNumberFormat="1" applyFont="1" applyFill="1" applyAlignment="1">
      <alignment horizontal="center" vertical="center"/>
    </xf>
    <xf numFmtId="164" fontId="32" fillId="0" borderId="0" xfId="7" applyNumberFormat="1" applyFont="1" applyAlignment="1">
      <alignment horizontal="center"/>
    </xf>
    <xf numFmtId="164" fontId="33" fillId="0" borderId="3" xfId="7" applyNumberFormat="1" applyFont="1" applyBorder="1" applyAlignment="1">
      <alignment horizontal="right"/>
    </xf>
    <xf numFmtId="164" fontId="33" fillId="0" borderId="4" xfId="7" applyNumberFormat="1" applyFont="1" applyBorder="1" applyAlignment="1">
      <alignment horizontal="right"/>
    </xf>
    <xf numFmtId="164" fontId="33" fillId="0" borderId="2" xfId="7" applyNumberFormat="1" applyFont="1" applyBorder="1" applyAlignment="1">
      <alignment horizontal="right"/>
    </xf>
    <xf numFmtId="164" fontId="9" fillId="3" borderId="1" xfId="7" applyNumberFormat="1" applyFont="1" applyFill="1" applyBorder="1" applyAlignment="1">
      <alignment horizontal="center" vertical="center"/>
    </xf>
    <xf numFmtId="164" fontId="9" fillId="3" borderId="1" xfId="7" applyNumberFormat="1" applyFont="1" applyFill="1" applyBorder="1" applyAlignment="1">
      <alignment horizontal="center" vertical="center" shrinkToFit="1"/>
    </xf>
    <xf numFmtId="164" fontId="16" fillId="0" borderId="1" xfId="7" applyNumberFormat="1" applyFont="1" applyBorder="1" applyAlignment="1">
      <alignment horizontal="left"/>
    </xf>
    <xf numFmtId="164" fontId="9" fillId="3" borderId="15" xfId="7" applyNumberFormat="1" applyFont="1" applyFill="1" applyBorder="1" applyAlignment="1">
      <alignment horizontal="center" vertical="center" shrinkToFit="1"/>
    </xf>
    <xf numFmtId="164" fontId="9" fillId="3" borderId="9" xfId="7" applyNumberFormat="1" applyFont="1" applyFill="1" applyBorder="1" applyAlignment="1">
      <alignment horizontal="center" vertical="center" shrinkToFit="1"/>
    </xf>
    <xf numFmtId="164" fontId="9" fillId="3" borderId="7" xfId="7" applyNumberFormat="1" applyFont="1" applyFill="1" applyBorder="1" applyAlignment="1">
      <alignment horizontal="center" vertical="center" shrinkToFit="1"/>
    </xf>
    <xf numFmtId="0" fontId="8" fillId="3" borderId="1" xfId="7" applyFont="1" applyFill="1" applyBorder="1" applyAlignment="1">
      <alignment horizontal="center" vertical="center"/>
    </xf>
    <xf numFmtId="165" fontId="9" fillId="3" borderId="1" xfId="7" applyNumberFormat="1" applyFont="1" applyFill="1" applyBorder="1" applyAlignment="1">
      <alignment horizontal="center" vertical="center"/>
    </xf>
    <xf numFmtId="165" fontId="30" fillId="3" borderId="1" xfId="7" applyNumberFormat="1" applyFont="1" applyFill="1" applyBorder="1" applyAlignment="1">
      <alignment horizontal="center" vertical="center"/>
    </xf>
    <xf numFmtId="164" fontId="7" fillId="0" borderId="0" xfId="7" applyNumberFormat="1" applyFont="1" applyAlignment="1">
      <alignment horizontal="center"/>
    </xf>
    <xf numFmtId="0" fontId="9" fillId="0" borderId="0" xfId="7" applyFont="1" applyAlignment="1">
      <alignment horizontal="center"/>
    </xf>
    <xf numFmtId="164" fontId="9" fillId="0" borderId="0" xfId="7" applyNumberFormat="1" applyFont="1" applyAlignment="1">
      <alignment horizontal="center"/>
    </xf>
    <xf numFmtId="0" fontId="4" fillId="0" borderId="0" xfId="7" applyFont="1" applyAlignment="1">
      <alignment horizontal="center"/>
    </xf>
    <xf numFmtId="164" fontId="8" fillId="3" borderId="1" xfId="7" applyNumberFormat="1" applyFont="1" applyFill="1" applyBorder="1" applyAlignment="1">
      <alignment horizontal="center" vertical="center" wrapText="1"/>
    </xf>
    <xf numFmtId="164" fontId="8" fillId="3" borderId="1" xfId="7" applyNumberFormat="1" applyFont="1" applyFill="1" applyBorder="1" applyAlignment="1">
      <alignment horizontal="center" vertical="center"/>
    </xf>
    <xf numFmtId="164" fontId="29" fillId="2" borderId="0" xfId="7" applyNumberFormat="1" applyFont="1" applyFill="1" applyAlignment="1">
      <alignment horizontal="center" shrinkToFit="1"/>
    </xf>
    <xf numFmtId="164" fontId="23" fillId="2" borderId="0" xfId="7" applyNumberFormat="1" applyFont="1" applyFill="1" applyAlignment="1">
      <alignment horizontal="right"/>
    </xf>
    <xf numFmtId="164" fontId="9" fillId="3" borderId="16" xfId="7" applyNumberFormat="1" applyFont="1" applyFill="1" applyBorder="1" applyAlignment="1">
      <alignment horizontal="center" vertical="center" shrinkToFit="1"/>
    </xf>
    <xf numFmtId="164" fontId="9" fillId="3" borderId="17" xfId="7" applyNumberFormat="1" applyFont="1" applyFill="1" applyBorder="1" applyAlignment="1">
      <alignment horizontal="center" vertical="center" shrinkToFit="1"/>
    </xf>
    <xf numFmtId="164" fontId="9" fillId="3" borderId="8" xfId="7" applyNumberFormat="1" applyFont="1" applyFill="1" applyBorder="1" applyAlignment="1">
      <alignment horizontal="center" vertical="center" shrinkToFit="1"/>
    </xf>
    <xf numFmtId="164" fontId="9" fillId="3" borderId="1" xfId="7" applyNumberFormat="1" applyFont="1" applyFill="1" applyBorder="1" applyAlignment="1">
      <alignment horizontal="center" vertical="center" wrapText="1" shrinkToFit="1"/>
    </xf>
    <xf numFmtId="0" fontId="35" fillId="0" borderId="0" xfId="8" applyFont="1" applyAlignment="1">
      <alignment horizontal="center" shrinkToFit="1"/>
    </xf>
    <xf numFmtId="0" fontId="28" fillId="0" borderId="0" xfId="8" applyFont="1" applyAlignment="1">
      <alignment horizontal="center" shrinkToFit="1"/>
    </xf>
    <xf numFmtId="0" fontId="39" fillId="0" borderId="0" xfId="8" applyFont="1" applyAlignment="1">
      <alignment horizontal="center"/>
    </xf>
    <xf numFmtId="0" fontId="39" fillId="0" borderId="18" xfId="8" applyFont="1" applyBorder="1" applyAlignment="1">
      <alignment horizontal="center"/>
    </xf>
    <xf numFmtId="1" fontId="7" fillId="0" borderId="13" xfId="7" applyNumberFormat="1" applyFont="1" applyBorder="1" applyAlignment="1">
      <alignment horizontal="center" vertical="center"/>
    </xf>
    <xf numFmtId="164" fontId="9" fillId="3" borderId="19" xfId="7" applyNumberFormat="1" applyFont="1" applyFill="1" applyBorder="1" applyAlignment="1">
      <alignment horizontal="center" vertical="center"/>
    </xf>
    <xf numFmtId="164" fontId="9" fillId="3" borderId="6" xfId="7" applyNumberFormat="1" applyFont="1" applyFill="1" applyBorder="1" applyAlignment="1">
      <alignment horizontal="center" vertical="center"/>
    </xf>
    <xf numFmtId="164" fontId="9" fillId="3" borderId="20" xfId="7" applyNumberFormat="1" applyFont="1" applyFill="1" applyBorder="1" applyAlignment="1">
      <alignment horizontal="center" vertical="center"/>
    </xf>
  </cellXfs>
  <cellStyles count="9">
    <cellStyle name="Normal" xfId="0" builtinId="0"/>
    <cellStyle name="Normal 2" xfId="1" xr:uid="{00000000-0005-0000-0000-000002000000}"/>
    <cellStyle name="Normal 2 2" xfId="2" xr:uid="{00000000-0005-0000-0000-000003000000}"/>
    <cellStyle name="Normal 2 3" xfId="3" xr:uid="{00000000-0005-0000-0000-000004000000}"/>
    <cellStyle name="Normal 3" xfId="4" xr:uid="{00000000-0005-0000-0000-000005000000}"/>
    <cellStyle name="Normal 3 2" xfId="5" xr:uid="{00000000-0005-0000-0000-000006000000}"/>
    <cellStyle name="Normal 4" xfId="6" xr:uid="{00000000-0005-0000-0000-000007000000}"/>
    <cellStyle name="Normal 5" xfId="8" xr:uid="{777F6119-478B-C044-BD8A-7F286FC554C0}"/>
    <cellStyle name="Normal_ds thi HK1 NH 05-06 (lop 11A1+11A2+11C1)" xfId="7" xr:uid="{00000000-0005-0000-0000-000008000000}"/>
  </cellStyles>
  <dxfs count="13">
    <dxf>
      <font>
        <b/>
        <i val="0"/>
        <strike/>
      </font>
    </dxf>
    <dxf>
      <font>
        <color theme="0"/>
      </font>
    </dxf>
    <dxf>
      <font>
        <strike/>
      </font>
    </dxf>
    <dxf>
      <font>
        <strike/>
      </font>
    </dxf>
    <dxf>
      <font>
        <color theme="0"/>
      </font>
    </dxf>
    <dxf>
      <font>
        <color theme="0"/>
      </font>
    </dxf>
    <dxf>
      <font>
        <strike/>
      </font>
    </dxf>
    <dxf>
      <font>
        <b/>
        <i val="0"/>
      </font>
    </dxf>
    <dxf>
      <font>
        <strike/>
      </font>
    </dxf>
    <dxf>
      <font>
        <strike/>
      </font>
    </dxf>
    <dxf>
      <font>
        <b/>
        <i val="0"/>
      </font>
    </dxf>
    <dxf>
      <font>
        <strike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1</xdr:row>
      <xdr:rowOff>200025</xdr:rowOff>
    </xdr:from>
    <xdr:to>
      <xdr:col>4</xdr:col>
      <xdr:colOff>918054</xdr:colOff>
      <xdr:row>1</xdr:row>
      <xdr:rowOff>200025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77C692-8434-4968-ABED-EFA0A2D3382A}"/>
            </a:ext>
          </a:extLst>
        </xdr:cNvPr>
        <xdr:cNvCxnSpPr/>
      </xdr:nvCxnSpPr>
      <xdr:spPr>
        <a:xfrm>
          <a:off x="1543050" y="409575"/>
          <a:ext cx="9810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iustran89/Documents/GDNN-GDTX/2024-2025/WEBLESSON/education-blog/templates_excel/SO&#795;%20&#272;O&#770;&#768;%20CHO&#770;&#771;%20NGO&#770;&#768;I%20PHO&#768;NG%20THI%20HK%20I.xlsx" TargetMode="External"/><Relationship Id="rId1" Type="http://schemas.openxmlformats.org/officeDocument/2006/relationships/externalLinkPath" Target="SO&#795;%20&#272;O&#770;&#768;%20CHO&#770;&#771;%20NGO&#770;&#768;I%20PHO&#768;NG%20THI%20HK%20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Coppy_Tke Pthi dan"/>
      <sheetName val="4_Sơ đồ mẫu"/>
    </sheetNames>
    <sheetDataSet>
      <sheetData sheetId="0">
        <row r="18">
          <cell r="A18">
            <v>1</v>
          </cell>
          <cell r="B18">
            <v>1</v>
          </cell>
          <cell r="C18" t="str">
            <v>1A</v>
          </cell>
          <cell r="D18">
            <v>24</v>
          </cell>
          <cell r="E18"/>
          <cell r="F18" t="str">
            <v>1A.S</v>
          </cell>
          <cell r="G18" t="str">
            <v>TH2</v>
          </cell>
          <cell r="H18" t="str">
            <v>10AS</v>
          </cell>
          <cell r="I18" t="str">
            <v>Thứ Ba (23/12)</v>
          </cell>
          <cell r="J18" t="str">
            <v>Thứ Năm (25/12)</v>
          </cell>
          <cell r="K18">
            <v>24</v>
          </cell>
          <cell r="L18">
            <v>0</v>
          </cell>
          <cell r="M18" t="str">
            <v>VĂN</v>
          </cell>
          <cell r="N18" t="str">
            <v>HÓA</v>
          </cell>
          <cell r="O18" t="str">
            <v>TOÁN</v>
          </cell>
          <cell r="P18" t="str">
            <v>SỬ</v>
          </cell>
          <cell r="Q18">
            <v>100001</v>
          </cell>
          <cell r="R18">
            <v>100024</v>
          </cell>
          <cell r="S18" t="str">
            <v>TỔ HỢP 2 (10AS1,2)</v>
          </cell>
        </row>
        <row r="19">
          <cell r="A19">
            <v>2</v>
          </cell>
          <cell r="B19">
            <v>2</v>
          </cell>
          <cell r="C19" t="str">
            <v>2A</v>
          </cell>
          <cell r="D19">
            <v>23</v>
          </cell>
          <cell r="E19"/>
          <cell r="F19" t="str">
            <v>2A.S</v>
          </cell>
          <cell r="G19" t="str">
            <v>TH2</v>
          </cell>
          <cell r="H19" t="str">
            <v>10AS</v>
          </cell>
          <cell r="I19" t="str">
            <v>Thứ Ba (23/12)</v>
          </cell>
          <cell r="J19" t="str">
            <v>Thứ Năm (25/12)</v>
          </cell>
          <cell r="K19">
            <v>23</v>
          </cell>
          <cell r="L19">
            <v>0</v>
          </cell>
          <cell r="M19" t="str">
            <v>VĂN</v>
          </cell>
          <cell r="N19" t="str">
            <v>HÓA</v>
          </cell>
          <cell r="O19" t="str">
            <v>TOÁN</v>
          </cell>
          <cell r="P19" t="str">
            <v>SỬ</v>
          </cell>
          <cell r="Q19">
            <v>100025</v>
          </cell>
          <cell r="R19">
            <v>100047</v>
          </cell>
          <cell r="S19" t="str">
            <v>TỔ HỢP 2 (10AS1,2)</v>
          </cell>
        </row>
        <row r="20">
          <cell r="A20">
            <v>3</v>
          </cell>
          <cell r="B20">
            <v>3</v>
          </cell>
          <cell r="C20" t="str">
            <v>3A</v>
          </cell>
          <cell r="D20">
            <v>23</v>
          </cell>
          <cell r="E20"/>
          <cell r="F20" t="str">
            <v>3A.S</v>
          </cell>
          <cell r="G20" t="str">
            <v>TH2</v>
          </cell>
          <cell r="H20" t="str">
            <v>10AS</v>
          </cell>
          <cell r="I20" t="str">
            <v>Thứ Ba (23/12)</v>
          </cell>
          <cell r="J20" t="str">
            <v>Thứ Năm (25/12)</v>
          </cell>
          <cell r="K20">
            <v>23</v>
          </cell>
          <cell r="L20">
            <v>0</v>
          </cell>
          <cell r="M20" t="str">
            <v>VĂN</v>
          </cell>
          <cell r="N20" t="str">
            <v>HÓA</v>
          </cell>
          <cell r="O20" t="str">
            <v>TOÁN</v>
          </cell>
          <cell r="P20" t="str">
            <v>SỬ</v>
          </cell>
          <cell r="Q20">
            <v>100048</v>
          </cell>
          <cell r="R20">
            <v>100070</v>
          </cell>
          <cell r="S20" t="str">
            <v>TỔ HỢP 2 (10AS1,2)</v>
          </cell>
        </row>
        <row r="21">
          <cell r="A21">
            <v>4</v>
          </cell>
          <cell r="B21">
            <v>4</v>
          </cell>
          <cell r="C21" t="str">
            <v>4A</v>
          </cell>
          <cell r="D21">
            <v>23</v>
          </cell>
          <cell r="E21"/>
          <cell r="F21" t="str">
            <v>4A.S</v>
          </cell>
          <cell r="G21" t="str">
            <v>TH2</v>
          </cell>
          <cell r="H21" t="str">
            <v>10AS</v>
          </cell>
          <cell r="I21" t="str">
            <v>Thứ Ba (23/12)</v>
          </cell>
          <cell r="J21" t="str">
            <v>Thứ Năm (25/12)</v>
          </cell>
          <cell r="K21">
            <v>23</v>
          </cell>
          <cell r="L21">
            <v>0</v>
          </cell>
          <cell r="M21" t="str">
            <v>VĂN</v>
          </cell>
          <cell r="N21" t="str">
            <v>HÓA</v>
          </cell>
          <cell r="O21" t="str">
            <v>TOÁN</v>
          </cell>
          <cell r="P21" t="str">
            <v>SỬ</v>
          </cell>
          <cell r="Q21">
            <v>100071</v>
          </cell>
          <cell r="R21">
            <v>100093</v>
          </cell>
          <cell r="S21" t="str">
            <v>TỔ HỢP 2 (10AS1,2)</v>
          </cell>
        </row>
        <row r="22">
          <cell r="A22" t="str">
            <v/>
          </cell>
          <cell r="B22" t="str">
            <v>TỔ HỢP 3 (10AS3,4)</v>
          </cell>
          <cell r="C22"/>
          <cell r="D22">
            <v>96</v>
          </cell>
          <cell r="E22"/>
          <cell r="F22"/>
          <cell r="G22"/>
          <cell r="H22"/>
          <cell r="I22"/>
          <cell r="J22"/>
          <cell r="K22">
            <v>95</v>
          </cell>
          <cell r="L22">
            <v>1</v>
          </cell>
          <cell r="M22" t="str">
            <v>VĂN</v>
          </cell>
          <cell r="N22" t="str">
            <v>KT-PL</v>
          </cell>
          <cell r="O22" t="str">
            <v>TOÁN</v>
          </cell>
          <cell r="P22" t="str">
            <v>SỬ</v>
          </cell>
          <cell r="Q22"/>
          <cell r="R22"/>
          <cell r="S22"/>
        </row>
        <row r="23">
          <cell r="A23">
            <v>5</v>
          </cell>
          <cell r="B23">
            <v>1</v>
          </cell>
          <cell r="C23" t="str">
            <v>5A</v>
          </cell>
          <cell r="D23">
            <v>24</v>
          </cell>
          <cell r="E23" t="str">
            <v>01.HN</v>
          </cell>
          <cell r="F23" t="str">
            <v>5A.S</v>
          </cell>
          <cell r="G23" t="str">
            <v>TH3</v>
          </cell>
          <cell r="H23" t="str">
            <v>10AS</v>
          </cell>
          <cell r="I23" t="str">
            <v>Thứ Ba (23/12)</v>
          </cell>
          <cell r="J23" t="str">
            <v>Thứ Năm (25/12)</v>
          </cell>
          <cell r="K23">
            <v>24</v>
          </cell>
          <cell r="L23">
            <v>0</v>
          </cell>
          <cell r="M23" t="str">
            <v>VĂN</v>
          </cell>
          <cell r="N23" t="str">
            <v>KT-PL</v>
          </cell>
          <cell r="O23" t="str">
            <v>TOÁN</v>
          </cell>
          <cell r="P23" t="str">
            <v>SỬ</v>
          </cell>
          <cell r="Q23">
            <v>100094</v>
          </cell>
          <cell r="R23">
            <v>100117</v>
          </cell>
          <cell r="S23" t="str">
            <v>TỔ HỢP 3 (10AS3,4)</v>
          </cell>
        </row>
        <row r="24">
          <cell r="A24">
            <v>6</v>
          </cell>
          <cell r="B24">
            <v>2</v>
          </cell>
          <cell r="C24" t="str">
            <v>6A</v>
          </cell>
          <cell r="D24">
            <v>24</v>
          </cell>
          <cell r="E24"/>
          <cell r="F24" t="str">
            <v>6A.S</v>
          </cell>
          <cell r="G24" t="str">
            <v>TH3</v>
          </cell>
          <cell r="H24" t="str">
            <v>10AS</v>
          </cell>
          <cell r="I24" t="str">
            <v>Thứ Ba (23/12)</v>
          </cell>
          <cell r="J24" t="str">
            <v>Thứ Năm (25/12)</v>
          </cell>
          <cell r="K24">
            <v>24</v>
          </cell>
          <cell r="L24">
            <v>0</v>
          </cell>
          <cell r="M24" t="str">
            <v>VĂN</v>
          </cell>
          <cell r="N24" t="str">
            <v>KT-PL</v>
          </cell>
          <cell r="O24" t="str">
            <v>TOÁN</v>
          </cell>
          <cell r="P24" t="str">
            <v>SỬ</v>
          </cell>
          <cell r="Q24">
            <v>100118</v>
          </cell>
          <cell r="R24">
            <v>100141</v>
          </cell>
          <cell r="S24" t="str">
            <v>TỔ HỢP 3 (10AS3,4)</v>
          </cell>
        </row>
        <row r="25">
          <cell r="A25">
            <v>7</v>
          </cell>
          <cell r="B25">
            <v>3</v>
          </cell>
          <cell r="C25" t="str">
            <v>9A</v>
          </cell>
          <cell r="D25">
            <v>24</v>
          </cell>
          <cell r="E25"/>
          <cell r="F25" t="str">
            <v>9A.S</v>
          </cell>
          <cell r="G25" t="str">
            <v>TH3</v>
          </cell>
          <cell r="H25" t="str">
            <v>10AS</v>
          </cell>
          <cell r="I25" t="str">
            <v>Thứ Ba (23/12)</v>
          </cell>
          <cell r="J25" t="str">
            <v>Thứ Năm (25/12)</v>
          </cell>
          <cell r="K25">
            <v>24</v>
          </cell>
          <cell r="L25">
            <v>0</v>
          </cell>
          <cell r="M25" t="str">
            <v>VĂN</v>
          </cell>
          <cell r="N25" t="str">
            <v>KT-PL</v>
          </cell>
          <cell r="O25" t="str">
            <v>TOÁN</v>
          </cell>
          <cell r="P25" t="str">
            <v>SỬ</v>
          </cell>
          <cell r="Q25">
            <v>100142</v>
          </cell>
          <cell r="R25">
            <v>100165</v>
          </cell>
          <cell r="S25" t="str">
            <v>TỔ HỢP 3 (10AS3,4)</v>
          </cell>
        </row>
        <row r="26">
          <cell r="A26">
            <v>8</v>
          </cell>
          <cell r="B26">
            <v>4</v>
          </cell>
          <cell r="C26" t="str">
            <v>10A</v>
          </cell>
          <cell r="D26">
            <v>24</v>
          </cell>
          <cell r="E26"/>
          <cell r="F26" t="str">
            <v>10A.S</v>
          </cell>
          <cell r="G26" t="str">
            <v>TH3</v>
          </cell>
          <cell r="H26" t="str">
            <v>10AS</v>
          </cell>
          <cell r="I26" t="str">
            <v>Thứ Ba (23/12)</v>
          </cell>
          <cell r="J26" t="str">
            <v>Thứ Năm (25/12)</v>
          </cell>
          <cell r="K26">
            <v>23</v>
          </cell>
          <cell r="L26">
            <v>1</v>
          </cell>
          <cell r="M26" t="str">
            <v>VĂN</v>
          </cell>
          <cell r="N26" t="str">
            <v>KT-PL</v>
          </cell>
          <cell r="O26" t="str">
            <v>TOÁN</v>
          </cell>
          <cell r="P26" t="str">
            <v>SỬ</v>
          </cell>
          <cell r="Q26">
            <v>100166</v>
          </cell>
          <cell r="R26">
            <v>100188</v>
          </cell>
          <cell r="S26" t="str">
            <v>TỔ HỢP 3 (10AS3,4)</v>
          </cell>
        </row>
        <row r="27">
          <cell r="A27" t="str">
            <v/>
          </cell>
          <cell r="B27" t="str">
            <v>TỔ HỢP 4 (10AS5,6,7)</v>
          </cell>
          <cell r="C27"/>
          <cell r="D27">
            <v>143</v>
          </cell>
          <cell r="E27"/>
          <cell r="F27"/>
          <cell r="G27"/>
          <cell r="H27"/>
          <cell r="I27"/>
          <cell r="J27"/>
          <cell r="K27">
            <v>96</v>
          </cell>
          <cell r="L27">
            <v>0</v>
          </cell>
          <cell r="M27" t="str">
            <v>VĂN</v>
          </cell>
          <cell r="N27" t="str">
            <v>LÝ</v>
          </cell>
          <cell r="O27" t="str">
            <v>TOÁN</v>
          </cell>
          <cell r="P27" t="str">
            <v>SỬ</v>
          </cell>
          <cell r="Q27"/>
          <cell r="R27"/>
          <cell r="S27"/>
        </row>
        <row r="28">
          <cell r="A28">
            <v>9</v>
          </cell>
          <cell r="B28">
            <v>1</v>
          </cell>
          <cell r="C28" t="str">
            <v>11A</v>
          </cell>
          <cell r="D28">
            <v>24</v>
          </cell>
          <cell r="E28" t="str">
            <v>01.HN</v>
          </cell>
          <cell r="F28" t="str">
            <v>11A.S</v>
          </cell>
          <cell r="G28" t="str">
            <v>TH4</v>
          </cell>
          <cell r="H28" t="str">
            <v>10AS</v>
          </cell>
          <cell r="I28" t="str">
            <v>Thứ Ba (23/12)</v>
          </cell>
          <cell r="J28" t="str">
            <v>Thứ Năm (25/12)</v>
          </cell>
          <cell r="K28">
            <v>24</v>
          </cell>
          <cell r="L28">
            <v>0</v>
          </cell>
          <cell r="M28" t="str">
            <v>VĂN</v>
          </cell>
          <cell r="N28" t="str">
            <v>LÝ</v>
          </cell>
          <cell r="O28" t="str">
            <v>TOÁN</v>
          </cell>
          <cell r="P28" t="str">
            <v>SỬ</v>
          </cell>
          <cell r="Q28">
            <v>100189</v>
          </cell>
          <cell r="R28">
            <v>100212</v>
          </cell>
          <cell r="S28" t="str">
            <v>TỔ HỢP 4 (10AS5,6,7)</v>
          </cell>
        </row>
        <row r="29">
          <cell r="A29">
            <v>10</v>
          </cell>
          <cell r="B29">
            <v>2</v>
          </cell>
          <cell r="C29" t="str">
            <v>12A</v>
          </cell>
          <cell r="D29">
            <v>24</v>
          </cell>
          <cell r="E29"/>
          <cell r="F29" t="str">
            <v>12A.S</v>
          </cell>
          <cell r="G29" t="str">
            <v>TH4</v>
          </cell>
          <cell r="H29" t="str">
            <v>10AS</v>
          </cell>
          <cell r="I29" t="str">
            <v>Thứ Ba (23/12)</v>
          </cell>
          <cell r="J29" t="str">
            <v>Thứ Năm (25/12)</v>
          </cell>
          <cell r="K29">
            <v>24</v>
          </cell>
          <cell r="L29">
            <v>0</v>
          </cell>
          <cell r="M29" t="str">
            <v>VĂN</v>
          </cell>
          <cell r="N29" t="str">
            <v>LÝ</v>
          </cell>
          <cell r="O29" t="str">
            <v>TOÁN</v>
          </cell>
          <cell r="P29" t="str">
            <v>SỬ</v>
          </cell>
          <cell r="Q29">
            <v>100213</v>
          </cell>
          <cell r="R29">
            <v>100236</v>
          </cell>
          <cell r="S29" t="str">
            <v>TỔ HỢP 4 (10AS5,6,7)</v>
          </cell>
        </row>
        <row r="30">
          <cell r="A30">
            <v>11</v>
          </cell>
          <cell r="B30">
            <v>3</v>
          </cell>
          <cell r="C30" t="str">
            <v>13A</v>
          </cell>
          <cell r="D30">
            <v>24</v>
          </cell>
          <cell r="E30"/>
          <cell r="F30" t="str">
            <v>13A.S</v>
          </cell>
          <cell r="G30" t="str">
            <v>TH4</v>
          </cell>
          <cell r="H30" t="str">
            <v>10AS</v>
          </cell>
          <cell r="I30" t="str">
            <v>Thứ Ba (23/12)</v>
          </cell>
          <cell r="J30" t="str">
            <v>Thứ Năm (25/12)</v>
          </cell>
          <cell r="K30">
            <v>24</v>
          </cell>
          <cell r="L30">
            <v>0</v>
          </cell>
          <cell r="M30" t="str">
            <v>VĂN</v>
          </cell>
          <cell r="N30" t="str">
            <v>LÝ</v>
          </cell>
          <cell r="O30" t="str">
            <v>TOÁN</v>
          </cell>
          <cell r="P30" t="str">
            <v>SỬ</v>
          </cell>
          <cell r="Q30">
            <v>100237</v>
          </cell>
          <cell r="R30">
            <v>100260</v>
          </cell>
          <cell r="S30" t="str">
            <v>TỔ HỢP 4 (10AS5,6,7)</v>
          </cell>
        </row>
        <row r="31">
          <cell r="A31">
            <v>12</v>
          </cell>
          <cell r="B31">
            <v>4</v>
          </cell>
          <cell r="C31" t="str">
            <v>14A</v>
          </cell>
          <cell r="D31">
            <v>24</v>
          </cell>
          <cell r="E31"/>
          <cell r="F31" t="str">
            <v>14A.S</v>
          </cell>
          <cell r="G31" t="str">
            <v>TH4</v>
          </cell>
          <cell r="H31" t="str">
            <v>10AS</v>
          </cell>
          <cell r="I31" t="str">
            <v>Thứ Ba (23/12)</v>
          </cell>
          <cell r="J31" t="str">
            <v>Thứ Năm (25/12)</v>
          </cell>
          <cell r="K31">
            <v>24</v>
          </cell>
          <cell r="L31">
            <v>0</v>
          </cell>
          <cell r="M31" t="str">
            <v>VĂN</v>
          </cell>
          <cell r="N31" t="str">
            <v>LÝ</v>
          </cell>
          <cell r="O31" t="str">
            <v>TOÁN</v>
          </cell>
          <cell r="P31" t="str">
            <v>SỬ</v>
          </cell>
          <cell r="Q31">
            <v>100261</v>
          </cell>
          <cell r="R31">
            <v>100284</v>
          </cell>
          <cell r="S31" t="str">
            <v>TỔ HỢP 4 (10AS5,6,7)</v>
          </cell>
        </row>
        <row r="32">
          <cell r="A32">
            <v>13</v>
          </cell>
          <cell r="B32">
            <v>5</v>
          </cell>
          <cell r="C32" t="str">
            <v>2B</v>
          </cell>
          <cell r="D32">
            <v>24</v>
          </cell>
          <cell r="E32"/>
          <cell r="F32" t="str">
            <v>2B.S</v>
          </cell>
          <cell r="G32" t="str">
            <v>TH4</v>
          </cell>
          <cell r="H32" t="str">
            <v>10AS</v>
          </cell>
          <cell r="I32" t="str">
            <v>Thứ Ba (23/12)</v>
          </cell>
          <cell r="J32" t="str">
            <v>Thứ Năm (25/12)</v>
          </cell>
          <cell r="K32">
            <v>24</v>
          </cell>
          <cell r="L32">
            <v>0</v>
          </cell>
          <cell r="M32" t="str">
            <v>VĂN</v>
          </cell>
          <cell r="N32" t="str">
            <v>LÝ</v>
          </cell>
          <cell r="O32" t="str">
            <v>TOÁN</v>
          </cell>
          <cell r="P32" t="str">
            <v>SỬ</v>
          </cell>
          <cell r="Q32">
            <v>100285</v>
          </cell>
          <cell r="R32">
            <v>100308</v>
          </cell>
          <cell r="S32" t="str">
            <v>TỔ HỢP 4 (10AS5,6,7)</v>
          </cell>
        </row>
        <row r="33">
          <cell r="A33">
            <v>14</v>
          </cell>
          <cell r="B33">
            <v>6</v>
          </cell>
          <cell r="C33" t="str">
            <v>3B</v>
          </cell>
          <cell r="D33">
            <v>23</v>
          </cell>
          <cell r="E33"/>
          <cell r="F33" t="str">
            <v>3B.S</v>
          </cell>
          <cell r="G33" t="str">
            <v>TH4</v>
          </cell>
          <cell r="H33" t="str">
            <v>10AS</v>
          </cell>
          <cell r="I33" t="str">
            <v>Thứ Ba (23/12)</v>
          </cell>
          <cell r="J33" t="str">
            <v>Thứ Năm (25/12)</v>
          </cell>
          <cell r="K33">
            <v>23</v>
          </cell>
          <cell r="L33">
            <v>0</v>
          </cell>
          <cell r="M33" t="str">
            <v>VĂN</v>
          </cell>
          <cell r="N33" t="str">
            <v>LÝ</v>
          </cell>
          <cell r="O33" t="str">
            <v>TOÁN</v>
          </cell>
          <cell r="P33" t="str">
            <v>SỬ</v>
          </cell>
          <cell r="Q33">
            <v>100309</v>
          </cell>
          <cell r="R33">
            <v>100331</v>
          </cell>
          <cell r="S33" t="str">
            <v>TỔ HỢP 4 (10AS5,6,7)</v>
          </cell>
        </row>
        <row r="34">
          <cell r="A34" t="str">
            <v/>
          </cell>
          <cell r="B34" t="str">
            <v>KHỐI 10AT</v>
          </cell>
          <cell r="C34" t="str">
            <v>3 phòng</v>
          </cell>
          <cell r="D34">
            <v>87</v>
          </cell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 t="str">
            <v/>
          </cell>
          <cell r="B35" t="str">
            <v>TỔ HỢP 4 (10AT1,2)</v>
          </cell>
          <cell r="C35"/>
          <cell r="D35">
            <v>87</v>
          </cell>
          <cell r="E35"/>
          <cell r="F35"/>
          <cell r="G35"/>
          <cell r="H35"/>
          <cell r="I35"/>
          <cell r="J35"/>
          <cell r="K35"/>
          <cell r="L35"/>
          <cell r="M35" t="str">
            <v>VĂN</v>
          </cell>
          <cell r="N35" t="str">
            <v>LÝ</v>
          </cell>
          <cell r="O35" t="str">
            <v>TOÁN</v>
          </cell>
          <cell r="P35" t="str">
            <v>SỬ</v>
          </cell>
          <cell r="Q35"/>
          <cell r="R35"/>
          <cell r="S35"/>
        </row>
        <row r="36">
          <cell r="A36">
            <v>15</v>
          </cell>
          <cell r="B36">
            <v>1</v>
          </cell>
          <cell r="C36" t="str">
            <v>7B</v>
          </cell>
          <cell r="D36">
            <v>29</v>
          </cell>
          <cell r="E36"/>
          <cell r="F36" t="str">
            <v>7B.T</v>
          </cell>
          <cell r="G36" t="str">
            <v>TH4</v>
          </cell>
          <cell r="H36" t="str">
            <v>10AT</v>
          </cell>
          <cell r="I36" t="str">
            <v>Thứ Hai (22/12)</v>
          </cell>
          <cell r="J36" t="str">
            <v>Thứ Ba (23/12)</v>
          </cell>
          <cell r="K36">
            <v>29</v>
          </cell>
          <cell r="L36">
            <v>0</v>
          </cell>
          <cell r="M36" t="str">
            <v>VĂN</v>
          </cell>
          <cell r="N36" t="str">
            <v>LÝ</v>
          </cell>
          <cell r="O36" t="str">
            <v>TOÁN</v>
          </cell>
          <cell r="P36" t="str">
            <v>SỬ</v>
          </cell>
          <cell r="Q36">
            <v>100332</v>
          </cell>
          <cell r="R36">
            <v>100360</v>
          </cell>
          <cell r="S36" t="str">
            <v>TỔ HỢP 4 (10AT1,2)</v>
          </cell>
        </row>
        <row r="37">
          <cell r="A37">
            <v>16</v>
          </cell>
          <cell r="B37">
            <v>2</v>
          </cell>
          <cell r="C37" t="str">
            <v>8B</v>
          </cell>
          <cell r="D37">
            <v>29</v>
          </cell>
          <cell r="E37"/>
          <cell r="F37" t="str">
            <v>8B.T</v>
          </cell>
          <cell r="G37" t="str">
            <v>TH4</v>
          </cell>
          <cell r="H37" t="str">
            <v>10AT</v>
          </cell>
          <cell r="I37" t="str">
            <v>Thứ Hai (22/12)</v>
          </cell>
          <cell r="J37" t="str">
            <v>Thứ Ba (23/12)</v>
          </cell>
          <cell r="K37">
            <v>29</v>
          </cell>
          <cell r="L37">
            <v>0</v>
          </cell>
          <cell r="M37" t="str">
            <v>VĂN</v>
          </cell>
          <cell r="N37" t="str">
            <v>LÝ</v>
          </cell>
          <cell r="O37" t="str">
            <v>TOÁN</v>
          </cell>
          <cell r="P37" t="str">
            <v>SỬ</v>
          </cell>
          <cell r="Q37">
            <v>100361</v>
          </cell>
          <cell r="R37">
            <v>100389</v>
          </cell>
          <cell r="S37" t="str">
            <v>TỔ HỢP 4 (10AT1,2)</v>
          </cell>
        </row>
        <row r="38">
          <cell r="A38">
            <v>17</v>
          </cell>
          <cell r="B38">
            <v>3</v>
          </cell>
          <cell r="C38" t="str">
            <v>9B</v>
          </cell>
          <cell r="D38">
            <v>29</v>
          </cell>
          <cell r="E38"/>
          <cell r="F38" t="str">
            <v>9B.T</v>
          </cell>
          <cell r="G38" t="str">
            <v>TH4</v>
          </cell>
          <cell r="H38" t="str">
            <v>10AT</v>
          </cell>
          <cell r="I38" t="str">
            <v>Thứ Hai (22/12)</v>
          </cell>
          <cell r="J38" t="str">
            <v>Thứ Ba (23/12)</v>
          </cell>
          <cell r="K38">
            <v>29</v>
          </cell>
          <cell r="L38">
            <v>0</v>
          </cell>
          <cell r="M38" t="str">
            <v>VĂN</v>
          </cell>
          <cell r="N38" t="str">
            <v>LÝ</v>
          </cell>
          <cell r="O38" t="str">
            <v>TOÁN</v>
          </cell>
          <cell r="P38" t="str">
            <v>SỬ</v>
          </cell>
          <cell r="Q38">
            <v>100390</v>
          </cell>
          <cell r="R38">
            <v>100418</v>
          </cell>
          <cell r="S38" t="str">
            <v>TỔ HỢP 4 (10AT1,2)</v>
          </cell>
        </row>
        <row r="39">
          <cell r="A39" t="str">
            <v/>
          </cell>
          <cell r="B39" t="str">
            <v>KHỐI 11AS</v>
          </cell>
          <cell r="C39" t="str">
            <v>5 phòng</v>
          </cell>
          <cell r="D39">
            <v>142</v>
          </cell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 t="str">
            <v/>
          </cell>
          <cell r="B40" t="str">
            <v>TỔ HỢP 4 (11AS1,2,3)</v>
          </cell>
          <cell r="C40"/>
          <cell r="D40">
            <v>142</v>
          </cell>
          <cell r="E40"/>
          <cell r="F40"/>
          <cell r="G40"/>
          <cell r="H40"/>
          <cell r="I40"/>
          <cell r="J40"/>
          <cell r="K40"/>
          <cell r="L40"/>
          <cell r="M40" t="str">
            <v>VĂN</v>
          </cell>
          <cell r="N40" t="str">
            <v>SINH</v>
          </cell>
          <cell r="O40" t="str">
            <v>TOÁN</v>
          </cell>
          <cell r="P40" t="str">
            <v>SỬ</v>
          </cell>
          <cell r="Q40"/>
          <cell r="R40"/>
          <cell r="S40"/>
        </row>
        <row r="41">
          <cell r="A41">
            <v>18</v>
          </cell>
          <cell r="B41">
            <v>1</v>
          </cell>
          <cell r="C41" t="str">
            <v>4B</v>
          </cell>
          <cell r="D41">
            <v>29</v>
          </cell>
          <cell r="E41"/>
          <cell r="F41" t="str">
            <v>4B.S</v>
          </cell>
          <cell r="G41" t="str">
            <v>TH4</v>
          </cell>
          <cell r="H41" t="str">
            <v>11AS</v>
          </cell>
          <cell r="I41" t="str">
            <v>Thứ Ba (23/12)</v>
          </cell>
          <cell r="J41" t="str">
            <v>Thứ Năm (25/12)</v>
          </cell>
          <cell r="K41">
            <v>29</v>
          </cell>
          <cell r="L41">
            <v>0</v>
          </cell>
          <cell r="M41" t="str">
            <v>VĂN</v>
          </cell>
          <cell r="N41" t="str">
            <v>SINH</v>
          </cell>
          <cell r="O41" t="str">
            <v>TOÁN</v>
          </cell>
          <cell r="P41" t="str">
            <v>SỬ</v>
          </cell>
          <cell r="Q41">
            <v>100419</v>
          </cell>
          <cell r="R41">
            <v>100447</v>
          </cell>
          <cell r="S41" t="str">
            <v>TỔ HỢP 4 (11AS1,2,3)</v>
          </cell>
        </row>
        <row r="42">
          <cell r="A42">
            <v>19</v>
          </cell>
          <cell r="B42">
            <v>2</v>
          </cell>
          <cell r="C42" t="str">
            <v>5B</v>
          </cell>
          <cell r="D42">
            <v>29</v>
          </cell>
          <cell r="E42"/>
          <cell r="F42" t="str">
            <v>5B.S</v>
          </cell>
          <cell r="G42" t="str">
            <v>TH4</v>
          </cell>
          <cell r="H42" t="str">
            <v>11AS</v>
          </cell>
          <cell r="I42" t="str">
            <v>Thứ Ba (23/12)</v>
          </cell>
          <cell r="J42" t="str">
            <v>Thứ Năm (25/12)</v>
          </cell>
          <cell r="K42">
            <v>29</v>
          </cell>
          <cell r="L42">
            <v>0</v>
          </cell>
          <cell r="M42" t="str">
            <v>VĂN</v>
          </cell>
          <cell r="N42" t="str">
            <v>SINH</v>
          </cell>
          <cell r="O42" t="str">
            <v>TOÁN</v>
          </cell>
          <cell r="P42" t="str">
            <v>SỬ</v>
          </cell>
          <cell r="Q42">
            <v>100448</v>
          </cell>
          <cell r="R42">
            <v>100476</v>
          </cell>
          <cell r="S42" t="str">
            <v>TỔ HỢP 4 (11AS1,2,3)</v>
          </cell>
        </row>
        <row r="43">
          <cell r="A43">
            <v>20</v>
          </cell>
          <cell r="B43">
            <v>3</v>
          </cell>
          <cell r="C43" t="str">
            <v>6B</v>
          </cell>
          <cell r="D43">
            <v>28</v>
          </cell>
          <cell r="E43"/>
          <cell r="F43" t="str">
            <v>6B.S</v>
          </cell>
          <cell r="G43" t="str">
            <v>TH4</v>
          </cell>
          <cell r="H43" t="str">
            <v>11AS</v>
          </cell>
          <cell r="I43" t="str">
            <v>Thứ Ba (23/12)</v>
          </cell>
          <cell r="J43" t="str">
            <v>Thứ Năm (25/12)</v>
          </cell>
          <cell r="K43">
            <v>28</v>
          </cell>
          <cell r="L43">
            <v>0</v>
          </cell>
          <cell r="M43" t="str">
            <v>VĂN</v>
          </cell>
          <cell r="N43" t="str">
            <v>SINH</v>
          </cell>
          <cell r="O43" t="str">
            <v>TOÁN</v>
          </cell>
          <cell r="P43" t="str">
            <v>SỬ</v>
          </cell>
          <cell r="Q43">
            <v>100477</v>
          </cell>
          <cell r="R43">
            <v>100504</v>
          </cell>
          <cell r="S43" t="str">
            <v>TỔ HỢP 4 (11AS1,2,3)</v>
          </cell>
        </row>
        <row r="44">
          <cell r="A44">
            <v>21</v>
          </cell>
          <cell r="B44">
            <v>4</v>
          </cell>
          <cell r="C44" t="str">
            <v>7B</v>
          </cell>
          <cell r="D44">
            <v>28</v>
          </cell>
          <cell r="E44"/>
          <cell r="F44" t="str">
            <v>7B.S</v>
          </cell>
          <cell r="G44" t="str">
            <v>TH4</v>
          </cell>
          <cell r="H44" t="str">
            <v>11AS</v>
          </cell>
          <cell r="I44" t="str">
            <v>Thứ Ba (23/12)</v>
          </cell>
          <cell r="J44" t="str">
            <v>Thứ Năm (25/12)</v>
          </cell>
          <cell r="K44">
            <v>28</v>
          </cell>
          <cell r="L44">
            <v>0</v>
          </cell>
          <cell r="M44" t="str">
            <v>VĂN</v>
          </cell>
          <cell r="N44" t="str">
            <v>SINH</v>
          </cell>
          <cell r="O44" t="str">
            <v>TOÁN</v>
          </cell>
          <cell r="P44" t="str">
            <v>SỬ</v>
          </cell>
          <cell r="Q44">
            <v>100505</v>
          </cell>
          <cell r="R44">
            <v>100532</v>
          </cell>
          <cell r="S44" t="str">
            <v>TỔ HỢP 4 (11AS1,2,3)</v>
          </cell>
        </row>
        <row r="45">
          <cell r="A45">
            <v>22</v>
          </cell>
          <cell r="B45">
            <v>5</v>
          </cell>
          <cell r="C45" t="str">
            <v>8B</v>
          </cell>
          <cell r="D45">
            <v>28</v>
          </cell>
          <cell r="E45"/>
          <cell r="F45" t="str">
            <v>8B.S</v>
          </cell>
          <cell r="G45" t="str">
            <v>TH4</v>
          </cell>
          <cell r="H45" t="str">
            <v>11AS</v>
          </cell>
          <cell r="I45" t="str">
            <v>Thứ Ba (23/12)</v>
          </cell>
          <cell r="J45" t="str">
            <v>Thứ Năm (25/12)</v>
          </cell>
          <cell r="K45">
            <v>28</v>
          </cell>
          <cell r="L45">
            <v>0</v>
          </cell>
          <cell r="M45" t="str">
            <v>VĂN</v>
          </cell>
          <cell r="N45" t="str">
            <v>SINH</v>
          </cell>
          <cell r="O45" t="str">
            <v>TOÁN</v>
          </cell>
          <cell r="P45" t="str">
            <v>SỬ</v>
          </cell>
          <cell r="Q45">
            <v>100533</v>
          </cell>
          <cell r="R45">
            <v>100560</v>
          </cell>
          <cell r="S45" t="str">
            <v>TỔ HỢP 4 (11AS1,2,3)</v>
          </cell>
        </row>
        <row r="46">
          <cell r="A46" t="str">
            <v/>
          </cell>
          <cell r="B46" t="str">
            <v>KHỐI 11AT</v>
          </cell>
          <cell r="C46" t="str">
            <v>13 phòng</v>
          </cell>
          <cell r="D46">
            <v>379</v>
          </cell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 t="str">
            <v/>
          </cell>
          <cell r="B47" t="str">
            <v>TỔ HỢP 1 (11AT1,2)</v>
          </cell>
          <cell r="C47"/>
          <cell r="D47">
            <v>100</v>
          </cell>
          <cell r="E47"/>
          <cell r="F47"/>
          <cell r="G47"/>
          <cell r="H47"/>
          <cell r="I47"/>
          <cell r="J47"/>
          <cell r="K47"/>
          <cell r="L47"/>
          <cell r="M47" t="str">
            <v>VĂN</v>
          </cell>
          <cell r="N47" t="str">
            <v>LÝ</v>
          </cell>
          <cell r="O47" t="str">
            <v>TOÁN</v>
          </cell>
          <cell r="P47" t="str">
            <v>SỬ</v>
          </cell>
          <cell r="Q47"/>
          <cell r="R47"/>
          <cell r="S47"/>
        </row>
        <row r="48">
          <cell r="A48">
            <v>23</v>
          </cell>
          <cell r="B48">
            <v>1</v>
          </cell>
          <cell r="C48" t="str">
            <v>1A</v>
          </cell>
          <cell r="D48">
            <v>25</v>
          </cell>
          <cell r="E48"/>
          <cell r="F48" t="str">
            <v>1A.T</v>
          </cell>
          <cell r="G48" t="str">
            <v>TH1</v>
          </cell>
          <cell r="H48" t="str">
            <v>11AT</v>
          </cell>
          <cell r="I48" t="str">
            <v>Thứ Hai (22/12)</v>
          </cell>
          <cell r="J48" t="str">
            <v>Thứ Ba (23/12)</v>
          </cell>
          <cell r="K48">
            <v>25</v>
          </cell>
          <cell r="L48">
            <v>0</v>
          </cell>
          <cell r="M48" t="str">
            <v>VĂN</v>
          </cell>
          <cell r="N48" t="str">
            <v>LÝ</v>
          </cell>
          <cell r="O48" t="str">
            <v>TOÁN</v>
          </cell>
          <cell r="P48" t="str">
            <v>SỬ</v>
          </cell>
          <cell r="Q48">
            <v>100561</v>
          </cell>
          <cell r="R48">
            <v>100585</v>
          </cell>
          <cell r="S48" t="str">
            <v>TỔ HỢP 1 (11AT1,2)</v>
          </cell>
        </row>
        <row r="49">
          <cell r="A49">
            <v>24</v>
          </cell>
          <cell r="B49">
            <v>2</v>
          </cell>
          <cell r="C49" t="str">
            <v>2A</v>
          </cell>
          <cell r="D49">
            <v>25</v>
          </cell>
          <cell r="E49"/>
          <cell r="F49" t="str">
            <v>2A.T</v>
          </cell>
          <cell r="G49" t="str">
            <v>TH1</v>
          </cell>
          <cell r="H49" t="str">
            <v>11AT</v>
          </cell>
          <cell r="I49" t="str">
            <v>Thứ Hai (22/12)</v>
          </cell>
          <cell r="J49" t="str">
            <v>Thứ Ba (23/12)</v>
          </cell>
          <cell r="K49">
            <v>25</v>
          </cell>
          <cell r="L49">
            <v>0</v>
          </cell>
          <cell r="M49" t="str">
            <v>VĂN</v>
          </cell>
          <cell r="N49" t="str">
            <v>LÝ</v>
          </cell>
          <cell r="O49" t="str">
            <v>TOÁN</v>
          </cell>
          <cell r="P49" t="str">
            <v>SỬ</v>
          </cell>
          <cell r="Q49">
            <v>100586</v>
          </cell>
          <cell r="R49">
            <v>100610</v>
          </cell>
          <cell r="S49" t="str">
            <v>TỔ HỢP 1 (11AT1,2)</v>
          </cell>
        </row>
        <row r="50">
          <cell r="A50">
            <v>25</v>
          </cell>
          <cell r="B50">
            <v>3</v>
          </cell>
          <cell r="C50" t="str">
            <v>3A</v>
          </cell>
          <cell r="D50">
            <v>25</v>
          </cell>
          <cell r="E50"/>
          <cell r="F50" t="str">
            <v>3A.T</v>
          </cell>
          <cell r="G50" t="str">
            <v>TH1</v>
          </cell>
          <cell r="H50" t="str">
            <v>11AT</v>
          </cell>
          <cell r="I50" t="str">
            <v>Thứ Hai (22/12)</v>
          </cell>
          <cell r="J50" t="str">
            <v>Thứ Ba (23/12)</v>
          </cell>
          <cell r="K50">
            <v>25</v>
          </cell>
          <cell r="L50">
            <v>0</v>
          </cell>
          <cell r="M50" t="str">
            <v>VĂN</v>
          </cell>
          <cell r="N50" t="str">
            <v>LÝ</v>
          </cell>
          <cell r="O50" t="str">
            <v>TOÁN</v>
          </cell>
          <cell r="P50" t="str">
            <v>SỬ</v>
          </cell>
          <cell r="Q50">
            <v>100611</v>
          </cell>
          <cell r="R50">
            <v>100635</v>
          </cell>
          <cell r="S50" t="str">
            <v>TỔ HỢP 1 (11AT1,2)</v>
          </cell>
        </row>
        <row r="51">
          <cell r="A51">
            <v>26</v>
          </cell>
          <cell r="B51">
            <v>4</v>
          </cell>
          <cell r="C51" t="str">
            <v>4A</v>
          </cell>
          <cell r="D51">
            <v>25</v>
          </cell>
          <cell r="E51"/>
          <cell r="F51" t="str">
            <v>4A.T</v>
          </cell>
          <cell r="G51" t="str">
            <v>TH1</v>
          </cell>
          <cell r="H51" t="str">
            <v>11AT</v>
          </cell>
          <cell r="I51" t="str">
            <v>Thứ Hai (22/12)</v>
          </cell>
          <cell r="J51" t="str">
            <v>Thứ Ba (23/12)</v>
          </cell>
          <cell r="K51">
            <v>24</v>
          </cell>
          <cell r="L51">
            <v>1</v>
          </cell>
          <cell r="M51" t="str">
            <v>VĂN</v>
          </cell>
          <cell r="N51" t="str">
            <v>LÝ</v>
          </cell>
          <cell r="O51" t="str">
            <v>TOÁN</v>
          </cell>
          <cell r="P51" t="str">
            <v>SỬ</v>
          </cell>
          <cell r="Q51">
            <v>100636</v>
          </cell>
          <cell r="R51">
            <v>100659</v>
          </cell>
          <cell r="S51" t="str">
            <v>TỔ HỢP 1 (11AT1,2)</v>
          </cell>
        </row>
        <row r="52">
          <cell r="A52" t="str">
            <v/>
          </cell>
          <cell r="B52" t="str">
            <v>TỔ HỢP 2 (11AT3,4)</v>
          </cell>
          <cell r="C52"/>
          <cell r="D52">
            <v>91</v>
          </cell>
          <cell r="E52"/>
          <cell r="F52"/>
          <cell r="G52"/>
          <cell r="H52"/>
          <cell r="I52"/>
          <cell r="J52"/>
          <cell r="K52"/>
          <cell r="L52"/>
          <cell r="M52" t="str">
            <v>VĂN</v>
          </cell>
          <cell r="N52" t="str">
            <v>HÓA</v>
          </cell>
          <cell r="O52" t="str">
            <v>TOÁN</v>
          </cell>
          <cell r="P52" t="str">
            <v>SỬ</v>
          </cell>
          <cell r="Q52"/>
          <cell r="R52"/>
          <cell r="S52"/>
        </row>
        <row r="53">
          <cell r="A53">
            <v>27</v>
          </cell>
          <cell r="B53">
            <v>1</v>
          </cell>
          <cell r="C53" t="str">
            <v>5A</v>
          </cell>
          <cell r="D53">
            <v>31</v>
          </cell>
          <cell r="E53"/>
          <cell r="F53" t="str">
            <v>5A.T</v>
          </cell>
          <cell r="G53" t="str">
            <v>TH2</v>
          </cell>
          <cell r="H53" t="str">
            <v>11AT</v>
          </cell>
          <cell r="I53" t="str">
            <v>Thứ Hai (22/12)</v>
          </cell>
          <cell r="J53" t="str">
            <v>Thứ Ba (23/12)</v>
          </cell>
          <cell r="K53">
            <v>31</v>
          </cell>
          <cell r="L53">
            <v>0</v>
          </cell>
          <cell r="M53" t="str">
            <v>VĂN</v>
          </cell>
          <cell r="N53" t="str">
            <v>HÓA</v>
          </cell>
          <cell r="O53" t="str">
            <v>TOÁN</v>
          </cell>
          <cell r="P53" t="str">
            <v>SỬ</v>
          </cell>
          <cell r="Q53">
            <v>100660</v>
          </cell>
          <cell r="R53">
            <v>100690</v>
          </cell>
          <cell r="S53" t="str">
            <v>TỔ HỢP 2 (11AT3,4)</v>
          </cell>
        </row>
        <row r="54">
          <cell r="A54">
            <v>28</v>
          </cell>
          <cell r="B54">
            <v>2</v>
          </cell>
          <cell r="C54" t="str">
            <v>6A</v>
          </cell>
          <cell r="D54">
            <v>30</v>
          </cell>
          <cell r="E54"/>
          <cell r="F54" t="str">
            <v>6A.T</v>
          </cell>
          <cell r="G54" t="str">
            <v>TH2</v>
          </cell>
          <cell r="H54" t="str">
            <v>11AT</v>
          </cell>
          <cell r="I54" t="str">
            <v>Thứ Hai (22/12)</v>
          </cell>
          <cell r="J54" t="str">
            <v>Thứ Ba (23/12)</v>
          </cell>
          <cell r="K54">
            <v>30</v>
          </cell>
          <cell r="L54">
            <v>0</v>
          </cell>
          <cell r="M54" t="str">
            <v>VĂN</v>
          </cell>
          <cell r="N54" t="str">
            <v>HÓA</v>
          </cell>
          <cell r="O54" t="str">
            <v>TOÁN</v>
          </cell>
          <cell r="P54" t="str">
            <v>SỬ</v>
          </cell>
          <cell r="Q54">
            <v>100691</v>
          </cell>
          <cell r="R54">
            <v>100720</v>
          </cell>
          <cell r="S54" t="str">
            <v>TỔ HỢP 2 (11AT3,4)</v>
          </cell>
        </row>
        <row r="55">
          <cell r="A55">
            <v>29</v>
          </cell>
          <cell r="B55">
            <v>3</v>
          </cell>
          <cell r="C55" t="str">
            <v>7A</v>
          </cell>
          <cell r="D55">
            <v>30</v>
          </cell>
          <cell r="E55"/>
          <cell r="F55" t="str">
            <v>7A.T</v>
          </cell>
          <cell r="G55" t="str">
            <v>TH2</v>
          </cell>
          <cell r="H55" t="str">
            <v>11AT</v>
          </cell>
          <cell r="I55" t="str">
            <v>Thứ Hai (22/12)</v>
          </cell>
          <cell r="J55" t="str">
            <v>Thứ Ba (23/12)</v>
          </cell>
          <cell r="K55">
            <v>30</v>
          </cell>
          <cell r="L55">
            <v>0</v>
          </cell>
          <cell r="M55" t="str">
            <v>VĂN</v>
          </cell>
          <cell r="N55" t="str">
            <v>HÓA</v>
          </cell>
          <cell r="O55" t="str">
            <v>TOÁN</v>
          </cell>
          <cell r="P55" t="str">
            <v>SỬ</v>
          </cell>
          <cell r="Q55">
            <v>100721</v>
          </cell>
          <cell r="R55">
            <v>100750</v>
          </cell>
          <cell r="S55" t="str">
            <v>TỔ HỢP 2 (11AT3,4)</v>
          </cell>
        </row>
        <row r="56">
          <cell r="A56" t="str">
            <v/>
          </cell>
          <cell r="B56" t="str">
            <v>TỔ HỢP 3 (11AT5,6)</v>
          </cell>
          <cell r="C56"/>
          <cell r="D56">
            <v>95</v>
          </cell>
          <cell r="E56"/>
          <cell r="F56"/>
          <cell r="G56"/>
          <cell r="H56"/>
          <cell r="I56"/>
          <cell r="J56"/>
          <cell r="K56"/>
          <cell r="L56"/>
          <cell r="M56" t="str">
            <v>VĂN</v>
          </cell>
          <cell r="N56" t="str">
            <v>KT-PL</v>
          </cell>
          <cell r="O56" t="str">
            <v>TOÁN</v>
          </cell>
          <cell r="P56" t="str">
            <v>SỬ</v>
          </cell>
          <cell r="Q56"/>
          <cell r="R56"/>
          <cell r="S56"/>
        </row>
        <row r="57">
          <cell r="A57">
            <v>30</v>
          </cell>
          <cell r="B57">
            <v>1</v>
          </cell>
          <cell r="C57" t="str">
            <v>9A</v>
          </cell>
          <cell r="D57">
            <v>32</v>
          </cell>
          <cell r="E57"/>
          <cell r="F57" t="str">
            <v>9A.T</v>
          </cell>
          <cell r="G57" t="str">
            <v>TH3</v>
          </cell>
          <cell r="H57" t="str">
            <v>11AT</v>
          </cell>
          <cell r="I57" t="str">
            <v>Thứ Hai (22/12)</v>
          </cell>
          <cell r="J57" t="str">
            <v>Thứ Ba (23/12)</v>
          </cell>
          <cell r="K57">
            <v>32</v>
          </cell>
          <cell r="L57">
            <v>0</v>
          </cell>
          <cell r="M57" t="str">
            <v>VĂN</v>
          </cell>
          <cell r="N57" t="str">
            <v>KT-PL</v>
          </cell>
          <cell r="O57" t="str">
            <v>TOÁN</v>
          </cell>
          <cell r="P57" t="str">
            <v>SỬ</v>
          </cell>
          <cell r="Q57">
            <v>100751</v>
          </cell>
          <cell r="R57">
            <v>100782</v>
          </cell>
          <cell r="S57" t="str">
            <v>TỔ HỢP 3 (11AT5,6)</v>
          </cell>
        </row>
        <row r="58">
          <cell r="A58">
            <v>31</v>
          </cell>
          <cell r="B58">
            <v>2</v>
          </cell>
          <cell r="C58" t="str">
            <v>10A</v>
          </cell>
          <cell r="D58">
            <v>32</v>
          </cell>
          <cell r="E58"/>
          <cell r="F58" t="str">
            <v>10A.T</v>
          </cell>
          <cell r="G58" t="str">
            <v>TH3</v>
          </cell>
          <cell r="H58" t="str">
            <v>11AT</v>
          </cell>
          <cell r="I58" t="str">
            <v>Thứ Hai (22/12)</v>
          </cell>
          <cell r="J58" t="str">
            <v>Thứ Ba (23/12)</v>
          </cell>
          <cell r="K58">
            <v>31</v>
          </cell>
          <cell r="L58">
            <v>1</v>
          </cell>
          <cell r="M58" t="str">
            <v>VĂN</v>
          </cell>
          <cell r="N58" t="str">
            <v>KT-PL</v>
          </cell>
          <cell r="O58" t="str">
            <v>TOÁN</v>
          </cell>
          <cell r="P58" t="str">
            <v>SỬ</v>
          </cell>
          <cell r="Q58">
            <v>100783</v>
          </cell>
          <cell r="R58">
            <v>100813</v>
          </cell>
          <cell r="S58" t="str">
            <v>TỔ HỢP 3 (11AT5,6)</v>
          </cell>
        </row>
        <row r="59">
          <cell r="A59">
            <v>32</v>
          </cell>
          <cell r="B59">
            <v>3</v>
          </cell>
          <cell r="C59" t="str">
            <v>11A</v>
          </cell>
          <cell r="D59">
            <v>31</v>
          </cell>
          <cell r="E59"/>
          <cell r="F59" t="str">
            <v>11A.T</v>
          </cell>
          <cell r="G59" t="str">
            <v>TH3</v>
          </cell>
          <cell r="H59" t="str">
            <v>11AT</v>
          </cell>
          <cell r="I59" t="str">
            <v>Thứ Hai (22/12)</v>
          </cell>
          <cell r="J59" t="str">
            <v>Thứ Ba (23/12)</v>
          </cell>
          <cell r="K59">
            <v>31</v>
          </cell>
          <cell r="L59">
            <v>0</v>
          </cell>
          <cell r="M59" t="str">
            <v>VĂN</v>
          </cell>
          <cell r="N59" t="str">
            <v>KT-PL</v>
          </cell>
          <cell r="O59" t="str">
            <v>TOÁN</v>
          </cell>
          <cell r="P59" t="str">
            <v>SỬ</v>
          </cell>
          <cell r="Q59">
            <v>100814</v>
          </cell>
          <cell r="R59">
            <v>100844</v>
          </cell>
          <cell r="S59" t="str">
            <v>TỔ HỢP 3 (11AT5,6)</v>
          </cell>
        </row>
        <row r="60">
          <cell r="A60" t="str">
            <v/>
          </cell>
          <cell r="B60" t="str">
            <v>TỔ HỢP 5 (11AT7,8)</v>
          </cell>
          <cell r="C60"/>
          <cell r="D60">
            <v>93</v>
          </cell>
          <cell r="E60"/>
          <cell r="F60"/>
          <cell r="G60"/>
          <cell r="H60"/>
          <cell r="I60"/>
          <cell r="J60"/>
          <cell r="K60"/>
          <cell r="L60"/>
          <cell r="M60" t="str">
            <v>VĂN</v>
          </cell>
          <cell r="N60" t="str">
            <v>KT-PL</v>
          </cell>
          <cell r="O60" t="str">
            <v>TOÁN</v>
          </cell>
          <cell r="P60" t="str">
            <v>SỬ</v>
          </cell>
          <cell r="Q60"/>
          <cell r="R60"/>
          <cell r="S60"/>
        </row>
        <row r="61">
          <cell r="A61">
            <v>33</v>
          </cell>
          <cell r="B61">
            <v>1</v>
          </cell>
          <cell r="C61" t="str">
            <v>12A</v>
          </cell>
          <cell r="D61">
            <v>31</v>
          </cell>
          <cell r="E61"/>
          <cell r="F61" t="str">
            <v>12A.T</v>
          </cell>
          <cell r="G61" t="str">
            <v>TH3</v>
          </cell>
          <cell r="H61" t="str">
            <v>11AT</v>
          </cell>
          <cell r="I61" t="str">
            <v>Thứ Hai (22/12)</v>
          </cell>
          <cell r="J61" t="str">
            <v>Thứ Ba (23/12)</v>
          </cell>
          <cell r="K61">
            <v>31</v>
          </cell>
          <cell r="L61">
            <v>0</v>
          </cell>
          <cell r="M61" t="str">
            <v>VĂN</v>
          </cell>
          <cell r="N61" t="str">
            <v>KT-PL</v>
          </cell>
          <cell r="O61" t="str">
            <v>TOÁN</v>
          </cell>
          <cell r="P61" t="str">
            <v>SỬ</v>
          </cell>
          <cell r="Q61">
            <v>100845</v>
          </cell>
          <cell r="R61">
            <v>100875</v>
          </cell>
          <cell r="S61" t="str">
            <v>TỔ HỢP 5 (11AT7,8)</v>
          </cell>
        </row>
        <row r="62">
          <cell r="A62">
            <v>34</v>
          </cell>
          <cell r="B62">
            <v>2</v>
          </cell>
          <cell r="C62" t="str">
            <v>13A</v>
          </cell>
          <cell r="D62">
            <v>31</v>
          </cell>
          <cell r="E62"/>
          <cell r="F62" t="str">
            <v>13A.T</v>
          </cell>
          <cell r="G62" t="str">
            <v>TH3</v>
          </cell>
          <cell r="H62" t="str">
            <v>11AT</v>
          </cell>
          <cell r="I62" t="str">
            <v>Thứ Hai (22/12)</v>
          </cell>
          <cell r="J62" t="str">
            <v>Thứ Ba (23/12)</v>
          </cell>
          <cell r="K62">
            <v>31</v>
          </cell>
          <cell r="L62">
            <v>0</v>
          </cell>
          <cell r="M62" t="str">
            <v>VĂN</v>
          </cell>
          <cell r="N62" t="str">
            <v>KT-PL</v>
          </cell>
          <cell r="O62" t="str">
            <v>TOÁN</v>
          </cell>
          <cell r="P62" t="str">
            <v>SỬ</v>
          </cell>
          <cell r="Q62">
            <v>100876</v>
          </cell>
          <cell r="R62">
            <v>100906</v>
          </cell>
          <cell r="S62" t="str">
            <v>TỔ HỢP 5 (11AT7,8)</v>
          </cell>
        </row>
        <row r="63">
          <cell r="A63">
            <v>35</v>
          </cell>
          <cell r="B63">
            <v>3</v>
          </cell>
          <cell r="C63" t="str">
            <v>14A</v>
          </cell>
          <cell r="D63">
            <v>31</v>
          </cell>
          <cell r="E63"/>
          <cell r="F63" t="str">
            <v>14A.T</v>
          </cell>
          <cell r="G63" t="str">
            <v>TH3</v>
          </cell>
          <cell r="H63" t="str">
            <v>11AT</v>
          </cell>
          <cell r="I63" t="str">
            <v>Thứ Hai (22/12)</v>
          </cell>
          <cell r="J63" t="str">
            <v>Thứ Ba (23/12)</v>
          </cell>
          <cell r="K63">
            <v>31</v>
          </cell>
          <cell r="L63">
            <v>0</v>
          </cell>
          <cell r="M63" t="str">
            <v>VĂN</v>
          </cell>
          <cell r="N63" t="str">
            <v>KT-PL</v>
          </cell>
          <cell r="O63" t="str">
            <v>TOÁN</v>
          </cell>
          <cell r="P63" t="str">
            <v>SỬ</v>
          </cell>
          <cell r="Q63">
            <v>100907</v>
          </cell>
          <cell r="R63">
            <v>100937</v>
          </cell>
          <cell r="S63" t="str">
            <v>TỔ HỢP 5 (11AT7,8)</v>
          </cell>
        </row>
        <row r="64">
          <cell r="A64" t="str">
            <v/>
          </cell>
          <cell r="B64" t="str">
            <v>KHỐI 12AS</v>
          </cell>
          <cell r="C64" t="str">
            <v>21 phòng</v>
          </cell>
          <cell r="D64">
            <v>562</v>
          </cell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 t="str">
            <v/>
          </cell>
          <cell r="B65" t="str">
            <v>TỔ HỢP 1 (12AS1,2,3)</v>
          </cell>
          <cell r="C65"/>
          <cell r="D65">
            <v>125</v>
          </cell>
          <cell r="E65"/>
          <cell r="F65"/>
          <cell r="G65"/>
          <cell r="H65"/>
          <cell r="I65"/>
          <cell r="J65"/>
          <cell r="K65">
            <v>124</v>
          </cell>
          <cell r="L65">
            <v>1</v>
          </cell>
          <cell r="M65" t="str">
            <v>VĂN</v>
          </cell>
          <cell r="N65" t="str">
            <v>LÝ</v>
          </cell>
          <cell r="O65" t="str">
            <v>TOÁN</v>
          </cell>
          <cell r="P65" t="str">
            <v>SỬ</v>
          </cell>
          <cell r="Q65"/>
          <cell r="R65"/>
          <cell r="S65"/>
        </row>
        <row r="66">
          <cell r="A66">
            <v>36</v>
          </cell>
          <cell r="B66">
            <v>1</v>
          </cell>
          <cell r="C66" t="str">
            <v>1A</v>
          </cell>
          <cell r="D66">
            <v>25</v>
          </cell>
          <cell r="E66"/>
          <cell r="F66" t="str">
            <v>1A.S</v>
          </cell>
          <cell r="G66" t="str">
            <v>TH1</v>
          </cell>
          <cell r="H66" t="str">
            <v>12AS</v>
          </cell>
          <cell r="I66" t="str">
            <v>Thứ Hai (22/12)</v>
          </cell>
          <cell r="J66" t="str">
            <v>Thứ Tư (24/12)</v>
          </cell>
          <cell r="K66">
            <v>25</v>
          </cell>
          <cell r="L66">
            <v>0</v>
          </cell>
          <cell r="M66" t="str">
            <v>VĂN</v>
          </cell>
          <cell r="N66" t="str">
            <v>LÝ</v>
          </cell>
          <cell r="O66" t="str">
            <v>TOÁN</v>
          </cell>
          <cell r="P66" t="str">
            <v>SỬ</v>
          </cell>
          <cell r="Q66">
            <v>100938</v>
          </cell>
          <cell r="R66">
            <v>100962</v>
          </cell>
          <cell r="S66" t="str">
            <v>TỔ HỢP 1 (12AS1,2,3)</v>
          </cell>
        </row>
        <row r="67">
          <cell r="A67">
            <v>37</v>
          </cell>
          <cell r="B67">
            <v>2</v>
          </cell>
          <cell r="C67" t="str">
            <v>2A</v>
          </cell>
          <cell r="D67">
            <v>25</v>
          </cell>
          <cell r="E67"/>
          <cell r="F67" t="str">
            <v>2A.S</v>
          </cell>
          <cell r="G67" t="str">
            <v>TH1</v>
          </cell>
          <cell r="H67" t="str">
            <v>12AS</v>
          </cell>
          <cell r="I67" t="str">
            <v>Thứ Hai (22/12)</v>
          </cell>
          <cell r="J67" t="str">
            <v>Thứ Tư (24/12)</v>
          </cell>
          <cell r="K67">
            <v>25</v>
          </cell>
          <cell r="L67">
            <v>0</v>
          </cell>
          <cell r="M67" t="str">
            <v>VĂN</v>
          </cell>
          <cell r="N67" t="str">
            <v>LÝ</v>
          </cell>
          <cell r="O67" t="str">
            <v>TOÁN</v>
          </cell>
          <cell r="P67" t="str">
            <v>SỬ</v>
          </cell>
          <cell r="Q67">
            <v>100963</v>
          </cell>
          <cell r="R67">
            <v>100987</v>
          </cell>
          <cell r="S67" t="str">
            <v>TỔ HỢP 1 (12AS1,2,3)</v>
          </cell>
        </row>
        <row r="68">
          <cell r="A68">
            <v>38</v>
          </cell>
          <cell r="B68">
            <v>3</v>
          </cell>
          <cell r="C68" t="str">
            <v>3A</v>
          </cell>
          <cell r="D68">
            <v>25</v>
          </cell>
          <cell r="E68"/>
          <cell r="F68" t="str">
            <v>3A.S</v>
          </cell>
          <cell r="G68" t="str">
            <v>TH1</v>
          </cell>
          <cell r="H68" t="str">
            <v>12AS</v>
          </cell>
          <cell r="I68" t="str">
            <v>Thứ Hai (22/12)</v>
          </cell>
          <cell r="J68" t="str">
            <v>Thứ Tư (24/12)</v>
          </cell>
          <cell r="K68">
            <v>25</v>
          </cell>
          <cell r="L68">
            <v>0</v>
          </cell>
          <cell r="M68" t="str">
            <v>VĂN</v>
          </cell>
          <cell r="N68" t="str">
            <v>LÝ</v>
          </cell>
          <cell r="O68" t="str">
            <v>TOÁN</v>
          </cell>
          <cell r="P68" t="str">
            <v>SỬ</v>
          </cell>
          <cell r="Q68">
            <v>100988</v>
          </cell>
          <cell r="R68">
            <v>101012</v>
          </cell>
          <cell r="S68" t="str">
            <v>TỔ HỢP 1 (12AS1,2,3)</v>
          </cell>
        </row>
        <row r="69">
          <cell r="A69">
            <v>39</v>
          </cell>
          <cell r="B69">
            <v>4</v>
          </cell>
          <cell r="C69" t="str">
            <v>4A</v>
          </cell>
          <cell r="D69">
            <v>25</v>
          </cell>
          <cell r="E69"/>
          <cell r="F69" t="str">
            <v>4A.S</v>
          </cell>
          <cell r="G69" t="str">
            <v>TH1</v>
          </cell>
          <cell r="H69" t="str">
            <v>12AS</v>
          </cell>
          <cell r="I69" t="str">
            <v>Thứ Hai (22/12)</v>
          </cell>
          <cell r="J69" t="str">
            <v>Thứ Tư (24/12)</v>
          </cell>
          <cell r="K69">
            <v>25</v>
          </cell>
          <cell r="L69">
            <v>0</v>
          </cell>
          <cell r="M69" t="str">
            <v>VĂN</v>
          </cell>
          <cell r="N69" t="str">
            <v>LÝ</v>
          </cell>
          <cell r="O69" t="str">
            <v>TOÁN</v>
          </cell>
          <cell r="P69" t="str">
            <v>SỬ</v>
          </cell>
          <cell r="Q69">
            <v>101013</v>
          </cell>
          <cell r="R69">
            <v>101037</v>
          </cell>
          <cell r="S69" t="str">
            <v>TỔ HỢP 1 (12AS1,2,3)</v>
          </cell>
        </row>
        <row r="70">
          <cell r="A70">
            <v>40</v>
          </cell>
          <cell r="B70">
            <v>5</v>
          </cell>
          <cell r="C70" t="str">
            <v>5A</v>
          </cell>
          <cell r="D70">
            <v>25</v>
          </cell>
          <cell r="E70"/>
          <cell r="F70" t="str">
            <v>5A.S</v>
          </cell>
          <cell r="G70" t="str">
            <v>TH1</v>
          </cell>
          <cell r="H70" t="str">
            <v>12AS</v>
          </cell>
          <cell r="I70" t="str">
            <v>Thứ Hai (22/12)</v>
          </cell>
          <cell r="J70" t="str">
            <v>Thứ Tư (24/12)</v>
          </cell>
          <cell r="K70">
            <v>24</v>
          </cell>
          <cell r="L70">
            <v>1</v>
          </cell>
          <cell r="M70" t="str">
            <v>VĂN</v>
          </cell>
          <cell r="N70" t="str">
            <v>LÝ</v>
          </cell>
          <cell r="O70" t="str">
            <v>TOÁN</v>
          </cell>
          <cell r="P70" t="str">
            <v>SỬ</v>
          </cell>
          <cell r="Q70">
            <v>101038</v>
          </cell>
          <cell r="R70">
            <v>101061</v>
          </cell>
          <cell r="S70" t="str">
            <v>TỔ HỢP 1 (12AS1,2,3)</v>
          </cell>
        </row>
        <row r="71">
          <cell r="A71" t="str">
            <v/>
          </cell>
          <cell r="B71" t="str">
            <v>TỔ HỢP 2 (12AS4,5,6)</v>
          </cell>
          <cell r="C71"/>
          <cell r="D71">
            <v>139</v>
          </cell>
          <cell r="E71"/>
          <cell r="F71"/>
          <cell r="G71"/>
          <cell r="H71"/>
          <cell r="I71"/>
          <cell r="J71"/>
          <cell r="K71">
            <v>139</v>
          </cell>
          <cell r="L71">
            <v>0</v>
          </cell>
          <cell r="M71" t="str">
            <v>VĂN</v>
          </cell>
          <cell r="N71" t="str">
            <v>HÓA</v>
          </cell>
          <cell r="O71" t="str">
            <v>TOÁN</v>
          </cell>
          <cell r="P71" t="str">
            <v>SỬ</v>
          </cell>
          <cell r="Q71"/>
          <cell r="R71"/>
          <cell r="S71"/>
        </row>
        <row r="72">
          <cell r="A72">
            <v>41</v>
          </cell>
          <cell r="B72">
            <v>1</v>
          </cell>
          <cell r="C72" t="str">
            <v>6A</v>
          </cell>
          <cell r="D72">
            <v>28</v>
          </cell>
          <cell r="E72" t="str">
            <v>02.HN</v>
          </cell>
          <cell r="F72" t="str">
            <v>6A.S</v>
          </cell>
          <cell r="G72" t="str">
            <v>TH2</v>
          </cell>
          <cell r="H72" t="str">
            <v>12AS</v>
          </cell>
          <cell r="I72" t="str">
            <v>Thứ Hai (22/12)</v>
          </cell>
          <cell r="J72" t="str">
            <v>Thứ Tư (24/12)</v>
          </cell>
          <cell r="K72">
            <v>28</v>
          </cell>
          <cell r="L72">
            <v>0</v>
          </cell>
          <cell r="M72" t="str">
            <v>VĂN</v>
          </cell>
          <cell r="N72" t="str">
            <v>HÓA</v>
          </cell>
          <cell r="O72" t="str">
            <v>TOÁN</v>
          </cell>
          <cell r="P72" t="str">
            <v>SỬ</v>
          </cell>
          <cell r="Q72">
            <v>101062</v>
          </cell>
          <cell r="R72">
            <v>101089</v>
          </cell>
          <cell r="S72" t="str">
            <v>TỔ HỢP 2 (12AS4,5,6)</v>
          </cell>
        </row>
        <row r="73">
          <cell r="A73">
            <v>42</v>
          </cell>
          <cell r="B73">
            <v>2</v>
          </cell>
          <cell r="C73" t="str">
            <v>7A</v>
          </cell>
          <cell r="D73">
            <v>28</v>
          </cell>
          <cell r="E73"/>
          <cell r="F73" t="str">
            <v>7A.S</v>
          </cell>
          <cell r="G73" t="str">
            <v>TH2</v>
          </cell>
          <cell r="H73" t="str">
            <v>12AS</v>
          </cell>
          <cell r="I73" t="str">
            <v>Thứ Hai (22/12)</v>
          </cell>
          <cell r="J73" t="str">
            <v>Thứ Tư (24/12)</v>
          </cell>
          <cell r="K73">
            <v>28</v>
          </cell>
          <cell r="L73">
            <v>0</v>
          </cell>
          <cell r="M73" t="str">
            <v>VĂN</v>
          </cell>
          <cell r="N73" t="str">
            <v>HÓA</v>
          </cell>
          <cell r="O73" t="str">
            <v>TOÁN</v>
          </cell>
          <cell r="P73" t="str">
            <v>SỬ</v>
          </cell>
          <cell r="Q73">
            <v>101090</v>
          </cell>
          <cell r="R73">
            <v>101117</v>
          </cell>
          <cell r="S73" t="str">
            <v>TỔ HỢP 2 (12AS4,5,6)</v>
          </cell>
        </row>
        <row r="74">
          <cell r="A74">
            <v>43</v>
          </cell>
          <cell r="B74">
            <v>3</v>
          </cell>
          <cell r="C74" t="str">
            <v>9A</v>
          </cell>
          <cell r="D74">
            <v>28</v>
          </cell>
          <cell r="E74"/>
          <cell r="F74" t="str">
            <v>9A.S</v>
          </cell>
          <cell r="G74" t="str">
            <v>TH2</v>
          </cell>
          <cell r="H74" t="str">
            <v>12AS</v>
          </cell>
          <cell r="I74" t="str">
            <v>Thứ Hai (22/12)</v>
          </cell>
          <cell r="J74" t="str">
            <v>Thứ Tư (24/12)</v>
          </cell>
          <cell r="K74">
            <v>28</v>
          </cell>
          <cell r="L74">
            <v>0</v>
          </cell>
          <cell r="M74" t="str">
            <v>VĂN</v>
          </cell>
          <cell r="N74" t="str">
            <v>HÓA</v>
          </cell>
          <cell r="O74" t="str">
            <v>TOÁN</v>
          </cell>
          <cell r="P74" t="str">
            <v>SỬ</v>
          </cell>
          <cell r="Q74">
            <v>101118</v>
          </cell>
          <cell r="R74">
            <v>101145</v>
          </cell>
          <cell r="S74" t="str">
            <v>TỔ HỢP 2 (12AS4,5,6)</v>
          </cell>
        </row>
        <row r="75">
          <cell r="A75">
            <v>44</v>
          </cell>
          <cell r="B75">
            <v>4</v>
          </cell>
          <cell r="C75" t="str">
            <v>10A</v>
          </cell>
          <cell r="D75">
            <v>28</v>
          </cell>
          <cell r="E75"/>
          <cell r="F75" t="str">
            <v>10A.S</v>
          </cell>
          <cell r="G75" t="str">
            <v>TH2</v>
          </cell>
          <cell r="H75" t="str">
            <v>12AS</v>
          </cell>
          <cell r="I75" t="str">
            <v>Thứ Hai (22/12)</v>
          </cell>
          <cell r="J75" t="str">
            <v>Thứ Tư (24/12)</v>
          </cell>
          <cell r="K75">
            <v>28</v>
          </cell>
          <cell r="L75">
            <v>0</v>
          </cell>
          <cell r="M75" t="str">
            <v>VĂN</v>
          </cell>
          <cell r="N75" t="str">
            <v>HÓA</v>
          </cell>
          <cell r="O75" t="str">
            <v>TOÁN</v>
          </cell>
          <cell r="P75" t="str">
            <v>SỬ</v>
          </cell>
          <cell r="Q75">
            <v>101146</v>
          </cell>
          <cell r="R75">
            <v>101173</v>
          </cell>
          <cell r="S75" t="str">
            <v>TỔ HỢP 2 (12AS4,5,6)</v>
          </cell>
        </row>
        <row r="76">
          <cell r="A76">
            <v>45</v>
          </cell>
          <cell r="B76">
            <v>5</v>
          </cell>
          <cell r="C76" t="str">
            <v>11A</v>
          </cell>
          <cell r="D76">
            <v>27</v>
          </cell>
          <cell r="E76"/>
          <cell r="F76" t="str">
            <v>11A.S</v>
          </cell>
          <cell r="G76" t="str">
            <v>TH2</v>
          </cell>
          <cell r="H76" t="str">
            <v>12AS</v>
          </cell>
          <cell r="I76" t="str">
            <v>Thứ Hai (22/12)</v>
          </cell>
          <cell r="J76" t="str">
            <v>Thứ Tư (24/12)</v>
          </cell>
          <cell r="K76">
            <v>27</v>
          </cell>
          <cell r="L76">
            <v>0</v>
          </cell>
          <cell r="M76" t="str">
            <v>VĂN</v>
          </cell>
          <cell r="N76" t="str">
            <v>HÓA</v>
          </cell>
          <cell r="O76" t="str">
            <v>TOÁN</v>
          </cell>
          <cell r="P76" t="str">
            <v>SỬ</v>
          </cell>
          <cell r="Q76">
            <v>101174</v>
          </cell>
          <cell r="R76">
            <v>101200</v>
          </cell>
          <cell r="S76" t="str">
            <v>TỔ HỢP 2 (12AS4,5,6)</v>
          </cell>
        </row>
        <row r="77">
          <cell r="A77" t="str">
            <v/>
          </cell>
          <cell r="B77" t="str">
            <v>TỔ HỢP 3 (12AS7,8)</v>
          </cell>
          <cell r="C77"/>
          <cell r="D77">
            <v>105</v>
          </cell>
          <cell r="E77"/>
          <cell r="F77"/>
          <cell r="G77"/>
          <cell r="H77"/>
          <cell r="I77"/>
          <cell r="J77"/>
          <cell r="K77">
            <v>105</v>
          </cell>
          <cell r="L77">
            <v>0</v>
          </cell>
          <cell r="M77" t="str">
            <v>VĂN</v>
          </cell>
          <cell r="N77" t="str">
            <v>KT-PL</v>
          </cell>
          <cell r="O77" t="str">
            <v>TOÁN</v>
          </cell>
          <cell r="P77" t="str">
            <v>SỬ</v>
          </cell>
          <cell r="Q77"/>
          <cell r="R77"/>
          <cell r="S77"/>
        </row>
        <row r="78">
          <cell r="A78">
            <v>46</v>
          </cell>
          <cell r="B78">
            <v>1</v>
          </cell>
          <cell r="C78" t="str">
            <v>12A</v>
          </cell>
          <cell r="D78">
            <v>27</v>
          </cell>
          <cell r="E78"/>
          <cell r="F78" t="str">
            <v>12A.S</v>
          </cell>
          <cell r="G78" t="str">
            <v>TH3</v>
          </cell>
          <cell r="H78" t="str">
            <v>12AS</v>
          </cell>
          <cell r="I78" t="str">
            <v>Thứ Hai (22/12)</v>
          </cell>
          <cell r="J78" t="str">
            <v>Thứ Tư (24/12)</v>
          </cell>
          <cell r="K78">
            <v>27</v>
          </cell>
          <cell r="L78">
            <v>0</v>
          </cell>
          <cell r="M78" t="str">
            <v>VĂN</v>
          </cell>
          <cell r="N78" t="str">
            <v>KT-PL</v>
          </cell>
          <cell r="O78" t="str">
            <v>TOÁN</v>
          </cell>
          <cell r="P78" t="str">
            <v>SỬ</v>
          </cell>
          <cell r="Q78">
            <v>101201</v>
          </cell>
          <cell r="R78">
            <v>101227</v>
          </cell>
          <cell r="S78" t="str">
            <v>TỔ HỢP 3 (12AS7,8)</v>
          </cell>
        </row>
        <row r="79">
          <cell r="A79">
            <v>47</v>
          </cell>
          <cell r="B79">
            <v>2</v>
          </cell>
          <cell r="C79" t="str">
            <v>13A</v>
          </cell>
          <cell r="D79">
            <v>26</v>
          </cell>
          <cell r="E79"/>
          <cell r="F79" t="str">
            <v>13A.S</v>
          </cell>
          <cell r="G79" t="str">
            <v>TH3</v>
          </cell>
          <cell r="H79" t="str">
            <v>12AS</v>
          </cell>
          <cell r="I79" t="str">
            <v>Thứ Hai (22/12)</v>
          </cell>
          <cell r="J79" t="str">
            <v>Thứ Tư (24/12)</v>
          </cell>
          <cell r="K79">
            <v>26</v>
          </cell>
          <cell r="L79">
            <v>0</v>
          </cell>
          <cell r="M79" t="str">
            <v>VĂN</v>
          </cell>
          <cell r="N79" t="str">
            <v>KT-PL</v>
          </cell>
          <cell r="O79" t="str">
            <v>TOÁN</v>
          </cell>
          <cell r="P79" t="str">
            <v>SỬ</v>
          </cell>
          <cell r="Q79">
            <v>101228</v>
          </cell>
          <cell r="R79">
            <v>101253</v>
          </cell>
          <cell r="S79" t="str">
            <v>TỔ HỢP 3 (12AS7,8)</v>
          </cell>
        </row>
        <row r="80">
          <cell r="A80">
            <v>48</v>
          </cell>
          <cell r="B80">
            <v>3</v>
          </cell>
          <cell r="C80" t="str">
            <v>14A</v>
          </cell>
          <cell r="D80">
            <v>26</v>
          </cell>
          <cell r="E80"/>
          <cell r="F80" t="str">
            <v>14A.S</v>
          </cell>
          <cell r="G80" t="str">
            <v>TH3</v>
          </cell>
          <cell r="H80" t="str">
            <v>12AS</v>
          </cell>
          <cell r="I80" t="str">
            <v>Thứ Hai (22/12)</v>
          </cell>
          <cell r="J80" t="str">
            <v>Thứ Tư (24/12)</v>
          </cell>
          <cell r="K80">
            <v>26</v>
          </cell>
          <cell r="L80">
            <v>0</v>
          </cell>
          <cell r="M80" t="str">
            <v>VĂN</v>
          </cell>
          <cell r="N80" t="str">
            <v>KT-PL</v>
          </cell>
          <cell r="O80" t="str">
            <v>TOÁN</v>
          </cell>
          <cell r="P80" t="str">
            <v>SỬ</v>
          </cell>
          <cell r="Q80">
            <v>101254</v>
          </cell>
          <cell r="R80">
            <v>101279</v>
          </cell>
          <cell r="S80" t="str">
            <v>TỔ HỢP 3 (12AS7,8)</v>
          </cell>
        </row>
        <row r="81">
          <cell r="A81">
            <v>49</v>
          </cell>
          <cell r="B81">
            <v>4</v>
          </cell>
          <cell r="C81" t="str">
            <v>2B</v>
          </cell>
          <cell r="D81">
            <v>26</v>
          </cell>
          <cell r="E81"/>
          <cell r="F81" t="str">
            <v>2B.S</v>
          </cell>
          <cell r="G81" t="str">
            <v>TH3</v>
          </cell>
          <cell r="H81" t="str">
            <v>12AS</v>
          </cell>
          <cell r="I81" t="str">
            <v>Thứ Hai (22/12)</v>
          </cell>
          <cell r="J81" t="str">
            <v>Thứ Tư (24/12)</v>
          </cell>
          <cell r="K81">
            <v>26</v>
          </cell>
          <cell r="L81">
            <v>0</v>
          </cell>
          <cell r="M81" t="str">
            <v>VĂN</v>
          </cell>
          <cell r="N81" t="str">
            <v>KT-PL</v>
          </cell>
          <cell r="O81" t="str">
            <v>TOÁN</v>
          </cell>
          <cell r="P81" t="str">
            <v>SỬ</v>
          </cell>
          <cell r="Q81">
            <v>101280</v>
          </cell>
          <cell r="R81">
            <v>101305</v>
          </cell>
          <cell r="S81" t="str">
            <v>TỔ HỢP 3 (12AS7,8)</v>
          </cell>
        </row>
        <row r="82">
          <cell r="A82" t="str">
            <v/>
          </cell>
          <cell r="B82" t="str">
            <v>TỔ HỢP 5 (12AS9,10,11,12)</v>
          </cell>
          <cell r="C82"/>
          <cell r="D82">
            <v>193</v>
          </cell>
          <cell r="E82"/>
          <cell r="F82"/>
          <cell r="G82"/>
          <cell r="H82"/>
          <cell r="I82"/>
          <cell r="J82"/>
          <cell r="K82">
            <v>193</v>
          </cell>
          <cell r="L82">
            <v>4</v>
          </cell>
          <cell r="M82" t="str">
            <v>VĂN</v>
          </cell>
          <cell r="N82" t="str">
            <v>KT-PL</v>
          </cell>
          <cell r="O82" t="str">
            <v>TOÁN</v>
          </cell>
          <cell r="P82" t="str">
            <v>SỬ</v>
          </cell>
          <cell r="Q82"/>
          <cell r="R82"/>
          <cell r="S82"/>
        </row>
        <row r="83">
          <cell r="A83">
            <v>50</v>
          </cell>
          <cell r="B83">
            <v>1</v>
          </cell>
          <cell r="C83" t="str">
            <v>3B</v>
          </cell>
          <cell r="D83">
            <v>28</v>
          </cell>
          <cell r="E83" t="str">
            <v>01.HN</v>
          </cell>
          <cell r="F83" t="str">
            <v>3B.S</v>
          </cell>
          <cell r="G83" t="str">
            <v>TH5</v>
          </cell>
          <cell r="H83" t="str">
            <v>12AS</v>
          </cell>
          <cell r="I83" t="str">
            <v>Thứ Hai (22/12)</v>
          </cell>
          <cell r="J83" t="str">
            <v>Thứ Tư (24/12)</v>
          </cell>
          <cell r="K83">
            <v>28</v>
          </cell>
          <cell r="L83">
            <v>0</v>
          </cell>
          <cell r="M83" t="str">
            <v>VĂN</v>
          </cell>
          <cell r="N83" t="str">
            <v>KT-PL</v>
          </cell>
          <cell r="O83" t="str">
            <v>TOÁN</v>
          </cell>
          <cell r="P83" t="str">
            <v>SỬ</v>
          </cell>
          <cell r="Q83">
            <v>101306</v>
          </cell>
          <cell r="R83">
            <v>101333</v>
          </cell>
          <cell r="S83" t="str">
            <v>TỔ HỢP 5 (12AS9,10,11,12)</v>
          </cell>
        </row>
        <row r="84">
          <cell r="A84">
            <v>51</v>
          </cell>
          <cell r="B84">
            <v>2</v>
          </cell>
          <cell r="C84" t="str">
            <v>4B</v>
          </cell>
          <cell r="D84">
            <v>28</v>
          </cell>
          <cell r="E84"/>
          <cell r="F84" t="str">
            <v>4B.S</v>
          </cell>
          <cell r="G84" t="str">
            <v>TH5</v>
          </cell>
          <cell r="H84" t="str">
            <v>12AS</v>
          </cell>
          <cell r="I84" t="str">
            <v>Thứ Hai (22/12)</v>
          </cell>
          <cell r="J84" t="str">
            <v>Thứ Tư (24/12)</v>
          </cell>
          <cell r="K84">
            <v>28</v>
          </cell>
          <cell r="L84">
            <v>0</v>
          </cell>
          <cell r="M84" t="str">
            <v>VĂN</v>
          </cell>
          <cell r="N84" t="str">
            <v>KT-PL</v>
          </cell>
          <cell r="O84" t="str">
            <v>TOÁN</v>
          </cell>
          <cell r="P84" t="str">
            <v>SỬ</v>
          </cell>
          <cell r="Q84">
            <v>101334</v>
          </cell>
          <cell r="R84">
            <v>101361</v>
          </cell>
          <cell r="S84" t="str">
            <v>TỔ HỢP 5 (12AS9,10,11,12)</v>
          </cell>
        </row>
        <row r="85">
          <cell r="A85">
            <v>52</v>
          </cell>
          <cell r="B85">
            <v>3</v>
          </cell>
          <cell r="C85" t="str">
            <v>5B</v>
          </cell>
          <cell r="D85">
            <v>28</v>
          </cell>
          <cell r="E85"/>
          <cell r="F85" t="str">
            <v>5B.S</v>
          </cell>
          <cell r="G85" t="str">
            <v>TH5</v>
          </cell>
          <cell r="H85" t="str">
            <v>12AS</v>
          </cell>
          <cell r="I85" t="str">
            <v>Thứ Hai (22/12)</v>
          </cell>
          <cell r="J85" t="str">
            <v>Thứ Tư (24/12)</v>
          </cell>
          <cell r="K85">
            <v>28</v>
          </cell>
          <cell r="L85">
            <v>0</v>
          </cell>
          <cell r="M85" t="str">
            <v>VĂN</v>
          </cell>
          <cell r="N85" t="str">
            <v>KT-PL</v>
          </cell>
          <cell r="O85" t="str">
            <v>TOÁN</v>
          </cell>
          <cell r="P85" t="str">
            <v>SỬ</v>
          </cell>
          <cell r="Q85">
            <v>101362</v>
          </cell>
          <cell r="R85">
            <v>101389</v>
          </cell>
          <cell r="S85" t="str">
            <v>TỔ HỢP 5 (12AS9,10,11,12)</v>
          </cell>
        </row>
        <row r="86">
          <cell r="A86">
            <v>53</v>
          </cell>
          <cell r="B86">
            <v>4</v>
          </cell>
          <cell r="C86" t="str">
            <v>6B</v>
          </cell>
          <cell r="D86">
            <v>28</v>
          </cell>
          <cell r="E86"/>
          <cell r="F86" t="str">
            <v>6B.S</v>
          </cell>
          <cell r="G86" t="str">
            <v>TH5</v>
          </cell>
          <cell r="H86" t="str">
            <v>12AS</v>
          </cell>
          <cell r="I86" t="str">
            <v>Thứ Hai (22/12)</v>
          </cell>
          <cell r="J86" t="str">
            <v>Thứ Tư (24/12)</v>
          </cell>
          <cell r="K86">
            <v>28</v>
          </cell>
          <cell r="L86">
            <v>0</v>
          </cell>
          <cell r="M86" t="str">
            <v>VĂN</v>
          </cell>
          <cell r="N86" t="str">
            <v>KT-PL</v>
          </cell>
          <cell r="O86" t="str">
            <v>TOÁN</v>
          </cell>
          <cell r="P86" t="str">
            <v>SỬ</v>
          </cell>
          <cell r="Q86">
            <v>101390</v>
          </cell>
          <cell r="R86">
            <v>101417</v>
          </cell>
          <cell r="S86" t="str">
            <v>TỔ HỢP 5 (12AS9,10,11,12)</v>
          </cell>
        </row>
        <row r="87">
          <cell r="A87">
            <v>54</v>
          </cell>
          <cell r="B87">
            <v>5</v>
          </cell>
          <cell r="C87" t="str">
            <v>7B</v>
          </cell>
          <cell r="D87">
            <v>27</v>
          </cell>
          <cell r="E87"/>
          <cell r="F87" t="str">
            <v>7B.S</v>
          </cell>
          <cell r="G87" t="str">
            <v>TH5</v>
          </cell>
          <cell r="H87" t="str">
            <v>12AS</v>
          </cell>
          <cell r="I87" t="str">
            <v>Thứ Hai (22/12)</v>
          </cell>
          <cell r="J87" t="str">
            <v>Thứ Tư (24/12)</v>
          </cell>
          <cell r="K87">
            <v>27</v>
          </cell>
          <cell r="L87">
            <v>0</v>
          </cell>
          <cell r="M87" t="str">
            <v>VĂN</v>
          </cell>
          <cell r="N87" t="str">
            <v>KT-PL</v>
          </cell>
          <cell r="O87" t="str">
            <v>TOÁN</v>
          </cell>
          <cell r="P87" t="str">
            <v>SỬ</v>
          </cell>
          <cell r="Q87">
            <v>101418</v>
          </cell>
          <cell r="R87">
            <v>101444</v>
          </cell>
          <cell r="S87" t="str">
            <v>TỔ HỢP 5 (12AS9,10,11,12)</v>
          </cell>
        </row>
        <row r="88">
          <cell r="A88">
            <v>55</v>
          </cell>
          <cell r="B88">
            <v>6</v>
          </cell>
          <cell r="C88" t="str">
            <v>8B</v>
          </cell>
          <cell r="D88">
            <v>27</v>
          </cell>
          <cell r="E88"/>
          <cell r="F88" t="str">
            <v>8B.S</v>
          </cell>
          <cell r="G88" t="str">
            <v>TH5</v>
          </cell>
          <cell r="H88" t="str">
            <v>12AS</v>
          </cell>
          <cell r="I88" t="str">
            <v>Thứ Hai (22/12)</v>
          </cell>
          <cell r="J88" t="str">
            <v>Thứ Tư (24/12)</v>
          </cell>
          <cell r="K88">
            <v>27</v>
          </cell>
          <cell r="L88">
            <v>0</v>
          </cell>
          <cell r="M88" t="str">
            <v>VĂN</v>
          </cell>
          <cell r="N88" t="str">
            <v>KT-PL</v>
          </cell>
          <cell r="O88" t="str">
            <v>TOÁN</v>
          </cell>
          <cell r="P88" t="str">
            <v>SỬ</v>
          </cell>
          <cell r="Q88">
            <v>101445</v>
          </cell>
          <cell r="R88">
            <v>101471</v>
          </cell>
          <cell r="S88" t="str">
            <v>TỔ HỢP 5 (12AS9,10,11,12)</v>
          </cell>
        </row>
        <row r="89">
          <cell r="A89">
            <v>56</v>
          </cell>
          <cell r="B89">
            <v>7</v>
          </cell>
          <cell r="C89" t="str">
            <v>9B</v>
          </cell>
          <cell r="D89">
            <v>27</v>
          </cell>
          <cell r="E89"/>
          <cell r="F89" t="str">
            <v>9B.S</v>
          </cell>
          <cell r="G89" t="str">
            <v>TH5</v>
          </cell>
          <cell r="H89" t="str">
            <v>12AS</v>
          </cell>
          <cell r="I89" t="str">
            <v>Thứ Hai (22/12)</v>
          </cell>
          <cell r="J89" t="str">
            <v>Thứ Tư (24/12)</v>
          </cell>
          <cell r="K89">
            <v>27</v>
          </cell>
          <cell r="L89">
            <v>0</v>
          </cell>
          <cell r="M89" t="str">
            <v>VĂN</v>
          </cell>
          <cell r="N89" t="str">
            <v>KT-PL</v>
          </cell>
          <cell r="O89" t="str">
            <v>TOÁN</v>
          </cell>
          <cell r="P89" t="str">
            <v>SỬ</v>
          </cell>
          <cell r="Q89">
            <v>101472</v>
          </cell>
          <cell r="R89">
            <v>101498</v>
          </cell>
          <cell r="S89" t="str">
            <v>TỔ HỢP 5 (12AS9,10,11,12)</v>
          </cell>
        </row>
        <row r="90">
          <cell r="A90" t="str">
            <v/>
          </cell>
          <cell r="B90" t="str">
            <v>KHỐI 12AT</v>
          </cell>
          <cell r="C90" t="str">
            <v>5 phòng</v>
          </cell>
          <cell r="D90">
            <v>150</v>
          </cell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 t="str">
            <v/>
          </cell>
          <cell r="B91" t="str">
            <v>TỔ HỢP 1 (12AT1,2)</v>
          </cell>
          <cell r="C91"/>
          <cell r="D91">
            <v>94</v>
          </cell>
          <cell r="E91"/>
          <cell r="F91"/>
          <cell r="G91"/>
          <cell r="H91"/>
          <cell r="I91"/>
          <cell r="J91"/>
          <cell r="K91">
            <v>92</v>
          </cell>
          <cell r="L91">
            <v>2</v>
          </cell>
          <cell r="M91" t="str">
            <v>VĂN</v>
          </cell>
          <cell r="N91" t="str">
            <v>LÝ</v>
          </cell>
          <cell r="O91" t="str">
            <v>TOÁN</v>
          </cell>
          <cell r="P91" t="str">
            <v>SỬ</v>
          </cell>
          <cell r="Q91"/>
          <cell r="R91"/>
          <cell r="S91"/>
        </row>
        <row r="92">
          <cell r="A92">
            <v>57</v>
          </cell>
          <cell r="B92">
            <v>1</v>
          </cell>
          <cell r="C92" t="str">
            <v>2B</v>
          </cell>
          <cell r="D92">
            <v>32</v>
          </cell>
          <cell r="E92"/>
          <cell r="F92" t="str">
            <v>2B.T</v>
          </cell>
          <cell r="G92" t="str">
            <v>TH1</v>
          </cell>
          <cell r="H92" t="str">
            <v>12AT</v>
          </cell>
          <cell r="I92" t="str">
            <v>Thứ Hai (22/12)</v>
          </cell>
          <cell r="J92" t="str">
            <v>Thứ Ba (23/12)</v>
          </cell>
          <cell r="K92">
            <v>31</v>
          </cell>
          <cell r="L92">
            <v>1</v>
          </cell>
          <cell r="M92" t="str">
            <v>VĂN</v>
          </cell>
          <cell r="N92" t="str">
            <v>LÝ</v>
          </cell>
          <cell r="O92" t="str">
            <v>TOÁN</v>
          </cell>
          <cell r="P92" t="str">
            <v>SỬ</v>
          </cell>
          <cell r="Q92">
            <v>101499</v>
          </cell>
          <cell r="R92">
            <v>101529</v>
          </cell>
          <cell r="S92" t="str">
            <v>TỔ HỢP 1 (12AT1,2)</v>
          </cell>
        </row>
        <row r="93">
          <cell r="A93">
            <v>58</v>
          </cell>
          <cell r="B93">
            <v>2</v>
          </cell>
          <cell r="C93" t="str">
            <v>3B</v>
          </cell>
          <cell r="D93">
            <v>31</v>
          </cell>
          <cell r="E93"/>
          <cell r="F93" t="str">
            <v>3B.T</v>
          </cell>
          <cell r="G93" t="str">
            <v>TH1</v>
          </cell>
          <cell r="H93" t="str">
            <v>12AT</v>
          </cell>
          <cell r="I93" t="str">
            <v>Thứ Hai (22/12)</v>
          </cell>
          <cell r="J93" t="str">
            <v>Thứ Ba (23/12)</v>
          </cell>
          <cell r="K93">
            <v>31</v>
          </cell>
          <cell r="L93">
            <v>0</v>
          </cell>
          <cell r="M93" t="str">
            <v>VĂN</v>
          </cell>
          <cell r="N93" t="str">
            <v>LÝ</v>
          </cell>
          <cell r="O93" t="str">
            <v>TOÁN</v>
          </cell>
          <cell r="P93" t="str">
            <v>SỬ</v>
          </cell>
          <cell r="Q93">
            <v>101530</v>
          </cell>
          <cell r="R93">
            <v>101560</v>
          </cell>
          <cell r="S93" t="str">
            <v>TỔ HỢP 1 (12AT1,2)</v>
          </cell>
        </row>
        <row r="94">
          <cell r="A94">
            <v>59</v>
          </cell>
          <cell r="B94">
            <v>3</v>
          </cell>
          <cell r="C94" t="str">
            <v>4B</v>
          </cell>
          <cell r="D94">
            <v>31</v>
          </cell>
          <cell r="E94"/>
          <cell r="F94" t="str">
            <v>4B.T</v>
          </cell>
          <cell r="G94" t="str">
            <v>TH1</v>
          </cell>
          <cell r="H94" t="str">
            <v>12AT</v>
          </cell>
          <cell r="I94" t="str">
            <v>Thứ Hai (22/12)</v>
          </cell>
          <cell r="J94" t="str">
            <v>Thứ Ba (23/12)</v>
          </cell>
          <cell r="K94">
            <v>30</v>
          </cell>
          <cell r="L94">
            <v>1</v>
          </cell>
          <cell r="M94" t="str">
            <v>VĂN</v>
          </cell>
          <cell r="N94" t="str">
            <v>LÝ</v>
          </cell>
          <cell r="O94" t="str">
            <v>TOÁN</v>
          </cell>
          <cell r="P94" t="str">
            <v>SỬ</v>
          </cell>
          <cell r="Q94">
            <v>101561</v>
          </cell>
          <cell r="R94">
            <v>101590</v>
          </cell>
          <cell r="S94" t="str">
            <v>TỔ HỢP 1 (12AT1,2)</v>
          </cell>
        </row>
        <row r="95">
          <cell r="A95" t="str">
            <v/>
          </cell>
          <cell r="B95" t="str">
            <v>TỔ HỢP 2 (12AT3)</v>
          </cell>
          <cell r="C95"/>
          <cell r="D95">
            <v>56</v>
          </cell>
          <cell r="E95"/>
          <cell r="F95"/>
          <cell r="G95"/>
          <cell r="H95"/>
          <cell r="I95"/>
          <cell r="J95"/>
          <cell r="K95">
            <v>55</v>
          </cell>
          <cell r="L95">
            <v>1</v>
          </cell>
          <cell r="M95" t="str">
            <v>VĂN</v>
          </cell>
          <cell r="N95" t="str">
            <v>HÓA</v>
          </cell>
          <cell r="O95" t="str">
            <v>TOÁN</v>
          </cell>
          <cell r="P95" t="str">
            <v>SỬ</v>
          </cell>
          <cell r="Q95"/>
          <cell r="R95"/>
          <cell r="S95"/>
        </row>
        <row r="96">
          <cell r="A96">
            <v>60</v>
          </cell>
          <cell r="B96">
            <v>1</v>
          </cell>
          <cell r="C96" t="str">
            <v>5B</v>
          </cell>
          <cell r="D96">
            <v>28</v>
          </cell>
          <cell r="E96"/>
          <cell r="F96" t="str">
            <v>5B.T</v>
          </cell>
          <cell r="G96" t="str">
            <v>TH2</v>
          </cell>
          <cell r="H96" t="str">
            <v>12AT</v>
          </cell>
          <cell r="I96" t="str">
            <v>Thứ Hai (22/12)</v>
          </cell>
          <cell r="J96" t="str">
            <v>Thứ Ba (23/12)</v>
          </cell>
          <cell r="K96">
            <v>28</v>
          </cell>
          <cell r="L96">
            <v>0</v>
          </cell>
          <cell r="M96" t="str">
            <v>VĂN</v>
          </cell>
          <cell r="N96" t="str">
            <v>HÓA</v>
          </cell>
          <cell r="O96" t="str">
            <v>TOÁN</v>
          </cell>
          <cell r="P96" t="str">
            <v>SỬ</v>
          </cell>
          <cell r="Q96">
            <v>101591</v>
          </cell>
          <cell r="R96">
            <v>101618</v>
          </cell>
          <cell r="S96" t="str">
            <v>TỔ HỢP 2 (12AT3)</v>
          </cell>
        </row>
        <row r="97">
          <cell r="A97">
            <v>61</v>
          </cell>
          <cell r="B97">
            <v>2</v>
          </cell>
          <cell r="C97" t="str">
            <v>6B</v>
          </cell>
          <cell r="D97">
            <v>28</v>
          </cell>
          <cell r="E97"/>
          <cell r="F97" t="str">
            <v>6B.T</v>
          </cell>
          <cell r="G97" t="str">
            <v>TH2</v>
          </cell>
          <cell r="H97" t="str">
            <v>12AT</v>
          </cell>
          <cell r="I97" t="str">
            <v>Thứ Hai (22/12)</v>
          </cell>
          <cell r="J97" t="str">
            <v>Thứ Ba (23/12)</v>
          </cell>
          <cell r="K97">
            <v>27</v>
          </cell>
          <cell r="L97">
            <v>1</v>
          </cell>
          <cell r="M97" t="str">
            <v>VĂN</v>
          </cell>
          <cell r="N97" t="str">
            <v>HÓA</v>
          </cell>
          <cell r="O97" t="str">
            <v>TOÁN</v>
          </cell>
          <cell r="P97" t="str">
            <v>SỬ</v>
          </cell>
          <cell r="Q97">
            <v>101619</v>
          </cell>
          <cell r="R97">
            <v>101645</v>
          </cell>
          <cell r="S97" t="str">
            <v>TỔ HỢP 2 (12AT3)</v>
          </cell>
        </row>
        <row r="98">
          <cell r="A98" t="str">
            <v/>
          </cell>
          <cell r="B98" t="str">
            <v>KHỐI 10KT</v>
          </cell>
          <cell r="C98" t="str">
            <v>7 phòng</v>
          </cell>
          <cell r="D98">
            <v>200</v>
          </cell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</row>
        <row r="99">
          <cell r="A99" t="str">
            <v/>
          </cell>
          <cell r="B99" t="str">
            <v>TỔ HỢP 4 (10KT1,2,3,4)</v>
          </cell>
          <cell r="C99"/>
          <cell r="D99">
            <v>200</v>
          </cell>
          <cell r="E99"/>
          <cell r="F99"/>
          <cell r="G99"/>
          <cell r="H99"/>
          <cell r="I99"/>
          <cell r="J99"/>
          <cell r="K99">
            <v>196</v>
          </cell>
          <cell r="L99"/>
          <cell r="M99" t="str">
            <v>VĂN</v>
          </cell>
          <cell r="N99" t="str">
            <v>LÝ</v>
          </cell>
          <cell r="O99" t="str">
            <v>TOÁN</v>
          </cell>
          <cell r="P99" t="str">
            <v>SỬ</v>
          </cell>
          <cell r="Q99"/>
          <cell r="R99"/>
          <cell r="S99"/>
        </row>
        <row r="100">
          <cell r="A100">
            <v>62</v>
          </cell>
          <cell r="B100">
            <v>1</v>
          </cell>
          <cell r="C100" t="str">
            <v>HT2-1</v>
          </cell>
          <cell r="D100">
            <v>29</v>
          </cell>
          <cell r="E100" t="str">
            <v>01.HN</v>
          </cell>
          <cell r="F100" t="str">
            <v>HT2-1.C</v>
          </cell>
          <cell r="G100" t="str">
            <v>TH4</v>
          </cell>
          <cell r="H100" t="str">
            <v>10KT</v>
          </cell>
          <cell r="I100" t="str">
            <v>Thứ Hai (22/12)</v>
          </cell>
          <cell r="J100" t="str">
            <v>Thứ Tư (24/12)</v>
          </cell>
          <cell r="K100">
            <v>28</v>
          </cell>
          <cell r="L100">
            <v>1</v>
          </cell>
          <cell r="M100" t="str">
            <v>VĂN</v>
          </cell>
          <cell r="N100" t="str">
            <v>LÝ</v>
          </cell>
          <cell r="O100" t="str">
            <v>TOÁN</v>
          </cell>
          <cell r="P100" t="str">
            <v>SỬ</v>
          </cell>
          <cell r="Q100">
            <v>500001</v>
          </cell>
          <cell r="R100">
            <v>500028</v>
          </cell>
          <cell r="S100" t="str">
            <v>TỔ HỢP 4 (10KT1,2,3,4)</v>
          </cell>
        </row>
        <row r="101">
          <cell r="A101">
            <v>63</v>
          </cell>
          <cell r="B101">
            <v>2</v>
          </cell>
          <cell r="C101" t="str">
            <v>HT2-2</v>
          </cell>
          <cell r="D101">
            <v>29</v>
          </cell>
          <cell r="E101"/>
          <cell r="F101" t="str">
            <v>HT2-2.C</v>
          </cell>
          <cell r="G101" t="str">
            <v>TH4</v>
          </cell>
          <cell r="H101" t="str">
            <v>10KT</v>
          </cell>
          <cell r="I101" t="str">
            <v>Thứ Hai (22/12)</v>
          </cell>
          <cell r="J101" t="str">
            <v>Thứ Tư (24/12)</v>
          </cell>
          <cell r="K101">
            <v>28</v>
          </cell>
          <cell r="L101">
            <v>1</v>
          </cell>
          <cell r="M101" t="str">
            <v>VĂN</v>
          </cell>
          <cell r="N101" t="str">
            <v>LÝ</v>
          </cell>
          <cell r="O101" t="str">
            <v>TOÁN</v>
          </cell>
          <cell r="P101" t="str">
            <v>SỬ</v>
          </cell>
          <cell r="Q101">
            <v>500029</v>
          </cell>
          <cell r="R101">
            <v>500056</v>
          </cell>
          <cell r="S101" t="str">
            <v>TỔ HỢP 4 (10KT1,2,3,4)</v>
          </cell>
        </row>
        <row r="102">
          <cell r="A102">
            <v>64</v>
          </cell>
          <cell r="B102">
            <v>3</v>
          </cell>
          <cell r="C102" t="str">
            <v>HT2-3</v>
          </cell>
          <cell r="D102">
            <v>29</v>
          </cell>
          <cell r="E102"/>
          <cell r="F102" t="str">
            <v>HT2-3.C</v>
          </cell>
          <cell r="G102" t="str">
            <v>TH4</v>
          </cell>
          <cell r="H102" t="str">
            <v>10KT</v>
          </cell>
          <cell r="I102" t="str">
            <v>Thứ Hai (22/12)</v>
          </cell>
          <cell r="J102" t="str">
            <v>Thứ Tư (24/12)</v>
          </cell>
          <cell r="K102">
            <v>28</v>
          </cell>
          <cell r="L102">
            <v>1</v>
          </cell>
          <cell r="M102" t="str">
            <v>VĂN</v>
          </cell>
          <cell r="N102" t="str">
            <v>LÝ</v>
          </cell>
          <cell r="O102" t="str">
            <v>TOÁN</v>
          </cell>
          <cell r="P102" t="str">
            <v>SỬ</v>
          </cell>
          <cell r="Q102">
            <v>500057</v>
          </cell>
          <cell r="R102">
            <v>500084</v>
          </cell>
          <cell r="S102" t="str">
            <v>TỔ HỢP 4 (10KT1,2,3,4)</v>
          </cell>
        </row>
        <row r="103">
          <cell r="A103">
            <v>65</v>
          </cell>
          <cell r="B103">
            <v>4</v>
          </cell>
          <cell r="C103" t="str">
            <v>A0.13</v>
          </cell>
          <cell r="D103">
            <v>29</v>
          </cell>
          <cell r="E103"/>
          <cell r="F103" t="str">
            <v>A0.13.C</v>
          </cell>
          <cell r="G103" t="str">
            <v>TH4</v>
          </cell>
          <cell r="H103" t="str">
            <v>10KT</v>
          </cell>
          <cell r="I103" t="str">
            <v>Thứ Hai (22/12)</v>
          </cell>
          <cell r="J103" t="str">
            <v>Thứ Tư (24/12)</v>
          </cell>
          <cell r="K103">
            <v>28</v>
          </cell>
          <cell r="L103">
            <v>1</v>
          </cell>
          <cell r="M103" t="str">
            <v>VĂN</v>
          </cell>
          <cell r="N103" t="str">
            <v>LÝ</v>
          </cell>
          <cell r="O103" t="str">
            <v>TOÁN</v>
          </cell>
          <cell r="P103" t="str">
            <v>SỬ</v>
          </cell>
          <cell r="Q103">
            <v>500085</v>
          </cell>
          <cell r="R103">
            <v>500112</v>
          </cell>
          <cell r="S103" t="str">
            <v>TỔ HỢP 4 (10KT1,2,3,4)</v>
          </cell>
        </row>
        <row r="104">
          <cell r="A104">
            <v>66</v>
          </cell>
          <cell r="B104">
            <v>5</v>
          </cell>
          <cell r="C104" t="str">
            <v>A0.15</v>
          </cell>
          <cell r="D104">
            <v>28</v>
          </cell>
          <cell r="E104"/>
          <cell r="F104" t="str">
            <v>A0.15.C</v>
          </cell>
          <cell r="G104" t="str">
            <v>TH4</v>
          </cell>
          <cell r="H104" t="str">
            <v>10KT</v>
          </cell>
          <cell r="I104" t="str">
            <v>Thứ Hai (22/12)</v>
          </cell>
          <cell r="J104" t="str">
            <v>Thứ Tư (24/12)</v>
          </cell>
          <cell r="K104">
            <v>28</v>
          </cell>
          <cell r="L104">
            <v>0</v>
          </cell>
          <cell r="M104" t="str">
            <v>VĂN</v>
          </cell>
          <cell r="N104" t="str">
            <v>LÝ</v>
          </cell>
          <cell r="O104" t="str">
            <v>TOÁN</v>
          </cell>
          <cell r="P104" t="str">
            <v>SỬ</v>
          </cell>
          <cell r="Q104">
            <v>500113</v>
          </cell>
          <cell r="R104">
            <v>500140</v>
          </cell>
          <cell r="S104" t="str">
            <v>TỔ HỢP 4 (10KT1,2,3,4)</v>
          </cell>
        </row>
        <row r="105">
          <cell r="A105">
            <v>67</v>
          </cell>
          <cell r="B105">
            <v>6</v>
          </cell>
          <cell r="C105" t="str">
            <v>A1.10</v>
          </cell>
          <cell r="D105">
            <v>28</v>
          </cell>
          <cell r="E105"/>
          <cell r="F105" t="str">
            <v>A1.10.C</v>
          </cell>
          <cell r="G105" t="str">
            <v>TH4</v>
          </cell>
          <cell r="H105" t="str">
            <v>10KT</v>
          </cell>
          <cell r="I105" t="str">
            <v>Thứ Hai (22/12)</v>
          </cell>
          <cell r="J105" t="str">
            <v>Thứ Tư (24/12)</v>
          </cell>
          <cell r="K105">
            <v>28</v>
          </cell>
          <cell r="L105">
            <v>0</v>
          </cell>
          <cell r="M105" t="str">
            <v>VĂN</v>
          </cell>
          <cell r="N105" t="str">
            <v>LÝ</v>
          </cell>
          <cell r="O105" t="str">
            <v>TOÁN</v>
          </cell>
          <cell r="P105" t="str">
            <v>SỬ</v>
          </cell>
          <cell r="Q105">
            <v>500141</v>
          </cell>
          <cell r="R105">
            <v>500168</v>
          </cell>
          <cell r="S105" t="str">
            <v>TỔ HỢP 4 (10KT1,2,3,4)</v>
          </cell>
        </row>
        <row r="106">
          <cell r="A106">
            <v>68</v>
          </cell>
          <cell r="B106">
            <v>7</v>
          </cell>
          <cell r="C106" t="str">
            <v>A1.11</v>
          </cell>
          <cell r="D106">
            <v>28</v>
          </cell>
          <cell r="E106"/>
          <cell r="F106" t="str">
            <v>A1.11.C</v>
          </cell>
          <cell r="G106" t="str">
            <v>TH4</v>
          </cell>
          <cell r="H106" t="str">
            <v>10KT</v>
          </cell>
          <cell r="I106" t="str">
            <v>Thứ Hai (22/12)</v>
          </cell>
          <cell r="J106" t="str">
            <v>Thứ Tư (24/12)</v>
          </cell>
          <cell r="K106">
            <v>28</v>
          </cell>
          <cell r="L106">
            <v>0</v>
          </cell>
          <cell r="M106" t="str">
            <v>VĂN</v>
          </cell>
          <cell r="N106" t="str">
            <v>LÝ</v>
          </cell>
          <cell r="O106" t="str">
            <v>TOÁN</v>
          </cell>
          <cell r="P106" t="str">
            <v>SỬ</v>
          </cell>
          <cell r="Q106">
            <v>500169</v>
          </cell>
          <cell r="R106">
            <v>500196</v>
          </cell>
          <cell r="S106" t="str">
            <v>TỔ HỢP 4 (10KT1,2,3,4)</v>
          </cell>
        </row>
        <row r="107">
          <cell r="A107" t="str">
            <v/>
          </cell>
          <cell r="B107" t="str">
            <v>KHỐI 11KT</v>
          </cell>
          <cell r="C107" t="str">
            <v>7 phòng</v>
          </cell>
          <cell r="D107">
            <v>196</v>
          </cell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</row>
        <row r="108">
          <cell r="A108" t="str">
            <v/>
          </cell>
          <cell r="B108" t="str">
            <v>TỔ HỢP 4 (11KT1,2,3,4)</v>
          </cell>
          <cell r="C108"/>
          <cell r="D108">
            <v>196</v>
          </cell>
          <cell r="E108"/>
          <cell r="F108"/>
          <cell r="G108"/>
          <cell r="H108"/>
          <cell r="I108"/>
          <cell r="J108"/>
          <cell r="K108">
            <v>195</v>
          </cell>
          <cell r="L108"/>
          <cell r="M108" t="str">
            <v>VĂN</v>
          </cell>
          <cell r="N108" t="str">
            <v>LÝ</v>
          </cell>
          <cell r="O108" t="str">
            <v>TOÁN</v>
          </cell>
          <cell r="P108" t="str">
            <v>SỬ</v>
          </cell>
          <cell r="Q108"/>
          <cell r="R108"/>
          <cell r="S108"/>
        </row>
        <row r="109">
          <cell r="A109">
            <v>69</v>
          </cell>
          <cell r="B109">
            <v>1</v>
          </cell>
          <cell r="C109" t="str">
            <v>HT2-1</v>
          </cell>
          <cell r="D109">
            <v>28</v>
          </cell>
          <cell r="E109"/>
          <cell r="F109" t="str">
            <v>HT2-1.C</v>
          </cell>
          <cell r="G109" t="str">
            <v>TH4</v>
          </cell>
          <cell r="H109" t="str">
            <v>11KT</v>
          </cell>
          <cell r="I109" t="str">
            <v>Thứ Ba (23/12)</v>
          </cell>
          <cell r="J109" t="str">
            <v>Thứ Năm (25/12)</v>
          </cell>
          <cell r="K109">
            <v>28</v>
          </cell>
          <cell r="L109">
            <v>0</v>
          </cell>
          <cell r="M109" t="str">
            <v>VĂN</v>
          </cell>
          <cell r="N109" t="str">
            <v>LÝ</v>
          </cell>
          <cell r="O109" t="str">
            <v>TOÁN</v>
          </cell>
          <cell r="P109" t="str">
            <v>SỬ</v>
          </cell>
          <cell r="Q109">
            <v>500197</v>
          </cell>
          <cell r="R109">
            <v>500224</v>
          </cell>
          <cell r="S109" t="str">
            <v>TỔ HỢP 4 (11KT1,2,3,4)</v>
          </cell>
        </row>
        <row r="110">
          <cell r="A110">
            <v>70</v>
          </cell>
          <cell r="B110">
            <v>2</v>
          </cell>
          <cell r="C110" t="str">
            <v>HT2-2</v>
          </cell>
          <cell r="D110">
            <v>28</v>
          </cell>
          <cell r="E110"/>
          <cell r="F110" t="str">
            <v>HT2-2.C</v>
          </cell>
          <cell r="G110" t="str">
            <v>TH4</v>
          </cell>
          <cell r="H110" t="str">
            <v>11KT</v>
          </cell>
          <cell r="I110" t="str">
            <v>Thứ Ba (23/12)</v>
          </cell>
          <cell r="J110" t="str">
            <v>Thứ Năm (25/12)</v>
          </cell>
          <cell r="K110">
            <v>28</v>
          </cell>
          <cell r="L110">
            <v>0</v>
          </cell>
          <cell r="M110" t="str">
            <v>VĂN</v>
          </cell>
          <cell r="N110" t="str">
            <v>LÝ</v>
          </cell>
          <cell r="O110" t="str">
            <v>TOÁN</v>
          </cell>
          <cell r="P110" t="str">
            <v>SỬ</v>
          </cell>
          <cell r="Q110">
            <v>500225</v>
          </cell>
          <cell r="R110">
            <v>500252</v>
          </cell>
          <cell r="S110" t="str">
            <v>TỔ HỢP 4 (11KT1,2,3,4)</v>
          </cell>
        </row>
        <row r="111">
          <cell r="A111">
            <v>71</v>
          </cell>
          <cell r="B111">
            <v>3</v>
          </cell>
          <cell r="C111" t="str">
            <v>HT2-3</v>
          </cell>
          <cell r="D111">
            <v>28</v>
          </cell>
          <cell r="E111"/>
          <cell r="F111" t="str">
            <v>HT2-3.C</v>
          </cell>
          <cell r="G111" t="str">
            <v>TH4</v>
          </cell>
          <cell r="H111" t="str">
            <v>11KT</v>
          </cell>
          <cell r="I111" t="str">
            <v>Thứ Ba (23/12)</v>
          </cell>
          <cell r="J111" t="str">
            <v>Thứ Năm (25/12)</v>
          </cell>
          <cell r="K111">
            <v>28</v>
          </cell>
          <cell r="L111">
            <v>0</v>
          </cell>
          <cell r="M111" t="str">
            <v>VĂN</v>
          </cell>
          <cell r="N111" t="str">
            <v>LÝ</v>
          </cell>
          <cell r="O111" t="str">
            <v>TOÁN</v>
          </cell>
          <cell r="P111" t="str">
            <v>SỬ</v>
          </cell>
          <cell r="Q111">
            <v>500253</v>
          </cell>
          <cell r="R111">
            <v>500280</v>
          </cell>
          <cell r="S111" t="str">
            <v>TỔ HỢP 4 (11KT1,2,3,4)</v>
          </cell>
        </row>
        <row r="112">
          <cell r="A112">
            <v>72</v>
          </cell>
          <cell r="B112">
            <v>4</v>
          </cell>
          <cell r="C112" t="str">
            <v>A0.13</v>
          </cell>
          <cell r="D112">
            <v>28</v>
          </cell>
          <cell r="E112"/>
          <cell r="F112" t="str">
            <v>A0.13.C</v>
          </cell>
          <cell r="G112" t="str">
            <v>TH4</v>
          </cell>
          <cell r="H112" t="str">
            <v>11KT</v>
          </cell>
          <cell r="I112" t="str">
            <v>Thứ Ba (23/12)</v>
          </cell>
          <cell r="J112" t="str">
            <v>Thứ Năm (25/12)</v>
          </cell>
          <cell r="K112">
            <v>28</v>
          </cell>
          <cell r="L112">
            <v>0</v>
          </cell>
          <cell r="M112" t="str">
            <v>VĂN</v>
          </cell>
          <cell r="N112" t="str">
            <v>LÝ</v>
          </cell>
          <cell r="O112" t="str">
            <v>TOÁN</v>
          </cell>
          <cell r="P112" t="str">
            <v>SỬ</v>
          </cell>
          <cell r="Q112">
            <v>500281</v>
          </cell>
          <cell r="R112">
            <v>500308</v>
          </cell>
          <cell r="S112" t="str">
            <v>TỔ HỢP 4 (11KT1,2,3,4)</v>
          </cell>
        </row>
        <row r="113">
          <cell r="A113">
            <v>73</v>
          </cell>
          <cell r="B113">
            <v>5</v>
          </cell>
          <cell r="C113" t="str">
            <v>A0.15</v>
          </cell>
          <cell r="D113">
            <v>28</v>
          </cell>
          <cell r="E113"/>
          <cell r="F113" t="str">
            <v>A0.15.C</v>
          </cell>
          <cell r="G113" t="str">
            <v>TH4</v>
          </cell>
          <cell r="H113" t="str">
            <v>11KT</v>
          </cell>
          <cell r="I113" t="str">
            <v>Thứ Ba (23/12)</v>
          </cell>
          <cell r="J113" t="str">
            <v>Thứ Năm (25/12)</v>
          </cell>
          <cell r="K113">
            <v>28</v>
          </cell>
          <cell r="L113">
            <v>0</v>
          </cell>
          <cell r="M113" t="str">
            <v>VĂN</v>
          </cell>
          <cell r="N113" t="str">
            <v>LÝ</v>
          </cell>
          <cell r="O113" t="str">
            <v>TOÁN</v>
          </cell>
          <cell r="P113" t="str">
            <v>SỬ</v>
          </cell>
          <cell r="Q113">
            <v>500309</v>
          </cell>
          <cell r="R113">
            <v>500336</v>
          </cell>
          <cell r="S113" t="str">
            <v>TỔ HỢP 4 (11KT1,2,3,4)</v>
          </cell>
        </row>
        <row r="114">
          <cell r="A114">
            <v>74</v>
          </cell>
          <cell r="B114">
            <v>6</v>
          </cell>
          <cell r="C114" t="str">
            <v>A1.10</v>
          </cell>
          <cell r="D114">
            <v>28</v>
          </cell>
          <cell r="E114"/>
          <cell r="F114" t="str">
            <v>A1.10.C</v>
          </cell>
          <cell r="G114" t="str">
            <v>TH4</v>
          </cell>
          <cell r="H114" t="str">
            <v>11KT</v>
          </cell>
          <cell r="I114" t="str">
            <v>Thứ Ba (23/12)</v>
          </cell>
          <cell r="J114" t="str">
            <v>Thứ Năm (25/12)</v>
          </cell>
          <cell r="K114">
            <v>28</v>
          </cell>
          <cell r="L114">
            <v>0</v>
          </cell>
          <cell r="M114" t="str">
            <v>VĂN</v>
          </cell>
          <cell r="N114" t="str">
            <v>LÝ</v>
          </cell>
          <cell r="O114" t="str">
            <v>TOÁN</v>
          </cell>
          <cell r="P114" t="str">
            <v>SỬ</v>
          </cell>
          <cell r="Q114">
            <v>500337</v>
          </cell>
          <cell r="R114">
            <v>500364</v>
          </cell>
          <cell r="S114" t="str">
            <v>TỔ HỢP 4 (11KT1,2,3,4)</v>
          </cell>
        </row>
        <row r="115">
          <cell r="A115">
            <v>75</v>
          </cell>
          <cell r="B115">
            <v>7</v>
          </cell>
          <cell r="C115" t="str">
            <v>A1.11</v>
          </cell>
          <cell r="D115">
            <v>28</v>
          </cell>
          <cell r="E115"/>
          <cell r="F115" t="str">
            <v>A1.11.C</v>
          </cell>
          <cell r="G115" t="str">
            <v>TH4</v>
          </cell>
          <cell r="H115" t="str">
            <v>11KT</v>
          </cell>
          <cell r="I115" t="str">
            <v>Thứ Ba (23/12)</v>
          </cell>
          <cell r="J115" t="str">
            <v>Thứ Năm (25/12)</v>
          </cell>
          <cell r="K115">
            <v>27</v>
          </cell>
          <cell r="L115">
            <v>1</v>
          </cell>
          <cell r="M115" t="str">
            <v>VĂN</v>
          </cell>
          <cell r="N115" t="str">
            <v>LÝ</v>
          </cell>
          <cell r="O115" t="str">
            <v>TOÁN</v>
          </cell>
          <cell r="P115" t="str">
            <v>SỬ</v>
          </cell>
          <cell r="Q115">
            <v>500365</v>
          </cell>
          <cell r="R115">
            <v>500391</v>
          </cell>
          <cell r="S115" t="str">
            <v>TỔ HỢP 4 (11KT1,2,3,4)</v>
          </cell>
        </row>
        <row r="116">
          <cell r="A116" t="str">
            <v/>
          </cell>
          <cell r="B116" t="str">
            <v>KHỐI 12KT</v>
          </cell>
          <cell r="C116" t="str">
            <v>7 phòng</v>
          </cell>
          <cell r="D116">
            <v>188</v>
          </cell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</row>
        <row r="117">
          <cell r="A117" t="str">
            <v/>
          </cell>
          <cell r="B117" t="str">
            <v>TỔ HỢP 4 (12KT1,2,3,4)</v>
          </cell>
          <cell r="C117"/>
          <cell r="D117">
            <v>188</v>
          </cell>
          <cell r="E117"/>
          <cell r="F117"/>
          <cell r="G117"/>
          <cell r="H117"/>
          <cell r="I117"/>
          <cell r="J117"/>
          <cell r="K117">
            <v>188</v>
          </cell>
          <cell r="L117"/>
          <cell r="M117" t="str">
            <v>VĂN</v>
          </cell>
          <cell r="N117" t="str">
            <v>LÝ</v>
          </cell>
          <cell r="O117" t="str">
            <v>TOÁN</v>
          </cell>
          <cell r="P117" t="str">
            <v>SỬ</v>
          </cell>
          <cell r="Q117"/>
          <cell r="R117"/>
          <cell r="S117"/>
        </row>
        <row r="118">
          <cell r="A118">
            <v>76</v>
          </cell>
          <cell r="B118">
            <v>1</v>
          </cell>
          <cell r="C118" t="str">
            <v>HT2-1</v>
          </cell>
          <cell r="D118">
            <v>27</v>
          </cell>
          <cell r="E118"/>
          <cell r="F118" t="str">
            <v>HT2-1.S</v>
          </cell>
          <cell r="G118" t="str">
            <v>TH4</v>
          </cell>
          <cell r="H118" t="str">
            <v>12KT</v>
          </cell>
          <cell r="I118" t="str">
            <v>Thứ Hai (22/12)</v>
          </cell>
          <cell r="J118" t="str">
            <v>Thứ Tư (24/12)</v>
          </cell>
          <cell r="K118">
            <v>27</v>
          </cell>
          <cell r="L118">
            <v>0</v>
          </cell>
          <cell r="M118" t="str">
            <v>VĂN</v>
          </cell>
          <cell r="N118" t="str">
            <v>LÝ</v>
          </cell>
          <cell r="O118" t="str">
            <v>TOÁN</v>
          </cell>
          <cell r="P118" t="str">
            <v>SỬ</v>
          </cell>
          <cell r="Q118">
            <v>500392</v>
          </cell>
          <cell r="R118">
            <v>500418</v>
          </cell>
          <cell r="S118" t="str">
            <v>TỔ HỢP 4 (12KT1,2,3,4)</v>
          </cell>
        </row>
        <row r="119">
          <cell r="A119">
            <v>77</v>
          </cell>
          <cell r="B119">
            <v>2</v>
          </cell>
          <cell r="C119" t="str">
            <v>HT2-2</v>
          </cell>
          <cell r="D119">
            <v>27</v>
          </cell>
          <cell r="E119"/>
          <cell r="F119" t="str">
            <v>HT2-2.S</v>
          </cell>
          <cell r="G119" t="str">
            <v>TH4</v>
          </cell>
          <cell r="H119" t="str">
            <v>12KT</v>
          </cell>
          <cell r="I119" t="str">
            <v>Thứ Hai (22/12)</v>
          </cell>
          <cell r="J119" t="str">
            <v>Thứ Tư (24/12)</v>
          </cell>
          <cell r="K119">
            <v>27</v>
          </cell>
          <cell r="L119">
            <v>0</v>
          </cell>
          <cell r="M119" t="str">
            <v>VĂN</v>
          </cell>
          <cell r="N119" t="str">
            <v>LÝ</v>
          </cell>
          <cell r="O119" t="str">
            <v>TOÁN</v>
          </cell>
          <cell r="P119" t="str">
            <v>SỬ</v>
          </cell>
          <cell r="Q119">
            <v>500419</v>
          </cell>
          <cell r="R119">
            <v>500445</v>
          </cell>
          <cell r="S119" t="str">
            <v>TỔ HỢP 4 (12KT1,2,3,4)</v>
          </cell>
        </row>
        <row r="120">
          <cell r="A120">
            <v>78</v>
          </cell>
          <cell r="B120">
            <v>3</v>
          </cell>
          <cell r="C120" t="str">
            <v>HT2-3</v>
          </cell>
          <cell r="D120">
            <v>27</v>
          </cell>
          <cell r="E120"/>
          <cell r="F120" t="str">
            <v>HT2-3.S</v>
          </cell>
          <cell r="G120" t="str">
            <v>TH4</v>
          </cell>
          <cell r="H120" t="str">
            <v>12KT</v>
          </cell>
          <cell r="I120" t="str">
            <v>Thứ Hai (22/12)</v>
          </cell>
          <cell r="J120" t="str">
            <v>Thứ Tư (24/12)</v>
          </cell>
          <cell r="K120">
            <v>27</v>
          </cell>
          <cell r="L120">
            <v>0</v>
          </cell>
          <cell r="M120" t="str">
            <v>VĂN</v>
          </cell>
          <cell r="N120" t="str">
            <v>LÝ</v>
          </cell>
          <cell r="O120" t="str">
            <v>TOÁN</v>
          </cell>
          <cell r="P120" t="str">
            <v>SỬ</v>
          </cell>
          <cell r="Q120">
            <v>500446</v>
          </cell>
          <cell r="R120">
            <v>500472</v>
          </cell>
          <cell r="S120" t="str">
            <v>TỔ HỢP 4 (12KT1,2,3,4)</v>
          </cell>
        </row>
        <row r="121">
          <cell r="A121">
            <v>79</v>
          </cell>
          <cell r="B121">
            <v>4</v>
          </cell>
          <cell r="C121" t="str">
            <v>A0.13</v>
          </cell>
          <cell r="D121">
            <v>27</v>
          </cell>
          <cell r="E121"/>
          <cell r="F121" t="str">
            <v>A0.13.S</v>
          </cell>
          <cell r="G121" t="str">
            <v>TH4</v>
          </cell>
          <cell r="H121" t="str">
            <v>12KT</v>
          </cell>
          <cell r="I121" t="str">
            <v>Thứ Hai (22/12)</v>
          </cell>
          <cell r="J121" t="str">
            <v>Thứ Tư (24/12)</v>
          </cell>
          <cell r="K121">
            <v>27</v>
          </cell>
          <cell r="L121">
            <v>0</v>
          </cell>
          <cell r="M121" t="str">
            <v>VĂN</v>
          </cell>
          <cell r="N121" t="str">
            <v>LÝ</v>
          </cell>
          <cell r="O121" t="str">
            <v>TOÁN</v>
          </cell>
          <cell r="P121" t="str">
            <v>SỬ</v>
          </cell>
          <cell r="Q121">
            <v>500473</v>
          </cell>
          <cell r="R121">
            <v>500499</v>
          </cell>
          <cell r="S121" t="str">
            <v>TỔ HỢP 4 (12KT1,2,3,4)</v>
          </cell>
        </row>
        <row r="122">
          <cell r="A122">
            <v>80</v>
          </cell>
          <cell r="B122">
            <v>5</v>
          </cell>
          <cell r="C122" t="str">
            <v>A1.10</v>
          </cell>
          <cell r="D122">
            <v>27</v>
          </cell>
          <cell r="E122"/>
          <cell r="F122" t="str">
            <v>A1.10.S</v>
          </cell>
          <cell r="G122" t="str">
            <v>TH4</v>
          </cell>
          <cell r="H122" t="str">
            <v>12KT</v>
          </cell>
          <cell r="I122" t="str">
            <v>Thứ Hai (22/12)</v>
          </cell>
          <cell r="J122" t="str">
            <v>Thứ Tư (24/12)</v>
          </cell>
          <cell r="K122">
            <v>27</v>
          </cell>
          <cell r="L122">
            <v>0</v>
          </cell>
          <cell r="M122" t="str">
            <v>VĂN</v>
          </cell>
          <cell r="N122" t="str">
            <v>LÝ</v>
          </cell>
          <cell r="O122" t="str">
            <v>TOÁN</v>
          </cell>
          <cell r="P122" t="str">
            <v>SỬ</v>
          </cell>
          <cell r="Q122">
            <v>500500</v>
          </cell>
          <cell r="R122">
            <v>500526</v>
          </cell>
          <cell r="S122" t="str">
            <v>TỔ HỢP 4 (12KT1,2,3,4)</v>
          </cell>
        </row>
        <row r="123">
          <cell r="A123">
            <v>81</v>
          </cell>
          <cell r="B123">
            <v>6</v>
          </cell>
          <cell r="C123" t="str">
            <v>A1.11</v>
          </cell>
          <cell r="D123">
            <v>27</v>
          </cell>
          <cell r="E123"/>
          <cell r="F123" t="str">
            <v>A1.11.S</v>
          </cell>
          <cell r="G123" t="str">
            <v>TH4</v>
          </cell>
          <cell r="H123" t="str">
            <v>12KT</v>
          </cell>
          <cell r="I123" t="str">
            <v>Thứ Hai (22/12)</v>
          </cell>
          <cell r="J123" t="str">
            <v>Thứ Tư (24/12)</v>
          </cell>
          <cell r="K123">
            <v>27</v>
          </cell>
          <cell r="L123">
            <v>0</v>
          </cell>
          <cell r="M123" t="str">
            <v>VĂN</v>
          </cell>
          <cell r="N123" t="str">
            <v>LÝ</v>
          </cell>
          <cell r="O123" t="str">
            <v>TOÁN</v>
          </cell>
          <cell r="P123" t="str">
            <v>SỬ</v>
          </cell>
          <cell r="Q123">
            <v>500527</v>
          </cell>
          <cell r="R123">
            <v>500553</v>
          </cell>
          <cell r="S123" t="str">
            <v>TỔ HỢP 4 (12KT1,2,3,4)</v>
          </cell>
        </row>
        <row r="124">
          <cell r="A124">
            <v>82</v>
          </cell>
          <cell r="B124">
            <v>7</v>
          </cell>
          <cell r="C124" t="str">
            <v>A1.12</v>
          </cell>
          <cell r="D124">
            <v>26</v>
          </cell>
          <cell r="E124"/>
          <cell r="F124" t="str">
            <v>A1.12.S</v>
          </cell>
          <cell r="G124" t="str">
            <v>TH4</v>
          </cell>
          <cell r="H124" t="str">
            <v>12KT</v>
          </cell>
          <cell r="I124" t="str">
            <v>Thứ Hai (22/12)</v>
          </cell>
          <cell r="J124" t="str">
            <v>Thứ Tư (24/12)</v>
          </cell>
          <cell r="K124">
            <v>26</v>
          </cell>
          <cell r="L124">
            <v>0</v>
          </cell>
          <cell r="M124" t="str">
            <v>VĂN</v>
          </cell>
          <cell r="N124" t="str">
            <v>LÝ</v>
          </cell>
          <cell r="O124" t="str">
            <v>TOÁN</v>
          </cell>
          <cell r="P124" t="str">
            <v>SỬ</v>
          </cell>
          <cell r="Q124">
            <v>500554</v>
          </cell>
          <cell r="R124">
            <v>500579</v>
          </cell>
          <cell r="S124" t="str">
            <v>TỔ HỢP 4 (12KT1,2,3,4)</v>
          </cell>
        </row>
        <row r="125">
          <cell r="A125" t="str">
            <v/>
          </cell>
          <cell r="B125" t="str">
            <v>KHỐI 10VH</v>
          </cell>
          <cell r="C125" t="str">
            <v>10 phòng</v>
          </cell>
          <cell r="D125">
            <v>242</v>
          </cell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</row>
        <row r="126">
          <cell r="A126" t="str">
            <v/>
          </cell>
          <cell r="B126" t="str">
            <v>TỔ HỢP 4 (10VH1,2)</v>
          </cell>
          <cell r="C126"/>
          <cell r="D126">
            <v>97</v>
          </cell>
          <cell r="E126"/>
          <cell r="F126"/>
          <cell r="G126"/>
          <cell r="H126"/>
          <cell r="I126"/>
          <cell r="J126"/>
          <cell r="K126">
            <v>94</v>
          </cell>
          <cell r="L126"/>
          <cell r="M126" t="str">
            <v>VĂN</v>
          </cell>
          <cell r="N126" t="str">
            <v>LÝ</v>
          </cell>
          <cell r="O126" t="str">
            <v>TOÁN</v>
          </cell>
          <cell r="P126" t="str">
            <v>SỬ</v>
          </cell>
          <cell r="Q126"/>
          <cell r="R126"/>
          <cell r="S126"/>
        </row>
        <row r="127">
          <cell r="A127">
            <v>83</v>
          </cell>
          <cell r="B127">
            <v>1</v>
          </cell>
          <cell r="C127">
            <v>202</v>
          </cell>
          <cell r="D127">
            <v>25</v>
          </cell>
          <cell r="E127" t="str">
            <v>02.HN</v>
          </cell>
          <cell r="F127" t="str">
            <v>202.C</v>
          </cell>
          <cell r="G127" t="str">
            <v>TH4</v>
          </cell>
          <cell r="H127" t="str">
            <v>10VH</v>
          </cell>
          <cell r="I127" t="str">
            <v>Thứ Hai (22/12)</v>
          </cell>
          <cell r="J127" t="str">
            <v>Thứ Tư (24/12)</v>
          </cell>
          <cell r="K127">
            <v>24</v>
          </cell>
          <cell r="L127">
            <v>1</v>
          </cell>
          <cell r="M127" t="str">
            <v>VĂN</v>
          </cell>
          <cell r="N127" t="str">
            <v>LÝ</v>
          </cell>
          <cell r="O127" t="str">
            <v>TOÁN</v>
          </cell>
          <cell r="P127" t="str">
            <v>SỬ</v>
          </cell>
          <cell r="Q127">
            <v>400001</v>
          </cell>
          <cell r="R127">
            <v>400024</v>
          </cell>
          <cell r="S127" t="str">
            <v>TỔ HỢP 4 (10VH1,2)</v>
          </cell>
        </row>
        <row r="128">
          <cell r="A128">
            <v>84</v>
          </cell>
          <cell r="B128">
            <v>2</v>
          </cell>
          <cell r="C128">
            <v>203</v>
          </cell>
          <cell r="D128">
            <v>24</v>
          </cell>
          <cell r="E128"/>
          <cell r="F128" t="str">
            <v>203.C</v>
          </cell>
          <cell r="G128" t="str">
            <v>TH4</v>
          </cell>
          <cell r="H128" t="str">
            <v>10VH</v>
          </cell>
          <cell r="I128" t="str">
            <v>Thứ Hai (22/12)</v>
          </cell>
          <cell r="J128" t="str">
            <v>Thứ Tư (24/12)</v>
          </cell>
          <cell r="K128">
            <v>24</v>
          </cell>
          <cell r="L128">
            <v>0</v>
          </cell>
          <cell r="M128" t="str">
            <v>VĂN</v>
          </cell>
          <cell r="N128" t="str">
            <v>LÝ</v>
          </cell>
          <cell r="O128" t="str">
            <v>TOÁN</v>
          </cell>
          <cell r="P128" t="str">
            <v>SỬ</v>
          </cell>
          <cell r="Q128">
            <v>400025</v>
          </cell>
          <cell r="R128">
            <v>400048</v>
          </cell>
          <cell r="S128" t="str">
            <v>TỔ HỢP 4 (10VH1,2)</v>
          </cell>
        </row>
        <row r="129">
          <cell r="A129">
            <v>85</v>
          </cell>
          <cell r="B129">
            <v>3</v>
          </cell>
          <cell r="C129">
            <v>204</v>
          </cell>
          <cell r="D129">
            <v>24</v>
          </cell>
          <cell r="E129"/>
          <cell r="F129" t="str">
            <v>204.C</v>
          </cell>
          <cell r="G129" t="str">
            <v>TH4</v>
          </cell>
          <cell r="H129" t="str">
            <v>10VH</v>
          </cell>
          <cell r="I129" t="str">
            <v>Thứ Hai (22/12)</v>
          </cell>
          <cell r="J129" t="str">
            <v>Thứ Tư (24/12)</v>
          </cell>
          <cell r="K129">
            <v>23</v>
          </cell>
          <cell r="L129">
            <v>1</v>
          </cell>
          <cell r="M129" t="str">
            <v>VĂN</v>
          </cell>
          <cell r="N129" t="str">
            <v>LÝ</v>
          </cell>
          <cell r="O129" t="str">
            <v>TOÁN</v>
          </cell>
          <cell r="P129" t="str">
            <v>SỬ</v>
          </cell>
          <cell r="Q129">
            <v>400049</v>
          </cell>
          <cell r="R129">
            <v>400071</v>
          </cell>
          <cell r="S129" t="str">
            <v>TỔ HỢP 4 (10VH1,2)</v>
          </cell>
        </row>
        <row r="130">
          <cell r="A130">
            <v>86</v>
          </cell>
          <cell r="B130">
            <v>4</v>
          </cell>
          <cell r="C130">
            <v>205</v>
          </cell>
          <cell r="D130">
            <v>24</v>
          </cell>
          <cell r="E130"/>
          <cell r="F130" t="str">
            <v>205.C</v>
          </cell>
          <cell r="G130" t="str">
            <v>TH4</v>
          </cell>
          <cell r="H130" t="str">
            <v>10VH</v>
          </cell>
          <cell r="I130" t="str">
            <v>Thứ Hai (22/12)</v>
          </cell>
          <cell r="J130" t="str">
            <v>Thứ Tư (24/12)</v>
          </cell>
          <cell r="K130">
            <v>23</v>
          </cell>
          <cell r="L130">
            <v>1</v>
          </cell>
          <cell r="M130" t="str">
            <v>VĂN</v>
          </cell>
          <cell r="N130" t="str">
            <v>LÝ</v>
          </cell>
          <cell r="O130" t="str">
            <v>TOÁN</v>
          </cell>
          <cell r="P130" t="str">
            <v>SỬ</v>
          </cell>
          <cell r="Q130">
            <v>400072</v>
          </cell>
          <cell r="R130">
            <v>400094</v>
          </cell>
          <cell r="S130" t="str">
            <v>TỔ HỢP 4 (10VH1,2)</v>
          </cell>
        </row>
        <row r="131">
          <cell r="A131" t="str">
            <v/>
          </cell>
          <cell r="B131" t="str">
            <v>TỔ HỢP 5 (10VH3,4,5)</v>
          </cell>
          <cell r="C131"/>
          <cell r="D131">
            <v>145</v>
          </cell>
          <cell r="E131"/>
          <cell r="F131"/>
          <cell r="G131"/>
          <cell r="H131"/>
          <cell r="I131"/>
          <cell r="J131"/>
          <cell r="K131">
            <v>142</v>
          </cell>
          <cell r="L131"/>
          <cell r="M131" t="str">
            <v>VĂN</v>
          </cell>
          <cell r="N131" t="str">
            <v>KT-PL</v>
          </cell>
          <cell r="O131" t="str">
            <v>TOÁN</v>
          </cell>
          <cell r="P131" t="str">
            <v>SỬ</v>
          </cell>
          <cell r="Q131"/>
          <cell r="R131"/>
          <cell r="S131"/>
        </row>
        <row r="132">
          <cell r="A132">
            <v>87</v>
          </cell>
          <cell r="B132">
            <v>1</v>
          </cell>
          <cell r="C132">
            <v>206</v>
          </cell>
          <cell r="D132">
            <v>25</v>
          </cell>
          <cell r="E132" t="str">
            <v>01.HN</v>
          </cell>
          <cell r="F132" t="str">
            <v>206.C</v>
          </cell>
          <cell r="G132" t="str">
            <v>TH5</v>
          </cell>
          <cell r="H132" t="str">
            <v>10VH</v>
          </cell>
          <cell r="I132" t="str">
            <v>Thứ Hai (22/12)</v>
          </cell>
          <cell r="J132" t="str">
            <v>Thứ Tư (24/12)</v>
          </cell>
          <cell r="K132">
            <v>24</v>
          </cell>
          <cell r="L132">
            <v>1</v>
          </cell>
          <cell r="M132" t="str">
            <v>VĂN</v>
          </cell>
          <cell r="N132" t="str">
            <v>KT-PL</v>
          </cell>
          <cell r="O132" t="str">
            <v>TOÁN</v>
          </cell>
          <cell r="P132" t="str">
            <v>SỬ</v>
          </cell>
          <cell r="Q132">
            <v>400095</v>
          </cell>
          <cell r="R132">
            <v>400118</v>
          </cell>
          <cell r="S132" t="str">
            <v>TỔ HỢP 5 (10VH3,4,5)</v>
          </cell>
        </row>
        <row r="133">
          <cell r="A133">
            <v>88</v>
          </cell>
          <cell r="B133">
            <v>2</v>
          </cell>
          <cell r="C133">
            <v>302</v>
          </cell>
          <cell r="D133">
            <v>24</v>
          </cell>
          <cell r="E133"/>
          <cell r="F133" t="str">
            <v>302.C</v>
          </cell>
          <cell r="G133" t="str">
            <v>TH5</v>
          </cell>
          <cell r="H133" t="str">
            <v>10VH</v>
          </cell>
          <cell r="I133" t="str">
            <v>Thứ Hai (22/12)</v>
          </cell>
          <cell r="J133" t="str">
            <v>Thứ Tư (24/12)</v>
          </cell>
          <cell r="K133">
            <v>24</v>
          </cell>
          <cell r="L133">
            <v>0</v>
          </cell>
          <cell r="M133" t="str">
            <v>VĂN</v>
          </cell>
          <cell r="N133" t="str">
            <v>KT-PL</v>
          </cell>
          <cell r="O133" t="str">
            <v>TOÁN</v>
          </cell>
          <cell r="P133" t="str">
            <v>SỬ</v>
          </cell>
          <cell r="Q133">
            <v>400119</v>
          </cell>
          <cell r="R133">
            <v>400142</v>
          </cell>
          <cell r="S133" t="str">
            <v>TỔ HỢP 5 (10VH3,4,5)</v>
          </cell>
        </row>
        <row r="134">
          <cell r="A134">
            <v>89</v>
          </cell>
          <cell r="B134">
            <v>3</v>
          </cell>
          <cell r="C134">
            <v>303</v>
          </cell>
          <cell r="D134">
            <v>24</v>
          </cell>
          <cell r="E134"/>
          <cell r="F134" t="str">
            <v>303.C</v>
          </cell>
          <cell r="G134" t="str">
            <v>TH5</v>
          </cell>
          <cell r="H134" t="str">
            <v>10VH</v>
          </cell>
          <cell r="I134" t="str">
            <v>Thứ Hai (22/12)</v>
          </cell>
          <cell r="J134" t="str">
            <v>Thứ Tư (24/12)</v>
          </cell>
          <cell r="K134">
            <v>24</v>
          </cell>
          <cell r="L134">
            <v>0</v>
          </cell>
          <cell r="M134" t="str">
            <v>VĂN</v>
          </cell>
          <cell r="N134" t="str">
            <v>KT-PL</v>
          </cell>
          <cell r="O134" t="str">
            <v>TOÁN</v>
          </cell>
          <cell r="P134" t="str">
            <v>SỬ</v>
          </cell>
          <cell r="Q134">
            <v>400143</v>
          </cell>
          <cell r="R134">
            <v>400166</v>
          </cell>
          <cell r="S134" t="str">
            <v>TỔ HỢP 5 (10VH3,4,5)</v>
          </cell>
        </row>
        <row r="135">
          <cell r="A135">
            <v>90</v>
          </cell>
          <cell r="B135">
            <v>4</v>
          </cell>
          <cell r="C135">
            <v>304</v>
          </cell>
          <cell r="D135">
            <v>24</v>
          </cell>
          <cell r="E135"/>
          <cell r="F135" t="str">
            <v>304.C</v>
          </cell>
          <cell r="G135" t="str">
            <v>TH5</v>
          </cell>
          <cell r="H135" t="str">
            <v>10VH</v>
          </cell>
          <cell r="I135" t="str">
            <v>Thứ Hai (22/12)</v>
          </cell>
          <cell r="J135" t="str">
            <v>Thứ Tư (24/12)</v>
          </cell>
          <cell r="K135">
            <v>24</v>
          </cell>
          <cell r="L135">
            <v>0</v>
          </cell>
          <cell r="M135" t="str">
            <v>VĂN</v>
          </cell>
          <cell r="N135" t="str">
            <v>KT-PL</v>
          </cell>
          <cell r="O135" t="str">
            <v>TOÁN</v>
          </cell>
          <cell r="P135" t="str">
            <v>SỬ</v>
          </cell>
          <cell r="Q135">
            <v>400167</v>
          </cell>
          <cell r="R135">
            <v>400190</v>
          </cell>
          <cell r="S135" t="str">
            <v>TỔ HỢP 5 (10VH3,4,5)</v>
          </cell>
        </row>
        <row r="136">
          <cell r="A136">
            <v>91</v>
          </cell>
          <cell r="B136">
            <v>5</v>
          </cell>
          <cell r="C136">
            <v>305</v>
          </cell>
          <cell r="D136">
            <v>24</v>
          </cell>
          <cell r="E136"/>
          <cell r="F136" t="str">
            <v>305.C</v>
          </cell>
          <cell r="G136" t="str">
            <v>TH5</v>
          </cell>
          <cell r="H136" t="str">
            <v>10VH</v>
          </cell>
          <cell r="I136" t="str">
            <v>Thứ Hai (22/12)</v>
          </cell>
          <cell r="J136" t="str">
            <v>Thứ Tư (24/12)</v>
          </cell>
          <cell r="K136">
            <v>23</v>
          </cell>
          <cell r="L136">
            <v>1</v>
          </cell>
          <cell r="M136" t="str">
            <v>VĂN</v>
          </cell>
          <cell r="N136" t="str">
            <v>KT-PL</v>
          </cell>
          <cell r="O136" t="str">
            <v>TOÁN</v>
          </cell>
          <cell r="P136" t="str">
            <v>SỬ</v>
          </cell>
          <cell r="Q136">
            <v>400191</v>
          </cell>
          <cell r="R136">
            <v>400213</v>
          </cell>
          <cell r="S136" t="str">
            <v>TỔ HỢP 5 (10VH3,4,5)</v>
          </cell>
        </row>
        <row r="137">
          <cell r="A137">
            <v>92</v>
          </cell>
          <cell r="B137">
            <v>6</v>
          </cell>
          <cell r="C137">
            <v>306</v>
          </cell>
          <cell r="D137">
            <v>24</v>
          </cell>
          <cell r="E137"/>
          <cell r="F137" t="str">
            <v>306.C</v>
          </cell>
          <cell r="G137" t="str">
            <v>TH5</v>
          </cell>
          <cell r="H137" t="str">
            <v>10VH</v>
          </cell>
          <cell r="I137" t="str">
            <v>Thứ Hai (22/12)</v>
          </cell>
          <cell r="J137" t="str">
            <v>Thứ Tư (24/12)</v>
          </cell>
          <cell r="K137">
            <v>23</v>
          </cell>
          <cell r="L137">
            <v>1</v>
          </cell>
          <cell r="M137" t="str">
            <v>VĂN</v>
          </cell>
          <cell r="N137" t="str">
            <v>KT-PL</v>
          </cell>
          <cell r="O137" t="str">
            <v>TOÁN</v>
          </cell>
          <cell r="P137" t="str">
            <v>SỬ</v>
          </cell>
          <cell r="Q137">
            <v>400214</v>
          </cell>
          <cell r="R137">
            <v>400236</v>
          </cell>
          <cell r="S137" t="str">
            <v>TỔ HỢP 5 (10VH3,4,5)</v>
          </cell>
        </row>
        <row r="138">
          <cell r="A138" t="str">
            <v/>
          </cell>
          <cell r="B138" t="str">
            <v>KHỐI 11VH</v>
          </cell>
          <cell r="C138" t="str">
            <v>10 phòng</v>
          </cell>
          <cell r="D138">
            <v>259</v>
          </cell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A139" t="str">
            <v/>
          </cell>
          <cell r="B139" t="str">
            <v>TỔ HỢP 4 (11VH1,2)</v>
          </cell>
          <cell r="C139"/>
          <cell r="D139">
            <v>111</v>
          </cell>
          <cell r="E139"/>
          <cell r="F139"/>
          <cell r="G139"/>
          <cell r="H139"/>
          <cell r="I139"/>
          <cell r="J139"/>
          <cell r="K139">
            <v>111</v>
          </cell>
          <cell r="L139"/>
          <cell r="M139" t="str">
            <v>VĂN</v>
          </cell>
          <cell r="N139" t="str">
            <v>LÝ</v>
          </cell>
          <cell r="O139" t="str">
            <v>TOÁN</v>
          </cell>
          <cell r="P139" t="str">
            <v>SỬ</v>
          </cell>
          <cell r="Q139"/>
          <cell r="R139"/>
          <cell r="S139"/>
        </row>
        <row r="140">
          <cell r="A140">
            <v>93</v>
          </cell>
          <cell r="B140">
            <v>1</v>
          </cell>
          <cell r="C140">
            <v>202</v>
          </cell>
          <cell r="D140">
            <v>28</v>
          </cell>
          <cell r="E140" t="str">
            <v>01.HN</v>
          </cell>
          <cell r="F140" t="str">
            <v>202.C</v>
          </cell>
          <cell r="G140" t="str">
            <v>TH4</v>
          </cell>
          <cell r="H140" t="str">
            <v>11VH</v>
          </cell>
          <cell r="I140" t="str">
            <v>Thứ Ba (23/12)</v>
          </cell>
          <cell r="J140" t="str">
            <v>Thứ Năm (25/12)</v>
          </cell>
          <cell r="K140">
            <v>28</v>
          </cell>
          <cell r="L140">
            <v>0</v>
          </cell>
          <cell r="M140" t="str">
            <v>VĂN</v>
          </cell>
          <cell r="N140" t="str">
            <v>LÝ</v>
          </cell>
          <cell r="O140" t="str">
            <v>TOÁN</v>
          </cell>
          <cell r="P140" t="str">
            <v>SỬ</v>
          </cell>
          <cell r="Q140">
            <v>400237</v>
          </cell>
          <cell r="R140">
            <v>400264</v>
          </cell>
          <cell r="S140" t="str">
            <v>TỔ HỢP 4 (11VH1,2)</v>
          </cell>
        </row>
        <row r="141">
          <cell r="A141">
            <v>94</v>
          </cell>
          <cell r="B141">
            <v>2</v>
          </cell>
          <cell r="C141">
            <v>203</v>
          </cell>
          <cell r="D141">
            <v>28</v>
          </cell>
          <cell r="E141"/>
          <cell r="F141" t="str">
            <v>203.C</v>
          </cell>
          <cell r="G141" t="str">
            <v>TH4</v>
          </cell>
          <cell r="H141" t="str">
            <v>11VH</v>
          </cell>
          <cell r="I141" t="str">
            <v>Thứ Ba (23/12)</v>
          </cell>
          <cell r="J141" t="str">
            <v>Thứ Năm (25/12)</v>
          </cell>
          <cell r="K141">
            <v>28</v>
          </cell>
          <cell r="L141">
            <v>0</v>
          </cell>
          <cell r="M141" t="str">
            <v>VĂN</v>
          </cell>
          <cell r="N141" t="str">
            <v>LÝ</v>
          </cell>
          <cell r="O141" t="str">
            <v>TOÁN</v>
          </cell>
          <cell r="P141" t="str">
            <v>SỬ</v>
          </cell>
          <cell r="Q141">
            <v>400265</v>
          </cell>
          <cell r="R141">
            <v>400292</v>
          </cell>
          <cell r="S141" t="str">
            <v>TỔ HỢP 4 (11VH1,2)</v>
          </cell>
        </row>
        <row r="142">
          <cell r="A142">
            <v>95</v>
          </cell>
          <cell r="B142">
            <v>3</v>
          </cell>
          <cell r="C142">
            <v>204</v>
          </cell>
          <cell r="D142">
            <v>28</v>
          </cell>
          <cell r="E142"/>
          <cell r="F142" t="str">
            <v>204.C</v>
          </cell>
          <cell r="G142" t="str">
            <v>TH4</v>
          </cell>
          <cell r="H142" t="str">
            <v>11VH</v>
          </cell>
          <cell r="I142" t="str">
            <v>Thứ Ba (23/12)</v>
          </cell>
          <cell r="J142" t="str">
            <v>Thứ Năm (25/12)</v>
          </cell>
          <cell r="K142">
            <v>28</v>
          </cell>
          <cell r="L142">
            <v>0</v>
          </cell>
          <cell r="M142" t="str">
            <v>VĂN</v>
          </cell>
          <cell r="N142" t="str">
            <v>LÝ</v>
          </cell>
          <cell r="O142" t="str">
            <v>TOÁN</v>
          </cell>
          <cell r="P142" t="str">
            <v>SỬ</v>
          </cell>
          <cell r="Q142">
            <v>400293</v>
          </cell>
          <cell r="R142">
            <v>400320</v>
          </cell>
          <cell r="S142" t="str">
            <v>TỔ HỢP 4 (11VH1,2)</v>
          </cell>
        </row>
        <row r="143">
          <cell r="A143">
            <v>96</v>
          </cell>
          <cell r="B143">
            <v>4</v>
          </cell>
          <cell r="C143">
            <v>205</v>
          </cell>
          <cell r="D143">
            <v>27</v>
          </cell>
          <cell r="E143"/>
          <cell r="F143" t="str">
            <v>205.C</v>
          </cell>
          <cell r="G143" t="str">
            <v>TH4</v>
          </cell>
          <cell r="H143" t="str">
            <v>11VH</v>
          </cell>
          <cell r="I143" t="str">
            <v>Thứ Ba (23/12)</v>
          </cell>
          <cell r="J143" t="str">
            <v>Thứ Năm (25/12)</v>
          </cell>
          <cell r="K143">
            <v>27</v>
          </cell>
          <cell r="L143">
            <v>0</v>
          </cell>
          <cell r="M143" t="str">
            <v>VĂN</v>
          </cell>
          <cell r="N143" t="str">
            <v>LÝ</v>
          </cell>
          <cell r="O143" t="str">
            <v>TOÁN</v>
          </cell>
          <cell r="P143" t="str">
            <v>SỬ</v>
          </cell>
          <cell r="Q143">
            <v>400321</v>
          </cell>
          <cell r="R143">
            <v>400347</v>
          </cell>
          <cell r="S143" t="str">
            <v>TỔ HỢP 4 (11VH1,2)</v>
          </cell>
        </row>
        <row r="144">
          <cell r="A144" t="str">
            <v/>
          </cell>
          <cell r="B144" t="str">
            <v>TỔ HỢP 5 (11VH3,4,5)</v>
          </cell>
          <cell r="C144"/>
          <cell r="D144">
            <v>148</v>
          </cell>
          <cell r="E144"/>
          <cell r="F144"/>
          <cell r="G144"/>
          <cell r="H144"/>
          <cell r="I144"/>
          <cell r="J144"/>
          <cell r="K144">
            <v>148</v>
          </cell>
          <cell r="L144"/>
          <cell r="M144" t="str">
            <v>VĂN</v>
          </cell>
          <cell r="N144" t="str">
            <v>KT-PL</v>
          </cell>
          <cell r="O144" t="str">
            <v>TOÁN</v>
          </cell>
          <cell r="P144" t="str">
            <v>SỬ</v>
          </cell>
          <cell r="Q144"/>
          <cell r="R144"/>
          <cell r="S144"/>
        </row>
        <row r="145">
          <cell r="A145">
            <v>97</v>
          </cell>
          <cell r="B145">
            <v>1</v>
          </cell>
          <cell r="C145">
            <v>206</v>
          </cell>
          <cell r="D145">
            <v>25</v>
          </cell>
          <cell r="E145" t="str">
            <v>02.HN</v>
          </cell>
          <cell r="F145" t="str">
            <v>206.C</v>
          </cell>
          <cell r="G145" t="str">
            <v>TH5</v>
          </cell>
          <cell r="H145" t="str">
            <v>11VH</v>
          </cell>
          <cell r="I145" t="str">
            <v>Thứ Ba (23/12)</v>
          </cell>
          <cell r="J145" t="str">
            <v>Thứ Năm (25/12)</v>
          </cell>
          <cell r="K145">
            <v>25</v>
          </cell>
          <cell r="L145">
            <v>0</v>
          </cell>
          <cell r="M145" t="str">
            <v>VĂN</v>
          </cell>
          <cell r="N145" t="str">
            <v>KT-PL</v>
          </cell>
          <cell r="O145" t="str">
            <v>TOÁN</v>
          </cell>
          <cell r="P145" t="str">
            <v>SỬ</v>
          </cell>
          <cell r="Q145">
            <v>400348</v>
          </cell>
          <cell r="R145">
            <v>400372</v>
          </cell>
          <cell r="S145" t="str">
            <v>TỔ HỢP 5 (11VH3,4,5)</v>
          </cell>
        </row>
        <row r="146">
          <cell r="A146">
            <v>98</v>
          </cell>
          <cell r="B146">
            <v>2</v>
          </cell>
          <cell r="C146">
            <v>302</v>
          </cell>
          <cell r="D146">
            <v>25</v>
          </cell>
          <cell r="E146"/>
          <cell r="F146" t="str">
            <v>302.C</v>
          </cell>
          <cell r="G146" t="str">
            <v>TH5</v>
          </cell>
          <cell r="H146" t="str">
            <v>11VH</v>
          </cell>
          <cell r="I146" t="str">
            <v>Thứ Ba (23/12)</v>
          </cell>
          <cell r="J146" t="str">
            <v>Thứ Năm (25/12)</v>
          </cell>
          <cell r="K146">
            <v>25</v>
          </cell>
          <cell r="L146">
            <v>0</v>
          </cell>
          <cell r="M146" t="str">
            <v>VĂN</v>
          </cell>
          <cell r="N146" t="str">
            <v>KT-PL</v>
          </cell>
          <cell r="O146" t="str">
            <v>TOÁN</v>
          </cell>
          <cell r="P146" t="str">
            <v>SỬ</v>
          </cell>
          <cell r="Q146">
            <v>400373</v>
          </cell>
          <cell r="R146">
            <v>400397</v>
          </cell>
          <cell r="S146" t="str">
            <v>TỔ HỢP 5 (11VH3,4,5)</v>
          </cell>
        </row>
        <row r="147">
          <cell r="A147">
            <v>99</v>
          </cell>
          <cell r="B147">
            <v>3</v>
          </cell>
          <cell r="C147">
            <v>303</v>
          </cell>
          <cell r="D147">
            <v>25</v>
          </cell>
          <cell r="E147"/>
          <cell r="F147" t="str">
            <v>303.C</v>
          </cell>
          <cell r="G147" t="str">
            <v>TH5</v>
          </cell>
          <cell r="H147" t="str">
            <v>11VH</v>
          </cell>
          <cell r="I147" t="str">
            <v>Thứ Ba (23/12)</v>
          </cell>
          <cell r="J147" t="str">
            <v>Thứ Năm (25/12)</v>
          </cell>
          <cell r="K147">
            <v>25</v>
          </cell>
          <cell r="L147">
            <v>0</v>
          </cell>
          <cell r="M147" t="str">
            <v>VĂN</v>
          </cell>
          <cell r="N147" t="str">
            <v>KT-PL</v>
          </cell>
          <cell r="O147" t="str">
            <v>TOÁN</v>
          </cell>
          <cell r="P147" t="str">
            <v>SỬ</v>
          </cell>
          <cell r="Q147">
            <v>400398</v>
          </cell>
          <cell r="R147">
            <v>400422</v>
          </cell>
          <cell r="S147" t="str">
            <v>TỔ HỢP 5 (11VH3,4,5)</v>
          </cell>
        </row>
        <row r="148">
          <cell r="A148">
            <v>100</v>
          </cell>
          <cell r="B148">
            <v>4</v>
          </cell>
          <cell r="C148">
            <v>304</v>
          </cell>
          <cell r="D148">
            <v>25</v>
          </cell>
          <cell r="E148"/>
          <cell r="F148" t="str">
            <v>304.C</v>
          </cell>
          <cell r="G148" t="str">
            <v>TH5</v>
          </cell>
          <cell r="H148" t="str">
            <v>11VH</v>
          </cell>
          <cell r="I148" t="str">
            <v>Thứ Ba (23/12)</v>
          </cell>
          <cell r="J148" t="str">
            <v>Thứ Năm (25/12)</v>
          </cell>
          <cell r="K148">
            <v>25</v>
          </cell>
          <cell r="L148">
            <v>0</v>
          </cell>
          <cell r="M148" t="str">
            <v>VĂN</v>
          </cell>
          <cell r="N148" t="str">
            <v>KT-PL</v>
          </cell>
          <cell r="O148" t="str">
            <v>TOÁN</v>
          </cell>
          <cell r="P148" t="str">
            <v>SỬ</v>
          </cell>
          <cell r="Q148">
            <v>400423</v>
          </cell>
          <cell r="R148">
            <v>400447</v>
          </cell>
          <cell r="S148" t="str">
            <v>TỔ HỢP 5 (11VH3,4,5)</v>
          </cell>
        </row>
        <row r="149">
          <cell r="A149">
            <v>101</v>
          </cell>
          <cell r="B149">
            <v>5</v>
          </cell>
          <cell r="C149">
            <v>305</v>
          </cell>
          <cell r="D149">
            <v>24</v>
          </cell>
          <cell r="E149"/>
          <cell r="F149" t="str">
            <v>305.C</v>
          </cell>
          <cell r="G149" t="str">
            <v>TH5</v>
          </cell>
          <cell r="H149" t="str">
            <v>11VH</v>
          </cell>
          <cell r="I149" t="str">
            <v>Thứ Ba (23/12)</v>
          </cell>
          <cell r="J149" t="str">
            <v>Thứ Năm (25/12)</v>
          </cell>
          <cell r="K149">
            <v>24</v>
          </cell>
          <cell r="L149">
            <v>0</v>
          </cell>
          <cell r="M149" t="str">
            <v>VĂN</v>
          </cell>
          <cell r="N149" t="str">
            <v>KT-PL</v>
          </cell>
          <cell r="O149" t="str">
            <v>TOÁN</v>
          </cell>
          <cell r="P149" t="str">
            <v>SỬ</v>
          </cell>
          <cell r="Q149">
            <v>400448</v>
          </cell>
          <cell r="R149">
            <v>400471</v>
          </cell>
          <cell r="S149" t="str">
            <v>TỔ HỢP 5 (11VH3,4,5)</v>
          </cell>
        </row>
        <row r="150">
          <cell r="A150">
            <v>102</v>
          </cell>
          <cell r="B150">
            <v>6</v>
          </cell>
          <cell r="C150">
            <v>306</v>
          </cell>
          <cell r="D150">
            <v>24</v>
          </cell>
          <cell r="E150"/>
          <cell r="F150" t="str">
            <v>306.C</v>
          </cell>
          <cell r="G150" t="str">
            <v>TH5</v>
          </cell>
          <cell r="H150" t="str">
            <v>11VH</v>
          </cell>
          <cell r="I150" t="str">
            <v>Thứ Ba (23/12)</v>
          </cell>
          <cell r="J150" t="str">
            <v>Thứ Năm (25/12)</v>
          </cell>
          <cell r="K150">
            <v>24</v>
          </cell>
          <cell r="L150">
            <v>0</v>
          </cell>
          <cell r="M150" t="str">
            <v>VĂN</v>
          </cell>
          <cell r="N150" t="str">
            <v>KT-PL</v>
          </cell>
          <cell r="O150" t="str">
            <v>TOÁN</v>
          </cell>
          <cell r="P150" t="str">
            <v>SỬ</v>
          </cell>
          <cell r="Q150">
            <v>400472</v>
          </cell>
          <cell r="R150">
            <v>400495</v>
          </cell>
          <cell r="S150" t="str">
            <v>TỔ HỢP 5 (11VH3,4,5)</v>
          </cell>
        </row>
        <row r="151">
          <cell r="A151" t="str">
            <v/>
          </cell>
          <cell r="B151" t="str">
            <v>KHỐI 12VH</v>
          </cell>
          <cell r="C151" t="str">
            <v>12 phòng</v>
          </cell>
          <cell r="D151">
            <v>299</v>
          </cell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A152" t="str">
            <v/>
          </cell>
          <cell r="B152" t="str">
            <v>TỔ HỢP 4 (12VH1,2,3)</v>
          </cell>
          <cell r="C152"/>
          <cell r="D152">
            <v>132</v>
          </cell>
          <cell r="E152"/>
          <cell r="F152"/>
          <cell r="G152"/>
          <cell r="H152"/>
          <cell r="I152"/>
          <cell r="J152"/>
          <cell r="K152">
            <v>131</v>
          </cell>
          <cell r="L152"/>
          <cell r="M152" t="str">
            <v>VĂN</v>
          </cell>
          <cell r="N152" t="str">
            <v>LÝ</v>
          </cell>
          <cell r="O152" t="str">
            <v>TOÁN</v>
          </cell>
          <cell r="P152" t="str">
            <v>SỬ</v>
          </cell>
          <cell r="Q152"/>
          <cell r="R152"/>
          <cell r="S152"/>
        </row>
        <row r="153">
          <cell r="A153">
            <v>103</v>
          </cell>
          <cell r="B153">
            <v>1</v>
          </cell>
          <cell r="C153">
            <v>202</v>
          </cell>
          <cell r="D153">
            <v>27</v>
          </cell>
          <cell r="E153"/>
          <cell r="F153" t="str">
            <v>202.T</v>
          </cell>
          <cell r="G153" t="str">
            <v>TH4</v>
          </cell>
          <cell r="H153" t="str">
            <v>12VH</v>
          </cell>
          <cell r="I153" t="str">
            <v>Thứ Hai (22/12)</v>
          </cell>
          <cell r="J153" t="str">
            <v>Thứ Ba (23/12)</v>
          </cell>
          <cell r="K153">
            <v>27</v>
          </cell>
          <cell r="L153">
            <v>0</v>
          </cell>
          <cell r="M153" t="str">
            <v>VĂN</v>
          </cell>
          <cell r="N153" t="str">
            <v>LÝ</v>
          </cell>
          <cell r="O153" t="str">
            <v>TOÁN</v>
          </cell>
          <cell r="P153" t="str">
            <v>SỬ</v>
          </cell>
          <cell r="Q153">
            <v>400496</v>
          </cell>
          <cell r="R153">
            <v>400522</v>
          </cell>
          <cell r="S153" t="str">
            <v>TỔ HỢP 4 (12VH1,2,3)</v>
          </cell>
        </row>
        <row r="154">
          <cell r="A154">
            <v>104</v>
          </cell>
          <cell r="B154">
            <v>2</v>
          </cell>
          <cell r="C154">
            <v>203</v>
          </cell>
          <cell r="D154">
            <v>27</v>
          </cell>
          <cell r="E154"/>
          <cell r="F154" t="str">
            <v>203.T</v>
          </cell>
          <cell r="G154" t="str">
            <v>TH4</v>
          </cell>
          <cell r="H154" t="str">
            <v>12VH</v>
          </cell>
          <cell r="I154" t="str">
            <v>Thứ Hai (22/12)</v>
          </cell>
          <cell r="J154" t="str">
            <v>Thứ Ba (23/12)</v>
          </cell>
          <cell r="K154">
            <v>26</v>
          </cell>
          <cell r="L154">
            <v>1</v>
          </cell>
          <cell r="M154" t="str">
            <v>VĂN</v>
          </cell>
          <cell r="N154" t="str">
            <v>LÝ</v>
          </cell>
          <cell r="O154" t="str">
            <v>TOÁN</v>
          </cell>
          <cell r="P154" t="str">
            <v>SỬ</v>
          </cell>
          <cell r="Q154">
            <v>400523</v>
          </cell>
          <cell r="R154">
            <v>400548</v>
          </cell>
          <cell r="S154" t="str">
            <v>TỔ HỢP 4 (12VH1,2,3)</v>
          </cell>
        </row>
        <row r="155">
          <cell r="A155">
            <v>105</v>
          </cell>
          <cell r="B155">
            <v>3</v>
          </cell>
          <cell r="C155">
            <v>204</v>
          </cell>
          <cell r="D155">
            <v>26</v>
          </cell>
          <cell r="E155"/>
          <cell r="F155" t="str">
            <v>204.T</v>
          </cell>
          <cell r="G155" t="str">
            <v>TH4</v>
          </cell>
          <cell r="H155" t="str">
            <v>12VH</v>
          </cell>
          <cell r="I155" t="str">
            <v>Thứ Hai (22/12)</v>
          </cell>
          <cell r="J155" t="str">
            <v>Thứ Ba (23/12)</v>
          </cell>
          <cell r="K155">
            <v>26</v>
          </cell>
          <cell r="L155">
            <v>0</v>
          </cell>
          <cell r="M155" t="str">
            <v>VĂN</v>
          </cell>
          <cell r="N155" t="str">
            <v>LÝ</v>
          </cell>
          <cell r="O155" t="str">
            <v>TOÁN</v>
          </cell>
          <cell r="P155" t="str">
            <v>SỬ</v>
          </cell>
          <cell r="Q155">
            <v>400549</v>
          </cell>
          <cell r="R155">
            <v>400574</v>
          </cell>
          <cell r="S155" t="str">
            <v>TỔ HỢP 4 (12VH1,2,3)</v>
          </cell>
        </row>
        <row r="156">
          <cell r="A156">
            <v>106</v>
          </cell>
          <cell r="B156">
            <v>4</v>
          </cell>
          <cell r="C156">
            <v>205</v>
          </cell>
          <cell r="D156">
            <v>26</v>
          </cell>
          <cell r="E156"/>
          <cell r="F156" t="str">
            <v>205.T</v>
          </cell>
          <cell r="G156" t="str">
            <v>TH4</v>
          </cell>
          <cell r="H156" t="str">
            <v>12VH</v>
          </cell>
          <cell r="I156" t="str">
            <v>Thứ Hai (22/12)</v>
          </cell>
          <cell r="J156" t="str">
            <v>Thứ Ba (23/12)</v>
          </cell>
          <cell r="K156">
            <v>26</v>
          </cell>
          <cell r="L156">
            <v>0</v>
          </cell>
          <cell r="M156" t="str">
            <v>VĂN</v>
          </cell>
          <cell r="N156" t="str">
            <v>LÝ</v>
          </cell>
          <cell r="O156" t="str">
            <v>TOÁN</v>
          </cell>
          <cell r="P156" t="str">
            <v>SỬ</v>
          </cell>
          <cell r="Q156">
            <v>400575</v>
          </cell>
          <cell r="R156">
            <v>400600</v>
          </cell>
          <cell r="S156" t="str">
            <v>TỔ HỢP 4 (12VH1,2,3)</v>
          </cell>
        </row>
        <row r="157">
          <cell r="A157">
            <v>107</v>
          </cell>
          <cell r="B157">
            <v>5</v>
          </cell>
          <cell r="C157">
            <v>206</v>
          </cell>
          <cell r="D157">
            <v>26</v>
          </cell>
          <cell r="E157"/>
          <cell r="F157" t="str">
            <v>206.T</v>
          </cell>
          <cell r="G157" t="str">
            <v>TH4</v>
          </cell>
          <cell r="H157" t="str">
            <v>12VH</v>
          </cell>
          <cell r="I157" t="str">
            <v>Thứ Hai (22/12)</v>
          </cell>
          <cell r="J157" t="str">
            <v>Thứ Ba (23/12)</v>
          </cell>
          <cell r="K157">
            <v>26</v>
          </cell>
          <cell r="L157">
            <v>0</v>
          </cell>
          <cell r="M157" t="str">
            <v>VĂN</v>
          </cell>
          <cell r="N157" t="str">
            <v>LÝ</v>
          </cell>
          <cell r="O157" t="str">
            <v>TOÁN</v>
          </cell>
          <cell r="P157" t="str">
            <v>SỬ</v>
          </cell>
          <cell r="Q157">
            <v>400601</v>
          </cell>
          <cell r="R157">
            <v>400626</v>
          </cell>
          <cell r="S157" t="str">
            <v>TỔ HỢP 4 (12VH1,2,3)</v>
          </cell>
        </row>
        <row r="158">
          <cell r="A158" t="str">
            <v/>
          </cell>
          <cell r="B158" t="str">
            <v>TỔ HỢP 5 (12VH4,5,6,7)</v>
          </cell>
          <cell r="C158"/>
          <cell r="D158">
            <v>167</v>
          </cell>
          <cell r="E158"/>
          <cell r="F158"/>
          <cell r="G158"/>
          <cell r="H158"/>
          <cell r="I158"/>
          <cell r="J158"/>
          <cell r="K158">
            <v>166</v>
          </cell>
          <cell r="L158"/>
          <cell r="M158" t="str">
            <v>VĂN</v>
          </cell>
          <cell r="N158" t="str">
            <v>KT-PL</v>
          </cell>
          <cell r="O158" t="str">
            <v>TOÁN</v>
          </cell>
          <cell r="P158" t="str">
            <v>SỬ</v>
          </cell>
          <cell r="Q158"/>
          <cell r="R158"/>
          <cell r="S158"/>
        </row>
        <row r="159">
          <cell r="A159">
            <v>108</v>
          </cell>
          <cell r="B159">
            <v>1</v>
          </cell>
          <cell r="C159">
            <v>302</v>
          </cell>
          <cell r="D159">
            <v>24</v>
          </cell>
          <cell r="E159" t="str">
            <v>02.HN</v>
          </cell>
          <cell r="F159" t="str">
            <v>302.T</v>
          </cell>
          <cell r="G159" t="str">
            <v>TH5</v>
          </cell>
          <cell r="H159" t="str">
            <v>12VH</v>
          </cell>
          <cell r="I159" t="str">
            <v>Thứ Hai (22/12)</v>
          </cell>
          <cell r="J159" t="str">
            <v>Thứ Ba (23/12)</v>
          </cell>
          <cell r="K159">
            <v>24</v>
          </cell>
          <cell r="L159">
            <v>0</v>
          </cell>
          <cell r="M159" t="str">
            <v>VĂN</v>
          </cell>
          <cell r="N159" t="str">
            <v>KT-PL</v>
          </cell>
          <cell r="O159" t="str">
            <v>TOÁN</v>
          </cell>
          <cell r="P159" t="str">
            <v>SỬ</v>
          </cell>
          <cell r="Q159">
            <v>400627</v>
          </cell>
          <cell r="R159">
            <v>400650</v>
          </cell>
          <cell r="S159" t="str">
            <v>TỔ HỢP 5 (12VH4,5,6,7)</v>
          </cell>
        </row>
        <row r="160">
          <cell r="A160">
            <v>109</v>
          </cell>
          <cell r="B160">
            <v>2</v>
          </cell>
          <cell r="C160">
            <v>303</v>
          </cell>
          <cell r="D160">
            <v>24</v>
          </cell>
          <cell r="E160"/>
          <cell r="F160" t="str">
            <v>303.T</v>
          </cell>
          <cell r="G160" t="str">
            <v>TH5</v>
          </cell>
          <cell r="H160" t="str">
            <v>12VH</v>
          </cell>
          <cell r="I160" t="str">
            <v>Thứ Hai (22/12)</v>
          </cell>
          <cell r="J160" t="str">
            <v>Thứ Ba (23/12)</v>
          </cell>
          <cell r="K160">
            <v>24</v>
          </cell>
          <cell r="L160">
            <v>0</v>
          </cell>
          <cell r="M160" t="str">
            <v>VĂN</v>
          </cell>
          <cell r="N160" t="str">
            <v>KT-PL</v>
          </cell>
          <cell r="O160" t="str">
            <v>TOÁN</v>
          </cell>
          <cell r="P160" t="str">
            <v>SỬ</v>
          </cell>
          <cell r="Q160">
            <v>400651</v>
          </cell>
          <cell r="R160">
            <v>400674</v>
          </cell>
          <cell r="S160" t="str">
            <v>TỔ HỢP 5 (12VH4,5,6,7)</v>
          </cell>
        </row>
        <row r="161">
          <cell r="A161">
            <v>110</v>
          </cell>
          <cell r="B161">
            <v>3</v>
          </cell>
          <cell r="C161">
            <v>304</v>
          </cell>
          <cell r="D161">
            <v>24</v>
          </cell>
          <cell r="E161"/>
          <cell r="F161" t="str">
            <v>304.T</v>
          </cell>
          <cell r="G161" t="str">
            <v>TH5</v>
          </cell>
          <cell r="H161" t="str">
            <v>12VH</v>
          </cell>
          <cell r="I161" t="str">
            <v>Thứ Hai (22/12)</v>
          </cell>
          <cell r="J161" t="str">
            <v>Thứ Ba (23/12)</v>
          </cell>
          <cell r="K161">
            <v>24</v>
          </cell>
          <cell r="L161">
            <v>0</v>
          </cell>
          <cell r="M161" t="str">
            <v>VĂN</v>
          </cell>
          <cell r="N161" t="str">
            <v>KT-PL</v>
          </cell>
          <cell r="O161" t="str">
            <v>TOÁN</v>
          </cell>
          <cell r="P161" t="str">
            <v>SỬ</v>
          </cell>
          <cell r="Q161">
            <v>400675</v>
          </cell>
          <cell r="R161">
            <v>400698</v>
          </cell>
          <cell r="S161" t="str">
            <v>TỔ HỢP 5 (12VH4,5,6,7)</v>
          </cell>
        </row>
        <row r="162">
          <cell r="A162">
            <v>111</v>
          </cell>
          <cell r="B162">
            <v>4</v>
          </cell>
          <cell r="C162">
            <v>305</v>
          </cell>
          <cell r="D162">
            <v>24</v>
          </cell>
          <cell r="E162"/>
          <cell r="F162" t="str">
            <v>305.T</v>
          </cell>
          <cell r="G162" t="str">
            <v>TH5</v>
          </cell>
          <cell r="H162" t="str">
            <v>12VH</v>
          </cell>
          <cell r="I162" t="str">
            <v>Thứ Hai (22/12)</v>
          </cell>
          <cell r="J162" t="str">
            <v>Thứ Ba (23/12)</v>
          </cell>
          <cell r="K162">
            <v>24</v>
          </cell>
          <cell r="L162">
            <v>0</v>
          </cell>
          <cell r="M162" t="str">
            <v>VĂN</v>
          </cell>
          <cell r="N162" t="str">
            <v>KT-PL</v>
          </cell>
          <cell r="O162" t="str">
            <v>TOÁN</v>
          </cell>
          <cell r="P162" t="str">
            <v>SỬ</v>
          </cell>
          <cell r="Q162">
            <v>400699</v>
          </cell>
          <cell r="R162">
            <v>400722</v>
          </cell>
          <cell r="S162" t="str">
            <v>TỔ HỢP 5 (12VH4,5,6,7)</v>
          </cell>
        </row>
        <row r="163">
          <cell r="A163">
            <v>112</v>
          </cell>
          <cell r="B163">
            <v>5</v>
          </cell>
          <cell r="C163">
            <v>306</v>
          </cell>
          <cell r="D163">
            <v>24</v>
          </cell>
          <cell r="E163"/>
          <cell r="F163" t="str">
            <v>306.T</v>
          </cell>
          <cell r="G163" t="str">
            <v>TH5</v>
          </cell>
          <cell r="H163" t="str">
            <v>12VH</v>
          </cell>
          <cell r="I163" t="str">
            <v>Thứ Hai (22/12)</v>
          </cell>
          <cell r="J163" t="str">
            <v>Thứ Ba (23/12)</v>
          </cell>
          <cell r="K163">
            <v>24</v>
          </cell>
          <cell r="L163">
            <v>0</v>
          </cell>
          <cell r="M163" t="str">
            <v>VĂN</v>
          </cell>
          <cell r="N163" t="str">
            <v>KT-PL</v>
          </cell>
          <cell r="O163" t="str">
            <v>TOÁN</v>
          </cell>
          <cell r="P163" t="str">
            <v>SỬ</v>
          </cell>
          <cell r="Q163">
            <v>400723</v>
          </cell>
          <cell r="R163">
            <v>400746</v>
          </cell>
          <cell r="S163" t="str">
            <v>TỔ HỢP 5 (12VH4,5,6,7)</v>
          </cell>
        </row>
        <row r="164">
          <cell r="A164">
            <v>113</v>
          </cell>
          <cell r="B164">
            <v>6</v>
          </cell>
          <cell r="C164">
            <v>310</v>
          </cell>
          <cell r="D164">
            <v>24</v>
          </cell>
          <cell r="E164"/>
          <cell r="F164" t="str">
            <v>310.T</v>
          </cell>
          <cell r="G164" t="str">
            <v>TH5</v>
          </cell>
          <cell r="H164" t="str">
            <v>12VH</v>
          </cell>
          <cell r="I164" t="str">
            <v>Thứ Hai (22/12)</v>
          </cell>
          <cell r="J164" t="str">
            <v>Thứ Ba (23/12)</v>
          </cell>
          <cell r="K164">
            <v>23</v>
          </cell>
          <cell r="L164">
            <v>1</v>
          </cell>
          <cell r="M164" t="str">
            <v>VĂN</v>
          </cell>
          <cell r="N164" t="str">
            <v>KT-PL</v>
          </cell>
          <cell r="O164" t="str">
            <v>TOÁN</v>
          </cell>
          <cell r="P164" t="str">
            <v>SỬ</v>
          </cell>
          <cell r="Q164">
            <v>400747</v>
          </cell>
          <cell r="R164">
            <v>400769</v>
          </cell>
          <cell r="S164" t="str">
            <v>TỔ HỢP 5 (12VH4,5,6,7)</v>
          </cell>
        </row>
        <row r="165">
          <cell r="A165">
            <v>114</v>
          </cell>
          <cell r="B165">
            <v>7</v>
          </cell>
          <cell r="C165">
            <v>311</v>
          </cell>
          <cell r="D165">
            <v>23</v>
          </cell>
          <cell r="E165"/>
          <cell r="F165" t="str">
            <v>311.T</v>
          </cell>
          <cell r="G165" t="str">
            <v>TH5</v>
          </cell>
          <cell r="H165" t="str">
            <v>12VH</v>
          </cell>
          <cell r="I165" t="str">
            <v>Thứ Hai (22/12)</v>
          </cell>
          <cell r="J165" t="str">
            <v>Thứ Ba (23/12)</v>
          </cell>
          <cell r="K165">
            <v>23</v>
          </cell>
          <cell r="L165">
            <v>0</v>
          </cell>
          <cell r="M165" t="str">
            <v>VĂN</v>
          </cell>
          <cell r="N165" t="str">
            <v>KT-PL</v>
          </cell>
          <cell r="O165" t="str">
            <v>TOÁN</v>
          </cell>
          <cell r="P165" t="str">
            <v>SỬ</v>
          </cell>
          <cell r="Q165">
            <v>400770</v>
          </cell>
          <cell r="R165">
            <v>400792</v>
          </cell>
          <cell r="S165" t="str">
            <v>TỔ HỢP 5 (12VH4,5,6,7)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tabColor rgb="FFC00000"/>
  </sheetPr>
  <dimension ref="A1:P42"/>
  <sheetViews>
    <sheetView tabSelected="1" view="pageBreakPreview" topLeftCell="A9" zoomScaleNormal="100" zoomScaleSheetLayoutView="100" workbookViewId="0">
      <selection activeCell="A5" sqref="A1:H1048576"/>
    </sheetView>
  </sheetViews>
  <sheetFormatPr baseColWidth="10" defaultColWidth="9.1640625" defaultRowHeight="11"/>
  <cols>
    <col min="1" max="2" width="6.5" style="1" customWidth="1"/>
    <col min="3" max="3" width="7.5" style="1" customWidth="1"/>
    <col min="4" max="4" width="9.83203125" style="8" customWidth="1"/>
    <col min="5" max="5" width="23.83203125" style="8" customWidth="1"/>
    <col min="6" max="6" width="12.33203125" style="8" customWidth="1"/>
    <col min="7" max="7" width="9.5" style="7" customWidth="1"/>
    <col min="8" max="8" width="8" style="7" customWidth="1"/>
    <col min="9" max="16" width="13.33203125" style="1" customWidth="1"/>
    <col min="17" max="249" width="11.5" style="1" customWidth="1"/>
    <col min="250" max="16384" width="9.1640625" style="1"/>
  </cols>
  <sheetData>
    <row r="1" spans="1:16" ht="16.5" customHeight="1">
      <c r="A1" s="73" t="s">
        <v>15</v>
      </c>
      <c r="B1" s="73"/>
      <c r="C1" s="73"/>
      <c r="D1" s="73"/>
      <c r="E1" s="73"/>
      <c r="F1" s="73"/>
      <c r="G1" s="5"/>
      <c r="H1" s="5"/>
      <c r="J1" s="2"/>
      <c r="K1" s="74" t="s">
        <v>0</v>
      </c>
      <c r="L1" s="74"/>
      <c r="M1" s="74"/>
      <c r="N1" s="74"/>
      <c r="O1" s="74"/>
      <c r="P1" s="74"/>
    </row>
    <row r="2" spans="1:16" ht="16.5" customHeight="1">
      <c r="A2" s="75" t="s">
        <v>16</v>
      </c>
      <c r="B2" s="75"/>
      <c r="C2" s="75"/>
      <c r="D2" s="75"/>
      <c r="E2" s="75"/>
      <c r="F2" s="75"/>
      <c r="G2" s="6"/>
      <c r="H2" s="6"/>
      <c r="J2" s="3"/>
      <c r="K2" s="76" t="s">
        <v>1</v>
      </c>
      <c r="L2" s="76"/>
      <c r="M2" s="76"/>
      <c r="N2" s="76"/>
      <c r="O2" s="76"/>
      <c r="P2" s="76"/>
    </row>
    <row r="3" spans="1:16" ht="25" customHeight="1">
      <c r="A3" s="60" t="s">
        <v>22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</row>
    <row r="4" spans="1:16" ht="22" customHeight="1">
      <c r="A4" s="59" t="s">
        <v>21</v>
      </c>
      <c r="B4" s="59"/>
      <c r="C4" s="59"/>
      <c r="D4" s="59"/>
      <c r="E4" s="59"/>
      <c r="F4" s="59"/>
      <c r="G4" s="59"/>
      <c r="H4" s="59"/>
      <c r="I4" s="26"/>
      <c r="J4" s="79" t="e">
        <f>VLOOKUP(#REF!,#REF!,19,0)</f>
        <v>#REF!</v>
      </c>
      <c r="K4" s="79"/>
      <c r="L4" s="79"/>
      <c r="M4" s="26"/>
      <c r="N4" s="80" t="s">
        <v>13</v>
      </c>
      <c r="O4" s="80"/>
      <c r="P4" s="27" t="e">
        <f>VLOOKUP(#REF!,#REF!,2,0)</f>
        <v>#REF!</v>
      </c>
    </row>
    <row r="5" spans="1:16" ht="8" customHeight="1">
      <c r="A5" s="21"/>
      <c r="B5" s="21"/>
      <c r="C5" s="21"/>
      <c r="D5" s="21"/>
      <c r="E5" s="21"/>
      <c r="F5" s="21"/>
      <c r="G5" s="21"/>
      <c r="H5" s="21"/>
      <c r="I5" s="22"/>
      <c r="J5" s="23"/>
      <c r="K5" s="23"/>
      <c r="L5" s="24"/>
      <c r="M5" s="22"/>
      <c r="N5" s="22"/>
      <c r="O5" s="22"/>
      <c r="P5" s="25"/>
    </row>
    <row r="6" spans="1:16" ht="18" customHeight="1">
      <c r="A6" s="64" t="s">
        <v>7</v>
      </c>
      <c r="B6" s="90" t="s">
        <v>23</v>
      </c>
      <c r="C6" s="77" t="s">
        <v>14</v>
      </c>
      <c r="D6" s="65" t="s">
        <v>8</v>
      </c>
      <c r="E6" s="67" t="s">
        <v>18</v>
      </c>
      <c r="F6" s="81" t="s">
        <v>17</v>
      </c>
      <c r="G6" s="65" t="s">
        <v>2</v>
      </c>
      <c r="H6" s="84" t="s">
        <v>10</v>
      </c>
      <c r="I6" s="70" t="s">
        <v>9</v>
      </c>
      <c r="J6" s="70"/>
      <c r="K6" s="70"/>
      <c r="L6" s="70"/>
      <c r="M6" s="70"/>
      <c r="N6" s="70"/>
      <c r="O6" s="70"/>
      <c r="P6" s="70"/>
    </row>
    <row r="7" spans="1:16" ht="18" customHeight="1">
      <c r="A7" s="64"/>
      <c r="B7" s="91"/>
      <c r="C7" s="78"/>
      <c r="D7" s="65"/>
      <c r="E7" s="68"/>
      <c r="F7" s="82"/>
      <c r="G7" s="65"/>
      <c r="H7" s="65"/>
      <c r="I7" s="71" t="e">
        <f>VLOOKUP(#REF!,#REF!,13,0)</f>
        <v>#REF!</v>
      </c>
      <c r="J7" s="71"/>
      <c r="K7" s="72" t="e">
        <f>VLOOKUP(#REF!,#REF!,14,0)</f>
        <v>#REF!</v>
      </c>
      <c r="L7" s="72"/>
      <c r="M7" s="71" t="e">
        <f>VLOOKUP(#REF!,#REF!,15,0)</f>
        <v>#REF!</v>
      </c>
      <c r="N7" s="71"/>
      <c r="O7" s="71" t="e">
        <f>VLOOKUP(#REF!,#REF!,16,0)</f>
        <v>#REF!</v>
      </c>
      <c r="P7" s="71"/>
    </row>
    <row r="8" spans="1:16" ht="18" customHeight="1">
      <c r="A8" s="64"/>
      <c r="B8" s="92"/>
      <c r="C8" s="78"/>
      <c r="D8" s="65"/>
      <c r="E8" s="69"/>
      <c r="F8" s="83"/>
      <c r="G8" s="65"/>
      <c r="H8" s="65"/>
      <c r="I8" s="20" t="s">
        <v>3</v>
      </c>
      <c r="J8" s="20" t="s">
        <v>4</v>
      </c>
      <c r="K8" s="20" t="s">
        <v>11</v>
      </c>
      <c r="L8" s="20" t="s">
        <v>4</v>
      </c>
      <c r="M8" s="20" t="s">
        <v>11</v>
      </c>
      <c r="N8" s="20" t="s">
        <v>4</v>
      </c>
      <c r="O8" s="20" t="s">
        <v>11</v>
      </c>
      <c r="P8" s="20" t="s">
        <v>4</v>
      </c>
    </row>
    <row r="9" spans="1:16" ht="18" customHeight="1">
      <c r="A9" s="14">
        <v>1</v>
      </c>
      <c r="B9" s="89"/>
      <c r="C9" s="30">
        <f t="array" ref="C9">IFERROR(INDEX(#REF!,MATCH(1,($A9=#REF!)*(#REF!=#REF!),0),4),0)</f>
        <v>0</v>
      </c>
      <c r="D9" s="15">
        <f t="array" ref="D9">IFERROR(INDEX(#REF!,MATCH(1,($A9=#REF!)*(#REF!=#REF!),0),5),0)</f>
        <v>0</v>
      </c>
      <c r="E9" s="28">
        <f t="array" ref="E9">IFERROR(INDEX(#REF!,MATCH(1,($A9=#REF!)*(#REF!=#REF!),0),6),0)</f>
        <v>0</v>
      </c>
      <c r="F9" s="29">
        <f t="array" ref="F9">IFERROR(INDEX(#REF!,MATCH(1,($A9=#REF!)*(#REF!=#REF!),0),7),0)</f>
        <v>0</v>
      </c>
      <c r="G9" s="16">
        <f t="array" ref="G9">IFERROR(INDEX(#REF!,MATCH(1,($A9=#REF!)*(#REF!=#REF!),0),8),0)</f>
        <v>0</v>
      </c>
      <c r="H9" s="17">
        <f t="array" ref="H9">IFERROR(INDEX(#REF!,MATCH(1,($A9=#REF!)*(#REF!=#REF!),0),9),0)</f>
        <v>0</v>
      </c>
      <c r="I9" s="18"/>
      <c r="J9" s="18"/>
      <c r="K9" s="18"/>
      <c r="L9" s="18"/>
      <c r="M9" s="18"/>
      <c r="N9" s="18"/>
      <c r="O9" s="19"/>
      <c r="P9" s="18"/>
    </row>
    <row r="10" spans="1:16" ht="18" customHeight="1">
      <c r="A10" s="9">
        <v>2</v>
      </c>
      <c r="B10" s="89"/>
      <c r="C10" s="30">
        <f t="array" ref="C10">IFERROR(INDEX(#REF!,MATCH(1,($A10=#REF!)*(#REF!=#REF!),0),4),0)</f>
        <v>0</v>
      </c>
      <c r="D10" s="15">
        <f t="array" ref="D10">IFERROR(INDEX(#REF!,MATCH(1,($A10=#REF!)*(#REF!=#REF!),0),5),0)</f>
        <v>0</v>
      </c>
      <c r="E10" s="28">
        <f t="array" ref="E10">IFERROR(INDEX(#REF!,MATCH(1,($A10=#REF!)*(#REF!=#REF!),0),6),0)</f>
        <v>0</v>
      </c>
      <c r="F10" s="29">
        <f t="array" ref="F10">IFERROR(INDEX(#REF!,MATCH(1,($A10=#REF!)*(#REF!=#REF!),0),7),0)</f>
        <v>0</v>
      </c>
      <c r="G10" s="16">
        <f t="array" ref="G10">IFERROR(INDEX(#REF!,MATCH(1,($A10=#REF!)*(#REF!=#REF!),0),8),0)</f>
        <v>0</v>
      </c>
      <c r="H10" s="17">
        <f t="array" ref="H10">IFERROR(INDEX(#REF!,MATCH(1,($A10=#REF!)*(#REF!=#REF!),0),9),0)</f>
        <v>0</v>
      </c>
      <c r="I10" s="10"/>
      <c r="J10" s="10"/>
      <c r="K10" s="10"/>
      <c r="L10" s="10"/>
      <c r="M10" s="10"/>
      <c r="N10" s="10"/>
      <c r="O10" s="11"/>
      <c r="P10" s="10"/>
    </row>
    <row r="11" spans="1:16" ht="18" customHeight="1">
      <c r="A11" s="9">
        <v>3</v>
      </c>
      <c r="B11" s="89"/>
      <c r="C11" s="30">
        <f t="array" ref="C11">IFERROR(INDEX(#REF!,MATCH(1,($A11=#REF!)*(#REF!=#REF!),0),4),0)</f>
        <v>0</v>
      </c>
      <c r="D11" s="15">
        <f t="array" ref="D11">IFERROR(INDEX(#REF!,MATCH(1,($A11=#REF!)*(#REF!=#REF!),0),5),0)</f>
        <v>0</v>
      </c>
      <c r="E11" s="28">
        <f t="array" ref="E11">IFERROR(INDEX(#REF!,MATCH(1,($A11=#REF!)*(#REF!=#REF!),0),6),0)</f>
        <v>0</v>
      </c>
      <c r="F11" s="29">
        <f t="array" ref="F11">IFERROR(INDEX(#REF!,MATCH(1,($A11=#REF!)*(#REF!=#REF!),0),7),0)</f>
        <v>0</v>
      </c>
      <c r="G11" s="16">
        <f t="array" ref="G11">IFERROR(INDEX(#REF!,MATCH(1,($A11=#REF!)*(#REF!=#REF!),0),8),0)</f>
        <v>0</v>
      </c>
      <c r="H11" s="17">
        <f t="array" ref="H11">IFERROR(INDEX(#REF!,MATCH(1,($A11=#REF!)*(#REF!=#REF!),0),9),0)</f>
        <v>0</v>
      </c>
      <c r="I11" s="10"/>
      <c r="J11" s="10"/>
      <c r="K11" s="10"/>
      <c r="L11" s="10"/>
      <c r="M11" s="10"/>
      <c r="N11" s="10"/>
      <c r="O11" s="11"/>
      <c r="P11" s="10"/>
    </row>
    <row r="12" spans="1:16" ht="18" customHeight="1">
      <c r="A12" s="9">
        <v>4</v>
      </c>
      <c r="B12" s="89"/>
      <c r="C12" s="30">
        <f t="array" ref="C12">IFERROR(INDEX(#REF!,MATCH(1,($A12=#REF!)*(#REF!=#REF!),0),4),0)</f>
        <v>0</v>
      </c>
      <c r="D12" s="15">
        <f t="array" ref="D12">IFERROR(INDEX(#REF!,MATCH(1,($A12=#REF!)*(#REF!=#REF!),0),5),0)</f>
        <v>0</v>
      </c>
      <c r="E12" s="28">
        <f t="array" ref="E12">IFERROR(INDEX(#REF!,MATCH(1,($A12=#REF!)*(#REF!=#REF!),0),6),0)</f>
        <v>0</v>
      </c>
      <c r="F12" s="29">
        <f t="array" ref="F12">IFERROR(INDEX(#REF!,MATCH(1,($A12=#REF!)*(#REF!=#REF!),0),7),0)</f>
        <v>0</v>
      </c>
      <c r="G12" s="16">
        <f t="array" ref="G12">IFERROR(INDEX(#REF!,MATCH(1,($A12=#REF!)*(#REF!=#REF!),0),8),0)</f>
        <v>0</v>
      </c>
      <c r="H12" s="17">
        <f t="array" ref="H12">IFERROR(INDEX(#REF!,MATCH(1,($A12=#REF!)*(#REF!=#REF!),0),9),0)</f>
        <v>0</v>
      </c>
      <c r="I12" s="10"/>
      <c r="J12" s="10"/>
      <c r="K12" s="10"/>
      <c r="L12" s="10"/>
      <c r="M12" s="10"/>
      <c r="N12" s="10"/>
      <c r="O12" s="11"/>
      <c r="P12" s="10"/>
    </row>
    <row r="13" spans="1:16" ht="18" customHeight="1">
      <c r="A13" s="9">
        <v>5</v>
      </c>
      <c r="B13" s="89"/>
      <c r="C13" s="30">
        <f t="array" ref="C13">IFERROR(INDEX(#REF!,MATCH(1,($A13=#REF!)*(#REF!=#REF!),0),4),0)</f>
        <v>0</v>
      </c>
      <c r="D13" s="15">
        <f t="array" ref="D13">IFERROR(INDEX(#REF!,MATCH(1,($A13=#REF!)*(#REF!=#REF!),0),5),0)</f>
        <v>0</v>
      </c>
      <c r="E13" s="28">
        <f t="array" ref="E13">IFERROR(INDEX(#REF!,MATCH(1,($A13=#REF!)*(#REF!=#REF!),0),6),0)</f>
        <v>0</v>
      </c>
      <c r="F13" s="29">
        <f t="array" ref="F13">IFERROR(INDEX(#REF!,MATCH(1,($A13=#REF!)*(#REF!=#REF!),0),7),0)</f>
        <v>0</v>
      </c>
      <c r="G13" s="16">
        <f t="array" ref="G13">IFERROR(INDEX(#REF!,MATCH(1,($A13=#REF!)*(#REF!=#REF!),0),8),0)</f>
        <v>0</v>
      </c>
      <c r="H13" s="17">
        <f t="array" ref="H13">IFERROR(INDEX(#REF!,MATCH(1,($A13=#REF!)*(#REF!=#REF!),0),9),0)</f>
        <v>0</v>
      </c>
      <c r="I13" s="10"/>
      <c r="J13" s="10"/>
      <c r="K13" s="10"/>
      <c r="L13" s="10"/>
      <c r="M13" s="10"/>
      <c r="N13" s="10"/>
      <c r="O13" s="11"/>
      <c r="P13" s="10"/>
    </row>
    <row r="14" spans="1:16" ht="18" customHeight="1">
      <c r="A14" s="9">
        <v>6</v>
      </c>
      <c r="B14" s="89"/>
      <c r="C14" s="30">
        <f t="array" ref="C14">IFERROR(INDEX(#REF!,MATCH(1,($A14=#REF!)*(#REF!=#REF!),0),4),0)</f>
        <v>0</v>
      </c>
      <c r="D14" s="15">
        <f t="array" ref="D14">IFERROR(INDEX(#REF!,MATCH(1,($A14=#REF!)*(#REF!=#REF!),0),5),0)</f>
        <v>0</v>
      </c>
      <c r="E14" s="28">
        <f t="array" ref="E14">IFERROR(INDEX(#REF!,MATCH(1,($A14=#REF!)*(#REF!=#REF!),0),6),0)</f>
        <v>0</v>
      </c>
      <c r="F14" s="29">
        <f t="array" ref="F14">IFERROR(INDEX(#REF!,MATCH(1,($A14=#REF!)*(#REF!=#REF!),0),7),0)</f>
        <v>0</v>
      </c>
      <c r="G14" s="16">
        <f t="array" ref="G14">IFERROR(INDEX(#REF!,MATCH(1,($A14=#REF!)*(#REF!=#REF!),0),8),0)</f>
        <v>0</v>
      </c>
      <c r="H14" s="17">
        <f t="array" ref="H14">IFERROR(INDEX(#REF!,MATCH(1,($A14=#REF!)*(#REF!=#REF!),0),9),0)</f>
        <v>0</v>
      </c>
      <c r="I14" s="10"/>
      <c r="J14" s="10"/>
      <c r="K14" s="10"/>
      <c r="L14" s="10"/>
      <c r="M14" s="10"/>
      <c r="N14" s="10"/>
      <c r="O14" s="11"/>
      <c r="P14" s="10"/>
    </row>
    <row r="15" spans="1:16" ht="18" customHeight="1">
      <c r="A15" s="9">
        <v>7</v>
      </c>
      <c r="B15" s="89"/>
      <c r="C15" s="30">
        <f t="array" ref="C15">IFERROR(INDEX(#REF!,MATCH(1,($A15=#REF!)*(#REF!=#REF!),0),4),0)</f>
        <v>0</v>
      </c>
      <c r="D15" s="15">
        <f t="array" ref="D15">IFERROR(INDEX(#REF!,MATCH(1,($A15=#REF!)*(#REF!=#REF!),0),5),0)</f>
        <v>0</v>
      </c>
      <c r="E15" s="28">
        <f t="array" ref="E15">IFERROR(INDEX(#REF!,MATCH(1,($A15=#REF!)*(#REF!=#REF!),0),6),0)</f>
        <v>0</v>
      </c>
      <c r="F15" s="29">
        <f t="array" ref="F15">IFERROR(INDEX(#REF!,MATCH(1,($A15=#REF!)*(#REF!=#REF!),0),7),0)</f>
        <v>0</v>
      </c>
      <c r="G15" s="16">
        <f t="array" ref="G15">IFERROR(INDEX(#REF!,MATCH(1,($A15=#REF!)*(#REF!=#REF!),0),8),0)</f>
        <v>0</v>
      </c>
      <c r="H15" s="17">
        <f t="array" ref="H15">IFERROR(INDEX(#REF!,MATCH(1,($A15=#REF!)*(#REF!=#REF!),0),9),0)</f>
        <v>0</v>
      </c>
      <c r="I15" s="10"/>
      <c r="J15" s="10"/>
      <c r="K15" s="10"/>
      <c r="L15" s="10"/>
      <c r="M15" s="10"/>
      <c r="N15" s="10"/>
      <c r="O15" s="11"/>
      <c r="P15" s="10"/>
    </row>
    <row r="16" spans="1:16" ht="18" customHeight="1">
      <c r="A16" s="9">
        <v>8</v>
      </c>
      <c r="B16" s="89"/>
      <c r="C16" s="30">
        <f t="array" ref="C16">IFERROR(INDEX(#REF!,MATCH(1,($A16=#REF!)*(#REF!=#REF!),0),4),0)</f>
        <v>0</v>
      </c>
      <c r="D16" s="15">
        <f t="array" ref="D16">IFERROR(INDEX(#REF!,MATCH(1,($A16=#REF!)*(#REF!=#REF!),0),5),0)</f>
        <v>0</v>
      </c>
      <c r="E16" s="28">
        <f t="array" ref="E16">IFERROR(INDEX(#REF!,MATCH(1,($A16=#REF!)*(#REF!=#REF!),0),6),0)</f>
        <v>0</v>
      </c>
      <c r="F16" s="29">
        <f t="array" ref="F16">IFERROR(INDEX(#REF!,MATCH(1,($A16=#REF!)*(#REF!=#REF!),0),7),0)</f>
        <v>0</v>
      </c>
      <c r="G16" s="16">
        <f t="array" ref="G16">IFERROR(INDEX(#REF!,MATCH(1,($A16=#REF!)*(#REF!=#REF!),0),8),0)</f>
        <v>0</v>
      </c>
      <c r="H16" s="17">
        <f t="array" ref="H16">IFERROR(INDEX(#REF!,MATCH(1,($A16=#REF!)*(#REF!=#REF!),0),9),0)</f>
        <v>0</v>
      </c>
      <c r="I16" s="10"/>
      <c r="J16" s="10"/>
      <c r="K16" s="10"/>
      <c r="L16" s="10"/>
      <c r="M16" s="10"/>
      <c r="N16" s="10"/>
      <c r="O16" s="11"/>
      <c r="P16" s="10"/>
    </row>
    <row r="17" spans="1:16" ht="18" customHeight="1">
      <c r="A17" s="9">
        <v>9</v>
      </c>
      <c r="B17" s="89"/>
      <c r="C17" s="30">
        <f t="array" ref="C17">IFERROR(INDEX(#REF!,MATCH(1,($A17=#REF!)*(#REF!=#REF!),0),4),0)</f>
        <v>0</v>
      </c>
      <c r="D17" s="15">
        <f t="array" ref="D17">IFERROR(INDEX(#REF!,MATCH(1,($A17=#REF!)*(#REF!=#REF!),0),5),0)</f>
        <v>0</v>
      </c>
      <c r="E17" s="28">
        <f t="array" ref="E17">IFERROR(INDEX(#REF!,MATCH(1,($A17=#REF!)*(#REF!=#REF!),0),6),0)</f>
        <v>0</v>
      </c>
      <c r="F17" s="29">
        <f t="array" ref="F17">IFERROR(INDEX(#REF!,MATCH(1,($A17=#REF!)*(#REF!=#REF!),0),7),0)</f>
        <v>0</v>
      </c>
      <c r="G17" s="16">
        <f t="array" ref="G17">IFERROR(INDEX(#REF!,MATCH(1,($A17=#REF!)*(#REF!=#REF!),0),8),0)</f>
        <v>0</v>
      </c>
      <c r="H17" s="17">
        <f t="array" ref="H17">IFERROR(INDEX(#REF!,MATCH(1,($A17=#REF!)*(#REF!=#REF!),0),9),0)</f>
        <v>0</v>
      </c>
      <c r="I17" s="10"/>
      <c r="J17" s="10"/>
      <c r="K17" s="10"/>
      <c r="L17" s="10"/>
      <c r="M17" s="10"/>
      <c r="N17" s="10"/>
      <c r="O17" s="11"/>
      <c r="P17" s="10"/>
    </row>
    <row r="18" spans="1:16" ht="18" customHeight="1">
      <c r="A18" s="9">
        <v>10</v>
      </c>
      <c r="B18" s="89"/>
      <c r="C18" s="30">
        <f t="array" ref="C18">IFERROR(INDEX(#REF!,MATCH(1,($A18=#REF!)*(#REF!=#REF!),0),4),0)</f>
        <v>0</v>
      </c>
      <c r="D18" s="15">
        <f t="array" ref="D18">IFERROR(INDEX(#REF!,MATCH(1,($A18=#REF!)*(#REF!=#REF!),0),5),0)</f>
        <v>0</v>
      </c>
      <c r="E18" s="28">
        <f t="array" ref="E18">IFERROR(INDEX(#REF!,MATCH(1,($A18=#REF!)*(#REF!=#REF!),0),6),0)</f>
        <v>0</v>
      </c>
      <c r="F18" s="29">
        <f t="array" ref="F18">IFERROR(INDEX(#REF!,MATCH(1,($A18=#REF!)*(#REF!=#REF!),0),7),0)</f>
        <v>0</v>
      </c>
      <c r="G18" s="16">
        <f t="array" ref="G18">IFERROR(INDEX(#REF!,MATCH(1,($A18=#REF!)*(#REF!=#REF!),0),8),0)</f>
        <v>0</v>
      </c>
      <c r="H18" s="17">
        <f t="array" ref="H18">IFERROR(INDEX(#REF!,MATCH(1,($A18=#REF!)*(#REF!=#REF!),0),9),0)</f>
        <v>0</v>
      </c>
      <c r="I18" s="10"/>
      <c r="J18" s="10"/>
      <c r="K18" s="10"/>
      <c r="L18" s="10"/>
      <c r="M18" s="10"/>
      <c r="N18" s="10"/>
      <c r="O18" s="11"/>
      <c r="P18" s="10"/>
    </row>
    <row r="19" spans="1:16" ht="18" customHeight="1">
      <c r="A19" s="9">
        <v>11</v>
      </c>
      <c r="B19" s="89"/>
      <c r="C19" s="30">
        <f t="array" ref="C19">IFERROR(INDEX(#REF!,MATCH(1,($A19=#REF!)*(#REF!=#REF!),0),4),0)</f>
        <v>0</v>
      </c>
      <c r="D19" s="15">
        <f t="array" ref="D19">IFERROR(INDEX(#REF!,MATCH(1,($A19=#REF!)*(#REF!=#REF!),0),5),0)</f>
        <v>0</v>
      </c>
      <c r="E19" s="28">
        <f t="array" ref="E19">IFERROR(INDEX(#REF!,MATCH(1,($A19=#REF!)*(#REF!=#REF!),0),6),0)</f>
        <v>0</v>
      </c>
      <c r="F19" s="29">
        <f t="array" ref="F19">IFERROR(INDEX(#REF!,MATCH(1,($A19=#REF!)*(#REF!=#REF!),0),7),0)</f>
        <v>0</v>
      </c>
      <c r="G19" s="16">
        <f t="array" ref="G19">IFERROR(INDEX(#REF!,MATCH(1,($A19=#REF!)*(#REF!=#REF!),0),8),0)</f>
        <v>0</v>
      </c>
      <c r="H19" s="17">
        <f t="array" ref="H19">IFERROR(INDEX(#REF!,MATCH(1,($A19=#REF!)*(#REF!=#REF!),0),9),0)</f>
        <v>0</v>
      </c>
      <c r="I19" s="10"/>
      <c r="J19" s="10"/>
      <c r="K19" s="10"/>
      <c r="L19" s="10"/>
      <c r="M19" s="10"/>
      <c r="N19" s="10"/>
      <c r="O19" s="11"/>
      <c r="P19" s="10"/>
    </row>
    <row r="20" spans="1:16" ht="18" customHeight="1">
      <c r="A20" s="9">
        <v>12</v>
      </c>
      <c r="B20" s="89"/>
      <c r="C20" s="30">
        <f t="array" ref="C20">IFERROR(INDEX(#REF!,MATCH(1,($A20=#REF!)*(#REF!=#REF!),0),4),0)</f>
        <v>0</v>
      </c>
      <c r="D20" s="15">
        <f t="array" ref="D20">IFERROR(INDEX(#REF!,MATCH(1,($A20=#REF!)*(#REF!=#REF!),0),5),0)</f>
        <v>0</v>
      </c>
      <c r="E20" s="28">
        <f t="array" ref="E20">IFERROR(INDEX(#REF!,MATCH(1,($A20=#REF!)*(#REF!=#REF!),0),6),0)</f>
        <v>0</v>
      </c>
      <c r="F20" s="29">
        <f t="array" ref="F20">IFERROR(INDEX(#REF!,MATCH(1,($A20=#REF!)*(#REF!=#REF!),0),7),0)</f>
        <v>0</v>
      </c>
      <c r="G20" s="16">
        <f t="array" ref="G20">IFERROR(INDEX(#REF!,MATCH(1,($A20=#REF!)*(#REF!=#REF!),0),8),0)</f>
        <v>0</v>
      </c>
      <c r="H20" s="17">
        <f t="array" ref="H20">IFERROR(INDEX(#REF!,MATCH(1,($A20=#REF!)*(#REF!=#REF!),0),9),0)</f>
        <v>0</v>
      </c>
      <c r="I20" s="10"/>
      <c r="J20" s="10"/>
      <c r="K20" s="10"/>
      <c r="L20" s="10"/>
      <c r="M20" s="10"/>
      <c r="N20" s="10"/>
      <c r="O20" s="11"/>
      <c r="P20" s="10"/>
    </row>
    <row r="21" spans="1:16" ht="18" customHeight="1">
      <c r="A21" s="9">
        <v>13</v>
      </c>
      <c r="B21" s="89"/>
      <c r="C21" s="30">
        <f t="array" ref="C21">IFERROR(INDEX(#REF!,MATCH(1,($A21=#REF!)*(#REF!=#REF!),0),4),0)</f>
        <v>0</v>
      </c>
      <c r="D21" s="15">
        <f t="array" ref="D21">IFERROR(INDEX(#REF!,MATCH(1,($A21=#REF!)*(#REF!=#REF!),0),5),0)</f>
        <v>0</v>
      </c>
      <c r="E21" s="28">
        <f t="array" ref="E21">IFERROR(INDEX(#REF!,MATCH(1,($A21=#REF!)*(#REF!=#REF!),0),6),0)</f>
        <v>0</v>
      </c>
      <c r="F21" s="29">
        <f t="array" ref="F21">IFERROR(INDEX(#REF!,MATCH(1,($A21=#REF!)*(#REF!=#REF!),0),7),0)</f>
        <v>0</v>
      </c>
      <c r="G21" s="16">
        <f t="array" ref="G21">IFERROR(INDEX(#REF!,MATCH(1,($A21=#REF!)*(#REF!=#REF!),0),8),0)</f>
        <v>0</v>
      </c>
      <c r="H21" s="17">
        <f t="array" ref="H21">IFERROR(INDEX(#REF!,MATCH(1,($A21=#REF!)*(#REF!=#REF!),0),9),0)</f>
        <v>0</v>
      </c>
      <c r="I21" s="10"/>
      <c r="J21" s="10"/>
      <c r="K21" s="12"/>
      <c r="L21" s="12"/>
      <c r="M21" s="13"/>
      <c r="N21" s="13"/>
      <c r="O21" s="11"/>
      <c r="P21" s="10"/>
    </row>
    <row r="22" spans="1:16" ht="18" customHeight="1">
      <c r="A22" s="9">
        <v>14</v>
      </c>
      <c r="B22" s="89"/>
      <c r="C22" s="30">
        <f t="array" ref="C22">IFERROR(INDEX(#REF!,MATCH(1,($A22=#REF!)*(#REF!=#REF!),0),4),0)</f>
        <v>0</v>
      </c>
      <c r="D22" s="15">
        <f t="array" ref="D22">IFERROR(INDEX(#REF!,MATCH(1,($A22=#REF!)*(#REF!=#REF!),0),5),0)</f>
        <v>0</v>
      </c>
      <c r="E22" s="28">
        <f t="array" ref="E22">IFERROR(INDEX(#REF!,MATCH(1,($A22=#REF!)*(#REF!=#REF!),0),6),0)</f>
        <v>0</v>
      </c>
      <c r="F22" s="29">
        <f t="array" ref="F22">IFERROR(INDEX(#REF!,MATCH(1,($A22=#REF!)*(#REF!=#REF!),0),7),0)</f>
        <v>0</v>
      </c>
      <c r="G22" s="16">
        <f t="array" ref="G22">IFERROR(INDEX(#REF!,MATCH(1,($A22=#REF!)*(#REF!=#REF!),0),8),0)</f>
        <v>0</v>
      </c>
      <c r="H22" s="17">
        <f t="array" ref="H22">IFERROR(INDEX(#REF!,MATCH(1,($A22=#REF!)*(#REF!=#REF!),0),9),0)</f>
        <v>0</v>
      </c>
      <c r="I22" s="10"/>
      <c r="J22" s="10"/>
      <c r="K22" s="12"/>
      <c r="L22" s="12"/>
      <c r="M22" s="13"/>
      <c r="N22" s="13"/>
      <c r="O22" s="11"/>
      <c r="P22" s="10"/>
    </row>
    <row r="23" spans="1:16" ht="18" customHeight="1">
      <c r="A23" s="9">
        <v>15</v>
      </c>
      <c r="B23" s="89"/>
      <c r="C23" s="30">
        <f t="array" ref="C23">IFERROR(INDEX(#REF!,MATCH(1,($A23=#REF!)*(#REF!=#REF!),0),4),0)</f>
        <v>0</v>
      </c>
      <c r="D23" s="15">
        <f t="array" ref="D23">IFERROR(INDEX(#REF!,MATCH(1,($A23=#REF!)*(#REF!=#REF!),0),5),0)</f>
        <v>0</v>
      </c>
      <c r="E23" s="28">
        <f t="array" ref="E23">IFERROR(INDEX(#REF!,MATCH(1,($A23=#REF!)*(#REF!=#REF!),0),6),0)</f>
        <v>0</v>
      </c>
      <c r="F23" s="29">
        <f t="array" ref="F23">IFERROR(INDEX(#REF!,MATCH(1,($A23=#REF!)*(#REF!=#REF!),0),7),0)</f>
        <v>0</v>
      </c>
      <c r="G23" s="16">
        <f t="array" ref="G23">IFERROR(INDEX(#REF!,MATCH(1,($A23=#REF!)*(#REF!=#REF!),0),8),0)</f>
        <v>0</v>
      </c>
      <c r="H23" s="17">
        <f t="array" ref="H23">IFERROR(INDEX(#REF!,MATCH(1,($A23=#REF!)*(#REF!=#REF!),0),9),0)</f>
        <v>0</v>
      </c>
      <c r="I23" s="10"/>
      <c r="J23" s="10"/>
      <c r="K23" s="12"/>
      <c r="L23" s="12"/>
      <c r="M23" s="13"/>
      <c r="N23" s="13"/>
      <c r="O23" s="11"/>
      <c r="P23" s="10"/>
    </row>
    <row r="24" spans="1:16" ht="18" customHeight="1">
      <c r="A24" s="9">
        <v>16</v>
      </c>
      <c r="B24" s="89"/>
      <c r="C24" s="30">
        <f t="array" ref="C24">IFERROR(INDEX(#REF!,MATCH(1,($A24=#REF!)*(#REF!=#REF!),0),4),0)</f>
        <v>0</v>
      </c>
      <c r="D24" s="15">
        <f t="array" ref="D24">IFERROR(INDEX(#REF!,MATCH(1,($A24=#REF!)*(#REF!=#REF!),0),5),0)</f>
        <v>0</v>
      </c>
      <c r="E24" s="28">
        <f t="array" ref="E24">IFERROR(INDEX(#REF!,MATCH(1,($A24=#REF!)*(#REF!=#REF!),0),6),0)</f>
        <v>0</v>
      </c>
      <c r="F24" s="29">
        <f t="array" ref="F24">IFERROR(INDEX(#REF!,MATCH(1,($A24=#REF!)*(#REF!=#REF!),0),7),0)</f>
        <v>0</v>
      </c>
      <c r="G24" s="16">
        <f t="array" ref="G24">IFERROR(INDEX(#REF!,MATCH(1,($A24=#REF!)*(#REF!=#REF!),0),8),0)</f>
        <v>0</v>
      </c>
      <c r="H24" s="17">
        <f t="array" ref="H24">IFERROR(INDEX(#REF!,MATCH(1,($A24=#REF!)*(#REF!=#REF!),0),9),0)</f>
        <v>0</v>
      </c>
      <c r="I24" s="10"/>
      <c r="J24" s="10"/>
      <c r="K24" s="12"/>
      <c r="L24" s="12"/>
      <c r="M24" s="13"/>
      <c r="N24" s="13"/>
      <c r="O24" s="11"/>
      <c r="P24" s="10"/>
    </row>
    <row r="25" spans="1:16" ht="18" customHeight="1">
      <c r="A25" s="9">
        <v>17</v>
      </c>
      <c r="B25" s="89"/>
      <c r="C25" s="30">
        <f t="array" ref="C25">IFERROR(INDEX(#REF!,MATCH(1,($A25=#REF!)*(#REF!=#REF!),0),4),0)</f>
        <v>0</v>
      </c>
      <c r="D25" s="15">
        <f t="array" ref="D25">IFERROR(INDEX(#REF!,MATCH(1,($A25=#REF!)*(#REF!=#REF!),0),5),0)</f>
        <v>0</v>
      </c>
      <c r="E25" s="28">
        <f t="array" ref="E25">IFERROR(INDEX(#REF!,MATCH(1,($A25=#REF!)*(#REF!=#REF!),0),6),0)</f>
        <v>0</v>
      </c>
      <c r="F25" s="29">
        <f t="array" ref="F25">IFERROR(INDEX(#REF!,MATCH(1,($A25=#REF!)*(#REF!=#REF!),0),7),0)</f>
        <v>0</v>
      </c>
      <c r="G25" s="16">
        <f t="array" ref="G25">IFERROR(INDEX(#REF!,MATCH(1,($A25=#REF!)*(#REF!=#REF!),0),8),0)</f>
        <v>0</v>
      </c>
      <c r="H25" s="17">
        <f t="array" ref="H25">IFERROR(INDEX(#REF!,MATCH(1,($A25=#REF!)*(#REF!=#REF!),0),9),0)</f>
        <v>0</v>
      </c>
      <c r="I25" s="10"/>
      <c r="J25" s="10"/>
      <c r="K25" s="12"/>
      <c r="L25" s="12"/>
      <c r="M25" s="13"/>
      <c r="N25" s="13"/>
      <c r="O25" s="11"/>
      <c r="P25" s="10"/>
    </row>
    <row r="26" spans="1:16" ht="18" customHeight="1">
      <c r="A26" s="9">
        <v>18</v>
      </c>
      <c r="B26" s="89"/>
      <c r="C26" s="30">
        <f t="array" ref="C26">IFERROR(INDEX(#REF!,MATCH(1,($A26=#REF!)*(#REF!=#REF!),0),4),0)</f>
        <v>0</v>
      </c>
      <c r="D26" s="15">
        <f t="array" ref="D26">IFERROR(INDEX(#REF!,MATCH(1,($A26=#REF!)*(#REF!=#REF!),0),5),0)</f>
        <v>0</v>
      </c>
      <c r="E26" s="28">
        <f t="array" ref="E26">IFERROR(INDEX(#REF!,MATCH(1,($A26=#REF!)*(#REF!=#REF!),0),6),0)</f>
        <v>0</v>
      </c>
      <c r="F26" s="29">
        <f t="array" ref="F26">IFERROR(INDEX(#REF!,MATCH(1,($A26=#REF!)*(#REF!=#REF!),0),7),0)</f>
        <v>0</v>
      </c>
      <c r="G26" s="16">
        <f t="array" ref="G26">IFERROR(INDEX(#REF!,MATCH(1,($A26=#REF!)*(#REF!=#REF!),0),8),0)</f>
        <v>0</v>
      </c>
      <c r="H26" s="17">
        <f t="array" ref="H26">IFERROR(INDEX(#REF!,MATCH(1,($A26=#REF!)*(#REF!=#REF!),0),9),0)</f>
        <v>0</v>
      </c>
      <c r="I26" s="10"/>
      <c r="J26" s="10"/>
      <c r="K26" s="12"/>
      <c r="L26" s="12"/>
      <c r="M26" s="13"/>
      <c r="N26" s="13"/>
      <c r="O26" s="11"/>
      <c r="P26" s="10"/>
    </row>
    <row r="27" spans="1:16" ht="18" customHeight="1">
      <c r="A27" s="9">
        <v>19</v>
      </c>
      <c r="B27" s="89"/>
      <c r="C27" s="30">
        <f t="array" ref="C27">IFERROR(INDEX(#REF!,MATCH(1,($A27=#REF!)*(#REF!=#REF!),0),4),0)</f>
        <v>0</v>
      </c>
      <c r="D27" s="15">
        <f t="array" ref="D27">IFERROR(INDEX(#REF!,MATCH(1,($A27=#REF!)*(#REF!=#REF!),0),5),0)</f>
        <v>0</v>
      </c>
      <c r="E27" s="28">
        <f t="array" ref="E27">IFERROR(INDEX(#REF!,MATCH(1,($A27=#REF!)*(#REF!=#REF!),0),6),0)</f>
        <v>0</v>
      </c>
      <c r="F27" s="29">
        <f t="array" ref="F27">IFERROR(INDEX(#REF!,MATCH(1,($A27=#REF!)*(#REF!=#REF!),0),7),0)</f>
        <v>0</v>
      </c>
      <c r="G27" s="16">
        <f t="array" ref="G27">IFERROR(INDEX(#REF!,MATCH(1,($A27=#REF!)*(#REF!=#REF!),0),8),0)</f>
        <v>0</v>
      </c>
      <c r="H27" s="17">
        <f t="array" ref="H27">IFERROR(INDEX(#REF!,MATCH(1,($A27=#REF!)*(#REF!=#REF!),0),9),0)</f>
        <v>0</v>
      </c>
      <c r="I27" s="10"/>
      <c r="J27" s="10"/>
      <c r="K27" s="12"/>
      <c r="L27" s="12"/>
      <c r="M27" s="13"/>
      <c r="N27" s="13"/>
      <c r="O27" s="11"/>
      <c r="P27" s="10"/>
    </row>
    <row r="28" spans="1:16" ht="18" customHeight="1">
      <c r="A28" s="9">
        <v>20</v>
      </c>
      <c r="B28" s="89"/>
      <c r="C28" s="30">
        <f t="array" ref="C28">IFERROR(INDEX(#REF!,MATCH(1,($A28=#REF!)*(#REF!=#REF!),0),4),0)</f>
        <v>0</v>
      </c>
      <c r="D28" s="15">
        <f t="array" ref="D28">IFERROR(INDEX(#REF!,MATCH(1,($A28=#REF!)*(#REF!=#REF!),0),5),0)</f>
        <v>0</v>
      </c>
      <c r="E28" s="28">
        <f t="array" ref="E28">IFERROR(INDEX(#REF!,MATCH(1,($A28=#REF!)*(#REF!=#REF!),0),6),0)</f>
        <v>0</v>
      </c>
      <c r="F28" s="29">
        <f t="array" ref="F28">IFERROR(INDEX(#REF!,MATCH(1,($A28=#REF!)*(#REF!=#REF!),0),7),0)</f>
        <v>0</v>
      </c>
      <c r="G28" s="16">
        <f t="array" ref="G28">IFERROR(INDEX(#REF!,MATCH(1,($A28=#REF!)*(#REF!=#REF!),0),8),0)</f>
        <v>0</v>
      </c>
      <c r="H28" s="17">
        <f t="array" ref="H28">IFERROR(INDEX(#REF!,MATCH(1,($A28=#REF!)*(#REF!=#REF!),0),9),0)</f>
        <v>0</v>
      </c>
      <c r="I28" s="10"/>
      <c r="J28" s="10"/>
      <c r="K28" s="12"/>
      <c r="L28" s="12"/>
      <c r="M28" s="13"/>
      <c r="N28" s="13"/>
      <c r="O28" s="11"/>
      <c r="P28" s="10"/>
    </row>
    <row r="29" spans="1:16" ht="18" customHeight="1">
      <c r="A29" s="9">
        <v>21</v>
      </c>
      <c r="B29" s="89"/>
      <c r="C29" s="30">
        <f t="array" ref="C29">IFERROR(INDEX(#REF!,MATCH(1,($A29=#REF!)*(#REF!=#REF!),0),4),0)</f>
        <v>0</v>
      </c>
      <c r="D29" s="15">
        <f t="array" ref="D29">IFERROR(INDEX(#REF!,MATCH(1,($A29=#REF!)*(#REF!=#REF!),0),5),0)</f>
        <v>0</v>
      </c>
      <c r="E29" s="28">
        <f t="array" ref="E29">IFERROR(INDEX(#REF!,MATCH(1,($A29=#REF!)*(#REF!=#REF!),0),6),0)</f>
        <v>0</v>
      </c>
      <c r="F29" s="29">
        <f t="array" ref="F29">IFERROR(INDEX(#REF!,MATCH(1,($A29=#REF!)*(#REF!=#REF!),0),7),0)</f>
        <v>0</v>
      </c>
      <c r="G29" s="16">
        <f t="array" ref="G29">IFERROR(INDEX(#REF!,MATCH(1,($A29=#REF!)*(#REF!=#REF!),0),8),0)</f>
        <v>0</v>
      </c>
      <c r="H29" s="17">
        <f t="array" ref="H29">IFERROR(INDEX(#REF!,MATCH(1,($A29=#REF!)*(#REF!=#REF!),0),9),0)</f>
        <v>0</v>
      </c>
      <c r="I29" s="10"/>
      <c r="J29" s="10"/>
      <c r="K29" s="12"/>
      <c r="L29" s="12"/>
      <c r="M29" s="13"/>
      <c r="N29" s="13"/>
      <c r="O29" s="11"/>
      <c r="P29" s="10"/>
    </row>
    <row r="30" spans="1:16" ht="18" customHeight="1">
      <c r="A30" s="9">
        <v>22</v>
      </c>
      <c r="B30" s="89"/>
      <c r="C30" s="30">
        <f t="array" ref="C30">IFERROR(INDEX(#REF!,MATCH(1,($A30=#REF!)*(#REF!=#REF!),0),4),0)</f>
        <v>0</v>
      </c>
      <c r="D30" s="15">
        <f t="array" ref="D30">IFERROR(INDEX(#REF!,MATCH(1,($A30=#REF!)*(#REF!=#REF!),0),5),0)</f>
        <v>0</v>
      </c>
      <c r="E30" s="28">
        <f t="array" ref="E30">IFERROR(INDEX(#REF!,MATCH(1,($A30=#REF!)*(#REF!=#REF!),0),6),0)</f>
        <v>0</v>
      </c>
      <c r="F30" s="29">
        <f t="array" ref="F30">IFERROR(INDEX(#REF!,MATCH(1,($A30=#REF!)*(#REF!=#REF!),0),7),0)</f>
        <v>0</v>
      </c>
      <c r="G30" s="16">
        <f t="array" ref="G30">IFERROR(INDEX(#REF!,MATCH(1,($A30=#REF!)*(#REF!=#REF!),0),8),0)</f>
        <v>0</v>
      </c>
      <c r="H30" s="17">
        <f t="array" ref="H30">IFERROR(INDEX(#REF!,MATCH(1,($A30=#REF!)*(#REF!=#REF!),0),9),0)</f>
        <v>0</v>
      </c>
      <c r="I30" s="10"/>
      <c r="J30" s="10"/>
      <c r="K30" s="12"/>
      <c r="L30" s="12"/>
      <c r="M30" s="13"/>
      <c r="N30" s="13"/>
      <c r="O30" s="11"/>
      <c r="P30" s="10"/>
    </row>
    <row r="31" spans="1:16" ht="18" customHeight="1">
      <c r="A31" s="9">
        <v>23</v>
      </c>
      <c r="B31" s="89"/>
      <c r="C31" s="30">
        <f t="array" ref="C31">IFERROR(INDEX(#REF!,MATCH(1,($A31=#REF!)*(#REF!=#REF!),0),4),0)</f>
        <v>0</v>
      </c>
      <c r="D31" s="15">
        <f t="array" ref="D31">IFERROR(INDEX(#REF!,MATCH(1,($A31=#REF!)*(#REF!=#REF!),0),5),0)</f>
        <v>0</v>
      </c>
      <c r="E31" s="28">
        <f t="array" ref="E31">IFERROR(INDEX(#REF!,MATCH(1,($A31=#REF!)*(#REF!=#REF!),0),6),0)</f>
        <v>0</v>
      </c>
      <c r="F31" s="29">
        <f t="array" ref="F31">IFERROR(INDEX(#REF!,MATCH(1,($A31=#REF!)*(#REF!=#REF!),0),7),0)</f>
        <v>0</v>
      </c>
      <c r="G31" s="16">
        <f t="array" ref="G31">IFERROR(INDEX(#REF!,MATCH(1,($A31=#REF!)*(#REF!=#REF!),0),8),0)</f>
        <v>0</v>
      </c>
      <c r="H31" s="17">
        <f t="array" ref="H31">IFERROR(INDEX(#REF!,MATCH(1,($A31=#REF!)*(#REF!=#REF!),0),9),0)</f>
        <v>0</v>
      </c>
      <c r="I31" s="10"/>
      <c r="J31" s="10"/>
      <c r="K31" s="12"/>
      <c r="L31" s="12"/>
      <c r="M31" s="13"/>
      <c r="N31" s="13"/>
      <c r="O31" s="11"/>
      <c r="P31" s="10"/>
    </row>
    <row r="32" spans="1:16" ht="18" customHeight="1">
      <c r="A32" s="9">
        <v>24</v>
      </c>
      <c r="B32" s="89"/>
      <c r="C32" s="30">
        <f t="array" ref="C32">IFERROR(INDEX(#REF!,MATCH(1,($A32=#REF!)*(#REF!=#REF!),0),4),0)</f>
        <v>0</v>
      </c>
      <c r="D32" s="15">
        <f t="array" ref="D32">IFERROR(INDEX(#REF!,MATCH(1,($A32=#REF!)*(#REF!=#REF!),0),5),0)</f>
        <v>0</v>
      </c>
      <c r="E32" s="28">
        <f t="array" ref="E32">IFERROR(INDEX(#REF!,MATCH(1,($A32=#REF!)*(#REF!=#REF!),0),6),0)</f>
        <v>0</v>
      </c>
      <c r="F32" s="29">
        <f t="array" ref="F32">IFERROR(INDEX(#REF!,MATCH(1,($A32=#REF!)*(#REF!=#REF!),0),7),0)</f>
        <v>0</v>
      </c>
      <c r="G32" s="16">
        <f t="array" ref="G32">IFERROR(INDEX(#REF!,MATCH(1,($A32=#REF!)*(#REF!=#REF!),0),8),0)</f>
        <v>0</v>
      </c>
      <c r="H32" s="17">
        <f t="array" ref="H32">IFERROR(INDEX(#REF!,MATCH(1,($A32=#REF!)*(#REF!=#REF!),0),9),0)</f>
        <v>0</v>
      </c>
      <c r="I32" s="10"/>
      <c r="J32" s="10"/>
      <c r="K32" s="12"/>
      <c r="L32" s="12"/>
      <c r="M32" s="13"/>
      <c r="N32" s="13"/>
      <c r="O32" s="11"/>
      <c r="P32" s="10"/>
    </row>
    <row r="33" spans="1:16" ht="18" customHeight="1">
      <c r="A33" s="9">
        <v>25</v>
      </c>
      <c r="B33" s="89"/>
      <c r="C33" s="30">
        <f t="array" ref="C33">IFERROR(INDEX(#REF!,MATCH(1,($A33=#REF!)*(#REF!=#REF!),0),4),0)</f>
        <v>0</v>
      </c>
      <c r="D33" s="15">
        <f t="array" ref="D33">IFERROR(INDEX(#REF!,MATCH(1,($A33=#REF!)*(#REF!=#REF!),0),5),0)</f>
        <v>0</v>
      </c>
      <c r="E33" s="28">
        <f t="array" ref="E33">IFERROR(INDEX(#REF!,MATCH(1,($A33=#REF!)*(#REF!=#REF!),0),6),0)</f>
        <v>0</v>
      </c>
      <c r="F33" s="29">
        <f t="array" ref="F33">IFERROR(INDEX(#REF!,MATCH(1,($A33=#REF!)*(#REF!=#REF!),0),7),0)</f>
        <v>0</v>
      </c>
      <c r="G33" s="16">
        <f t="array" ref="G33">IFERROR(INDEX(#REF!,MATCH(1,($A33=#REF!)*(#REF!=#REF!),0),8),0)</f>
        <v>0</v>
      </c>
      <c r="H33" s="17">
        <f t="array" ref="H33">IFERROR(INDEX(#REF!,MATCH(1,($A33=#REF!)*(#REF!=#REF!),0),9),0)</f>
        <v>0</v>
      </c>
      <c r="I33" s="10"/>
      <c r="J33" s="10"/>
      <c r="K33" s="12"/>
      <c r="L33" s="12"/>
      <c r="M33" s="13"/>
      <c r="N33" s="13"/>
      <c r="O33" s="11"/>
      <c r="P33" s="10"/>
    </row>
    <row r="34" spans="1:16" ht="18" customHeight="1">
      <c r="A34" s="9">
        <v>26</v>
      </c>
      <c r="B34" s="89"/>
      <c r="C34" s="30">
        <f t="array" ref="C34">IFERROR(INDEX(#REF!,MATCH(1,($A34=#REF!)*(#REF!=#REF!),0),4),0)</f>
        <v>0</v>
      </c>
      <c r="D34" s="15">
        <f t="array" ref="D34">IFERROR(INDEX(#REF!,MATCH(1,($A34=#REF!)*(#REF!=#REF!),0),5),0)</f>
        <v>0</v>
      </c>
      <c r="E34" s="28">
        <f t="array" ref="E34">IFERROR(INDEX(#REF!,MATCH(1,($A34=#REF!)*(#REF!=#REF!),0),6),0)</f>
        <v>0</v>
      </c>
      <c r="F34" s="29">
        <f t="array" ref="F34">IFERROR(INDEX(#REF!,MATCH(1,($A34=#REF!)*(#REF!=#REF!),0),7),0)</f>
        <v>0</v>
      </c>
      <c r="G34" s="16">
        <f t="array" ref="G34">IFERROR(INDEX(#REF!,MATCH(1,($A34=#REF!)*(#REF!=#REF!),0),8),0)</f>
        <v>0</v>
      </c>
      <c r="H34" s="17">
        <f t="array" ref="H34">IFERROR(INDEX(#REF!,MATCH(1,($A34=#REF!)*(#REF!=#REF!),0),9),0)</f>
        <v>0</v>
      </c>
      <c r="I34" s="10"/>
      <c r="J34" s="10"/>
      <c r="K34" s="12"/>
      <c r="L34" s="12"/>
      <c r="M34" s="13"/>
      <c r="N34" s="13"/>
      <c r="O34" s="11"/>
      <c r="P34" s="10"/>
    </row>
    <row r="35" spans="1:16" ht="18" customHeight="1">
      <c r="A35" s="9">
        <v>27</v>
      </c>
      <c r="B35" s="89"/>
      <c r="C35" s="30">
        <f t="array" ref="C35">IFERROR(INDEX(#REF!,MATCH(1,($A35=#REF!)*(#REF!=#REF!),0),4),0)</f>
        <v>0</v>
      </c>
      <c r="D35" s="15">
        <f t="array" ref="D35">IFERROR(INDEX(#REF!,MATCH(1,($A35=#REF!)*(#REF!=#REF!),0),5),0)</f>
        <v>0</v>
      </c>
      <c r="E35" s="28">
        <f t="array" ref="E35">IFERROR(INDEX(#REF!,MATCH(1,($A35=#REF!)*(#REF!=#REF!),0),6),0)</f>
        <v>0</v>
      </c>
      <c r="F35" s="29">
        <f t="array" ref="F35">IFERROR(INDEX(#REF!,MATCH(1,($A35=#REF!)*(#REF!=#REF!),0),7),0)</f>
        <v>0</v>
      </c>
      <c r="G35" s="16">
        <f t="array" ref="G35">IFERROR(INDEX(#REF!,MATCH(1,($A35=#REF!)*(#REF!=#REF!),0),8),0)</f>
        <v>0</v>
      </c>
      <c r="H35" s="17">
        <f t="array" ref="H35">IFERROR(INDEX(#REF!,MATCH(1,($A35=#REF!)*(#REF!=#REF!),0),9),0)</f>
        <v>0</v>
      </c>
      <c r="I35" s="10"/>
      <c r="J35" s="10"/>
      <c r="K35" s="12"/>
      <c r="L35" s="12"/>
      <c r="M35" s="13"/>
      <c r="N35" s="13"/>
      <c r="O35" s="11"/>
      <c r="P35" s="10"/>
    </row>
    <row r="36" spans="1:16" ht="18" customHeight="1">
      <c r="A36" s="9">
        <v>28</v>
      </c>
      <c r="B36" s="89"/>
      <c r="C36" s="30">
        <f t="array" ref="C36">IFERROR(INDEX(#REF!,MATCH(1,($A36=#REF!)*(#REF!=#REF!),0),4),0)</f>
        <v>0</v>
      </c>
      <c r="D36" s="15">
        <f t="array" ref="D36">IFERROR(INDEX(#REF!,MATCH(1,($A36=#REF!)*(#REF!=#REF!),0),5),0)</f>
        <v>0</v>
      </c>
      <c r="E36" s="28">
        <f t="array" ref="E36">IFERROR(INDEX(#REF!,MATCH(1,($A36=#REF!)*(#REF!=#REF!),0),6),0)</f>
        <v>0</v>
      </c>
      <c r="F36" s="29">
        <f t="array" ref="F36">IFERROR(INDEX(#REF!,MATCH(1,($A36=#REF!)*(#REF!=#REF!),0),7),0)</f>
        <v>0</v>
      </c>
      <c r="G36" s="16">
        <f t="array" ref="G36">IFERROR(INDEX(#REF!,MATCH(1,($A36=#REF!)*(#REF!=#REF!),0),8),0)</f>
        <v>0</v>
      </c>
      <c r="H36" s="17">
        <f t="array" ref="H36">IFERROR(INDEX(#REF!,MATCH(1,($A36=#REF!)*(#REF!=#REF!),0),9),0)</f>
        <v>0</v>
      </c>
      <c r="I36" s="10"/>
      <c r="J36" s="10"/>
      <c r="K36" s="12"/>
      <c r="L36" s="12"/>
      <c r="M36" s="13"/>
      <c r="N36" s="13"/>
      <c r="O36" s="11"/>
      <c r="P36" s="10"/>
    </row>
    <row r="37" spans="1:16" ht="18" customHeight="1">
      <c r="A37" s="9">
        <v>29</v>
      </c>
      <c r="B37" s="89"/>
      <c r="C37" s="30">
        <f t="array" ref="C37">IFERROR(INDEX(#REF!,MATCH(1,($A37=#REF!)*(#REF!=#REF!),0),4),0)</f>
        <v>0</v>
      </c>
      <c r="D37" s="15">
        <f t="array" ref="D37">IFERROR(INDEX(#REF!,MATCH(1,($A37=#REF!)*(#REF!=#REF!),0),5),0)</f>
        <v>0</v>
      </c>
      <c r="E37" s="28">
        <f t="array" ref="E37">IFERROR(INDEX(#REF!,MATCH(1,($A37=#REF!)*(#REF!=#REF!),0),6),0)</f>
        <v>0</v>
      </c>
      <c r="F37" s="29">
        <f t="array" ref="F37">IFERROR(INDEX(#REF!,MATCH(1,($A37=#REF!)*(#REF!=#REF!),0),7),0)</f>
        <v>0</v>
      </c>
      <c r="G37" s="16">
        <f t="array" ref="G37">IFERROR(INDEX(#REF!,MATCH(1,($A37=#REF!)*(#REF!=#REF!),0),8),0)</f>
        <v>0</v>
      </c>
      <c r="H37" s="17">
        <f t="array" ref="H37">IFERROR(INDEX(#REF!,MATCH(1,($A37=#REF!)*(#REF!=#REF!),0),9),0)</f>
        <v>0</v>
      </c>
      <c r="I37" s="10"/>
      <c r="J37" s="10"/>
      <c r="K37" s="12"/>
      <c r="L37" s="12"/>
      <c r="M37" s="13"/>
      <c r="N37" s="13"/>
      <c r="O37" s="11"/>
      <c r="P37" s="10"/>
    </row>
    <row r="38" spans="1:16" ht="18" customHeight="1">
      <c r="A38" s="9">
        <v>30</v>
      </c>
      <c r="B38" s="89"/>
      <c r="C38" s="30">
        <f t="array" ref="C38">IFERROR(INDEX(#REF!,MATCH(1,($A38=#REF!)*(#REF!=#REF!),0),4),0)</f>
        <v>0</v>
      </c>
      <c r="D38" s="15">
        <f t="array" ref="D38">IFERROR(INDEX(#REF!,MATCH(1,($A38=#REF!)*(#REF!=#REF!),0),5),0)</f>
        <v>0</v>
      </c>
      <c r="E38" s="28">
        <f t="array" ref="E38">IFERROR(INDEX(#REF!,MATCH(1,($A38=#REF!)*(#REF!=#REF!),0),6),0)</f>
        <v>0</v>
      </c>
      <c r="F38" s="29">
        <f t="array" ref="F38">IFERROR(INDEX(#REF!,MATCH(1,($A38=#REF!)*(#REF!=#REF!),0),7),0)</f>
        <v>0</v>
      </c>
      <c r="G38" s="16">
        <f t="array" ref="G38">IFERROR(INDEX(#REF!,MATCH(1,($A38=#REF!)*(#REF!=#REF!),0),8),0)</f>
        <v>0</v>
      </c>
      <c r="H38" s="17">
        <f t="array" ref="H38">IFERROR(INDEX(#REF!,MATCH(1,($A38=#REF!)*(#REF!=#REF!),0),9),0)</f>
        <v>0</v>
      </c>
      <c r="I38" s="10"/>
      <c r="J38" s="10"/>
      <c r="K38" s="12"/>
      <c r="L38" s="12"/>
      <c r="M38" s="13"/>
      <c r="N38" s="13"/>
      <c r="O38" s="11"/>
      <c r="P38" s="10"/>
    </row>
    <row r="39" spans="1:16" ht="18" customHeight="1">
      <c r="A39" s="9">
        <v>31</v>
      </c>
      <c r="B39" s="89"/>
      <c r="C39" s="30">
        <f t="array" ref="C39">IFERROR(INDEX(#REF!,MATCH(1,($A39=#REF!)*(#REF!=#REF!),0),4),0)</f>
        <v>0</v>
      </c>
      <c r="D39" s="15">
        <f t="array" ref="D39">IFERROR(INDEX(#REF!,MATCH(1,($A39=#REF!)*(#REF!=#REF!),0),5),0)</f>
        <v>0</v>
      </c>
      <c r="E39" s="28">
        <f t="array" ref="E39">IFERROR(INDEX(#REF!,MATCH(1,($A39=#REF!)*(#REF!=#REF!),0),6),0)</f>
        <v>0</v>
      </c>
      <c r="F39" s="29">
        <f t="array" ref="F39">IFERROR(INDEX(#REF!,MATCH(1,($A39=#REF!)*(#REF!=#REF!),0),7),0)</f>
        <v>0</v>
      </c>
      <c r="G39" s="16">
        <f t="array" ref="G39">IFERROR(INDEX(#REF!,MATCH(1,($A39=#REF!)*(#REF!=#REF!),0),8),0)</f>
        <v>0</v>
      </c>
      <c r="H39" s="17">
        <f t="array" ref="H39">IFERROR(INDEX(#REF!,MATCH(1,($A39=#REF!)*(#REF!=#REF!),0),9),0)</f>
        <v>0</v>
      </c>
      <c r="I39" s="10"/>
      <c r="J39" s="10"/>
      <c r="K39" s="12"/>
      <c r="L39" s="12"/>
      <c r="M39" s="13"/>
      <c r="N39" s="13"/>
      <c r="O39" s="11"/>
      <c r="P39" s="10"/>
    </row>
    <row r="40" spans="1:16" ht="18" customHeight="1">
      <c r="A40" s="9">
        <v>32</v>
      </c>
      <c r="B40" s="89"/>
      <c r="C40" s="30">
        <f t="array" ref="C40">IFERROR(INDEX(#REF!,MATCH(1,($A40=#REF!)*(#REF!=#REF!),0),4),0)</f>
        <v>0</v>
      </c>
      <c r="D40" s="15">
        <f t="array" ref="D40">IFERROR(INDEX(#REF!,MATCH(1,($A40=#REF!)*(#REF!=#REF!),0),5),0)</f>
        <v>0</v>
      </c>
      <c r="E40" s="28">
        <f t="array" ref="E40">IFERROR(INDEX(#REF!,MATCH(1,($A40=#REF!)*(#REF!=#REF!),0),6),0)</f>
        <v>0</v>
      </c>
      <c r="F40" s="29">
        <f t="array" ref="F40">IFERROR(INDEX(#REF!,MATCH(1,($A40=#REF!)*(#REF!=#REF!),0),7),0)</f>
        <v>0</v>
      </c>
      <c r="G40" s="16">
        <f t="array" ref="G40">IFERROR(INDEX(#REF!,MATCH(1,($A40=#REF!)*(#REF!=#REF!),0),8),0)</f>
        <v>0</v>
      </c>
      <c r="H40" s="17">
        <f t="array" ref="H40">IFERROR(INDEX(#REF!,MATCH(1,($A40=#REF!)*(#REF!=#REF!),0),9),0)</f>
        <v>0</v>
      </c>
      <c r="I40" s="10"/>
      <c r="J40" s="10"/>
      <c r="K40" s="12"/>
      <c r="L40" s="12"/>
      <c r="M40" s="13"/>
      <c r="N40" s="13"/>
      <c r="O40" s="11"/>
      <c r="P40" s="10"/>
    </row>
    <row r="41" spans="1:16" ht="20" customHeight="1">
      <c r="A41" s="56" t="s">
        <v>12</v>
      </c>
      <c r="B41" s="57"/>
      <c r="C41" s="57"/>
      <c r="D41" s="57"/>
      <c r="E41" s="57"/>
      <c r="F41" s="57"/>
      <c r="G41" s="57"/>
      <c r="H41" s="58"/>
      <c r="I41" s="4"/>
      <c r="J41" s="4"/>
      <c r="K41" s="4"/>
      <c r="L41" s="4"/>
      <c r="M41" s="4"/>
      <c r="N41" s="4"/>
      <c r="O41" s="4"/>
      <c r="P41" s="4"/>
    </row>
    <row r="42" spans="1:16" ht="22" customHeight="1">
      <c r="A42" s="61" t="s">
        <v>5</v>
      </c>
      <c r="B42" s="62"/>
      <c r="C42" s="62"/>
      <c r="D42" s="62"/>
      <c r="E42" s="62"/>
      <c r="F42" s="62"/>
      <c r="G42" s="62"/>
      <c r="H42" s="63"/>
      <c r="I42" s="66" t="s">
        <v>6</v>
      </c>
      <c r="J42" s="66"/>
      <c r="K42" s="66" t="s">
        <v>6</v>
      </c>
      <c r="L42" s="66"/>
      <c r="M42" s="66" t="s">
        <v>6</v>
      </c>
      <c r="N42" s="66"/>
      <c r="O42" s="66" t="s">
        <v>6</v>
      </c>
      <c r="P42" s="66"/>
    </row>
  </sheetData>
  <autoFilter ref="A8:P42" xr:uid="{00000000-0009-0000-0000-000000000000}"/>
  <mergeCells count="27">
    <mergeCell ref="A1:F1"/>
    <mergeCell ref="K1:P1"/>
    <mergeCell ref="A2:F2"/>
    <mergeCell ref="K2:P2"/>
    <mergeCell ref="M7:N7"/>
    <mergeCell ref="C6:C8"/>
    <mergeCell ref="J4:L4"/>
    <mergeCell ref="N4:O4"/>
    <mergeCell ref="F6:F8"/>
    <mergeCell ref="H6:H8"/>
    <mergeCell ref="B6:B8"/>
    <mergeCell ref="A41:H41"/>
    <mergeCell ref="A4:H4"/>
    <mergeCell ref="A3:P3"/>
    <mergeCell ref="A42:H42"/>
    <mergeCell ref="A6:A8"/>
    <mergeCell ref="D6:D8"/>
    <mergeCell ref="G6:G8"/>
    <mergeCell ref="I42:J42"/>
    <mergeCell ref="K42:L42"/>
    <mergeCell ref="E6:E8"/>
    <mergeCell ref="M42:N42"/>
    <mergeCell ref="O42:P42"/>
    <mergeCell ref="I6:P6"/>
    <mergeCell ref="I7:J7"/>
    <mergeCell ref="K7:L7"/>
    <mergeCell ref="O7:P7"/>
  </mergeCells>
  <phoneticPr fontId="14" type="noConversion"/>
  <conditionalFormatting sqref="A3:B5">
    <cfRule type="expression" priority="250" stopIfTrue="1">
      <formula>#REF!="NgiH"</formula>
    </cfRule>
  </conditionalFormatting>
  <conditionalFormatting sqref="A9:H40 Q9:IO41 I42:IO42 A41:B42">
    <cfRule type="expression" dxfId="12" priority="6" stopIfTrue="1">
      <formula>$H9="HN"</formula>
    </cfRule>
  </conditionalFormatting>
  <conditionalFormatting sqref="A1:P1 G2:P2">
    <cfRule type="expression" priority="1374" stopIfTrue="1">
      <formula>#REF!="NgiH"</formula>
    </cfRule>
  </conditionalFormatting>
  <conditionalFormatting sqref="A9:P41">
    <cfRule type="expression" dxfId="11" priority="1379" stopIfTrue="1">
      <formula>#REF!="NgiH"</formula>
    </cfRule>
  </conditionalFormatting>
  <conditionalFormatting sqref="A43:IO65536">
    <cfRule type="expression" priority="1376" stopIfTrue="1">
      <formula>#REF!="NgiH"</formula>
    </cfRule>
  </conditionalFormatting>
  <conditionalFormatting sqref="C6:C8">
    <cfRule type="expression" dxfId="10" priority="25" stopIfTrue="1">
      <formula>$H9="HN"</formula>
    </cfRule>
  </conditionalFormatting>
  <conditionalFormatting sqref="H1:H2">
    <cfRule type="expression" dxfId="9" priority="1354" stopIfTrue="1">
      <formula>$H9="Khuyết tật"</formula>
    </cfRule>
  </conditionalFormatting>
  <conditionalFormatting sqref="H43:H65536">
    <cfRule type="expression" dxfId="8" priority="580" stopIfTrue="1">
      <formula>$G51="Khuyết tật"</formula>
    </cfRule>
  </conditionalFormatting>
  <conditionalFormatting sqref="I41:P41">
    <cfRule type="expression" dxfId="7" priority="1359" stopIfTrue="1">
      <formula>$H41="HN"</formula>
    </cfRule>
  </conditionalFormatting>
  <conditionalFormatting sqref="L5">
    <cfRule type="expression" dxfId="6" priority="1385" stopIfTrue="1">
      <formula>$P5="NgiH"</formula>
    </cfRule>
    <cfRule type="expression" dxfId="5" priority="1386" stopIfTrue="1">
      <formula>#REF!="HP"</formula>
    </cfRule>
  </conditionalFormatting>
  <conditionalFormatting sqref="P4">
    <cfRule type="expression" dxfId="4" priority="1387" stopIfTrue="1">
      <formula>#REF!="HP"</formula>
    </cfRule>
    <cfRule type="expression" dxfId="3" priority="1388" stopIfTrue="1">
      <formula>$P5="NgiH"</formula>
    </cfRule>
  </conditionalFormatting>
  <conditionalFormatting sqref="P5">
    <cfRule type="expression" dxfId="2" priority="1389" stopIfTrue="1">
      <formula>#REF!="NgiH"</formula>
    </cfRule>
    <cfRule type="expression" dxfId="1" priority="1390" stopIfTrue="1">
      <formula>#REF!="HP"</formula>
    </cfRule>
  </conditionalFormatting>
  <conditionalFormatting sqref="Q1:IO8 A2:F2">
    <cfRule type="expression" priority="3" stopIfTrue="1">
      <formula>#REF!="NgiH"</formula>
    </cfRule>
  </conditionalFormatting>
  <conditionalFormatting sqref="Q9:IO41 I42:IO42 I41:P41 A41:B42">
    <cfRule type="expression" dxfId="0" priority="1358" stopIfTrue="1">
      <formula>#REF!="NgiH"</formula>
    </cfRule>
  </conditionalFormatting>
  <printOptions horizontalCentered="1"/>
  <pageMargins left="0.47" right="0.24" top="0.17" bottom="0.17" header="0.18" footer="0.17"/>
  <pageSetup paperSize="9" scale="7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3B31-1106-7349-9641-F8B67048F895}">
  <sheetPr>
    <tabColor rgb="FFFFFF00"/>
  </sheetPr>
  <dimension ref="A1:AA15"/>
  <sheetViews>
    <sheetView view="pageBreakPreview" zoomScaleNormal="100" zoomScaleSheetLayoutView="100" workbookViewId="0">
      <selection activeCell="AD19" sqref="AD19"/>
    </sheetView>
  </sheetViews>
  <sheetFormatPr baseColWidth="10" defaultColWidth="9" defaultRowHeight="20"/>
  <cols>
    <col min="1" max="2" width="8.6640625" style="33" customWidth="1"/>
    <col min="3" max="3" width="1.6640625" style="33" customWidth="1"/>
    <col min="4" max="5" width="8.6640625" style="33" customWidth="1"/>
    <col min="6" max="7" width="1.1640625" style="33" customWidth="1"/>
    <col min="8" max="9" width="8.6640625" style="33" customWidth="1"/>
    <col min="10" max="10" width="1.6640625" style="33" customWidth="1"/>
    <col min="11" max="12" width="8.6640625" style="33" customWidth="1"/>
    <col min="13" max="14" width="1.1640625" style="33" customWidth="1"/>
    <col min="15" max="16" width="8.6640625" style="33" customWidth="1"/>
    <col min="17" max="17" width="1.6640625" style="33" customWidth="1"/>
    <col min="18" max="19" width="8.6640625" style="33" customWidth="1"/>
    <col min="20" max="21" width="1.1640625" style="33" customWidth="1"/>
    <col min="22" max="23" width="8.6640625" style="33" customWidth="1"/>
    <col min="24" max="24" width="1.6640625" style="33" customWidth="1"/>
    <col min="25" max="26" width="8.6640625" style="33" customWidth="1"/>
    <col min="27" max="27" width="3.83203125" style="33" customWidth="1"/>
    <col min="28" max="249" width="11" style="33" customWidth="1"/>
    <col min="250" max="16384" width="9" style="33"/>
  </cols>
  <sheetData>
    <row r="1" spans="1:27">
      <c r="A1" s="85" t="e">
        <f>VLOOKUP(#REF!,'[1]1_Coppy_Tke Pthi dan'!$A$18:$S$165,19,0)</f>
        <v>#REF!</v>
      </c>
      <c r="B1" s="85"/>
      <c r="C1" s="85"/>
      <c r="D1" s="85"/>
      <c r="E1" s="85"/>
      <c r="F1" s="32"/>
      <c r="H1" s="85" t="e">
        <f>A1</f>
        <v>#REF!</v>
      </c>
      <c r="I1" s="85"/>
      <c r="J1" s="85"/>
      <c r="K1" s="85"/>
      <c r="L1" s="85"/>
      <c r="M1" s="34"/>
      <c r="N1" s="31"/>
      <c r="O1" s="85" t="e">
        <f>H1</f>
        <v>#REF!</v>
      </c>
      <c r="P1" s="85"/>
      <c r="Q1" s="85"/>
      <c r="R1" s="85"/>
      <c r="S1" s="85"/>
      <c r="T1" s="32"/>
      <c r="V1" s="85" t="e">
        <f>O1</f>
        <v>#REF!</v>
      </c>
      <c r="W1" s="85"/>
      <c r="X1" s="85"/>
      <c r="Y1" s="85"/>
      <c r="Z1" s="85"/>
      <c r="AA1" s="31"/>
    </row>
    <row r="2" spans="1:27" ht="18" customHeight="1">
      <c r="A2" s="87" t="s">
        <v>19</v>
      </c>
      <c r="B2" s="87"/>
      <c r="C2" s="87"/>
      <c r="D2" s="87"/>
      <c r="E2" s="87"/>
      <c r="F2" s="88"/>
      <c r="G2" s="38"/>
      <c r="H2" s="87" t="str">
        <f>$A$2</f>
        <v>Sơ đồ chỗ ngồi</v>
      </c>
      <c r="I2" s="87"/>
      <c r="J2" s="87"/>
      <c r="K2" s="87"/>
      <c r="L2" s="87"/>
      <c r="M2" s="37"/>
      <c r="N2" s="36"/>
      <c r="O2" s="87" t="str">
        <f>$A$2</f>
        <v>Sơ đồ chỗ ngồi</v>
      </c>
      <c r="P2" s="87"/>
      <c r="Q2" s="87"/>
      <c r="R2" s="87"/>
      <c r="S2" s="87"/>
      <c r="T2" s="88"/>
      <c r="U2" s="38"/>
      <c r="V2" s="87" t="str">
        <f>$A$2</f>
        <v>Sơ đồ chỗ ngồi</v>
      </c>
      <c r="W2" s="87"/>
      <c r="X2" s="87"/>
      <c r="Y2" s="87"/>
      <c r="Z2" s="87"/>
      <c r="AA2" s="36"/>
    </row>
    <row r="3" spans="1:27" s="39" customFormat="1" ht="18.75" customHeight="1">
      <c r="A3" s="85" t="e">
        <f>VLOOKUP(#REF!,'[1]1_Coppy_Tke Pthi dan'!$A$18:$S$165,13,0)</f>
        <v>#REF!</v>
      </c>
      <c r="B3" s="85"/>
      <c r="E3" s="40" t="e">
        <f>"P. "&amp;#REF!</f>
        <v>#REF!</v>
      </c>
      <c r="F3" s="41"/>
      <c r="G3" s="42"/>
      <c r="H3" s="86" t="e">
        <f>VLOOKUP(#REF!,'[1]1_Coppy_Tke Pthi dan'!$A$18:$S$165,14,0)</f>
        <v>#REF!</v>
      </c>
      <c r="I3" s="86"/>
      <c r="L3" s="31" t="e">
        <f>E3</f>
        <v>#REF!</v>
      </c>
      <c r="M3" s="34"/>
      <c r="N3" s="31"/>
      <c r="O3" s="85" t="e">
        <f>VLOOKUP(#REF!,'[1]1_Coppy_Tke Pthi dan'!$A$18:$S$165,15,0)</f>
        <v>#REF!</v>
      </c>
      <c r="P3" s="85"/>
      <c r="S3" s="31" t="e">
        <f>L3</f>
        <v>#REF!</v>
      </c>
      <c r="T3" s="41"/>
      <c r="U3" s="42"/>
      <c r="V3" s="85" t="e">
        <f>VLOOKUP(#REF!,'[1]1_Coppy_Tke Pthi dan'!$A$18:$S$165,16,0)</f>
        <v>#REF!</v>
      </c>
      <c r="W3" s="85"/>
      <c r="Z3" s="31" t="e">
        <f>S3</f>
        <v>#REF!</v>
      </c>
      <c r="AA3" s="31"/>
    </row>
    <row r="4" spans="1:27" ht="16" customHeight="1">
      <c r="A4" s="35" t="s">
        <v>20</v>
      </c>
      <c r="E4" s="43"/>
      <c r="F4" s="44"/>
      <c r="H4" s="35" t="s">
        <v>20</v>
      </c>
      <c r="L4" s="43"/>
      <c r="M4" s="45"/>
      <c r="N4" s="43"/>
      <c r="O4" s="35" t="s">
        <v>20</v>
      </c>
      <c r="S4" s="43"/>
      <c r="T4" s="44"/>
      <c r="V4" s="35" t="s">
        <v>20</v>
      </c>
      <c r="Z4" s="43"/>
      <c r="AA4" s="43"/>
    </row>
    <row r="5" spans="1:27" ht="8" customHeight="1">
      <c r="E5" s="43"/>
      <c r="F5" s="44"/>
      <c r="L5" s="43"/>
      <c r="M5" s="45"/>
      <c r="N5" s="43"/>
      <c r="S5" s="43"/>
      <c r="T5" s="44"/>
      <c r="Z5" s="43"/>
      <c r="AA5" s="43"/>
    </row>
    <row r="6" spans="1:27" ht="16" customHeight="1">
      <c r="A6" s="46" t="e">
        <f>VLOOKUP(#REF!,'[1]1_Coppy_Tke Pthi dan'!$A$18:$S$165,17,0)</f>
        <v>#REF!</v>
      </c>
      <c r="B6" s="47" t="e">
        <f>A6+5</f>
        <v>#REF!</v>
      </c>
      <c r="C6" s="48"/>
      <c r="D6" s="47" t="e">
        <f>A6+11</f>
        <v>#REF!</v>
      </c>
      <c r="E6" s="47" t="e">
        <f>A6+17</f>
        <v>#REF!</v>
      </c>
      <c r="F6" s="49"/>
      <c r="G6" s="50"/>
      <c r="H6" s="51" t="e">
        <f>L6+17</f>
        <v>#REF!</v>
      </c>
      <c r="I6" s="47" t="e">
        <f>L6+11</f>
        <v>#REF!</v>
      </c>
      <c r="J6" s="48"/>
      <c r="K6" s="47" t="e">
        <f>L6+5</f>
        <v>#REF!</v>
      </c>
      <c r="L6" s="46" t="e">
        <f>VLOOKUP(#REF!,'[1]1_Coppy_Tke Pthi dan'!$A$18:$S$165,17,0)</f>
        <v>#REF!</v>
      </c>
      <c r="M6" s="49"/>
      <c r="N6" s="52"/>
      <c r="O6" s="53" t="e">
        <f>#REF!</f>
        <v>#REF!</v>
      </c>
      <c r="P6" s="47" t="e">
        <f>O6-1</f>
        <v>#REF!</v>
      </c>
      <c r="Q6" s="48"/>
      <c r="R6" s="47" t="e">
        <f>P6-1</f>
        <v>#REF!</v>
      </c>
      <c r="S6" s="47" t="e">
        <f>R6-1</f>
        <v>#REF!</v>
      </c>
      <c r="T6" s="49"/>
      <c r="U6" s="50"/>
      <c r="V6" s="51" t="e">
        <f>W6-1</f>
        <v>#REF!</v>
      </c>
      <c r="W6" s="47" t="e">
        <f>Y6-1</f>
        <v>#REF!</v>
      </c>
      <c r="X6" s="48"/>
      <c r="Y6" s="47" t="e">
        <f>Z6-1</f>
        <v>#REF!</v>
      </c>
      <c r="Z6" s="53" t="e">
        <f>#REF!</f>
        <v>#REF!</v>
      </c>
      <c r="AA6" s="52"/>
    </row>
    <row r="7" spans="1:27" ht="16" customHeight="1">
      <c r="A7" s="47" t="e">
        <f>A6+1</f>
        <v>#REF!</v>
      </c>
      <c r="B7" s="47" t="e">
        <f>A7+5</f>
        <v>#REF!</v>
      </c>
      <c r="C7" s="48"/>
      <c r="D7" s="47" t="e">
        <f>A7+11</f>
        <v>#REF!</v>
      </c>
      <c r="E7" s="47" t="e">
        <f>A7+17</f>
        <v>#REF!</v>
      </c>
      <c r="F7" s="49"/>
      <c r="G7" s="50"/>
      <c r="H7" s="51" t="e">
        <f>L7+17</f>
        <v>#REF!</v>
      </c>
      <c r="I7" s="47" t="e">
        <f>L7+11</f>
        <v>#REF!</v>
      </c>
      <c r="J7" s="48"/>
      <c r="K7" s="47" t="e">
        <f>L7+5</f>
        <v>#REF!</v>
      </c>
      <c r="L7" s="47" t="e">
        <f>L6+1</f>
        <v>#REF!</v>
      </c>
      <c r="M7" s="49"/>
      <c r="N7" s="52"/>
      <c r="O7" s="47" t="e">
        <f>P7-1</f>
        <v>#REF!</v>
      </c>
      <c r="P7" s="47" t="e">
        <f>R7-1</f>
        <v>#REF!</v>
      </c>
      <c r="Q7" s="48"/>
      <c r="R7" s="47" t="e">
        <f>S7-1</f>
        <v>#REF!</v>
      </c>
      <c r="S7" s="47" t="e">
        <f>S6-1</f>
        <v>#REF!</v>
      </c>
      <c r="T7" s="49"/>
      <c r="U7" s="50"/>
      <c r="V7" s="47" t="e">
        <f>V6-1</f>
        <v>#REF!</v>
      </c>
      <c r="W7" s="47" t="e">
        <f>V7-1</f>
        <v>#REF!</v>
      </c>
      <c r="X7" s="48"/>
      <c r="Y7" s="47" t="e">
        <f>W7-1</f>
        <v>#REF!</v>
      </c>
      <c r="Z7" s="47" t="e">
        <f>Y7-1</f>
        <v>#REF!</v>
      </c>
      <c r="AA7" s="52"/>
    </row>
    <row r="8" spans="1:27" ht="16" customHeight="1">
      <c r="A8" s="47" t="e">
        <f>A7+1</f>
        <v>#REF!</v>
      </c>
      <c r="B8" s="47" t="e">
        <f>A8+5</f>
        <v>#REF!</v>
      </c>
      <c r="C8" s="48"/>
      <c r="D8" s="47" t="e">
        <f>A8+11</f>
        <v>#REF!</v>
      </c>
      <c r="E8" s="47" t="e">
        <f>A8+17</f>
        <v>#REF!</v>
      </c>
      <c r="F8" s="49"/>
      <c r="G8" s="50"/>
      <c r="H8" s="51" t="e">
        <f>L8+17</f>
        <v>#REF!</v>
      </c>
      <c r="I8" s="47" t="e">
        <f>L8+11</f>
        <v>#REF!</v>
      </c>
      <c r="J8" s="48"/>
      <c r="K8" s="47" t="e">
        <f>L8+5</f>
        <v>#REF!</v>
      </c>
      <c r="L8" s="47" t="e">
        <f>L7+1</f>
        <v>#REF!</v>
      </c>
      <c r="M8" s="49"/>
      <c r="N8" s="52"/>
      <c r="O8" s="47" t="e">
        <f>O7-1</f>
        <v>#REF!</v>
      </c>
      <c r="P8" s="47" t="e">
        <f>O8-1</f>
        <v>#REF!</v>
      </c>
      <c r="Q8" s="48"/>
      <c r="R8" s="47" t="e">
        <f>P8-1</f>
        <v>#REF!</v>
      </c>
      <c r="S8" s="47" t="e">
        <f>R8-1</f>
        <v>#REF!</v>
      </c>
      <c r="T8" s="49"/>
      <c r="U8" s="50"/>
      <c r="V8" s="47" t="e">
        <f>W8-1</f>
        <v>#REF!</v>
      </c>
      <c r="W8" s="47" t="e">
        <f>Y8-1</f>
        <v>#REF!</v>
      </c>
      <c r="X8" s="48"/>
      <c r="Y8" s="47" t="e">
        <f>Z8-1</f>
        <v>#REF!</v>
      </c>
      <c r="Z8" s="47" t="e">
        <f>Z7-1</f>
        <v>#REF!</v>
      </c>
      <c r="AA8" s="52"/>
    </row>
    <row r="9" spans="1:27" ht="16" customHeight="1">
      <c r="A9" s="47" t="e">
        <f>A8+1</f>
        <v>#REF!</v>
      </c>
      <c r="B9" s="47" t="e">
        <f>A9+5</f>
        <v>#REF!</v>
      </c>
      <c r="C9" s="48"/>
      <c r="D9" s="47" t="e">
        <f>A9+11</f>
        <v>#REF!</v>
      </c>
      <c r="E9" s="47" t="e">
        <f>A9+17</f>
        <v>#REF!</v>
      </c>
      <c r="F9" s="49"/>
      <c r="G9" s="50"/>
      <c r="H9" s="51" t="e">
        <f>L9+17</f>
        <v>#REF!</v>
      </c>
      <c r="I9" s="47" t="e">
        <f>L9+11</f>
        <v>#REF!</v>
      </c>
      <c r="J9" s="48"/>
      <c r="K9" s="47" t="e">
        <f>L9+5</f>
        <v>#REF!</v>
      </c>
      <c r="L9" s="47" t="e">
        <f>L8+1</f>
        <v>#REF!</v>
      </c>
      <c r="M9" s="49"/>
      <c r="N9" s="52"/>
      <c r="O9" s="47" t="e">
        <f>P9-1</f>
        <v>#REF!</v>
      </c>
      <c r="P9" s="47" t="e">
        <f>R9-1</f>
        <v>#REF!</v>
      </c>
      <c r="Q9" s="48"/>
      <c r="R9" s="47" t="e">
        <f>S9-1</f>
        <v>#REF!</v>
      </c>
      <c r="S9" s="47" t="e">
        <f>S8-1</f>
        <v>#REF!</v>
      </c>
      <c r="T9" s="49"/>
      <c r="U9" s="50"/>
      <c r="V9" s="47" t="e">
        <f>V8-1</f>
        <v>#REF!</v>
      </c>
      <c r="W9" s="47" t="e">
        <f>V9-1</f>
        <v>#REF!</v>
      </c>
      <c r="X9" s="48"/>
      <c r="Y9" s="47" t="e">
        <f>W9-1</f>
        <v>#REF!</v>
      </c>
      <c r="Z9" s="47" t="e">
        <f>Y9-1</f>
        <v>#REF!</v>
      </c>
      <c r="AA9" s="52"/>
    </row>
    <row r="10" spans="1:27" ht="16" customHeight="1">
      <c r="A10" s="47" t="e">
        <f>A9+1</f>
        <v>#REF!</v>
      </c>
      <c r="B10" s="47" t="e">
        <f>A10+5</f>
        <v>#REF!</v>
      </c>
      <c r="C10" s="48"/>
      <c r="D10" s="47" t="e">
        <f>A10+11</f>
        <v>#REF!</v>
      </c>
      <c r="E10" s="53" t="e">
        <f>A10+17</f>
        <v>#REF!</v>
      </c>
      <c r="F10" s="49"/>
      <c r="G10" s="50"/>
      <c r="H10" s="53" t="e">
        <f>L10+17</f>
        <v>#REF!</v>
      </c>
      <c r="I10" s="47" t="e">
        <f>L10+11</f>
        <v>#REF!</v>
      </c>
      <c r="J10" s="48"/>
      <c r="K10" s="47" t="e">
        <f>L10+5</f>
        <v>#REF!</v>
      </c>
      <c r="L10" s="47" t="e">
        <f>L9+1</f>
        <v>#REF!</v>
      </c>
      <c r="M10" s="49"/>
      <c r="N10" s="52"/>
      <c r="O10" s="47" t="e">
        <f>O9-1</f>
        <v>#REF!</v>
      </c>
      <c r="P10" s="47" t="e">
        <f>O10-1</f>
        <v>#REF!</v>
      </c>
      <c r="Q10" s="48"/>
      <c r="R10" s="47" t="e">
        <f>P10-1</f>
        <v>#REF!</v>
      </c>
      <c r="S10" s="47" t="e">
        <f>R10-1</f>
        <v>#REF!</v>
      </c>
      <c r="T10" s="49"/>
      <c r="U10" s="50"/>
      <c r="V10" s="47" t="e">
        <f>W10-1</f>
        <v>#REF!</v>
      </c>
      <c r="W10" s="47" t="e">
        <f>Y10-1</f>
        <v>#REF!</v>
      </c>
      <c r="X10" s="48"/>
      <c r="Y10" s="47" t="e">
        <f>Z10-1</f>
        <v>#REF!</v>
      </c>
      <c r="Z10" s="47" t="e">
        <f>Z9-1</f>
        <v>#REF!</v>
      </c>
      <c r="AA10" s="52"/>
    </row>
    <row r="11" spans="1:27" ht="16" customHeight="1">
      <c r="A11" s="47"/>
      <c r="B11" s="47" t="e">
        <f>B10+1</f>
        <v>#REF!</v>
      </c>
      <c r="C11" s="48"/>
      <c r="D11" s="47" t="e">
        <f>D10+1</f>
        <v>#REF!</v>
      </c>
      <c r="E11" s="47"/>
      <c r="F11" s="49"/>
      <c r="G11" s="50"/>
      <c r="H11" s="51"/>
      <c r="I11" s="47" t="e">
        <f>I10+1</f>
        <v>#REF!</v>
      </c>
      <c r="J11" s="48"/>
      <c r="K11" s="47" t="e">
        <f>K10+1</f>
        <v>#REF!</v>
      </c>
      <c r="L11" s="47"/>
      <c r="M11" s="49"/>
      <c r="N11" s="52"/>
      <c r="O11" s="47"/>
      <c r="P11" s="46" t="e">
        <f>R11-1</f>
        <v>#REF!</v>
      </c>
      <c r="Q11" s="48"/>
      <c r="R11" s="47" t="e">
        <f>S10-1</f>
        <v>#REF!</v>
      </c>
      <c r="S11" s="47"/>
      <c r="T11" s="49"/>
      <c r="U11" s="50"/>
      <c r="V11" s="47"/>
      <c r="W11" s="47" t="e">
        <f>V10-1</f>
        <v>#REF!</v>
      </c>
      <c r="X11" s="48"/>
      <c r="Y11" s="46" t="e">
        <f>W11-1</f>
        <v>#REF!</v>
      </c>
      <c r="Z11" s="47"/>
      <c r="AA11" s="52"/>
    </row>
    <row r="12" spans="1:27" ht="16" customHeight="1">
      <c r="A12" s="47"/>
      <c r="B12" s="47"/>
      <c r="C12" s="48"/>
      <c r="D12" s="47"/>
      <c r="E12" s="47"/>
      <c r="F12" s="49"/>
      <c r="G12" s="50"/>
      <c r="H12" s="51"/>
      <c r="I12" s="47"/>
      <c r="J12" s="48"/>
      <c r="K12" s="47"/>
      <c r="L12" s="47"/>
      <c r="M12" s="49"/>
      <c r="N12" s="52"/>
      <c r="O12" s="47"/>
      <c r="P12" s="47"/>
      <c r="Q12" s="48"/>
      <c r="R12" s="47"/>
      <c r="S12" s="47"/>
      <c r="T12" s="49"/>
      <c r="U12" s="50"/>
      <c r="V12" s="47"/>
      <c r="W12" s="47"/>
      <c r="X12" s="48"/>
      <c r="Y12" s="47"/>
      <c r="Z12" s="47"/>
      <c r="AA12" s="52"/>
    </row>
    <row r="13" spans="1:27" ht="16" customHeight="1">
      <c r="A13" s="47"/>
      <c r="B13" s="47"/>
      <c r="C13" s="48"/>
      <c r="D13" s="47"/>
      <c r="E13" s="47"/>
      <c r="F13" s="49"/>
      <c r="G13" s="50"/>
      <c r="H13" s="51"/>
      <c r="I13" s="47"/>
      <c r="J13" s="48"/>
      <c r="K13" s="47"/>
      <c r="L13" s="47"/>
      <c r="M13" s="49"/>
      <c r="N13" s="52"/>
      <c r="O13" s="47"/>
      <c r="P13" s="47"/>
      <c r="Q13" s="48"/>
      <c r="R13" s="47"/>
      <c r="S13" s="47"/>
      <c r="T13" s="49"/>
      <c r="U13" s="50"/>
      <c r="V13" s="47"/>
      <c r="W13" s="47"/>
      <c r="X13" s="48"/>
      <c r="Y13" s="47"/>
      <c r="Z13" s="47"/>
      <c r="AA13" s="52"/>
    </row>
    <row r="14" spans="1:27" ht="10" customHeight="1">
      <c r="A14" s="52"/>
      <c r="B14" s="52"/>
      <c r="C14" s="52"/>
      <c r="D14" s="52"/>
      <c r="E14" s="52"/>
      <c r="F14" s="49"/>
      <c r="G14" s="50"/>
      <c r="H14" s="55"/>
      <c r="I14" s="52"/>
      <c r="J14" s="52"/>
      <c r="K14" s="52"/>
      <c r="L14" s="52"/>
      <c r="M14" s="49"/>
      <c r="N14" s="52"/>
      <c r="O14" s="52"/>
      <c r="P14" s="52"/>
      <c r="Q14" s="52"/>
      <c r="R14" s="52"/>
      <c r="S14" s="52"/>
      <c r="T14" s="49"/>
      <c r="U14" s="50"/>
      <c r="V14" s="52"/>
      <c r="W14" s="52"/>
      <c r="X14" s="52"/>
      <c r="Y14" s="52"/>
      <c r="Z14" s="52"/>
      <c r="AA14" s="52"/>
    </row>
    <row r="15" spans="1:27" ht="10" customHeight="1">
      <c r="A15" s="52"/>
      <c r="B15" s="52"/>
      <c r="C15" s="52"/>
      <c r="D15" s="52"/>
      <c r="E15" s="52"/>
      <c r="F15" s="49"/>
      <c r="G15" s="54"/>
      <c r="H15" s="52"/>
      <c r="I15" s="52"/>
      <c r="J15" s="52"/>
      <c r="K15" s="52"/>
      <c r="L15" s="52"/>
      <c r="M15" s="49"/>
      <c r="N15" s="52"/>
      <c r="O15" s="52"/>
      <c r="P15" s="52"/>
      <c r="Q15" s="52"/>
      <c r="R15" s="52"/>
      <c r="S15" s="52"/>
      <c r="T15" s="49"/>
      <c r="U15" s="54"/>
      <c r="V15" s="52"/>
      <c r="W15" s="52"/>
      <c r="X15" s="52"/>
      <c r="Y15" s="52"/>
      <c r="Z15" s="52"/>
      <c r="AA15" s="52"/>
    </row>
  </sheetData>
  <mergeCells count="12">
    <mergeCell ref="A3:B3"/>
    <mergeCell ref="H3:I3"/>
    <mergeCell ref="O3:P3"/>
    <mergeCell ref="V3:W3"/>
    <mergeCell ref="A1:E1"/>
    <mergeCell ref="H1:L1"/>
    <mergeCell ref="O1:S1"/>
    <mergeCell ref="V1:Z1"/>
    <mergeCell ref="A2:F2"/>
    <mergeCell ref="H2:L2"/>
    <mergeCell ref="O2:T2"/>
    <mergeCell ref="V2:Z2"/>
  </mergeCells>
  <pageMargins left="0.24" right="0.2" top="0.25" bottom="0" header="0.22" footer="0.2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In_GIAO NHAN BAI</vt:lpstr>
      <vt:lpstr>4_Sơ đồ mẫu</vt:lpstr>
      <vt:lpstr>'4_Sơ đồ mẫu'!Print_Area</vt:lpstr>
      <vt:lpstr>'In_GIAO NHAN BAI'!Print_Area</vt:lpstr>
    </vt:vector>
  </TitlesOfParts>
  <Company>DOET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</dc:creator>
  <cp:lastModifiedBy>PHI HUYNH ANH HAO</cp:lastModifiedBy>
  <cp:lastPrinted>2026-01-09T00:15:25Z</cp:lastPrinted>
  <dcterms:created xsi:type="dcterms:W3CDTF">2014-01-23T09:35:31Z</dcterms:created>
  <dcterms:modified xsi:type="dcterms:W3CDTF">2026-04-22T04:28:56Z</dcterms:modified>
</cp:coreProperties>
</file>