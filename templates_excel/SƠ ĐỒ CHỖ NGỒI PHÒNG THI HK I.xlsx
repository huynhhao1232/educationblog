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toniustran89/Documents/GDNN-GDTX/2024-2025/WEBLESSON/education-blog/templates_excel/"/>
    </mc:Choice>
  </mc:AlternateContent>
  <xr:revisionPtr revIDLastSave="0" documentId="13_ncr:1_{685A09EB-0B7B-9642-85CE-47474668A076}" xr6:coauthVersionLast="47" xr6:coauthVersionMax="47" xr10:uidLastSave="{00000000-0000-0000-0000-000000000000}"/>
  <bookViews>
    <workbookView xWindow="0" yWindow="0" windowWidth="28800" windowHeight="18000" tabRatio="474" firstSheet="1" activeTab="1" xr2:uid="{00000000-000D-0000-FFFF-FFFF00000000}"/>
  </bookViews>
  <sheets>
    <sheet name="1_Coppy_Tke Pthi dan" sheetId="89" r:id="rId1"/>
    <sheet name="4_Sơ đồ mẫu" sheetId="99" r:id="rId2"/>
  </sheets>
  <definedNames>
    <definedName name="_xlnm._FilterDatabase" localSheetId="0" hidden="1">'1_Coppy_Tke Pthi dan'!$A$14:$U$165</definedName>
    <definedName name="_xlnm.Print_Area" localSheetId="1">'4_Sơ đồ mẫu'!$A$1:$AF$15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" i="99" l="1"/>
  <c r="AD1" i="99"/>
  <c r="AE1" i="99"/>
  <c r="O6" i="99"/>
  <c r="L6" i="99"/>
  <c r="Z6" i="99"/>
  <c r="Y6" i="99"/>
  <c r="W6" i="99"/>
  <c r="V6" i="99"/>
  <c r="V7" i="99"/>
  <c r="W7" i="99"/>
  <c r="Y7" i="99"/>
  <c r="Z7" i="99"/>
  <c r="Z8" i="99"/>
  <c r="Y8" i="99"/>
  <c r="W8" i="99"/>
  <c r="V8" i="99"/>
  <c r="V9" i="99"/>
  <c r="W9" i="99"/>
  <c r="Y9" i="99"/>
  <c r="Z9" i="99"/>
  <c r="Z10" i="99"/>
  <c r="Y10" i="99"/>
  <c r="W10" i="99"/>
  <c r="V10" i="99"/>
  <c r="W11" i="99"/>
  <c r="Y11" i="99"/>
  <c r="P6" i="99"/>
  <c r="R6" i="99"/>
  <c r="S6" i="99"/>
  <c r="S7" i="99"/>
  <c r="R7" i="99"/>
  <c r="P7" i="99"/>
  <c r="O7" i="99"/>
  <c r="O8" i="99"/>
  <c r="P8" i="99"/>
  <c r="R8" i="99"/>
  <c r="S8" i="99"/>
  <c r="S9" i="99"/>
  <c r="R9" i="99"/>
  <c r="P9" i="99"/>
  <c r="O9" i="99"/>
  <c r="O10" i="99"/>
  <c r="P10" i="99"/>
  <c r="R10" i="99"/>
  <c r="S10" i="99"/>
  <c r="R11" i="99"/>
  <c r="P11" i="99"/>
  <c r="AH2" i="99"/>
  <c r="V2" i="99"/>
  <c r="O2" i="99"/>
  <c r="H2" i="99"/>
  <c r="A22" i="89" a="1"/>
  <c r="A22" i="89"/>
  <c r="A27" i="89" a="1"/>
  <c r="A27" i="89"/>
  <c r="A34" i="89" a="1"/>
  <c r="A34" i="89"/>
  <c r="A35" i="89" a="1"/>
  <c r="A35" i="89"/>
  <c r="A39" i="89" a="1"/>
  <c r="A39" i="89"/>
  <c r="A40" i="89" a="1"/>
  <c r="A40" i="89"/>
  <c r="A46" i="89" a="1"/>
  <c r="A46" i="89"/>
  <c r="A47" i="89" a="1"/>
  <c r="A47" i="89"/>
  <c r="A52" i="89" a="1"/>
  <c r="A52" i="89"/>
  <c r="A56" i="89" a="1"/>
  <c r="A56" i="89"/>
  <c r="A60" i="89" a="1"/>
  <c r="A60" i="89"/>
  <c r="A64" i="89" a="1"/>
  <c r="A64" i="89"/>
  <c r="A65" i="89" a="1"/>
  <c r="A65" i="89"/>
  <c r="A71" i="89" a="1"/>
  <c r="A71" i="89"/>
  <c r="A77" i="89" a="1"/>
  <c r="A77" i="89"/>
  <c r="A82" i="89" a="1"/>
  <c r="A82" i="89"/>
  <c r="A90" i="89" a="1"/>
  <c r="A90" i="89"/>
  <c r="A91" i="89" a="1"/>
  <c r="A91" i="89"/>
  <c r="A95" i="89" a="1"/>
  <c r="A95" i="89"/>
  <c r="A98" i="89" a="1"/>
  <c r="A98" i="89"/>
  <c r="A99" i="89" a="1"/>
  <c r="A99" i="89"/>
  <c r="A107" i="89" a="1"/>
  <c r="A107" i="89"/>
  <c r="A108" i="89" a="1"/>
  <c r="A108" i="89"/>
  <c r="A116" i="89" a="1"/>
  <c r="A116" i="89"/>
  <c r="A117" i="89" a="1"/>
  <c r="A117" i="89"/>
  <c r="A125" i="89" a="1"/>
  <c r="A125" i="89"/>
  <c r="A126" i="89" a="1"/>
  <c r="A126" i="89"/>
  <c r="A131" i="89" a="1"/>
  <c r="A131" i="89"/>
  <c r="A138" i="89" a="1"/>
  <c r="A138" i="89"/>
  <c r="A139" i="89" a="1"/>
  <c r="A139" i="89"/>
  <c r="A144" i="89" a="1"/>
  <c r="A144" i="89"/>
  <c r="A151" i="89" a="1"/>
  <c r="A151" i="89"/>
  <c r="A152" i="89" a="1"/>
  <c r="A152" i="89"/>
  <c r="A158" i="89" a="1"/>
  <c r="A158" i="89"/>
  <c r="C151" i="89"/>
  <c r="C138" i="89"/>
  <c r="C125" i="89"/>
  <c r="C116" i="89"/>
  <c r="C107" i="89"/>
  <c r="C98" i="89"/>
  <c r="M164" i="89"/>
  <c r="N164" i="89"/>
  <c r="O164" i="89"/>
  <c r="P164" i="89"/>
  <c r="M165" i="89"/>
  <c r="N165" i="89"/>
  <c r="O165" i="89"/>
  <c r="P165" i="89"/>
  <c r="P163" i="89"/>
  <c r="O163" i="89"/>
  <c r="N163" i="89"/>
  <c r="M163" i="89"/>
  <c r="P162" i="89"/>
  <c r="O162" i="89"/>
  <c r="N162" i="89"/>
  <c r="M162" i="89"/>
  <c r="P161" i="89"/>
  <c r="O161" i="89"/>
  <c r="N161" i="89"/>
  <c r="M161" i="89"/>
  <c r="P160" i="89"/>
  <c r="O160" i="89"/>
  <c r="N160" i="89"/>
  <c r="M160" i="89"/>
  <c r="P159" i="89"/>
  <c r="O159" i="89"/>
  <c r="N159" i="89"/>
  <c r="M159" i="89"/>
  <c r="M155" i="89"/>
  <c r="N155" i="89"/>
  <c r="O155" i="89"/>
  <c r="P155" i="89"/>
  <c r="M156" i="89"/>
  <c r="N156" i="89"/>
  <c r="O156" i="89"/>
  <c r="P156" i="89"/>
  <c r="M157" i="89"/>
  <c r="N157" i="89"/>
  <c r="O157" i="89"/>
  <c r="P157" i="89"/>
  <c r="P154" i="89"/>
  <c r="O154" i="89"/>
  <c r="N154" i="89"/>
  <c r="M154" i="89"/>
  <c r="P153" i="89"/>
  <c r="O153" i="89"/>
  <c r="N153" i="89"/>
  <c r="M153" i="89"/>
  <c r="P150" i="89"/>
  <c r="O150" i="89"/>
  <c r="N150" i="89"/>
  <c r="M150" i="89"/>
  <c r="P149" i="89"/>
  <c r="O149" i="89"/>
  <c r="N149" i="89"/>
  <c r="M149" i="89"/>
  <c r="P148" i="89"/>
  <c r="O148" i="89"/>
  <c r="N148" i="89"/>
  <c r="M148" i="89"/>
  <c r="P147" i="89"/>
  <c r="O147" i="89"/>
  <c r="N147" i="89"/>
  <c r="M147" i="89"/>
  <c r="P146" i="89"/>
  <c r="O146" i="89"/>
  <c r="N146" i="89"/>
  <c r="M146" i="89"/>
  <c r="P145" i="89"/>
  <c r="O145" i="89"/>
  <c r="N145" i="89"/>
  <c r="M145" i="89"/>
  <c r="P143" i="89"/>
  <c r="O143" i="89"/>
  <c r="N143" i="89"/>
  <c r="M143" i="89"/>
  <c r="P142" i="89"/>
  <c r="O142" i="89"/>
  <c r="N142" i="89"/>
  <c r="M142" i="89"/>
  <c r="P141" i="89"/>
  <c r="O141" i="89"/>
  <c r="N141" i="89"/>
  <c r="M141" i="89"/>
  <c r="P140" i="89"/>
  <c r="O140" i="89"/>
  <c r="N140" i="89"/>
  <c r="M140" i="89"/>
  <c r="P137" i="89"/>
  <c r="O137" i="89"/>
  <c r="N137" i="89"/>
  <c r="M137" i="89"/>
  <c r="P136" i="89"/>
  <c r="O136" i="89"/>
  <c r="N136" i="89"/>
  <c r="M136" i="89"/>
  <c r="P135" i="89"/>
  <c r="O135" i="89"/>
  <c r="N135" i="89"/>
  <c r="M135" i="89"/>
  <c r="P134" i="89"/>
  <c r="O134" i="89"/>
  <c r="N134" i="89"/>
  <c r="M134" i="89"/>
  <c r="P133" i="89"/>
  <c r="O133" i="89"/>
  <c r="N133" i="89"/>
  <c r="M133" i="89"/>
  <c r="P132" i="89"/>
  <c r="O132" i="89"/>
  <c r="N132" i="89"/>
  <c r="M132" i="89"/>
  <c r="P130" i="89"/>
  <c r="O130" i="89"/>
  <c r="N130" i="89"/>
  <c r="M130" i="89"/>
  <c r="P129" i="89"/>
  <c r="O129" i="89"/>
  <c r="N129" i="89"/>
  <c r="M129" i="89"/>
  <c r="P128" i="89"/>
  <c r="O128" i="89"/>
  <c r="N128" i="89"/>
  <c r="M128" i="89"/>
  <c r="P127" i="89"/>
  <c r="O127" i="89"/>
  <c r="N127" i="89"/>
  <c r="M127" i="89"/>
  <c r="M119" i="89"/>
  <c r="N119" i="89"/>
  <c r="O119" i="89"/>
  <c r="P119" i="89"/>
  <c r="M120" i="89"/>
  <c r="N120" i="89"/>
  <c r="O120" i="89"/>
  <c r="P120" i="89"/>
  <c r="M121" i="89"/>
  <c r="N121" i="89"/>
  <c r="O121" i="89"/>
  <c r="P121" i="89"/>
  <c r="M122" i="89"/>
  <c r="N122" i="89"/>
  <c r="O122" i="89"/>
  <c r="P122" i="89"/>
  <c r="M123" i="89"/>
  <c r="N123" i="89"/>
  <c r="O123" i="89"/>
  <c r="P123" i="89"/>
  <c r="M124" i="89"/>
  <c r="N124" i="89"/>
  <c r="O124" i="89"/>
  <c r="P124" i="89"/>
  <c r="P118" i="89"/>
  <c r="O118" i="89"/>
  <c r="N118" i="89"/>
  <c r="M118" i="89"/>
  <c r="P115" i="89"/>
  <c r="O115" i="89"/>
  <c r="N115" i="89"/>
  <c r="M115" i="89"/>
  <c r="P114" i="89"/>
  <c r="O114" i="89"/>
  <c r="N114" i="89"/>
  <c r="M114" i="89"/>
  <c r="P113" i="89"/>
  <c r="O113" i="89"/>
  <c r="N113" i="89"/>
  <c r="M113" i="89"/>
  <c r="P112" i="89"/>
  <c r="O112" i="89"/>
  <c r="N112" i="89"/>
  <c r="M112" i="89"/>
  <c r="P111" i="89"/>
  <c r="O111" i="89"/>
  <c r="N111" i="89"/>
  <c r="M111" i="89"/>
  <c r="P110" i="89"/>
  <c r="O110" i="89"/>
  <c r="N110" i="89"/>
  <c r="M110" i="89"/>
  <c r="P109" i="89"/>
  <c r="O109" i="89"/>
  <c r="N109" i="89"/>
  <c r="M109" i="89"/>
  <c r="P106" i="89"/>
  <c r="O106" i="89"/>
  <c r="N106" i="89"/>
  <c r="M106" i="89"/>
  <c r="P105" i="89"/>
  <c r="O105" i="89"/>
  <c r="N105" i="89"/>
  <c r="M105" i="89"/>
  <c r="P104" i="89"/>
  <c r="O104" i="89"/>
  <c r="N104" i="89"/>
  <c r="M104" i="89"/>
  <c r="P103" i="89"/>
  <c r="O103" i="89"/>
  <c r="N103" i="89"/>
  <c r="M103" i="89"/>
  <c r="P102" i="89"/>
  <c r="O102" i="89"/>
  <c r="N102" i="89"/>
  <c r="M102" i="89"/>
  <c r="P101" i="89"/>
  <c r="O101" i="89"/>
  <c r="N101" i="89"/>
  <c r="M101" i="89"/>
  <c r="P100" i="89"/>
  <c r="O100" i="89"/>
  <c r="N100" i="89"/>
  <c r="M100" i="89"/>
  <c r="P97" i="89"/>
  <c r="O97" i="89"/>
  <c r="N97" i="89"/>
  <c r="M97" i="89"/>
  <c r="P96" i="89"/>
  <c r="O96" i="89"/>
  <c r="N96" i="89"/>
  <c r="M96" i="89"/>
  <c r="P94" i="89"/>
  <c r="O94" i="89"/>
  <c r="N94" i="89"/>
  <c r="M94" i="89"/>
  <c r="P93" i="89"/>
  <c r="O93" i="89"/>
  <c r="N93" i="89"/>
  <c r="M93" i="89"/>
  <c r="P92" i="89"/>
  <c r="O92" i="89"/>
  <c r="N92" i="89"/>
  <c r="M92" i="89"/>
  <c r="P89" i="89"/>
  <c r="O89" i="89"/>
  <c r="N89" i="89"/>
  <c r="M89" i="89"/>
  <c r="P88" i="89"/>
  <c r="O88" i="89"/>
  <c r="N88" i="89"/>
  <c r="M88" i="89"/>
  <c r="P87" i="89"/>
  <c r="O87" i="89"/>
  <c r="N87" i="89"/>
  <c r="M87" i="89"/>
  <c r="P86" i="89"/>
  <c r="O86" i="89"/>
  <c r="N86" i="89"/>
  <c r="M86" i="89"/>
  <c r="P85" i="89"/>
  <c r="O85" i="89"/>
  <c r="N85" i="89"/>
  <c r="M85" i="89"/>
  <c r="P84" i="89"/>
  <c r="O84" i="89"/>
  <c r="N84" i="89"/>
  <c r="M84" i="89"/>
  <c r="P83" i="89"/>
  <c r="O83" i="89"/>
  <c r="N83" i="89"/>
  <c r="M83" i="89"/>
  <c r="P81" i="89"/>
  <c r="O81" i="89"/>
  <c r="N81" i="89"/>
  <c r="M81" i="89"/>
  <c r="P80" i="89"/>
  <c r="O80" i="89"/>
  <c r="N80" i="89"/>
  <c r="M80" i="89"/>
  <c r="P79" i="89"/>
  <c r="O79" i="89"/>
  <c r="N79" i="89"/>
  <c r="M79" i="89"/>
  <c r="P78" i="89"/>
  <c r="O78" i="89"/>
  <c r="N78" i="89"/>
  <c r="M78" i="89"/>
  <c r="P76" i="89"/>
  <c r="O76" i="89"/>
  <c r="N76" i="89"/>
  <c r="M76" i="89"/>
  <c r="P75" i="89"/>
  <c r="O75" i="89"/>
  <c r="N75" i="89"/>
  <c r="M75" i="89"/>
  <c r="P74" i="89"/>
  <c r="O74" i="89"/>
  <c r="N74" i="89"/>
  <c r="M74" i="89"/>
  <c r="P73" i="89"/>
  <c r="O73" i="89"/>
  <c r="N73" i="89"/>
  <c r="M73" i="89"/>
  <c r="P72" i="89"/>
  <c r="O72" i="89"/>
  <c r="N72" i="89"/>
  <c r="M72" i="89"/>
  <c r="P70" i="89"/>
  <c r="O70" i="89"/>
  <c r="N70" i="89"/>
  <c r="M70" i="89"/>
  <c r="P69" i="89"/>
  <c r="O69" i="89"/>
  <c r="N69" i="89"/>
  <c r="M69" i="89"/>
  <c r="P68" i="89"/>
  <c r="O68" i="89"/>
  <c r="N68" i="89"/>
  <c r="M68" i="89"/>
  <c r="P67" i="89"/>
  <c r="O67" i="89"/>
  <c r="N67" i="89"/>
  <c r="M67" i="89"/>
  <c r="P66" i="89"/>
  <c r="O66" i="89"/>
  <c r="N66" i="89"/>
  <c r="M66" i="89"/>
  <c r="P63" i="89"/>
  <c r="O63" i="89"/>
  <c r="N63" i="89"/>
  <c r="M63" i="89"/>
  <c r="P62" i="89"/>
  <c r="O62" i="89"/>
  <c r="N62" i="89"/>
  <c r="M62" i="89"/>
  <c r="P61" i="89"/>
  <c r="O61" i="89"/>
  <c r="N61" i="89"/>
  <c r="M61" i="89"/>
  <c r="P59" i="89"/>
  <c r="O59" i="89"/>
  <c r="N59" i="89"/>
  <c r="M59" i="89"/>
  <c r="P58" i="89"/>
  <c r="O58" i="89"/>
  <c r="N58" i="89"/>
  <c r="M58" i="89"/>
  <c r="P57" i="89"/>
  <c r="O57" i="89"/>
  <c r="N57" i="89"/>
  <c r="M57" i="89"/>
  <c r="P55" i="89"/>
  <c r="O55" i="89"/>
  <c r="N55" i="89"/>
  <c r="M55" i="89"/>
  <c r="P54" i="89"/>
  <c r="O54" i="89"/>
  <c r="N54" i="89"/>
  <c r="M54" i="89"/>
  <c r="P53" i="89"/>
  <c r="O53" i="89"/>
  <c r="N53" i="89"/>
  <c r="M53" i="89"/>
  <c r="P51" i="89"/>
  <c r="O51" i="89"/>
  <c r="N51" i="89"/>
  <c r="M51" i="89"/>
  <c r="P50" i="89"/>
  <c r="O50" i="89"/>
  <c r="N50" i="89"/>
  <c r="M50" i="89"/>
  <c r="P49" i="89"/>
  <c r="O49" i="89"/>
  <c r="N49" i="89"/>
  <c r="M49" i="89"/>
  <c r="P48" i="89"/>
  <c r="O48" i="89"/>
  <c r="N48" i="89"/>
  <c r="M48" i="89"/>
  <c r="P38" i="89"/>
  <c r="O38" i="89"/>
  <c r="N38" i="89"/>
  <c r="M38" i="89"/>
  <c r="P37" i="89"/>
  <c r="O37" i="89"/>
  <c r="N37" i="89"/>
  <c r="M37" i="89"/>
  <c r="P36" i="89"/>
  <c r="O36" i="89"/>
  <c r="N36" i="89"/>
  <c r="M36" i="89"/>
  <c r="M32" i="89"/>
  <c r="N32" i="89"/>
  <c r="O32" i="89"/>
  <c r="P32" i="89"/>
  <c r="M33" i="89"/>
  <c r="N33" i="89"/>
  <c r="O33" i="89"/>
  <c r="P33" i="89"/>
  <c r="P31" i="89"/>
  <c r="O31" i="89"/>
  <c r="N31" i="89"/>
  <c r="M31" i="89"/>
  <c r="P30" i="89"/>
  <c r="O30" i="89"/>
  <c r="N30" i="89"/>
  <c r="M30" i="89"/>
  <c r="P29" i="89"/>
  <c r="O29" i="89"/>
  <c r="N29" i="89"/>
  <c r="M29" i="89"/>
  <c r="P28" i="89"/>
  <c r="O28" i="89"/>
  <c r="N28" i="89"/>
  <c r="M28" i="89"/>
  <c r="P26" i="89"/>
  <c r="O26" i="89"/>
  <c r="N26" i="89"/>
  <c r="M26" i="89"/>
  <c r="P25" i="89"/>
  <c r="O25" i="89"/>
  <c r="N25" i="89"/>
  <c r="M25" i="89"/>
  <c r="P24" i="89"/>
  <c r="O24" i="89"/>
  <c r="N24" i="89"/>
  <c r="M24" i="89"/>
  <c r="P23" i="89"/>
  <c r="O23" i="89"/>
  <c r="N23" i="89"/>
  <c r="M23" i="89"/>
  <c r="M19" i="89"/>
  <c r="N19" i="89"/>
  <c r="O19" i="89"/>
  <c r="P19" i="89"/>
  <c r="M20" i="89"/>
  <c r="N20" i="89"/>
  <c r="O20" i="89"/>
  <c r="P20" i="89"/>
  <c r="M21" i="89"/>
  <c r="N21" i="89"/>
  <c r="O21" i="89"/>
  <c r="P21" i="89"/>
  <c r="N18" i="89"/>
  <c r="O18" i="89"/>
  <c r="P18" i="89"/>
  <c r="M18" i="89"/>
  <c r="J165" i="89"/>
  <c r="I165" i="89"/>
  <c r="F165" i="89"/>
  <c r="J164" i="89"/>
  <c r="I164" i="89"/>
  <c r="F164" i="89"/>
  <c r="J163" i="89"/>
  <c r="I163" i="89"/>
  <c r="F163" i="89"/>
  <c r="J162" i="89"/>
  <c r="I162" i="89"/>
  <c r="F162" i="89"/>
  <c r="L162" i="89"/>
  <c r="J161" i="89"/>
  <c r="I161" i="89"/>
  <c r="F161" i="89"/>
  <c r="J160" i="89"/>
  <c r="I160" i="89"/>
  <c r="F160" i="89"/>
  <c r="J159" i="89"/>
  <c r="I159" i="89"/>
  <c r="F159" i="89"/>
  <c r="P158" i="89"/>
  <c r="O158" i="89"/>
  <c r="N158" i="89"/>
  <c r="M158" i="89"/>
  <c r="D158" i="89"/>
  <c r="J157" i="89"/>
  <c r="I157" i="89"/>
  <c r="F157" i="89"/>
  <c r="L157" i="89"/>
  <c r="J156" i="89"/>
  <c r="I156" i="89"/>
  <c r="F156" i="89"/>
  <c r="L156" i="89"/>
  <c r="J155" i="89"/>
  <c r="I155" i="89"/>
  <c r="F155" i="89"/>
  <c r="J154" i="89"/>
  <c r="I154" i="89"/>
  <c r="F154" i="89"/>
  <c r="J153" i="89"/>
  <c r="I153" i="89"/>
  <c r="F153" i="89"/>
  <c r="P152" i="89"/>
  <c r="O152" i="89"/>
  <c r="N152" i="89"/>
  <c r="M152" i="89"/>
  <c r="D152" i="89"/>
  <c r="J150" i="89"/>
  <c r="I150" i="89"/>
  <c r="F150" i="89"/>
  <c r="L150" i="89"/>
  <c r="J149" i="89"/>
  <c r="I149" i="89"/>
  <c r="F149" i="89"/>
  <c r="J148" i="89"/>
  <c r="I148" i="89"/>
  <c r="F148" i="89"/>
  <c r="J147" i="89"/>
  <c r="I147" i="89"/>
  <c r="F147" i="89"/>
  <c r="J146" i="89"/>
  <c r="I146" i="89"/>
  <c r="F146" i="89"/>
  <c r="L146" i="89"/>
  <c r="J145" i="89"/>
  <c r="I145" i="89"/>
  <c r="F145" i="89"/>
  <c r="P144" i="89"/>
  <c r="O144" i="89"/>
  <c r="N144" i="89"/>
  <c r="M144" i="89"/>
  <c r="D144" i="89"/>
  <c r="D138" i="89"/>
  <c r="J143" i="89"/>
  <c r="I143" i="89"/>
  <c r="F143" i="89"/>
  <c r="J142" i="89"/>
  <c r="I142" i="89"/>
  <c r="F142" i="89"/>
  <c r="J141" i="89"/>
  <c r="I141" i="89"/>
  <c r="F141" i="89"/>
  <c r="J140" i="89"/>
  <c r="I140" i="89"/>
  <c r="F140" i="89"/>
  <c r="L140" i="89"/>
  <c r="P139" i="89"/>
  <c r="O139" i="89"/>
  <c r="N139" i="89"/>
  <c r="M139" i="89"/>
  <c r="D139" i="89"/>
  <c r="J137" i="89"/>
  <c r="I137" i="89"/>
  <c r="F137" i="89"/>
  <c r="J136" i="89"/>
  <c r="I136" i="89"/>
  <c r="F136" i="89"/>
  <c r="L136" i="89"/>
  <c r="J135" i="89"/>
  <c r="I135" i="89"/>
  <c r="F135" i="89"/>
  <c r="J134" i="89"/>
  <c r="I134" i="89"/>
  <c r="F134" i="89"/>
  <c r="J133" i="89"/>
  <c r="I133" i="89"/>
  <c r="F133" i="89"/>
  <c r="L133" i="89"/>
  <c r="J132" i="89"/>
  <c r="I132" i="89"/>
  <c r="F132" i="89"/>
  <c r="P131" i="89"/>
  <c r="O131" i="89"/>
  <c r="N131" i="89"/>
  <c r="M131" i="89"/>
  <c r="D131" i="89"/>
  <c r="J130" i="89"/>
  <c r="I130" i="89"/>
  <c r="F130" i="89"/>
  <c r="J129" i="89"/>
  <c r="I129" i="89"/>
  <c r="F129" i="89"/>
  <c r="J128" i="89"/>
  <c r="I128" i="89"/>
  <c r="F128" i="89"/>
  <c r="L128" i="89"/>
  <c r="J127" i="89"/>
  <c r="I127" i="89"/>
  <c r="F127" i="89"/>
  <c r="P126" i="89"/>
  <c r="O126" i="89"/>
  <c r="N126" i="89"/>
  <c r="M126" i="89"/>
  <c r="D126" i="89"/>
  <c r="J124" i="89"/>
  <c r="I124" i="89"/>
  <c r="F124" i="89"/>
  <c r="J123" i="89"/>
  <c r="I123" i="89"/>
  <c r="F123" i="89"/>
  <c r="J122" i="89"/>
  <c r="I122" i="89"/>
  <c r="F122" i="89"/>
  <c r="J121" i="89"/>
  <c r="I121" i="89"/>
  <c r="F121" i="89"/>
  <c r="L121" i="89"/>
  <c r="J120" i="89"/>
  <c r="I120" i="89"/>
  <c r="F120" i="89"/>
  <c r="J119" i="89"/>
  <c r="I119" i="89"/>
  <c r="F119" i="89"/>
  <c r="J118" i="89"/>
  <c r="I118" i="89"/>
  <c r="F118" i="89"/>
  <c r="P117" i="89"/>
  <c r="O117" i="89"/>
  <c r="N117" i="89"/>
  <c r="M117" i="89"/>
  <c r="D117" i="89"/>
  <c r="D116" i="89"/>
  <c r="J115" i="89"/>
  <c r="I115" i="89"/>
  <c r="F115" i="89"/>
  <c r="J114" i="89"/>
  <c r="I114" i="89"/>
  <c r="F114" i="89"/>
  <c r="L114" i="89"/>
  <c r="J113" i="89"/>
  <c r="I113" i="89"/>
  <c r="F113" i="89"/>
  <c r="L113" i="89"/>
  <c r="J112" i="89"/>
  <c r="I112" i="89"/>
  <c r="F112" i="89"/>
  <c r="J111" i="89"/>
  <c r="I111" i="89"/>
  <c r="F111" i="89"/>
  <c r="J110" i="89"/>
  <c r="I110" i="89"/>
  <c r="F110" i="89"/>
  <c r="L110" i="89"/>
  <c r="J109" i="89"/>
  <c r="I109" i="89"/>
  <c r="F109" i="89"/>
  <c r="P108" i="89"/>
  <c r="O108" i="89"/>
  <c r="N108" i="89"/>
  <c r="M108" i="89"/>
  <c r="D108" i="89"/>
  <c r="D107" i="89"/>
  <c r="J106" i="89"/>
  <c r="I106" i="89"/>
  <c r="F106" i="89"/>
  <c r="J105" i="89"/>
  <c r="I105" i="89"/>
  <c r="F105" i="89"/>
  <c r="J104" i="89"/>
  <c r="I104" i="89"/>
  <c r="F104" i="89"/>
  <c r="J103" i="89"/>
  <c r="I103" i="89"/>
  <c r="F103" i="89"/>
  <c r="J102" i="89"/>
  <c r="I102" i="89"/>
  <c r="F102" i="89"/>
  <c r="J101" i="89"/>
  <c r="I101" i="89"/>
  <c r="F101" i="89"/>
  <c r="J100" i="89"/>
  <c r="I100" i="89"/>
  <c r="F100" i="89"/>
  <c r="R100" i="89"/>
  <c r="P99" i="89"/>
  <c r="O99" i="89"/>
  <c r="N99" i="89"/>
  <c r="M99" i="89"/>
  <c r="D99" i="89"/>
  <c r="D98" i="89"/>
  <c r="J97" i="89"/>
  <c r="I97" i="89"/>
  <c r="F97" i="89"/>
  <c r="J96" i="89"/>
  <c r="I96" i="89"/>
  <c r="F96" i="89"/>
  <c r="L96" i="89"/>
  <c r="L95" i="89"/>
  <c r="P95" i="89"/>
  <c r="O95" i="89"/>
  <c r="N95" i="89"/>
  <c r="M95" i="89"/>
  <c r="J94" i="89"/>
  <c r="I94" i="89"/>
  <c r="F94" i="89"/>
  <c r="J93" i="89"/>
  <c r="I93" i="89"/>
  <c r="F93" i="89"/>
  <c r="J92" i="89"/>
  <c r="I92" i="89"/>
  <c r="F92" i="89"/>
  <c r="P91" i="89"/>
  <c r="O91" i="89"/>
  <c r="N91" i="89"/>
  <c r="M91" i="89"/>
  <c r="J89" i="89"/>
  <c r="I89" i="89"/>
  <c r="F89" i="89"/>
  <c r="L89" i="89"/>
  <c r="J88" i="89"/>
  <c r="I88" i="89"/>
  <c r="F88" i="89"/>
  <c r="L88" i="89"/>
  <c r="J87" i="89"/>
  <c r="I87" i="89"/>
  <c r="F87" i="89"/>
  <c r="L87" i="89"/>
  <c r="J86" i="89"/>
  <c r="I86" i="89"/>
  <c r="F86" i="89"/>
  <c r="L86" i="89"/>
  <c r="J85" i="89"/>
  <c r="I85" i="89"/>
  <c r="F85" i="89"/>
  <c r="J84" i="89"/>
  <c r="I84" i="89"/>
  <c r="F84" i="89"/>
  <c r="L84" i="89"/>
  <c r="J83" i="89"/>
  <c r="I83" i="89"/>
  <c r="F83" i="89"/>
  <c r="P82" i="89"/>
  <c r="O82" i="89"/>
  <c r="N82" i="89"/>
  <c r="M82" i="89"/>
  <c r="J81" i="89"/>
  <c r="I81" i="89"/>
  <c r="F81" i="89"/>
  <c r="L81" i="89"/>
  <c r="J80" i="89"/>
  <c r="I80" i="89"/>
  <c r="F80" i="89"/>
  <c r="L80" i="89"/>
  <c r="J79" i="89"/>
  <c r="I79" i="89"/>
  <c r="F79" i="89"/>
  <c r="L79" i="89"/>
  <c r="J78" i="89"/>
  <c r="I78" i="89"/>
  <c r="F78" i="89"/>
  <c r="L78" i="89"/>
  <c r="P77" i="89"/>
  <c r="O77" i="89"/>
  <c r="N77" i="89"/>
  <c r="M77" i="89"/>
  <c r="J76" i="89"/>
  <c r="I76" i="89"/>
  <c r="F76" i="89"/>
  <c r="L76" i="89"/>
  <c r="J75" i="89"/>
  <c r="I75" i="89"/>
  <c r="F75" i="89"/>
  <c r="L75" i="89"/>
  <c r="J74" i="89"/>
  <c r="I74" i="89"/>
  <c r="F74" i="89"/>
  <c r="L74" i="89"/>
  <c r="J73" i="89"/>
  <c r="I73" i="89"/>
  <c r="F73" i="89"/>
  <c r="J72" i="89"/>
  <c r="I72" i="89"/>
  <c r="F72" i="89"/>
  <c r="P71" i="89"/>
  <c r="O71" i="89"/>
  <c r="N71" i="89"/>
  <c r="M71" i="89"/>
  <c r="J70" i="89"/>
  <c r="I70" i="89"/>
  <c r="F70" i="89"/>
  <c r="L70" i="89"/>
  <c r="J69" i="89"/>
  <c r="I69" i="89"/>
  <c r="F69" i="89"/>
  <c r="L69" i="89"/>
  <c r="J68" i="89"/>
  <c r="I68" i="89"/>
  <c r="F68" i="89"/>
  <c r="L68" i="89"/>
  <c r="J67" i="89"/>
  <c r="I67" i="89"/>
  <c r="F67" i="89"/>
  <c r="J66" i="89"/>
  <c r="I66" i="89"/>
  <c r="F66" i="89"/>
  <c r="P65" i="89"/>
  <c r="O65" i="89"/>
  <c r="N65" i="89"/>
  <c r="M65" i="89"/>
  <c r="J63" i="89"/>
  <c r="I63" i="89"/>
  <c r="F63" i="89"/>
  <c r="L63" i="89"/>
  <c r="J62" i="89"/>
  <c r="I62" i="89"/>
  <c r="F62" i="89"/>
  <c r="L62" i="89"/>
  <c r="J61" i="89"/>
  <c r="I61" i="89"/>
  <c r="F61" i="89"/>
  <c r="P60" i="89"/>
  <c r="O60" i="89"/>
  <c r="N60" i="89"/>
  <c r="M60" i="89"/>
  <c r="D60" i="89"/>
  <c r="J59" i="89"/>
  <c r="I59" i="89"/>
  <c r="F59" i="89"/>
  <c r="L59" i="89"/>
  <c r="J58" i="89"/>
  <c r="I58" i="89"/>
  <c r="F58" i="89"/>
  <c r="L58" i="89"/>
  <c r="J57" i="89"/>
  <c r="I57" i="89"/>
  <c r="F57" i="89"/>
  <c r="L57" i="89"/>
  <c r="P56" i="89"/>
  <c r="O56" i="89"/>
  <c r="N56" i="89"/>
  <c r="M56" i="89"/>
  <c r="D56" i="89"/>
  <c r="J55" i="89"/>
  <c r="I55" i="89"/>
  <c r="F55" i="89"/>
  <c r="J54" i="89"/>
  <c r="I54" i="89"/>
  <c r="F54" i="89"/>
  <c r="L54" i="89"/>
  <c r="J53" i="89"/>
  <c r="I53" i="89"/>
  <c r="F53" i="89"/>
  <c r="L53" i="89"/>
  <c r="P52" i="89"/>
  <c r="O52" i="89"/>
  <c r="N52" i="89"/>
  <c r="M52" i="89"/>
  <c r="J51" i="89"/>
  <c r="I51" i="89"/>
  <c r="F51" i="89"/>
  <c r="L51" i="89"/>
  <c r="J50" i="89"/>
  <c r="I50" i="89"/>
  <c r="F50" i="89"/>
  <c r="L50" i="89"/>
  <c r="J49" i="89"/>
  <c r="I49" i="89"/>
  <c r="F49" i="89"/>
  <c r="J48" i="89"/>
  <c r="I48" i="89"/>
  <c r="F48" i="89"/>
  <c r="L48" i="89"/>
  <c r="P47" i="89"/>
  <c r="O47" i="89"/>
  <c r="N47" i="89"/>
  <c r="M47" i="89"/>
  <c r="J45" i="89"/>
  <c r="I45" i="89"/>
  <c r="F45" i="89"/>
  <c r="J44" i="89"/>
  <c r="I44" i="89"/>
  <c r="F44" i="89"/>
  <c r="L44" i="89"/>
  <c r="J43" i="89"/>
  <c r="I43" i="89"/>
  <c r="F43" i="89"/>
  <c r="J42" i="89"/>
  <c r="I42" i="89"/>
  <c r="F42" i="89"/>
  <c r="L42" i="89"/>
  <c r="N41" i="89"/>
  <c r="N42" i="89"/>
  <c r="N43" i="89"/>
  <c r="N44" i="89"/>
  <c r="N45" i="89"/>
  <c r="J41" i="89"/>
  <c r="I41" i="89"/>
  <c r="F41" i="89"/>
  <c r="L41" i="89"/>
  <c r="P40" i="89"/>
  <c r="P43" i="89"/>
  <c r="O40" i="89"/>
  <c r="O42" i="89"/>
  <c r="O44" i="89"/>
  <c r="M40" i="89"/>
  <c r="M41" i="89"/>
  <c r="J38" i="89"/>
  <c r="I38" i="89"/>
  <c r="F38" i="89"/>
  <c r="L38" i="89"/>
  <c r="J37" i="89"/>
  <c r="I37" i="89"/>
  <c r="F37" i="89"/>
  <c r="J36" i="89"/>
  <c r="I36" i="89"/>
  <c r="F36" i="89"/>
  <c r="P35" i="89"/>
  <c r="O35" i="89"/>
  <c r="N35" i="89"/>
  <c r="M35" i="89"/>
  <c r="J33" i="89"/>
  <c r="I33" i="89"/>
  <c r="F33" i="89"/>
  <c r="J32" i="89"/>
  <c r="I32" i="89"/>
  <c r="F32" i="89"/>
  <c r="L32" i="89"/>
  <c r="J31" i="89"/>
  <c r="I31" i="89"/>
  <c r="F31" i="89"/>
  <c r="L31" i="89"/>
  <c r="J30" i="89"/>
  <c r="I30" i="89"/>
  <c r="F30" i="89"/>
  <c r="L30" i="89"/>
  <c r="J29" i="89"/>
  <c r="I29" i="89"/>
  <c r="F29" i="89"/>
  <c r="J28" i="89"/>
  <c r="I28" i="89"/>
  <c r="F28" i="89"/>
  <c r="P27" i="89"/>
  <c r="O27" i="89"/>
  <c r="N27" i="89"/>
  <c r="M27" i="89"/>
  <c r="J26" i="89"/>
  <c r="I26" i="89"/>
  <c r="F26" i="89"/>
  <c r="J25" i="89"/>
  <c r="I25" i="89"/>
  <c r="F25" i="89"/>
  <c r="J24" i="89"/>
  <c r="I24" i="89"/>
  <c r="F24" i="89"/>
  <c r="J23" i="89"/>
  <c r="I23" i="89"/>
  <c r="F23" i="89"/>
  <c r="A23" i="89" a="1"/>
  <c r="A23" i="89"/>
  <c r="P22" i="89"/>
  <c r="O22" i="89"/>
  <c r="N22" i="89"/>
  <c r="M22" i="89"/>
  <c r="J21" i="89"/>
  <c r="I21" i="89"/>
  <c r="F21" i="89"/>
  <c r="L21" i="89"/>
  <c r="J20" i="89"/>
  <c r="I20" i="89"/>
  <c r="F20" i="89"/>
  <c r="A20" i="89" a="1"/>
  <c r="A20" i="89"/>
  <c r="J19" i="89"/>
  <c r="I19" i="89"/>
  <c r="F19" i="89"/>
  <c r="J18" i="89"/>
  <c r="I18" i="89"/>
  <c r="F18" i="89"/>
  <c r="A18" i="89" a="1"/>
  <c r="A18" i="89"/>
  <c r="P17" i="89"/>
  <c r="O17" i="89"/>
  <c r="N17" i="89"/>
  <c r="M17" i="89"/>
  <c r="C13" i="89"/>
  <c r="C12" i="89"/>
  <c r="C11" i="89"/>
  <c r="C10" i="89"/>
  <c r="C9" i="89"/>
  <c r="C8" i="89"/>
  <c r="C7" i="89"/>
  <c r="C6" i="89"/>
  <c r="C5" i="89"/>
  <c r="C4" i="89"/>
  <c r="C3" i="89"/>
  <c r="C2" i="89"/>
  <c r="O43" i="89"/>
  <c r="O45" i="89"/>
  <c r="L97" i="89"/>
  <c r="L94" i="89"/>
  <c r="L93" i="89"/>
  <c r="L67" i="89"/>
  <c r="L45" i="89"/>
  <c r="L55" i="89"/>
  <c r="L49" i="89"/>
  <c r="L43" i="89"/>
  <c r="L61" i="89"/>
  <c r="L105" i="89"/>
  <c r="L123" i="89"/>
  <c r="L102" i="89"/>
  <c r="L37" i="89"/>
  <c r="L163" i="89"/>
  <c r="L118" i="89"/>
  <c r="L159" i="89"/>
  <c r="L115" i="89"/>
  <c r="L135" i="89"/>
  <c r="Q19" i="89"/>
  <c r="L148" i="89"/>
  <c r="L161" i="89"/>
  <c r="L103" i="89"/>
  <c r="L141" i="89"/>
  <c r="L120" i="89"/>
  <c r="L145" i="89"/>
  <c r="L129" i="89"/>
  <c r="L33" i="89"/>
  <c r="L147" i="89"/>
  <c r="L165" i="89"/>
  <c r="L26" i="89"/>
  <c r="Q128" i="89"/>
  <c r="L154" i="89"/>
  <c r="L149" i="89"/>
  <c r="L24" i="89"/>
  <c r="L22" i="89"/>
  <c r="L153" i="89"/>
  <c r="L29" i="89"/>
  <c r="L122" i="89"/>
  <c r="L164" i="89"/>
  <c r="L101" i="89"/>
  <c r="L104" i="89"/>
  <c r="L109" i="89"/>
  <c r="L106" i="89"/>
  <c r="L28" i="89"/>
  <c r="L134" i="89"/>
  <c r="L111" i="89"/>
  <c r="L132" i="89"/>
  <c r="L119" i="89"/>
  <c r="L124" i="89"/>
  <c r="L137" i="89"/>
  <c r="L155" i="89"/>
  <c r="L36" i="89"/>
  <c r="L130" i="89"/>
  <c r="L160" i="89"/>
  <c r="L112" i="89"/>
  <c r="L25" i="89"/>
  <c r="L143" i="89"/>
  <c r="L142" i="89"/>
  <c r="L92" i="89"/>
  <c r="L91" i="89"/>
  <c r="L18" i="89"/>
  <c r="L85" i="89"/>
  <c r="P45" i="89"/>
  <c r="P41" i="89"/>
  <c r="P44" i="89"/>
  <c r="L100" i="89"/>
  <c r="P42" i="89"/>
  <c r="O41" i="89"/>
  <c r="R18" i="89"/>
  <c r="L73" i="89"/>
  <c r="L20" i="89"/>
  <c r="L83" i="89"/>
  <c r="Q101" i="89"/>
  <c r="L66" i="89"/>
  <c r="L72" i="89"/>
  <c r="L71" i="89"/>
  <c r="L23" i="89"/>
  <c r="L127" i="89"/>
  <c r="R127" i="89"/>
  <c r="L19" i="89"/>
  <c r="A130" i="89" a="1"/>
  <c r="A130" i="89"/>
  <c r="A28" i="89" a="1"/>
  <c r="A28" i="89"/>
  <c r="A50" i="89" a="1"/>
  <c r="A50" i="89"/>
  <c r="A53" i="89" a="1"/>
  <c r="A53" i="89"/>
  <c r="A59" i="89" a="1"/>
  <c r="A59" i="89"/>
  <c r="A62" i="89" a="1"/>
  <c r="A62" i="89"/>
  <c r="A73" i="89" a="1"/>
  <c r="A73" i="89"/>
  <c r="A76" i="89" a="1"/>
  <c r="A76" i="89"/>
  <c r="A79" i="89" a="1"/>
  <c r="A79" i="89"/>
  <c r="A93" i="89" a="1"/>
  <c r="A93" i="89"/>
  <c r="A100" i="89" a="1"/>
  <c r="A100" i="89"/>
  <c r="A104" i="89" a="1"/>
  <c r="A104" i="89"/>
  <c r="A115" i="89" a="1"/>
  <c r="A115" i="89"/>
  <c r="A123" i="89" a="1"/>
  <c r="A123" i="89"/>
  <c r="A134" i="89" a="1"/>
  <c r="A134" i="89"/>
  <c r="A156" i="89" a="1"/>
  <c r="A156" i="89"/>
  <c r="A159" i="89" a="1"/>
  <c r="A159" i="89"/>
  <c r="L82" i="89"/>
  <c r="A31" i="89" a="1"/>
  <c r="A31" i="89"/>
  <c r="A21" i="89" a="1"/>
  <c r="A21" i="89"/>
  <c r="A36" i="89" a="1"/>
  <c r="A36" i="89"/>
  <c r="A112" i="89" a="1"/>
  <c r="A112" i="89"/>
  <c r="A92" i="89" a="1"/>
  <c r="A92" i="89"/>
  <c r="A111" i="89" a="1"/>
  <c r="A111" i="89"/>
  <c r="L27" i="89"/>
  <c r="A148" i="89" a="1"/>
  <c r="A148" i="89"/>
  <c r="A25" i="89" a="1"/>
  <c r="A25" i="89"/>
  <c r="A43" i="89" a="1"/>
  <c r="A43" i="89"/>
  <c r="A69" i="89" a="1"/>
  <c r="A69" i="89"/>
  <c r="A32" i="89" a="1"/>
  <c r="A32" i="89"/>
  <c r="A85" i="89" a="1"/>
  <c r="A85" i="89"/>
  <c r="A29" i="89" a="1"/>
  <c r="A29" i="89"/>
  <c r="A37" i="89" a="1"/>
  <c r="A37" i="89"/>
  <c r="A51" i="89" a="1"/>
  <c r="A51" i="89"/>
  <c r="A54" i="89" a="1"/>
  <c r="A54" i="89"/>
  <c r="A57" i="89" a="1"/>
  <c r="A57" i="89"/>
  <c r="A63" i="89" a="1"/>
  <c r="A63" i="89"/>
  <c r="A74" i="89" a="1"/>
  <c r="A74" i="89"/>
  <c r="A80" i="89" a="1"/>
  <c r="A80" i="89"/>
  <c r="A38" i="89" a="1"/>
  <c r="A38" i="89"/>
  <c r="A155" i="89" a="1"/>
  <c r="A155" i="89"/>
  <c r="A114" i="89" a="1"/>
  <c r="A114" i="89"/>
  <c r="A24" i="89" a="1"/>
  <c r="A24" i="89"/>
  <c r="A49" i="89" a="1"/>
  <c r="A49" i="89"/>
  <c r="A45" i="89" a="1"/>
  <c r="A45" i="89"/>
  <c r="A72" i="89" a="1"/>
  <c r="A72" i="89"/>
  <c r="A103" i="89" a="1"/>
  <c r="A103" i="89"/>
  <c r="A133" i="89" a="1"/>
  <c r="A133" i="89"/>
  <c r="A42" i="89" a="1"/>
  <c r="A42" i="89"/>
  <c r="A127" i="89" a="1"/>
  <c r="A127" i="89"/>
  <c r="A19" i="89" a="1"/>
  <c r="A19" i="89"/>
  <c r="A33" i="89" a="1"/>
  <c r="A33" i="89"/>
  <c r="A41" i="89" a="1"/>
  <c r="A41" i="89"/>
  <c r="A44" i="89" a="1"/>
  <c r="A44" i="89"/>
  <c r="D125" i="89"/>
  <c r="A147" i="89" a="1"/>
  <c r="A147" i="89"/>
  <c r="A122" i="89" a="1"/>
  <c r="A122" i="89"/>
  <c r="A88" i="89" a="1"/>
  <c r="A88" i="89"/>
  <c r="A26" i="89" a="1"/>
  <c r="A26" i="89"/>
  <c r="A48" i="89" a="1"/>
  <c r="A48" i="89"/>
  <c r="L17" i="89"/>
  <c r="A30" i="89" a="1"/>
  <c r="A30" i="89"/>
  <c r="A55" i="89" a="1"/>
  <c r="A55" i="89"/>
  <c r="L77" i="89"/>
  <c r="D151" i="89"/>
  <c r="Q129" i="89"/>
  <c r="R128" i="89"/>
  <c r="R101" i="89"/>
  <c r="Q102" i="89"/>
  <c r="R19" i="89"/>
  <c r="Q20" i="89"/>
  <c r="L65" i="89"/>
  <c r="A66" i="89" a="1"/>
  <c r="A66" i="89"/>
  <c r="A96" i="89" a="1"/>
  <c r="A96" i="89"/>
  <c r="A119" i="89" a="1"/>
  <c r="A119" i="89"/>
  <c r="A137" i="89" a="1"/>
  <c r="A137" i="89"/>
  <c r="A141" i="89" a="1"/>
  <c r="A141" i="89"/>
  <c r="A162" i="89" a="1"/>
  <c r="A162" i="89"/>
  <c r="A67" i="89" a="1"/>
  <c r="A67" i="89"/>
  <c r="A70" i="89" a="1"/>
  <c r="A70" i="89"/>
  <c r="A86" i="89" a="1"/>
  <c r="A86" i="89"/>
  <c r="A89" i="89" a="1"/>
  <c r="A89" i="89"/>
  <c r="A97" i="89" a="1"/>
  <c r="A97" i="89"/>
  <c r="A120" i="89" a="1"/>
  <c r="A120" i="89"/>
  <c r="A142" i="89" a="1"/>
  <c r="A142" i="89"/>
  <c r="A145" i="89" a="1"/>
  <c r="A145" i="89"/>
  <c r="A163" i="89" a="1"/>
  <c r="A163" i="89"/>
  <c r="A83" i="89" a="1"/>
  <c r="A83" i="89"/>
  <c r="A94" i="89" a="1"/>
  <c r="A94" i="89"/>
  <c r="A101" i="89" a="1"/>
  <c r="A101" i="89"/>
  <c r="A105" i="89" a="1"/>
  <c r="A105" i="89"/>
  <c r="A109" i="89" a="1"/>
  <c r="A109" i="89"/>
  <c r="A124" i="89" a="1"/>
  <c r="A124" i="89"/>
  <c r="A149" i="89" a="1"/>
  <c r="A149" i="89"/>
  <c r="A153" i="89" a="1"/>
  <c r="A153" i="89"/>
  <c r="A128" i="89" a="1"/>
  <c r="A128" i="89"/>
  <c r="A135" i="89" a="1"/>
  <c r="A135" i="89"/>
  <c r="A160" i="89" a="1"/>
  <c r="A160" i="89"/>
  <c r="A113" i="89" a="1"/>
  <c r="A113" i="89"/>
  <c r="A143" i="89" a="1"/>
  <c r="A143" i="89"/>
  <c r="A157" i="89" a="1"/>
  <c r="A157" i="89"/>
  <c r="A164" i="89" a="1"/>
  <c r="A164" i="89"/>
  <c r="A68" i="89" a="1"/>
  <c r="A68" i="89"/>
  <c r="A87" i="89" a="1"/>
  <c r="A87" i="89"/>
  <c r="A102" i="89" a="1"/>
  <c r="A102" i="89"/>
  <c r="A106" i="89" a="1"/>
  <c r="A106" i="89"/>
  <c r="A121" i="89" a="1"/>
  <c r="A121" i="89"/>
  <c r="A132" i="89" a="1"/>
  <c r="A132" i="89"/>
  <c r="A146" i="89" a="1"/>
  <c r="A146" i="89"/>
  <c r="A154" i="89" a="1"/>
  <c r="A154" i="89"/>
  <c r="M44" i="89"/>
  <c r="M45" i="89"/>
  <c r="M42" i="89"/>
  <c r="M43" i="89"/>
  <c r="A84" i="89" a="1"/>
  <c r="A84" i="89"/>
  <c r="A110" i="89" a="1"/>
  <c r="A110" i="89"/>
  <c r="A129" i="89" a="1"/>
  <c r="A129" i="89"/>
  <c r="A150" i="89" a="1"/>
  <c r="A150" i="89"/>
  <c r="A161" i="89" a="1"/>
  <c r="A161" i="89"/>
  <c r="A58" i="89" a="1"/>
  <c r="A58" i="89"/>
  <c r="A61" i="89" a="1"/>
  <c r="A61" i="89"/>
  <c r="A75" i="89" a="1"/>
  <c r="A75" i="89"/>
  <c r="A78" i="89" a="1"/>
  <c r="A78" i="89"/>
  <c r="A81" i="89" a="1"/>
  <c r="A81" i="89"/>
  <c r="A118" i="89" a="1"/>
  <c r="A118" i="89"/>
  <c r="A136" i="89" a="1"/>
  <c r="A136" i="89"/>
  <c r="A140" i="89" a="1"/>
  <c r="A140" i="89"/>
  <c r="A165" i="89" a="1"/>
  <c r="A165" i="89"/>
  <c r="V3" i="99"/>
  <c r="E3" i="99"/>
  <c r="L3" i="99"/>
  <c r="S3" i="99"/>
  <c r="Z3" i="99"/>
  <c r="O3" i="99"/>
  <c r="H3" i="99"/>
  <c r="A3" i="99"/>
  <c r="A1" i="99"/>
  <c r="H1" i="99"/>
  <c r="O1" i="99"/>
  <c r="V1" i="99"/>
  <c r="AH3" i="99"/>
  <c r="Q103" i="89"/>
  <c r="R102" i="89"/>
  <c r="Q130" i="89"/>
  <c r="R130" i="89"/>
  <c r="Q132" i="89"/>
  <c r="R129" i="89"/>
  <c r="Q21" i="89"/>
  <c r="R20" i="89"/>
  <c r="AH4" i="99"/>
  <c r="R21" i="89"/>
  <c r="R103" i="89"/>
  <c r="Q104" i="89"/>
  <c r="Q133" i="89"/>
  <c r="R132" i="89"/>
  <c r="AH5" i="99"/>
  <c r="Q23" i="89"/>
  <c r="R104" i="89"/>
  <c r="Q105" i="89"/>
  <c r="Q134" i="89"/>
  <c r="R133" i="89"/>
  <c r="AH6" i="99"/>
  <c r="R23" i="89"/>
  <c r="Q24" i="89"/>
  <c r="Q106" i="89"/>
  <c r="R105" i="89"/>
  <c r="Q135" i="89"/>
  <c r="R134" i="89"/>
  <c r="AH7" i="99"/>
  <c r="R106" i="89"/>
  <c r="R24" i="89"/>
  <c r="Q25" i="89"/>
  <c r="R135" i="89"/>
  <c r="Q136" i="89"/>
  <c r="AH8" i="99"/>
  <c r="Q109" i="89"/>
  <c r="R25" i="89"/>
  <c r="Q26" i="89"/>
  <c r="Q137" i="89"/>
  <c r="R136" i="89"/>
  <c r="AH9" i="99"/>
  <c r="Q110" i="89"/>
  <c r="R109" i="89"/>
  <c r="R26" i="89"/>
  <c r="R137" i="89"/>
  <c r="AH10" i="99"/>
  <c r="Q140" i="89"/>
  <c r="Q28" i="89"/>
  <c r="R110" i="89"/>
  <c r="Q111" i="89"/>
  <c r="AH11" i="99"/>
  <c r="Q112" i="89"/>
  <c r="R111" i="89"/>
  <c r="Q141" i="89"/>
  <c r="R140" i="89"/>
  <c r="Q29" i="89"/>
  <c r="R28" i="89"/>
  <c r="AH12" i="99"/>
  <c r="Q142" i="89"/>
  <c r="R141" i="89"/>
  <c r="R29" i="89"/>
  <c r="Q30" i="89"/>
  <c r="Q113" i="89"/>
  <c r="R112" i="89"/>
  <c r="AH15" i="99"/>
  <c r="Q114" i="89"/>
  <c r="R113" i="89"/>
  <c r="R30" i="89"/>
  <c r="Q31" i="89"/>
  <c r="R142" i="89"/>
  <c r="Q143" i="89"/>
  <c r="R143" i="89"/>
  <c r="R114" i="89"/>
  <c r="Q115" i="89"/>
  <c r="R31" i="89"/>
  <c r="Q32" i="89"/>
  <c r="Q33" i="89"/>
  <c r="R32" i="89"/>
  <c r="Q145" i="89"/>
  <c r="R115" i="89"/>
  <c r="Q146" i="89"/>
  <c r="R145" i="89"/>
  <c r="Q118" i="89"/>
  <c r="R33" i="89"/>
  <c r="Q119" i="89"/>
  <c r="R118" i="89"/>
  <c r="Q36" i="89"/>
  <c r="R146" i="89"/>
  <c r="Q147" i="89"/>
  <c r="R119" i="89"/>
  <c r="Q120" i="89"/>
  <c r="R147" i="89"/>
  <c r="Q148" i="89"/>
  <c r="Q37" i="89"/>
  <c r="R36" i="89"/>
  <c r="Q38" i="89"/>
  <c r="R37" i="89"/>
  <c r="R120" i="89"/>
  <c r="Q121" i="89"/>
  <c r="Q149" i="89"/>
  <c r="R148" i="89"/>
  <c r="R149" i="89"/>
  <c r="Q150" i="89"/>
  <c r="R38" i="89"/>
  <c r="Q122" i="89"/>
  <c r="R121" i="89"/>
  <c r="Q41" i="89"/>
  <c r="R150" i="89"/>
  <c r="Q123" i="89"/>
  <c r="R122" i="89"/>
  <c r="Q153" i="89"/>
  <c r="Q42" i="89"/>
  <c r="R41" i="89"/>
  <c r="Q124" i="89"/>
  <c r="R123" i="89"/>
  <c r="R153" i="89"/>
  <c r="Q154" i="89"/>
  <c r="Q43" i="89"/>
  <c r="R42" i="89"/>
  <c r="R124" i="89"/>
  <c r="A6" i="99"/>
  <c r="R43" i="89"/>
  <c r="Q44" i="89"/>
  <c r="R154" i="89"/>
  <c r="Q155" i="89"/>
  <c r="B6" i="99"/>
  <c r="E6" i="99"/>
  <c r="D6" i="99"/>
  <c r="A7" i="99"/>
  <c r="K6" i="99"/>
  <c r="L7" i="99"/>
  <c r="H6" i="99"/>
  <c r="I6" i="99"/>
  <c r="R44" i="89"/>
  <c r="Q45" i="89"/>
  <c r="Q156" i="89"/>
  <c r="R155" i="89"/>
  <c r="D7" i="99"/>
  <c r="B7" i="99"/>
  <c r="E7" i="99"/>
  <c r="A8" i="99"/>
  <c r="L8" i="99"/>
  <c r="L9" i="99"/>
  <c r="K7" i="99"/>
  <c r="H7" i="99"/>
  <c r="I7" i="99"/>
  <c r="Q157" i="89"/>
  <c r="R156" i="89"/>
  <c r="R45" i="89"/>
  <c r="E8" i="99"/>
  <c r="A9" i="99"/>
  <c r="B8" i="99"/>
  <c r="D8" i="99"/>
  <c r="I8" i="99"/>
  <c r="H8" i="99"/>
  <c r="R157" i="89"/>
  <c r="Q48" i="89"/>
  <c r="A10" i="99"/>
  <c r="E9" i="99"/>
  <c r="B9" i="99"/>
  <c r="D9" i="99"/>
  <c r="R48" i="89"/>
  <c r="Q49" i="89"/>
  <c r="Q159" i="89"/>
  <c r="E10" i="99"/>
  <c r="D10" i="99"/>
  <c r="D11" i="99"/>
  <c r="B10" i="99"/>
  <c r="B11" i="99"/>
  <c r="Q160" i="89"/>
  <c r="R159" i="89"/>
  <c r="Q50" i="89"/>
  <c r="R49" i="89"/>
  <c r="Q161" i="89"/>
  <c r="R160" i="89"/>
  <c r="Q51" i="89"/>
  <c r="R50" i="89"/>
  <c r="R51" i="89"/>
  <c r="R161" i="89"/>
  <c r="Q162" i="89"/>
  <c r="Q163" i="89"/>
  <c r="R162" i="89"/>
  <c r="Q53" i="89"/>
  <c r="Q164" i="89"/>
  <c r="R163" i="89"/>
  <c r="Q54" i="89"/>
  <c r="R53" i="89"/>
  <c r="Q165" i="89"/>
  <c r="R164" i="89"/>
  <c r="Q55" i="89"/>
  <c r="R54" i="89"/>
  <c r="R165" i="89"/>
  <c r="R55" i="89"/>
  <c r="Q57" i="89"/>
  <c r="R57" i="89"/>
  <c r="Q58" i="89"/>
  <c r="R58" i="89"/>
  <c r="Q59" i="89"/>
  <c r="R59" i="89"/>
  <c r="Q61" i="89"/>
  <c r="R61" i="89"/>
  <c r="Q62" i="89"/>
  <c r="Q63" i="89"/>
  <c r="R62" i="89"/>
  <c r="R63" i="89"/>
  <c r="Q66" i="89"/>
  <c r="Q67" i="89"/>
  <c r="R66" i="89"/>
  <c r="Q68" i="89"/>
  <c r="R67" i="89"/>
  <c r="Q69" i="89"/>
  <c r="R68" i="89"/>
  <c r="R69" i="89"/>
  <c r="Q70" i="89"/>
  <c r="R70" i="89"/>
  <c r="Q72" i="89"/>
  <c r="R72" i="89"/>
  <c r="Q73" i="89"/>
  <c r="Q74" i="89"/>
  <c r="R73" i="89"/>
  <c r="Q75" i="89"/>
  <c r="R74" i="89"/>
  <c r="Q76" i="89"/>
  <c r="R75" i="89"/>
  <c r="R76" i="89"/>
  <c r="Q78" i="89"/>
  <c r="R78" i="89"/>
  <c r="Q79" i="89"/>
  <c r="Q80" i="89"/>
  <c r="R79" i="89"/>
  <c r="Q81" i="89"/>
  <c r="R80" i="89"/>
  <c r="R81" i="89"/>
  <c r="Q83" i="89"/>
  <c r="R83" i="89"/>
  <c r="Q84" i="89"/>
  <c r="R84" i="89"/>
  <c r="Q85" i="89"/>
  <c r="R85" i="89"/>
  <c r="Q86" i="89"/>
  <c r="R86" i="89"/>
  <c r="Q87" i="89"/>
  <c r="R87" i="89"/>
  <c r="Q88" i="89"/>
  <c r="Q89" i="89"/>
  <c r="R88" i="89"/>
  <c r="R89" i="89"/>
  <c r="Q92" i="89"/>
  <c r="R92" i="89"/>
  <c r="Q93" i="89"/>
  <c r="R93" i="89"/>
  <c r="Q94" i="89"/>
  <c r="R94" i="89"/>
  <c r="Q96" i="89"/>
  <c r="Q97" i="89"/>
  <c r="R96" i="89"/>
  <c r="R97" i="89"/>
  <c r="K9" i="99"/>
  <c r="I9" i="99"/>
  <c r="L10" i="99"/>
  <c r="H9" i="99"/>
  <c r="K8" i="99"/>
  <c r="I10" i="99"/>
  <c r="I11" i="99"/>
  <c r="H10" i="99"/>
  <c r="K10" i="99"/>
  <c r="K11" i="99"/>
</calcChain>
</file>

<file path=xl/sharedStrings.xml><?xml version="1.0" encoding="utf-8"?>
<sst xmlns="http://schemas.openxmlformats.org/spreadsheetml/2006/main" count="717" uniqueCount="138">
  <si>
    <t>TOÁN</t>
  </si>
  <si>
    <t>Bàn Giáo viên</t>
  </si>
  <si>
    <t>LÝ</t>
  </si>
  <si>
    <t>Sơ đồ chỗ ngồi</t>
  </si>
  <si>
    <t>TH1</t>
  </si>
  <si>
    <t>1A</t>
  </si>
  <si>
    <t>2A</t>
  </si>
  <si>
    <t>3A</t>
  </si>
  <si>
    <t>4A</t>
  </si>
  <si>
    <t>TH2</t>
  </si>
  <si>
    <t>5A</t>
  </si>
  <si>
    <t>6A</t>
  </si>
  <si>
    <t>9A</t>
  </si>
  <si>
    <t>10A</t>
  </si>
  <si>
    <t>TH3</t>
  </si>
  <si>
    <t>11A</t>
  </si>
  <si>
    <t>12A</t>
  </si>
  <si>
    <t>13A</t>
  </si>
  <si>
    <t>14A</t>
  </si>
  <si>
    <t>TH5</t>
  </si>
  <si>
    <t>2B</t>
  </si>
  <si>
    <t>3B</t>
  </si>
  <si>
    <t>4B</t>
  </si>
  <si>
    <t>5B</t>
  </si>
  <si>
    <t>6B</t>
  </si>
  <si>
    <t>7B</t>
  </si>
  <si>
    <t>8B</t>
  </si>
  <si>
    <t>9B</t>
  </si>
  <si>
    <t>TH4</t>
  </si>
  <si>
    <t>VĂN</t>
  </si>
  <si>
    <t>SỬ</t>
  </si>
  <si>
    <t>HÓA</t>
  </si>
  <si>
    <t>KT-PL</t>
  </si>
  <si>
    <t>Tổ hợp</t>
  </si>
  <si>
    <t>Mã</t>
  </si>
  <si>
    <t>C.thức</t>
  </si>
  <si>
    <t>SL</t>
  </si>
  <si>
    <t>KHỐI 12AS</t>
  </si>
  <si>
    <t>KHỐI 12AT</t>
  </si>
  <si>
    <t>KHỐI 11VH</t>
  </si>
  <si>
    <t>KHỐI 12VH</t>
  </si>
  <si>
    <t>12AS</t>
  </si>
  <si>
    <t>NGÀY THI: 22+24/12/2025</t>
  </si>
  <si>
    <t>SÁNG</t>
  </si>
  <si>
    <t>Thứ Hai (22/12)</t>
  </si>
  <si>
    <t>Thứ Tư (24/12)</t>
  </si>
  <si>
    <t>Đ.chiếu DS trộn</t>
  </si>
  <si>
    <t>Chênh lệch</t>
  </si>
  <si>
    <t>12KT</t>
  </si>
  <si>
    <t>10VH</t>
  </si>
  <si>
    <t>CHIỀU</t>
  </si>
  <si>
    <t>10KT</t>
  </si>
  <si>
    <t>12AT</t>
  </si>
  <si>
    <t>NGÀY THI: 22+23/12/2025</t>
  </si>
  <si>
    <t>TỐI</t>
  </si>
  <si>
    <t>Thứ Ba (23/12)</t>
  </si>
  <si>
    <t>12VH</t>
  </si>
  <si>
    <t>10AT</t>
  </si>
  <si>
    <t>11AT</t>
  </si>
  <si>
    <t>10AS</t>
  </si>
  <si>
    <t>NGÀY THI: 23+25/12/2025</t>
  </si>
  <si>
    <t>Thứ Năm (25/12)</t>
  </si>
  <si>
    <t>SINH</t>
  </si>
  <si>
    <t>11AS</t>
  </si>
  <si>
    <t>11VH</t>
  </si>
  <si>
    <t>11KT</t>
  </si>
  <si>
    <t>KHỐI 10AS</t>
  </si>
  <si>
    <t>14 phòng</t>
  </si>
  <si>
    <r>
      <t xml:space="preserve">TỔ HỢP 2 </t>
    </r>
    <r>
      <rPr>
        <b/>
        <sz val="10"/>
        <color indexed="60"/>
        <rFont val="Times New Roman"/>
        <family val="1"/>
      </rPr>
      <t>(10AS1,2)</t>
    </r>
  </si>
  <si>
    <r>
      <t xml:space="preserve">TỔ HỢP 3 </t>
    </r>
    <r>
      <rPr>
        <b/>
        <sz val="10"/>
        <color indexed="60"/>
        <rFont val="Times New Roman"/>
        <family val="1"/>
      </rPr>
      <t>(10AS3,4)</t>
    </r>
  </si>
  <si>
    <t>01.HN</t>
  </si>
  <si>
    <r>
      <t xml:space="preserve">TỔ HỢP 4 </t>
    </r>
    <r>
      <rPr>
        <b/>
        <sz val="10"/>
        <color indexed="60"/>
        <rFont val="Times New Roman"/>
        <family val="1"/>
      </rPr>
      <t>(10AS5,6,7)</t>
    </r>
  </si>
  <si>
    <t>KHỐI 10AT</t>
  </si>
  <si>
    <t>3 phòng</t>
  </si>
  <si>
    <r>
      <t xml:space="preserve">TỔ HỢP 4 </t>
    </r>
    <r>
      <rPr>
        <b/>
        <sz val="10"/>
        <color indexed="60"/>
        <rFont val="Times New Roman"/>
        <family val="1"/>
      </rPr>
      <t>(10AT1,2)</t>
    </r>
  </si>
  <si>
    <t>KHỐI 11AS</t>
  </si>
  <si>
    <t>5 phòng</t>
  </si>
  <si>
    <r>
      <t xml:space="preserve">TỔ HỢP 4 </t>
    </r>
    <r>
      <rPr>
        <b/>
        <sz val="10"/>
        <color indexed="60"/>
        <rFont val="Times New Roman"/>
        <family val="1"/>
      </rPr>
      <t>(11AS1,2,3)</t>
    </r>
  </si>
  <si>
    <t>KHỐI 11AT</t>
  </si>
  <si>
    <t>13 phòng</t>
  </si>
  <si>
    <r>
      <t xml:space="preserve">TỔ HỢP 1 </t>
    </r>
    <r>
      <rPr>
        <b/>
        <sz val="10"/>
        <color indexed="60"/>
        <rFont val="Times New Roman"/>
        <family val="1"/>
      </rPr>
      <t>(11AT1,2)</t>
    </r>
  </si>
  <si>
    <r>
      <t xml:space="preserve">TỔ HỢP 2 </t>
    </r>
    <r>
      <rPr>
        <b/>
        <sz val="10"/>
        <color indexed="60"/>
        <rFont val="Times New Roman"/>
        <family val="1"/>
      </rPr>
      <t>(11AT3,4)</t>
    </r>
  </si>
  <si>
    <t>7A</t>
  </si>
  <si>
    <r>
      <t xml:space="preserve">TỔ HỢP 3 </t>
    </r>
    <r>
      <rPr>
        <b/>
        <sz val="10"/>
        <color indexed="60"/>
        <rFont val="Times New Roman"/>
        <family val="1"/>
      </rPr>
      <t>(11AT5,6)</t>
    </r>
  </si>
  <si>
    <r>
      <t xml:space="preserve">TỔ HỢP 5 </t>
    </r>
    <r>
      <rPr>
        <b/>
        <sz val="10"/>
        <color indexed="60"/>
        <rFont val="Times New Roman"/>
        <family val="1"/>
      </rPr>
      <t>(11AT7,8)</t>
    </r>
  </si>
  <si>
    <t>21 phòng</t>
  </si>
  <si>
    <r>
      <t xml:space="preserve">TỔ HỢP 1 </t>
    </r>
    <r>
      <rPr>
        <b/>
        <sz val="10"/>
        <color indexed="60"/>
        <rFont val="Times New Roman"/>
        <family val="1"/>
      </rPr>
      <t>(12AS1,2,3)</t>
    </r>
  </si>
  <si>
    <r>
      <t xml:space="preserve">TỔ HỢP 2 </t>
    </r>
    <r>
      <rPr>
        <b/>
        <sz val="10"/>
        <color indexed="60"/>
        <rFont val="Times New Roman"/>
        <family val="1"/>
      </rPr>
      <t>(12AS4,5,6)</t>
    </r>
  </si>
  <si>
    <t>02.HN</t>
  </si>
  <si>
    <r>
      <t xml:space="preserve">TỔ HỢP 3 </t>
    </r>
    <r>
      <rPr>
        <b/>
        <sz val="10"/>
        <color indexed="60"/>
        <rFont val="Times New Roman"/>
        <family val="1"/>
      </rPr>
      <t>(12AS7,8)</t>
    </r>
  </si>
  <si>
    <r>
      <t xml:space="preserve">TỔ HỢP 5 </t>
    </r>
    <r>
      <rPr>
        <b/>
        <sz val="7"/>
        <color indexed="60"/>
        <rFont val="Times New Roman"/>
        <family val="1"/>
      </rPr>
      <t>(12AS9,10,11,12)</t>
    </r>
  </si>
  <si>
    <r>
      <t xml:space="preserve">TỔ HỢP 1 </t>
    </r>
    <r>
      <rPr>
        <b/>
        <sz val="10"/>
        <color indexed="60"/>
        <rFont val="Times New Roman"/>
        <family val="1"/>
      </rPr>
      <t>(12AT1,2)</t>
    </r>
  </si>
  <si>
    <r>
      <t xml:space="preserve">TỔ HỢP 2 </t>
    </r>
    <r>
      <rPr>
        <b/>
        <sz val="10"/>
        <color indexed="60"/>
        <rFont val="Times New Roman"/>
        <family val="1"/>
      </rPr>
      <t>(12AT3)</t>
    </r>
  </si>
  <si>
    <t>KHỐI 10KT</t>
  </si>
  <si>
    <r>
      <t xml:space="preserve">TỔ HỢP 4 </t>
    </r>
    <r>
      <rPr>
        <b/>
        <sz val="9"/>
        <color indexed="60"/>
        <rFont val="Times New Roman"/>
        <family val="1"/>
      </rPr>
      <t>(10KT1,2,3,4)</t>
    </r>
  </si>
  <si>
    <t>HT2-1</t>
  </si>
  <si>
    <t>HT2-2</t>
  </si>
  <si>
    <t>HT2-3</t>
  </si>
  <si>
    <t>A0.13</t>
  </si>
  <si>
    <t>A0.15</t>
  </si>
  <si>
    <t>A1.10</t>
  </si>
  <si>
    <t>A1.11</t>
  </si>
  <si>
    <t>KHỐI 11KT</t>
  </si>
  <si>
    <r>
      <t xml:space="preserve">TỔ HỢP 4 </t>
    </r>
    <r>
      <rPr>
        <b/>
        <sz val="9"/>
        <color indexed="60"/>
        <rFont val="Times New Roman"/>
        <family val="1"/>
      </rPr>
      <t>(11KT1,2,3,4)</t>
    </r>
  </si>
  <si>
    <t>KHỐI 12KT</t>
  </si>
  <si>
    <r>
      <t xml:space="preserve">TỔ HỢP 4 </t>
    </r>
    <r>
      <rPr>
        <b/>
        <sz val="9"/>
        <color indexed="60"/>
        <rFont val="Times New Roman"/>
        <family val="1"/>
      </rPr>
      <t>(12KT1,2,3,4)</t>
    </r>
  </si>
  <si>
    <t>A1.12</t>
  </si>
  <si>
    <t>KHỐI 10VH</t>
  </si>
  <si>
    <r>
      <t xml:space="preserve">TỔ HỢP 4 </t>
    </r>
    <r>
      <rPr>
        <b/>
        <sz val="9"/>
        <color indexed="60"/>
        <rFont val="Times New Roman"/>
        <family val="1"/>
      </rPr>
      <t>(10VH1,2)</t>
    </r>
  </si>
  <si>
    <r>
      <t xml:space="preserve">TỔ HỢP 5 </t>
    </r>
    <r>
      <rPr>
        <b/>
        <sz val="9"/>
        <color indexed="60"/>
        <rFont val="Times New Roman"/>
        <family val="1"/>
      </rPr>
      <t>(10VH3,4,5)</t>
    </r>
  </si>
  <si>
    <r>
      <t xml:space="preserve">TỔ HỢP 4 </t>
    </r>
    <r>
      <rPr>
        <b/>
        <sz val="9"/>
        <color indexed="60"/>
        <rFont val="Times New Roman"/>
        <family val="1"/>
      </rPr>
      <t>(11VH1,2)</t>
    </r>
  </si>
  <si>
    <r>
      <t xml:space="preserve">TỔ HỢP 5 </t>
    </r>
    <r>
      <rPr>
        <b/>
        <sz val="9"/>
        <color indexed="60"/>
        <rFont val="Times New Roman"/>
        <family val="1"/>
      </rPr>
      <t>(11VH3,4,5)</t>
    </r>
  </si>
  <si>
    <r>
      <t xml:space="preserve">TỔ HỢP 4 </t>
    </r>
    <r>
      <rPr>
        <b/>
        <sz val="9"/>
        <color indexed="60"/>
        <rFont val="Times New Roman"/>
        <family val="1"/>
      </rPr>
      <t>(12VH1,2,3)</t>
    </r>
  </si>
  <si>
    <r>
      <t xml:space="preserve">TỔ HỢP 5 </t>
    </r>
    <r>
      <rPr>
        <b/>
        <sz val="9"/>
        <color indexed="60"/>
        <rFont val="Times New Roman"/>
        <family val="1"/>
      </rPr>
      <t>(12VH4,5,6,7)</t>
    </r>
  </si>
  <si>
    <t>Cột 15</t>
  </si>
  <si>
    <t>Cột 16</t>
  </si>
  <si>
    <t>Cột 17</t>
  </si>
  <si>
    <t>Cột 3</t>
  </si>
  <si>
    <t>Cột 4</t>
  </si>
  <si>
    <t>Cột 7</t>
  </si>
  <si>
    <t>Cột 5</t>
  </si>
  <si>
    <t>Cột 1</t>
  </si>
  <si>
    <t>Cột 2</t>
  </si>
  <si>
    <t>Cột 6</t>
  </si>
  <si>
    <t>Cột 8</t>
  </si>
  <si>
    <t>Cột 9</t>
  </si>
  <si>
    <t>Cột 10</t>
  </si>
  <si>
    <t>Cột 11</t>
  </si>
  <si>
    <t>Cột 12</t>
  </si>
  <si>
    <t>Cột 13</t>
  </si>
  <si>
    <t>Cột 14</t>
  </si>
  <si>
    <t>Cột 18</t>
  </si>
  <si>
    <t>Cột 19</t>
  </si>
  <si>
    <t>TỔ HỢP 4 (10VH1,2)</t>
  </si>
  <si>
    <t>TỔ HỢP 5 (10VH3,4,5)</t>
  </si>
  <si>
    <t>COPPY DS THI TẬP TRUNG</t>
  </si>
  <si>
    <t>KH/Phòng</t>
  </si>
  <si>
    <t>Cột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</si>
</sst>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3" x14ac:knownFonts="1">
    <font>
      <sz val="12"/>
      <color theme="1"/>
      <name val="Times New Roman"/>
      <family val="2"/>
    </font>
    <font>
      <sz val="16"/>
      <color indexed="8"/>
      <name val="Times New Roman"/>
      <family val="2"/>
    </font>
    <font>
      <b/>
      <sz val="16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Arial"/>
      <family val="2"/>
    </font>
    <font>
      <sz val="13"/>
      <color indexed="8"/>
      <name val="Times New Roman"/>
      <family val="2"/>
    </font>
    <font>
      <b/>
      <sz val="15"/>
      <color indexed="8"/>
      <name val="Times New Roman"/>
      <family val="1"/>
    </font>
    <font>
      <b/>
      <sz val="10"/>
      <color indexed="60"/>
      <name val="Times New Roman"/>
      <family val="1"/>
    </font>
    <font>
      <b/>
      <sz val="7"/>
      <color indexed="60"/>
      <name val="Times New Roman"/>
      <family val="1"/>
    </font>
    <font>
      <b/>
      <sz val="9"/>
      <color indexed="60"/>
      <name val="Times New Roman"/>
      <family val="1"/>
    </font>
    <font>
      <sz val="8"/>
      <name val="Times New Roman"/>
      <family val="2"/>
    </font>
    <font>
      <b/>
      <sz val="10"/>
      <color rgb="FF000099"/>
      <name val="Arial"/>
      <family val="2"/>
    </font>
    <font>
      <b/>
      <sz val="10"/>
      <color rgb="FFC00000"/>
      <name val="Arial"/>
      <family val="2"/>
    </font>
    <font>
      <b/>
      <sz val="16"/>
      <color rgb="FF000099"/>
      <name val="Times New Roman"/>
      <family val="1"/>
    </font>
    <font>
      <b/>
      <sz val="16"/>
      <color rgb="FFC00000"/>
      <name val="Times New Roman"/>
      <family val="1"/>
    </font>
    <font>
      <sz val="16"/>
      <color theme="5" tint="-0.499984740745262"/>
      <name val="Times New Roman"/>
      <family val="1"/>
    </font>
    <font>
      <sz val="13"/>
      <color rgb="FFC00000"/>
      <name val="Times New Roman"/>
      <family val="1"/>
    </font>
    <font>
      <sz val="13"/>
      <color theme="1"/>
      <name val="Times New Roman"/>
      <family val="1"/>
    </font>
    <font>
      <sz val="16"/>
      <color rgb="FFC00000"/>
      <name val="Times New Roman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00B050"/>
      <name val="Arial"/>
      <family val="2"/>
    </font>
    <font>
      <b/>
      <sz val="10"/>
      <color rgb="FF0000CC"/>
      <name val="Arial"/>
      <family val="2"/>
    </font>
    <font>
      <b/>
      <i/>
      <sz val="10"/>
      <color rgb="FF000066"/>
      <name val="Arial"/>
      <family val="2"/>
    </font>
    <font>
      <b/>
      <sz val="10"/>
      <color rgb="FF00B0F0"/>
      <name val="Arial"/>
      <family val="2"/>
    </font>
    <font>
      <b/>
      <sz val="10"/>
      <color theme="8" tint="-0.249977111117893"/>
      <name val="Arial"/>
      <family val="2"/>
    </font>
    <font>
      <b/>
      <sz val="14"/>
      <color rgb="FF0000CC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0000CC"/>
      <name val="Times New Roman"/>
      <family val="1"/>
    </font>
    <font>
      <b/>
      <sz val="10"/>
      <color rgb="FFFF0000"/>
      <name val="Arial"/>
      <family val="2"/>
    </font>
    <font>
      <b/>
      <sz val="10"/>
      <color theme="1" tint="4.9989318521683403E-2"/>
      <name val="Arial"/>
      <family val="2"/>
    </font>
    <font>
      <sz val="10"/>
      <color rgb="FF000099"/>
      <name val="Arial"/>
      <family val="2"/>
    </font>
    <font>
      <sz val="14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7"/>
      <color rgb="FF0000CC"/>
      <name val="Times New Roman"/>
      <family val="1"/>
    </font>
    <font>
      <b/>
      <sz val="9"/>
      <color rgb="FF0000CC"/>
      <name val="Times New Roman"/>
      <family val="1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sz val="12"/>
      <color rgb="FF0000CC"/>
      <name val="Times New Roman"/>
      <family val="2"/>
    </font>
    <font>
      <b/>
      <sz val="12"/>
      <color rgb="FFC00000"/>
      <name val="Times New Roman"/>
      <family val="1"/>
    </font>
    <font>
      <sz val="14"/>
      <color rgb="FF0000CC"/>
      <name val="Times New Roman"/>
      <family val="2"/>
    </font>
    <font>
      <sz val="13"/>
      <color rgb="FF0000CC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" fillId="0" borderId="0" xfId="0" applyFont="1" applyAlignment="1">
      <alignment shrinkToFit="1"/>
    </xf>
    <xf numFmtId="0" fontId="1" fillId="0" borderId="1" xfId="0" applyFont="1" applyBorder="1" applyAlignment="1">
      <alignment horizontal="right" shrinkToFit="1"/>
    </xf>
    <xf numFmtId="0" fontId="1" fillId="0" borderId="0" xfId="0" applyFont="1" applyAlignment="1">
      <alignment horizontal="right" shrinkToFit="1"/>
    </xf>
    <xf numFmtId="0" fontId="1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shrinkToFit="1"/>
    </xf>
    <xf numFmtId="0" fontId="17" fillId="0" borderId="2" xfId="0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shrinkToFit="1"/>
    </xf>
    <xf numFmtId="0" fontId="11" fillId="0" borderId="2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4" xfId="0" applyBorder="1"/>
    <xf numFmtId="0" fontId="11" fillId="4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20" fillId="5" borderId="5" xfId="0" applyFont="1" applyFill="1" applyBorder="1" applyAlignment="1">
      <alignment vertical="center"/>
    </xf>
    <xf numFmtId="0" fontId="21" fillId="5" borderId="6" xfId="0" applyFont="1" applyFill="1" applyBorder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vertical="center" shrinkToFit="1"/>
    </xf>
    <xf numFmtId="0" fontId="22" fillId="5" borderId="5" xfId="0" applyFont="1" applyFill="1" applyBorder="1" applyAlignment="1">
      <alignment vertical="center" shrinkToFit="1"/>
    </xf>
    <xf numFmtId="0" fontId="22" fillId="5" borderId="8" xfId="0" applyFont="1" applyFill="1" applyBorder="1" applyAlignment="1">
      <alignment vertical="center" shrinkToFit="1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2" fillId="5" borderId="11" xfId="0" applyFont="1" applyFill="1" applyBorder="1" applyAlignment="1">
      <alignment vertical="center"/>
    </xf>
    <xf numFmtId="0" fontId="20" fillId="5" borderId="11" xfId="0" applyFont="1" applyFill="1" applyBorder="1" applyAlignment="1">
      <alignment vertical="center"/>
    </xf>
    <xf numFmtId="0" fontId="21" fillId="5" borderId="12" xfId="0" applyFont="1" applyFill="1" applyBorder="1" applyAlignment="1">
      <alignment vertical="center"/>
    </xf>
    <xf numFmtId="0" fontId="21" fillId="5" borderId="13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vertical="center" shrinkToFit="1"/>
    </xf>
    <xf numFmtId="0" fontId="22" fillId="5" borderId="11" xfId="0" applyFont="1" applyFill="1" applyBorder="1" applyAlignment="1">
      <alignment vertical="center" shrinkToFit="1"/>
    </xf>
    <xf numFmtId="0" fontId="22" fillId="5" borderId="14" xfId="0" applyFont="1" applyFill="1" applyBorder="1" applyAlignment="1">
      <alignment vertical="center" shrinkToFit="1"/>
    </xf>
    <xf numFmtId="0" fontId="23" fillId="4" borderId="15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vertical="center" shrinkToFit="1"/>
    </xf>
    <xf numFmtId="0" fontId="11" fillId="6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5" borderId="16" xfId="0" applyFont="1" applyFill="1" applyBorder="1" applyAlignment="1">
      <alignment vertical="center"/>
    </xf>
    <xf numFmtId="0" fontId="20" fillId="5" borderId="16" xfId="0" applyFont="1" applyFill="1" applyBorder="1" applyAlignment="1">
      <alignment vertical="center"/>
    </xf>
    <xf numFmtId="0" fontId="21" fillId="5" borderId="17" xfId="0" applyFont="1" applyFill="1" applyBorder="1" applyAlignment="1">
      <alignment vertical="center"/>
    </xf>
    <xf numFmtId="0" fontId="21" fillId="5" borderId="18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vertical="center" shrinkToFit="1"/>
    </xf>
    <xf numFmtId="0" fontId="22" fillId="5" borderId="16" xfId="0" applyFont="1" applyFill="1" applyBorder="1" applyAlignment="1">
      <alignment vertical="center" shrinkToFit="1"/>
    </xf>
    <xf numFmtId="0" fontId="22" fillId="5" borderId="19" xfId="0" applyFont="1" applyFill="1" applyBorder="1" applyAlignment="1">
      <alignment vertical="center" shrinkToFit="1"/>
    </xf>
    <xf numFmtId="0" fontId="11" fillId="0" borderId="1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5" borderId="6" xfId="0" applyFont="1" applyFill="1" applyBorder="1" applyAlignment="1">
      <alignment vertical="center" shrinkToFit="1"/>
    </xf>
    <xf numFmtId="0" fontId="12" fillId="5" borderId="5" xfId="0" applyFont="1" applyFill="1" applyBorder="1" applyAlignment="1">
      <alignment vertical="center" shrinkToFit="1"/>
    </xf>
    <xf numFmtId="0" fontId="12" fillId="5" borderId="8" xfId="0" applyFont="1" applyFill="1" applyBorder="1" applyAlignment="1">
      <alignment vertical="center" shrinkToFit="1"/>
    </xf>
    <xf numFmtId="0" fontId="12" fillId="0" borderId="0" xfId="0" applyFont="1" applyAlignment="1">
      <alignment vertical="center"/>
    </xf>
    <xf numFmtId="0" fontId="12" fillId="5" borderId="12" xfId="0" applyFont="1" applyFill="1" applyBorder="1" applyAlignment="1">
      <alignment vertical="center" shrinkToFit="1"/>
    </xf>
    <xf numFmtId="0" fontId="12" fillId="5" borderId="11" xfId="0" applyFont="1" applyFill="1" applyBorder="1" applyAlignment="1">
      <alignment vertical="center" shrinkToFit="1"/>
    </xf>
    <xf numFmtId="0" fontId="12" fillId="5" borderId="14" xfId="0" applyFont="1" applyFill="1" applyBorder="1" applyAlignment="1">
      <alignment vertical="center" shrinkToFit="1"/>
    </xf>
    <xf numFmtId="0" fontId="12" fillId="5" borderId="17" xfId="0" applyFont="1" applyFill="1" applyBorder="1" applyAlignment="1">
      <alignment vertical="center" shrinkToFit="1"/>
    </xf>
    <xf numFmtId="0" fontId="12" fillId="5" borderId="16" xfId="0" applyFont="1" applyFill="1" applyBorder="1" applyAlignment="1">
      <alignment vertical="center" shrinkToFit="1"/>
    </xf>
    <xf numFmtId="0" fontId="12" fillId="5" borderId="19" xfId="0" applyFont="1" applyFill="1" applyBorder="1" applyAlignment="1">
      <alignment vertical="center" shrinkToFit="1"/>
    </xf>
    <xf numFmtId="0" fontId="25" fillId="5" borderId="5" xfId="0" applyFont="1" applyFill="1" applyBorder="1" applyAlignment="1">
      <alignment vertical="center" shrinkToFit="1"/>
    </xf>
    <xf numFmtId="0" fontId="25" fillId="5" borderId="8" xfId="0" applyFont="1" applyFill="1" applyBorder="1" applyAlignment="1">
      <alignment vertical="center" shrinkToFit="1"/>
    </xf>
    <xf numFmtId="0" fontId="25" fillId="0" borderId="0" xfId="0" applyFont="1" applyAlignment="1">
      <alignment vertical="center"/>
    </xf>
    <xf numFmtId="0" fontId="25" fillId="5" borderId="11" xfId="0" applyFont="1" applyFill="1" applyBorder="1" applyAlignment="1">
      <alignment vertical="center" shrinkToFit="1"/>
    </xf>
    <xf numFmtId="0" fontId="25" fillId="5" borderId="14" xfId="0" applyFont="1" applyFill="1" applyBorder="1" applyAlignment="1">
      <alignment vertical="center" shrinkToFit="1"/>
    </xf>
    <xf numFmtId="0" fontId="25" fillId="5" borderId="16" xfId="0" applyFont="1" applyFill="1" applyBorder="1" applyAlignment="1">
      <alignment vertical="center" shrinkToFit="1"/>
    </xf>
    <xf numFmtId="0" fontId="25" fillId="5" borderId="19" xfId="0" applyFont="1" applyFill="1" applyBorder="1" applyAlignment="1">
      <alignment vertical="center" shrinkToFit="1"/>
    </xf>
    <xf numFmtId="0" fontId="11" fillId="7" borderId="2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/>
    </xf>
    <xf numFmtId="41" fontId="26" fillId="7" borderId="20" xfId="0" applyNumberFormat="1" applyFont="1" applyFill="1" applyBorder="1" applyAlignment="1">
      <alignment horizontal="center" vertical="center" shrinkToFit="1"/>
    </xf>
    <xf numFmtId="41" fontId="27" fillId="7" borderId="20" xfId="0" applyNumberFormat="1" applyFont="1" applyFill="1" applyBorder="1" applyAlignment="1">
      <alignment horizontal="center" vertical="center" shrinkToFit="1"/>
    </xf>
    <xf numFmtId="41" fontId="28" fillId="7" borderId="21" xfId="0" applyNumberFormat="1" applyFont="1" applyFill="1" applyBorder="1" applyAlignment="1">
      <alignment horizontal="center" vertical="center" shrinkToFit="1"/>
    </xf>
    <xf numFmtId="0" fontId="12" fillId="7" borderId="10" xfId="0" applyFont="1" applyFill="1" applyBorder="1" applyAlignment="1">
      <alignment horizontal="center" vertical="center" shrinkToFit="1"/>
    </xf>
    <xf numFmtId="0" fontId="11" fillId="7" borderId="9" xfId="0" applyFont="1" applyFill="1" applyBorder="1" applyAlignment="1">
      <alignment horizontal="center" vertical="center" shrinkToFit="1"/>
    </xf>
    <xf numFmtId="0" fontId="11" fillId="7" borderId="2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8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vertical="center"/>
    </xf>
    <xf numFmtId="0" fontId="30" fillId="8" borderId="10" xfId="0" applyFont="1" applyFill="1" applyBorder="1" applyAlignment="1">
      <alignment vertical="center"/>
    </xf>
    <xf numFmtId="0" fontId="12" fillId="8" borderId="10" xfId="0" applyFont="1" applyFill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41" fontId="4" fillId="8" borderId="2" xfId="0" applyNumberFormat="1" applyFont="1" applyFill="1" applyBorder="1" applyAlignment="1">
      <alignment vertical="center"/>
    </xf>
    <xf numFmtId="41" fontId="12" fillId="8" borderId="2" xfId="0" applyNumberFormat="1" applyFont="1" applyFill="1" applyBorder="1" applyAlignment="1">
      <alignment vertical="center"/>
    </xf>
    <xf numFmtId="0" fontId="22" fillId="8" borderId="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41" fontId="22" fillId="0" borderId="22" xfId="0" applyNumberFormat="1" applyFont="1" applyBorder="1" applyAlignment="1">
      <alignment horizontal="center" vertical="center" shrinkToFit="1"/>
    </xf>
    <xf numFmtId="41" fontId="31" fillId="0" borderId="22" xfId="0" applyNumberFormat="1" applyFont="1" applyBorder="1" applyAlignment="1">
      <alignment horizontal="center" vertical="center" shrinkToFit="1"/>
    </xf>
    <xf numFmtId="41" fontId="30" fillId="0" borderId="22" xfId="0" applyNumberFormat="1" applyFont="1" applyBorder="1" applyAlignment="1">
      <alignment horizontal="center" vertical="center" shrinkToFit="1"/>
    </xf>
    <xf numFmtId="41" fontId="12" fillId="9" borderId="22" xfId="0" applyNumberFormat="1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11" fillId="9" borderId="23" xfId="0" applyFont="1" applyFill="1" applyBorder="1" applyAlignment="1">
      <alignment vertical="center" shrinkToFit="1"/>
    </xf>
    <xf numFmtId="41" fontId="12" fillId="0" borderId="8" xfId="0" applyNumberFormat="1" applyFont="1" applyBorder="1" applyAlignment="1">
      <alignment vertical="center"/>
    </xf>
    <xf numFmtId="41" fontId="32" fillId="0" borderId="22" xfId="0" applyNumberFormat="1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41" fontId="22" fillId="0" borderId="14" xfId="0" applyNumberFormat="1" applyFont="1" applyBorder="1" applyAlignment="1">
      <alignment horizontal="center" vertical="center" shrinkToFit="1"/>
    </xf>
    <xf numFmtId="41" fontId="31" fillId="0" borderId="14" xfId="0" applyNumberFormat="1" applyFont="1" applyBorder="1" applyAlignment="1">
      <alignment horizontal="center" vertical="center" shrinkToFit="1"/>
    </xf>
    <xf numFmtId="0" fontId="31" fillId="9" borderId="14" xfId="0" applyFont="1" applyFill="1" applyBorder="1" applyAlignment="1">
      <alignment horizontal="center" vertical="center" shrinkToFit="1"/>
    </xf>
    <xf numFmtId="41" fontId="12" fillId="0" borderId="14" xfId="0" applyNumberFormat="1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41" fontId="22" fillId="0" borderId="24" xfId="0" applyNumberFormat="1" applyFont="1" applyBorder="1" applyAlignment="1">
      <alignment horizontal="center" vertical="center" shrinkToFit="1"/>
    </xf>
    <xf numFmtId="41" fontId="31" fillId="0" borderId="24" xfId="0" applyNumberFormat="1" applyFont="1" applyBorder="1" applyAlignment="1">
      <alignment horizontal="center" vertical="center" shrinkToFit="1"/>
    </xf>
    <xf numFmtId="41" fontId="30" fillId="0" borderId="3" xfId="0" applyNumberFormat="1" applyFont="1" applyBorder="1" applyAlignment="1">
      <alignment horizontal="center" vertical="center" shrinkToFit="1"/>
    </xf>
    <xf numFmtId="0" fontId="31" fillId="9" borderId="24" xfId="0" applyFont="1" applyFill="1" applyBorder="1" applyAlignment="1">
      <alignment horizontal="center" vertical="center" shrinkToFit="1"/>
    </xf>
    <xf numFmtId="41" fontId="12" fillId="0" borderId="19" xfId="0" applyNumberFormat="1" applyFont="1" applyBorder="1" applyAlignment="1">
      <alignment vertical="center"/>
    </xf>
    <xf numFmtId="0" fontId="12" fillId="8" borderId="15" xfId="0" applyFont="1" applyFill="1" applyBorder="1" applyAlignment="1">
      <alignment vertical="center" shrinkToFit="1"/>
    </xf>
    <xf numFmtId="0" fontId="12" fillId="8" borderId="2" xfId="0" applyFont="1" applyFill="1" applyBorder="1" applyAlignment="1">
      <alignment vertical="center" shrinkToFit="1"/>
    </xf>
    <xf numFmtId="0" fontId="30" fillId="8" borderId="10" xfId="0" applyFont="1" applyFill="1" applyBorder="1" applyAlignment="1">
      <alignment vertical="center" shrinkToFit="1"/>
    </xf>
    <xf numFmtId="0" fontId="12" fillId="8" borderId="10" xfId="0" applyFont="1" applyFill="1" applyBorder="1" applyAlignment="1">
      <alignment vertical="center" shrinkToFit="1"/>
    </xf>
    <xf numFmtId="0" fontId="12" fillId="8" borderId="9" xfId="0" applyFont="1" applyFill="1" applyBorder="1" applyAlignment="1">
      <alignment vertical="center" shrinkToFit="1"/>
    </xf>
    <xf numFmtId="0" fontId="29" fillId="0" borderId="1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41" fontId="22" fillId="0" borderId="19" xfId="0" applyNumberFormat="1" applyFont="1" applyBorder="1" applyAlignment="1">
      <alignment horizontal="center" vertical="center" shrinkToFit="1"/>
    </xf>
    <xf numFmtId="0" fontId="31" fillId="9" borderId="19" xfId="0" applyFont="1" applyFill="1" applyBorder="1" applyAlignment="1">
      <alignment horizontal="center" vertical="center" shrinkToFit="1"/>
    </xf>
    <xf numFmtId="0" fontId="33" fillId="0" borderId="8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0" fontId="34" fillId="7" borderId="20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1" fontId="22" fillId="0" borderId="8" xfId="0" applyNumberFormat="1" applyFont="1" applyBorder="1" applyAlignment="1">
      <alignment horizontal="center" vertical="center" shrinkToFit="1"/>
    </xf>
    <xf numFmtId="41" fontId="12" fillId="9" borderId="8" xfId="0" applyNumberFormat="1" applyFont="1" applyFill="1" applyBorder="1" applyAlignment="1">
      <alignment horizontal="center" vertical="center" shrinkToFit="1"/>
    </xf>
    <xf numFmtId="0" fontId="31" fillId="9" borderId="8" xfId="0" applyFont="1" applyFill="1" applyBorder="1" applyAlignment="1">
      <alignment horizontal="center" vertical="center" shrinkToFit="1"/>
    </xf>
    <xf numFmtId="41" fontId="12" fillId="9" borderId="14" xfId="0" applyNumberFormat="1" applyFont="1" applyFill="1" applyBorder="1" applyAlignment="1">
      <alignment horizontal="center" vertical="center" shrinkToFit="1"/>
    </xf>
    <xf numFmtId="41" fontId="12" fillId="9" borderId="19" xfId="0" applyNumberFormat="1" applyFont="1" applyFill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wrapText="1"/>
    </xf>
    <xf numFmtId="41" fontId="31" fillId="0" borderId="8" xfId="0" applyNumberFormat="1" applyFont="1" applyBorder="1" applyAlignment="1">
      <alignment horizontal="center" vertical="center" shrinkToFit="1"/>
    </xf>
    <xf numFmtId="41" fontId="30" fillId="0" borderId="8" xfId="0" applyNumberFormat="1" applyFont="1" applyBorder="1" applyAlignment="1">
      <alignment horizontal="center" vertical="center" shrinkToFit="1"/>
    </xf>
    <xf numFmtId="41" fontId="32" fillId="0" borderId="8" xfId="0" applyNumberFormat="1" applyFont="1" applyBorder="1" applyAlignment="1">
      <alignment vertical="center"/>
    </xf>
    <xf numFmtId="41" fontId="31" fillId="0" borderId="19" xfId="0" applyNumberFormat="1" applyFont="1" applyBorder="1" applyAlignment="1">
      <alignment horizontal="center" vertical="center" shrinkToFit="1"/>
    </xf>
    <xf numFmtId="41" fontId="30" fillId="0" borderId="19" xfId="0" applyNumberFormat="1" applyFont="1" applyBorder="1" applyAlignment="1">
      <alignment horizontal="center" vertical="center" shrinkToFit="1"/>
    </xf>
    <xf numFmtId="41" fontId="32" fillId="0" borderId="19" xfId="0" applyNumberFormat="1" applyFont="1" applyBorder="1" applyAlignment="1">
      <alignment vertical="center"/>
    </xf>
    <xf numFmtId="0" fontId="36" fillId="0" borderId="2" xfId="0" applyFont="1" applyBorder="1" applyAlignment="1">
      <alignment horizontal="center" vertical="center" wrapText="1"/>
    </xf>
    <xf numFmtId="41" fontId="30" fillId="0" borderId="14" xfId="0" applyNumberFormat="1" applyFont="1" applyBorder="1" applyAlignment="1">
      <alignment horizontal="center" vertical="center" shrinkToFit="1"/>
    </xf>
    <xf numFmtId="0" fontId="11" fillId="9" borderId="16" xfId="0" applyFont="1" applyFill="1" applyBorder="1" applyAlignment="1">
      <alignment vertical="center" shrinkToFit="1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4" borderId="9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29" fillId="10" borderId="22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vertical="center" shrinkToFit="1"/>
    </xf>
    <xf numFmtId="0" fontId="11" fillId="6" borderId="2" xfId="0" applyFont="1" applyFill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2" fillId="7" borderId="20" xfId="0" applyFont="1" applyFill="1" applyBorder="1" applyAlignment="1">
      <alignment horizontal="center" vertical="center" shrinkToFit="1"/>
    </xf>
    <xf numFmtId="0" fontId="29" fillId="0" borderId="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12" fillId="8" borderId="15" xfId="0" applyFont="1" applyFill="1" applyBorder="1" applyAlignment="1">
      <alignment horizontal="center" vertical="center"/>
    </xf>
    <xf numFmtId="0" fontId="30" fillId="11" borderId="20" xfId="0" applyFont="1" applyFill="1" applyBorder="1" applyAlignment="1">
      <alignment horizontal="center" vertical="center" shrinkToFit="1"/>
    </xf>
    <xf numFmtId="0" fontId="14" fillId="0" borderId="0" xfId="0" applyFont="1"/>
    <xf numFmtId="0" fontId="41" fillId="0" borderId="0" xfId="0" applyFont="1"/>
    <xf numFmtId="0" fontId="5" fillId="0" borderId="0" xfId="0" applyFont="1" applyAlignment="1">
      <alignment shrinkToFit="1"/>
    </xf>
    <xf numFmtId="0" fontId="30" fillId="11" borderId="21" xfId="0" applyFont="1" applyFill="1" applyBorder="1" applyAlignment="1">
      <alignment horizontal="center" vertical="center" shrinkToFit="1"/>
    </xf>
    <xf numFmtId="0" fontId="30" fillId="11" borderId="25" xfId="0" applyFont="1" applyFill="1" applyBorder="1" applyAlignment="1">
      <alignment horizontal="center" vertical="center" shrinkToFit="1"/>
    </xf>
    <xf numFmtId="0" fontId="30" fillId="11" borderId="26" xfId="0" applyFont="1" applyFill="1" applyBorder="1" applyAlignment="1">
      <alignment horizontal="center" vertical="center" shrinkToFit="1"/>
    </xf>
    <xf numFmtId="0" fontId="30" fillId="11" borderId="0" xfId="0" applyFont="1" applyFill="1" applyAlignment="1">
      <alignment horizontal="center" vertical="center" shrinkToFit="1"/>
    </xf>
    <xf numFmtId="0" fontId="12" fillId="12" borderId="20" xfId="0" applyFont="1" applyFill="1" applyBorder="1" applyAlignment="1">
      <alignment vertical="center" shrinkToFit="1"/>
    </xf>
    <xf numFmtId="0" fontId="13" fillId="0" borderId="0" xfId="0" applyFont="1" applyAlignment="1">
      <alignment horizontal="center" shrinkToFit="1"/>
    </xf>
    <xf numFmtId="0" fontId="14" fillId="0" borderId="0" xfId="0" applyFont="1" applyAlignment="1">
      <alignment horizontal="center" shrinkToFit="1"/>
    </xf>
    <xf numFmtId="41" fontId="26" fillId="5" borderId="20" xfId="0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shrinkToFit="1"/>
    </xf>
    <xf numFmtId="41" fontId="22" fillId="13" borderId="22" xfId="0" applyNumberFormat="1" applyFont="1" applyFill="1" applyBorder="1" applyAlignment="1">
      <alignment horizontal="center" vertical="center" shrinkToFit="1"/>
    </xf>
    <xf numFmtId="41" fontId="22" fillId="13" borderId="14" xfId="0" applyNumberFormat="1" applyFont="1" applyFill="1" applyBorder="1" applyAlignment="1">
      <alignment horizontal="center" vertical="center" shrinkToFit="1"/>
    </xf>
    <xf numFmtId="0" fontId="4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shrinkToFi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center" shrinkToFi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U165"/>
  <sheetViews>
    <sheetView topLeftCell="A10" workbookViewId="0">
      <selection activeCell="Q19" sqref="Q19"/>
    </sheetView>
  </sheetViews>
  <sheetFormatPr baseColWidth="10" defaultColWidth="8.83203125" defaultRowHeight="16" x14ac:dyDescent="0.2"/>
  <cols>
    <col min="1" max="1" width="6.6640625" style="175" customWidth="1"/>
    <col min="2" max="2" width="11.1640625" style="7" customWidth="1"/>
    <col min="3" max="3" width="9.1640625" style="8" customWidth="1"/>
    <col min="4" max="4" width="7" style="8" customWidth="1"/>
    <col min="5" max="5" width="6.5" style="159" customWidth="1"/>
    <col min="6" max="6" width="6.33203125" style="160" customWidth="1"/>
    <col min="7" max="7" width="8.5" style="8" customWidth="1"/>
    <col min="8" max="8" width="8.1640625" style="8" customWidth="1"/>
    <col min="9" max="9" width="12.33203125" style="8" customWidth="1"/>
    <col min="10" max="10" width="14.1640625" style="8" customWidth="1"/>
    <col min="11" max="11" width="7.6640625" customWidth="1"/>
    <col min="12" max="12" width="6.1640625" customWidth="1"/>
    <col min="13" max="13" width="9" style="8" customWidth="1"/>
    <col min="14" max="14" width="9" style="166" customWidth="1"/>
    <col min="15" max="15" width="9" style="8" customWidth="1"/>
    <col min="16" max="16" width="8.1640625" customWidth="1"/>
    <col min="17" max="17" width="7.6640625" customWidth="1"/>
    <col min="18" max="18" width="9.6640625" customWidth="1"/>
    <col min="19" max="19" width="18.33203125" customWidth="1"/>
    <col min="20" max="20" width="15.83203125" customWidth="1"/>
    <col min="21" max="21" width="15.33203125" customWidth="1"/>
  </cols>
  <sheetData>
    <row r="1" spans="1:21" x14ac:dyDescent="0.2">
      <c r="A1" s="203" t="s">
        <v>135</v>
      </c>
      <c r="B1" s="203"/>
      <c r="C1" s="203"/>
      <c r="D1" s="203"/>
      <c r="E1" s="203"/>
      <c r="F1" s="203"/>
      <c r="G1" s="203"/>
      <c r="H1" s="203"/>
      <c r="I1" s="203"/>
      <c r="J1" s="203"/>
      <c r="K1" s="32">
        <v>5</v>
      </c>
      <c r="L1" s="32">
        <v>6</v>
      </c>
      <c r="M1" s="33">
        <v>7</v>
      </c>
      <c r="N1" s="161">
        <v>8</v>
      </c>
      <c r="O1" s="33">
        <v>9</v>
      </c>
      <c r="P1" s="33">
        <v>10</v>
      </c>
      <c r="Q1" s="34"/>
      <c r="S1" s="7"/>
      <c r="T1" s="7"/>
      <c r="U1" s="7"/>
    </row>
    <row r="2" spans="1:21" s="6" customFormat="1" ht="16.5" customHeight="1" x14ac:dyDescent="0.15">
      <c r="A2" s="169"/>
      <c r="B2" s="35"/>
      <c r="C2" s="6" t="str">
        <f>"LỚP "&amp;D2&amp;" -"</f>
        <v>LỚP 12AS -</v>
      </c>
      <c r="D2" s="36" t="s">
        <v>41</v>
      </c>
      <c r="E2" s="37" t="s">
        <v>42</v>
      </c>
      <c r="F2" s="38"/>
      <c r="G2" s="39"/>
      <c r="H2" s="40" t="s">
        <v>43</v>
      </c>
      <c r="I2" s="41" t="s">
        <v>44</v>
      </c>
      <c r="J2" s="42" t="s">
        <v>45</v>
      </c>
      <c r="K2" s="198" t="s">
        <v>46</v>
      </c>
      <c r="L2" s="198" t="s">
        <v>47</v>
      </c>
      <c r="M2" s="35"/>
      <c r="N2" s="162"/>
      <c r="O2" s="43"/>
      <c r="P2" s="44"/>
      <c r="Q2" s="45"/>
      <c r="R2" s="5"/>
      <c r="S2" s="46"/>
      <c r="T2" s="46"/>
      <c r="U2" s="46"/>
    </row>
    <row r="3" spans="1:21" s="6" customFormat="1" ht="16.5" customHeight="1" x14ac:dyDescent="0.15">
      <c r="A3" s="169"/>
      <c r="B3" s="35"/>
      <c r="C3" s="6" t="str">
        <f t="shared" ref="C3:C13" si="0">"LỚP "&amp;D3&amp;" -"</f>
        <v>LỚP 12KT -</v>
      </c>
      <c r="D3" s="47" t="s">
        <v>48</v>
      </c>
      <c r="E3" s="48" t="s">
        <v>42</v>
      </c>
      <c r="F3" s="49"/>
      <c r="G3" s="50"/>
      <c r="H3" s="51" t="s">
        <v>43</v>
      </c>
      <c r="I3" s="52" t="s">
        <v>44</v>
      </c>
      <c r="J3" s="53" t="s">
        <v>45</v>
      </c>
      <c r="K3" s="199"/>
      <c r="L3" s="199"/>
      <c r="M3" s="35">
        <v>2</v>
      </c>
      <c r="N3" s="163">
        <v>3</v>
      </c>
      <c r="O3" s="35">
        <v>4</v>
      </c>
      <c r="P3" s="54">
        <v>5</v>
      </c>
      <c r="Q3" s="45"/>
      <c r="R3" s="5"/>
      <c r="S3" s="46"/>
      <c r="T3" s="46"/>
      <c r="U3" s="46"/>
    </row>
    <row r="4" spans="1:21" s="6" customFormat="1" ht="15" customHeight="1" x14ac:dyDescent="0.15">
      <c r="A4" s="170"/>
      <c r="B4" s="56"/>
      <c r="C4" s="6" t="str">
        <f t="shared" si="0"/>
        <v>LỚP 10VH -</v>
      </c>
      <c r="D4" s="47" t="s">
        <v>49</v>
      </c>
      <c r="E4" s="48" t="s">
        <v>42</v>
      </c>
      <c r="F4" s="49"/>
      <c r="G4" s="50"/>
      <c r="H4" s="57" t="s">
        <v>50</v>
      </c>
      <c r="I4" s="52" t="s">
        <v>44</v>
      </c>
      <c r="J4" s="53" t="s">
        <v>45</v>
      </c>
      <c r="K4" s="55"/>
      <c r="L4" s="58"/>
      <c r="M4" s="200"/>
      <c r="N4" s="201"/>
      <c r="O4" s="200"/>
      <c r="P4" s="202"/>
      <c r="Q4" s="45"/>
      <c r="R4" s="5"/>
      <c r="S4" s="59"/>
      <c r="T4" s="46"/>
      <c r="U4" s="46"/>
    </row>
    <row r="5" spans="1:21" s="6" customFormat="1" ht="15" customHeight="1" x14ac:dyDescent="0.15">
      <c r="A5" s="171"/>
      <c r="B5" s="61"/>
      <c r="C5" s="6" t="str">
        <f t="shared" si="0"/>
        <v>LỚP 10KT -</v>
      </c>
      <c r="D5" s="62" t="s">
        <v>51</v>
      </c>
      <c r="E5" s="63" t="s">
        <v>42</v>
      </c>
      <c r="F5" s="64"/>
      <c r="G5" s="65"/>
      <c r="H5" s="66" t="s">
        <v>50</v>
      </c>
      <c r="I5" s="67" t="s">
        <v>44</v>
      </c>
      <c r="J5" s="68" t="s">
        <v>45</v>
      </c>
      <c r="K5" s="60"/>
      <c r="L5" s="31" t="s">
        <v>4</v>
      </c>
      <c r="M5" s="69" t="s">
        <v>29</v>
      </c>
      <c r="N5" s="164" t="s">
        <v>2</v>
      </c>
      <c r="O5" s="69" t="s">
        <v>0</v>
      </c>
      <c r="P5" s="70" t="s">
        <v>30</v>
      </c>
      <c r="Q5" s="45"/>
      <c r="R5" s="5"/>
      <c r="S5" s="59"/>
      <c r="T5" s="46"/>
      <c r="U5" s="46"/>
    </row>
    <row r="6" spans="1:21" s="6" customFormat="1" ht="15" customHeight="1" x14ac:dyDescent="0.15">
      <c r="A6" s="171"/>
      <c r="B6" s="61"/>
      <c r="C6" s="6" t="str">
        <f t="shared" si="0"/>
        <v>LỚP 12AT -</v>
      </c>
      <c r="D6" s="36" t="s">
        <v>52</v>
      </c>
      <c r="E6" s="37" t="s">
        <v>53</v>
      </c>
      <c r="F6" s="38"/>
      <c r="G6" s="39"/>
      <c r="H6" s="71" t="s">
        <v>54</v>
      </c>
      <c r="I6" s="72" t="s">
        <v>44</v>
      </c>
      <c r="J6" s="73" t="s">
        <v>55</v>
      </c>
      <c r="K6" s="60"/>
      <c r="L6" s="31" t="s">
        <v>9</v>
      </c>
      <c r="M6" s="69" t="s">
        <v>29</v>
      </c>
      <c r="N6" s="164" t="s">
        <v>31</v>
      </c>
      <c r="O6" s="69" t="s">
        <v>0</v>
      </c>
      <c r="P6" s="70" t="s">
        <v>30</v>
      </c>
      <c r="Q6" s="45"/>
      <c r="R6" s="5"/>
      <c r="S6" s="74"/>
      <c r="T6" s="74"/>
      <c r="U6" s="74"/>
    </row>
    <row r="7" spans="1:21" s="6" customFormat="1" ht="15" customHeight="1" x14ac:dyDescent="0.15">
      <c r="A7" s="171"/>
      <c r="B7" s="61"/>
      <c r="C7" s="6" t="str">
        <f t="shared" si="0"/>
        <v>LỚP 12VH -</v>
      </c>
      <c r="D7" s="47" t="s">
        <v>56</v>
      </c>
      <c r="E7" s="48" t="s">
        <v>53</v>
      </c>
      <c r="F7" s="49"/>
      <c r="G7" s="50"/>
      <c r="H7" s="75" t="s">
        <v>54</v>
      </c>
      <c r="I7" s="76" t="s">
        <v>44</v>
      </c>
      <c r="J7" s="77" t="s">
        <v>55</v>
      </c>
      <c r="K7" s="60"/>
      <c r="L7" s="31" t="s">
        <v>14</v>
      </c>
      <c r="M7" s="69" t="s">
        <v>29</v>
      </c>
      <c r="N7" s="164" t="s">
        <v>32</v>
      </c>
      <c r="O7" s="69" t="s">
        <v>0</v>
      </c>
      <c r="P7" s="70" t="s">
        <v>30</v>
      </c>
      <c r="Q7" s="45"/>
      <c r="R7" s="5"/>
      <c r="S7" s="74"/>
      <c r="T7" s="74"/>
      <c r="U7" s="74"/>
    </row>
    <row r="8" spans="1:21" s="6" customFormat="1" ht="15" customHeight="1" x14ac:dyDescent="0.15">
      <c r="A8" s="171"/>
      <c r="B8" s="61"/>
      <c r="C8" s="6" t="str">
        <f t="shared" si="0"/>
        <v>LỚP 10AT -</v>
      </c>
      <c r="D8" s="47" t="s">
        <v>57</v>
      </c>
      <c r="E8" s="48" t="s">
        <v>53</v>
      </c>
      <c r="F8" s="49"/>
      <c r="G8" s="50"/>
      <c r="H8" s="75" t="s">
        <v>54</v>
      </c>
      <c r="I8" s="76" t="s">
        <v>44</v>
      </c>
      <c r="J8" s="77" t="s">
        <v>55</v>
      </c>
      <c r="K8" s="60"/>
      <c r="L8" s="31" t="s">
        <v>28</v>
      </c>
      <c r="M8" s="69" t="s">
        <v>29</v>
      </c>
      <c r="N8" s="164" t="s">
        <v>2</v>
      </c>
      <c r="O8" s="69" t="s">
        <v>0</v>
      </c>
      <c r="P8" s="70" t="s">
        <v>30</v>
      </c>
      <c r="Q8" s="45"/>
      <c r="R8" s="5"/>
      <c r="S8" s="74"/>
      <c r="T8" s="74"/>
      <c r="U8" s="74"/>
    </row>
    <row r="9" spans="1:21" s="6" customFormat="1" ht="15" customHeight="1" x14ac:dyDescent="0.15">
      <c r="A9" s="171"/>
      <c r="B9" s="61"/>
      <c r="C9" s="6" t="str">
        <f t="shared" si="0"/>
        <v>LỚP 11AT -</v>
      </c>
      <c r="D9" s="62" t="s">
        <v>58</v>
      </c>
      <c r="E9" s="63" t="s">
        <v>53</v>
      </c>
      <c r="F9" s="64"/>
      <c r="G9" s="65"/>
      <c r="H9" s="78" t="s">
        <v>54</v>
      </c>
      <c r="I9" s="79" t="s">
        <v>44</v>
      </c>
      <c r="J9" s="80" t="s">
        <v>55</v>
      </c>
      <c r="K9" s="60"/>
      <c r="L9" s="31" t="s">
        <v>19</v>
      </c>
      <c r="M9" s="69" t="s">
        <v>29</v>
      </c>
      <c r="N9" s="164" t="s">
        <v>32</v>
      </c>
      <c r="O9" s="69" t="s">
        <v>0</v>
      </c>
      <c r="P9" s="70" t="s">
        <v>30</v>
      </c>
      <c r="Q9" s="45"/>
      <c r="R9" s="5"/>
      <c r="S9" s="74"/>
      <c r="T9" s="74"/>
      <c r="U9" s="74"/>
    </row>
    <row r="10" spans="1:21" s="6" customFormat="1" ht="15" customHeight="1" x14ac:dyDescent="0.15">
      <c r="A10" s="171"/>
      <c r="B10" s="61"/>
      <c r="C10" s="6" t="str">
        <f t="shared" si="0"/>
        <v>LỚP 10AS -</v>
      </c>
      <c r="D10" s="36" t="s">
        <v>59</v>
      </c>
      <c r="E10" s="37" t="s">
        <v>60</v>
      </c>
      <c r="F10" s="38"/>
      <c r="G10" s="39"/>
      <c r="H10" s="40" t="s">
        <v>43</v>
      </c>
      <c r="I10" s="81" t="s">
        <v>55</v>
      </c>
      <c r="J10" s="82" t="s">
        <v>61</v>
      </c>
      <c r="K10" s="60"/>
      <c r="L10" s="31" t="s">
        <v>28</v>
      </c>
      <c r="M10" s="69" t="s">
        <v>29</v>
      </c>
      <c r="N10" s="164" t="s">
        <v>62</v>
      </c>
      <c r="O10" s="69" t="s">
        <v>0</v>
      </c>
      <c r="P10" s="70" t="s">
        <v>30</v>
      </c>
      <c r="Q10" s="45"/>
      <c r="R10" s="5"/>
      <c r="S10" s="46"/>
      <c r="T10" s="83"/>
      <c r="U10" s="83"/>
    </row>
    <row r="11" spans="1:21" s="6" customFormat="1" ht="15" customHeight="1" x14ac:dyDescent="0.15">
      <c r="A11" s="171"/>
      <c r="B11" s="61"/>
      <c r="C11" s="6" t="str">
        <f t="shared" si="0"/>
        <v>LỚP 11AS -</v>
      </c>
      <c r="D11" s="47" t="s">
        <v>63</v>
      </c>
      <c r="E11" s="37" t="s">
        <v>60</v>
      </c>
      <c r="F11" s="49"/>
      <c r="G11" s="50"/>
      <c r="H11" s="51" t="s">
        <v>43</v>
      </c>
      <c r="I11" s="84" t="s">
        <v>55</v>
      </c>
      <c r="J11" s="85" t="s">
        <v>61</v>
      </c>
      <c r="K11" s="60"/>
      <c r="L11" s="31"/>
      <c r="M11" s="69"/>
      <c r="N11" s="164"/>
      <c r="O11" s="69"/>
      <c r="P11" s="70"/>
      <c r="Q11" s="45"/>
      <c r="R11" s="5"/>
      <c r="S11" s="46"/>
      <c r="T11" s="83"/>
      <c r="U11" s="83"/>
    </row>
    <row r="12" spans="1:21" s="6" customFormat="1" ht="15" customHeight="1" x14ac:dyDescent="0.15">
      <c r="A12" s="171"/>
      <c r="B12" s="61"/>
      <c r="C12" s="6" t="str">
        <f t="shared" si="0"/>
        <v>LỚP 11VH -</v>
      </c>
      <c r="D12" s="47" t="s">
        <v>64</v>
      </c>
      <c r="E12" s="37" t="s">
        <v>60</v>
      </c>
      <c r="F12" s="49"/>
      <c r="G12" s="50"/>
      <c r="H12" s="57" t="s">
        <v>50</v>
      </c>
      <c r="I12" s="84" t="s">
        <v>55</v>
      </c>
      <c r="J12" s="85" t="s">
        <v>61</v>
      </c>
      <c r="K12" s="60"/>
      <c r="L12" s="31"/>
      <c r="M12" s="69"/>
      <c r="N12" s="164"/>
      <c r="O12" s="69"/>
      <c r="P12" s="70"/>
      <c r="Q12" s="45"/>
      <c r="R12" s="5"/>
      <c r="S12" s="59"/>
      <c r="T12" s="83"/>
      <c r="U12" s="83"/>
    </row>
    <row r="13" spans="1:21" s="6" customFormat="1" ht="15" customHeight="1" x14ac:dyDescent="0.15">
      <c r="A13" s="171"/>
      <c r="B13" s="61"/>
      <c r="C13" s="6" t="str">
        <f t="shared" si="0"/>
        <v>LỚP 11KT -</v>
      </c>
      <c r="D13" s="62" t="s">
        <v>65</v>
      </c>
      <c r="E13" s="37" t="s">
        <v>60</v>
      </c>
      <c r="F13" s="64"/>
      <c r="G13" s="65"/>
      <c r="H13" s="66" t="s">
        <v>50</v>
      </c>
      <c r="I13" s="86" t="s">
        <v>55</v>
      </c>
      <c r="J13" s="87" t="s">
        <v>61</v>
      </c>
      <c r="K13" s="60"/>
      <c r="L13" s="31"/>
      <c r="M13" s="69"/>
      <c r="N13" s="164"/>
      <c r="O13" s="69"/>
      <c r="P13" s="70"/>
      <c r="Q13" s="45"/>
      <c r="R13" s="5"/>
      <c r="S13" s="59"/>
      <c r="T13" s="83"/>
      <c r="U13" s="83"/>
    </row>
    <row r="14" spans="1:21" s="6" customFormat="1" ht="15" customHeight="1" x14ac:dyDescent="0.15">
      <c r="A14" s="177" t="s">
        <v>121</v>
      </c>
      <c r="B14" s="177" t="s">
        <v>122</v>
      </c>
      <c r="C14" s="177" t="s">
        <v>117</v>
      </c>
      <c r="D14" s="177" t="s">
        <v>118</v>
      </c>
      <c r="E14" s="177" t="s">
        <v>120</v>
      </c>
      <c r="F14" s="177" t="s">
        <v>123</v>
      </c>
      <c r="G14" s="177" t="s">
        <v>119</v>
      </c>
      <c r="H14" s="177" t="s">
        <v>124</v>
      </c>
      <c r="I14" s="177" t="s">
        <v>125</v>
      </c>
      <c r="J14" s="177" t="s">
        <v>126</v>
      </c>
      <c r="K14" s="177" t="s">
        <v>127</v>
      </c>
      <c r="L14" s="177" t="s">
        <v>128</v>
      </c>
      <c r="M14" s="177" t="s">
        <v>129</v>
      </c>
      <c r="N14" s="177" t="s">
        <v>130</v>
      </c>
      <c r="O14" s="177" t="s">
        <v>114</v>
      </c>
      <c r="P14" s="177" t="s">
        <v>115</v>
      </c>
      <c r="Q14" s="177" t="s">
        <v>116</v>
      </c>
      <c r="R14" s="177" t="s">
        <v>131</v>
      </c>
      <c r="S14" s="177" t="s">
        <v>132</v>
      </c>
      <c r="T14" s="177" t="s">
        <v>137</v>
      </c>
      <c r="U14" s="83"/>
    </row>
    <row r="15" spans="1:21" s="6" customFormat="1" ht="15" customHeight="1" x14ac:dyDescent="0.15">
      <c r="A15" s="177"/>
      <c r="B15" s="185" t="s">
        <v>136</v>
      </c>
      <c r="C15" s="177"/>
      <c r="D15" s="177"/>
      <c r="E15" s="181"/>
      <c r="F15" s="181"/>
      <c r="G15" s="182"/>
      <c r="H15" s="182"/>
      <c r="I15" s="182"/>
      <c r="J15" s="182"/>
      <c r="K15" s="177"/>
      <c r="L15" s="177"/>
      <c r="M15" s="183"/>
      <c r="N15" s="182"/>
      <c r="O15" s="183"/>
      <c r="P15" s="182"/>
      <c r="Q15" s="184"/>
      <c r="R15" s="184"/>
      <c r="S15" s="184"/>
      <c r="T15" s="5"/>
      <c r="U15" s="83"/>
    </row>
    <row r="16" spans="1:21" s="6" customFormat="1" ht="15" customHeight="1" x14ac:dyDescent="0.2">
      <c r="A16" s="172"/>
      <c r="B16" s="89" t="s">
        <v>66</v>
      </c>
      <c r="C16" s="90" t="s">
        <v>67</v>
      </c>
      <c r="D16" s="91">
        <v>382</v>
      </c>
      <c r="E16" s="92"/>
      <c r="F16" s="93"/>
      <c r="G16" s="94"/>
      <c r="H16" s="94"/>
      <c r="I16" s="94"/>
      <c r="J16" s="94"/>
      <c r="K16" s="88"/>
      <c r="L16" s="95"/>
      <c r="M16" s="96"/>
      <c r="N16" s="165"/>
      <c r="O16" s="96"/>
      <c r="P16" s="97"/>
      <c r="Q16" s="98"/>
      <c r="R16" s="98"/>
      <c r="S16" s="98"/>
      <c r="T16" s="5"/>
      <c r="U16"/>
    </row>
    <row r="17" spans="1:21" s="6" customFormat="1" ht="30" customHeight="1" x14ac:dyDescent="0.2">
      <c r="A17" s="173"/>
      <c r="B17" s="100" t="s">
        <v>68</v>
      </c>
      <c r="C17" s="176"/>
      <c r="D17" s="101">
        <v>93</v>
      </c>
      <c r="E17" s="102"/>
      <c r="F17" s="103"/>
      <c r="G17" s="104"/>
      <c r="H17" s="104"/>
      <c r="I17" s="104"/>
      <c r="J17" s="104"/>
      <c r="K17" s="105">
        <v>93</v>
      </c>
      <c r="L17" s="106">
        <f>SUM(L18:L21)</f>
        <v>0</v>
      </c>
      <c r="M17" s="99" t="str">
        <f>VLOOKUP($G18,$L$5:$P$10,M$3,0)</f>
        <v>VĂN</v>
      </c>
      <c r="N17" s="107" t="str">
        <f>VLOOKUP($G18,$L$5:$P$10,N$3,0)</f>
        <v>HÓA</v>
      </c>
      <c r="O17" s="99" t="str">
        <f>VLOOKUP($G18,$L$5:$P$10,O$3,0)</f>
        <v>TOÁN</v>
      </c>
      <c r="P17" s="99" t="str">
        <f>VLOOKUP($G18,$L$5:$P$10,P$3,0)</f>
        <v>SỬ</v>
      </c>
      <c r="Q17" s="168" t="s">
        <v>114</v>
      </c>
      <c r="R17" s="168" t="s">
        <v>115</v>
      </c>
      <c r="S17" s="168" t="s">
        <v>116</v>
      </c>
      <c r="T17" s="5"/>
      <c r="U17"/>
    </row>
    <row r="18" spans="1:21" s="6" customFormat="1" ht="15" customHeight="1" x14ac:dyDescent="0.2">
      <c r="A18" s="174">
        <f t="array" ref="A18">IF(F18="","",SUBTOTAL(3,$F$18:F18))</f>
        <v>1</v>
      </c>
      <c r="B18" s="108">
        <v>1</v>
      </c>
      <c r="C18" s="109" t="s">
        <v>5</v>
      </c>
      <c r="D18" s="110">
        <v>24</v>
      </c>
      <c r="E18" s="111"/>
      <c r="F18" s="112" t="str">
        <f>C18&amp;".S"</f>
        <v>1A.S</v>
      </c>
      <c r="G18" s="113" t="s">
        <v>9</v>
      </c>
      <c r="H18" s="113" t="s">
        <v>59</v>
      </c>
      <c r="I18" s="114" t="str">
        <f>VLOOKUP($H18,$D$2:$J$13,6,0)</f>
        <v>Thứ Ba (23/12)</v>
      </c>
      <c r="J18" s="114" t="str">
        <f>VLOOKUP($H18,$D$2:$J$13,7,0)</f>
        <v>Thứ Năm (25/12)</v>
      </c>
      <c r="K18" s="115">
        <v>24</v>
      </c>
      <c r="L18" s="116">
        <f>D18-K18</f>
        <v>0</v>
      </c>
      <c r="M18" s="139" t="str">
        <f>VLOOKUP($G18,$L$5:$P$9,M$3,0)</f>
        <v>VĂN</v>
      </c>
      <c r="N18" s="140" t="str">
        <f t="shared" ref="N18:P33" si="1">VLOOKUP($G18,$L$5:$P$9,N$3,0)</f>
        <v>HÓA</v>
      </c>
      <c r="O18" s="139" t="str">
        <f t="shared" si="1"/>
        <v>TOÁN</v>
      </c>
      <c r="P18" s="139" t="str">
        <f t="shared" si="1"/>
        <v>SỬ</v>
      </c>
      <c r="Q18" s="98">
        <v>100001</v>
      </c>
      <c r="R18" s="98">
        <f>Q18+K18-1</f>
        <v>100024</v>
      </c>
      <c r="S18" s="100" t="s">
        <v>68</v>
      </c>
      <c r="T18" s="5" t="s">
        <v>60</v>
      </c>
      <c r="U18"/>
    </row>
    <row r="19" spans="1:21" s="6" customFormat="1" ht="15" customHeight="1" x14ac:dyDescent="0.2">
      <c r="A19" s="174">
        <f t="array" ref="A19">IF(F19="","",SUBTOTAL(3,$F$18:F19))</f>
        <v>2</v>
      </c>
      <c r="B19" s="117">
        <v>2</v>
      </c>
      <c r="C19" s="118" t="s">
        <v>6</v>
      </c>
      <c r="D19" s="119">
        <v>23</v>
      </c>
      <c r="E19" s="111"/>
      <c r="F19" s="112" t="str">
        <f t="shared" ref="F19:F33" si="2">C19&amp;".S"</f>
        <v>2A.S</v>
      </c>
      <c r="G19" s="113" t="s">
        <v>9</v>
      </c>
      <c r="H19" s="120" t="s">
        <v>59</v>
      </c>
      <c r="I19" s="114" t="str">
        <f>VLOOKUP($H19,$D$2:$J$13,6,0)</f>
        <v>Thứ Ba (23/12)</v>
      </c>
      <c r="J19" s="114" t="str">
        <f>VLOOKUP($H19,$D$2:$J$13,7,0)</f>
        <v>Thứ Năm (25/12)</v>
      </c>
      <c r="K19" s="121">
        <v>23</v>
      </c>
      <c r="L19" s="116">
        <f>D19-K19</f>
        <v>0</v>
      </c>
      <c r="M19" s="139" t="str">
        <f>VLOOKUP($G19,$L$5:$P$9,M$3,0)</f>
        <v>VĂN</v>
      </c>
      <c r="N19" s="140" t="str">
        <f t="shared" si="1"/>
        <v>HÓA</v>
      </c>
      <c r="O19" s="139" t="str">
        <f t="shared" si="1"/>
        <v>TOÁN</v>
      </c>
      <c r="P19" s="139" t="str">
        <f t="shared" si="1"/>
        <v>SỬ</v>
      </c>
      <c r="Q19" s="98">
        <f>Q18+K18</f>
        <v>100025</v>
      </c>
      <c r="R19" s="98">
        <f>Q19+K19-1</f>
        <v>100047</v>
      </c>
      <c r="S19" s="100" t="s">
        <v>68</v>
      </c>
      <c r="T19" s="5" t="s">
        <v>60</v>
      </c>
      <c r="U19"/>
    </row>
    <row r="20" spans="1:21" s="6" customFormat="1" ht="15" customHeight="1" x14ac:dyDescent="0.2">
      <c r="A20" s="174">
        <f t="array" ref="A20">IF(F20="","",SUBTOTAL(3,$F$18:F20))</f>
        <v>3</v>
      </c>
      <c r="B20" s="117">
        <v>3</v>
      </c>
      <c r="C20" s="118" t="s">
        <v>7</v>
      </c>
      <c r="D20" s="119">
        <v>23</v>
      </c>
      <c r="E20" s="111"/>
      <c r="F20" s="112" t="str">
        <f t="shared" si="2"/>
        <v>3A.S</v>
      </c>
      <c r="G20" s="113" t="s">
        <v>9</v>
      </c>
      <c r="H20" s="120" t="s">
        <v>59</v>
      </c>
      <c r="I20" s="114" t="str">
        <f>VLOOKUP($H20,$D$2:$J$13,6,0)</f>
        <v>Thứ Ba (23/12)</v>
      </c>
      <c r="J20" s="114" t="str">
        <f>VLOOKUP($H20,$D$2:$J$13,7,0)</f>
        <v>Thứ Năm (25/12)</v>
      </c>
      <c r="K20" s="121">
        <v>23</v>
      </c>
      <c r="L20" s="116">
        <f>D20-K20</f>
        <v>0</v>
      </c>
      <c r="M20" s="139" t="str">
        <f>VLOOKUP($G20,$L$5:$P$9,M$3,0)</f>
        <v>VĂN</v>
      </c>
      <c r="N20" s="140" t="str">
        <f t="shared" si="1"/>
        <v>HÓA</v>
      </c>
      <c r="O20" s="139" t="str">
        <f t="shared" si="1"/>
        <v>TOÁN</v>
      </c>
      <c r="P20" s="139" t="str">
        <f t="shared" si="1"/>
        <v>SỬ</v>
      </c>
      <c r="Q20" s="98">
        <f>Q19+K19</f>
        <v>100048</v>
      </c>
      <c r="R20" s="98">
        <f>Q20+K20-1</f>
        <v>100070</v>
      </c>
      <c r="S20" s="100" t="s">
        <v>68</v>
      </c>
      <c r="T20" s="5" t="s">
        <v>60</v>
      </c>
      <c r="U20"/>
    </row>
    <row r="21" spans="1:21" s="6" customFormat="1" ht="15" customHeight="1" x14ac:dyDescent="0.2">
      <c r="A21" s="174">
        <f t="array" ref="A21">IF(F21="","",SUBTOTAL(3,$F$18:F21))</f>
        <v>4</v>
      </c>
      <c r="B21" s="122">
        <v>4</v>
      </c>
      <c r="C21" s="123" t="s">
        <v>8</v>
      </c>
      <c r="D21" s="124">
        <v>23</v>
      </c>
      <c r="E21" s="125"/>
      <c r="F21" s="112" t="str">
        <f t="shared" si="2"/>
        <v>4A.S</v>
      </c>
      <c r="G21" s="113" t="s">
        <v>9</v>
      </c>
      <c r="H21" s="126" t="s">
        <v>59</v>
      </c>
      <c r="I21" s="114" t="str">
        <f>VLOOKUP($H21,$D$2:$J$13,6,0)</f>
        <v>Thứ Ba (23/12)</v>
      </c>
      <c r="J21" s="114" t="str">
        <f>VLOOKUP($H21,$D$2:$J$13,7,0)</f>
        <v>Thứ Năm (25/12)</v>
      </c>
      <c r="K21" s="127">
        <v>23</v>
      </c>
      <c r="L21" s="116">
        <f>D21-K21</f>
        <v>0</v>
      </c>
      <c r="M21" s="139" t="str">
        <f>VLOOKUP($G21,$L$5:$P$9,M$3,0)</f>
        <v>VĂN</v>
      </c>
      <c r="N21" s="140" t="str">
        <f t="shared" si="1"/>
        <v>HÓA</v>
      </c>
      <c r="O21" s="139" t="str">
        <f t="shared" si="1"/>
        <v>TOÁN</v>
      </c>
      <c r="P21" s="139" t="str">
        <f t="shared" si="1"/>
        <v>SỬ</v>
      </c>
      <c r="Q21" s="98">
        <f>Q20+K20</f>
        <v>100071</v>
      </c>
      <c r="R21" s="98">
        <f>Q21+K21-1</f>
        <v>100093</v>
      </c>
      <c r="S21" s="100" t="s">
        <v>68</v>
      </c>
      <c r="T21" s="5" t="s">
        <v>60</v>
      </c>
      <c r="U21"/>
    </row>
    <row r="22" spans="1:21" s="6" customFormat="1" ht="30" customHeight="1" x14ac:dyDescent="0.2">
      <c r="A22" s="174" t="str">
        <f t="array" ref="A22">IF(F22="","",SUBTOTAL(3,$F$18:F22))</f>
        <v/>
      </c>
      <c r="B22" s="100" t="s">
        <v>69</v>
      </c>
      <c r="C22" s="128"/>
      <c r="D22" s="129">
        <v>96</v>
      </c>
      <c r="E22" s="130"/>
      <c r="F22" s="131"/>
      <c r="G22" s="132"/>
      <c r="H22" s="132"/>
      <c r="I22" s="132"/>
      <c r="J22" s="132"/>
      <c r="K22" s="105">
        <v>95</v>
      </c>
      <c r="L22" s="106">
        <f>SUM(L23:L26)</f>
        <v>1</v>
      </c>
      <c r="M22" s="99" t="str">
        <f>VLOOKUP($G23,$L$5:$P$10,M$3,0)</f>
        <v>VĂN</v>
      </c>
      <c r="N22" s="107" t="str">
        <f>VLOOKUP($G23,$L$5:$P$10,N$3,0)</f>
        <v>KT-PL</v>
      </c>
      <c r="O22" s="99" t="str">
        <f>VLOOKUP($G23,$L$5:$P$10,O$3,0)</f>
        <v>TOÁN</v>
      </c>
      <c r="P22" s="99" t="str">
        <f>VLOOKUP($G23,$L$5:$P$10,P$3,0)</f>
        <v>SỬ</v>
      </c>
      <c r="Q22" s="98"/>
      <c r="R22" s="98"/>
      <c r="S22" s="98"/>
      <c r="T22" s="5" t="e">
        <v>#N/A</v>
      </c>
      <c r="U22"/>
    </row>
    <row r="23" spans="1:21" s="6" customFormat="1" ht="15" customHeight="1" x14ac:dyDescent="0.2">
      <c r="A23" s="174">
        <f t="array" ref="A23">IF(F23="","",SUBTOTAL(3,$F$18:F23))</f>
        <v>5</v>
      </c>
      <c r="B23" s="108">
        <v>1</v>
      </c>
      <c r="C23" s="109" t="s">
        <v>10</v>
      </c>
      <c r="D23" s="124">
        <v>24</v>
      </c>
      <c r="E23" s="111" t="s">
        <v>70</v>
      </c>
      <c r="F23" s="112" t="str">
        <f t="shared" si="2"/>
        <v>5A.S</v>
      </c>
      <c r="G23" s="113" t="s">
        <v>14</v>
      </c>
      <c r="H23" s="113" t="s">
        <v>59</v>
      </c>
      <c r="I23" s="114" t="str">
        <f>VLOOKUP($H23,$D$2:$J$13,6,0)</f>
        <v>Thứ Ba (23/12)</v>
      </c>
      <c r="J23" s="114" t="str">
        <f>VLOOKUP($H23,$D$2:$J$13,7,0)</f>
        <v>Thứ Năm (25/12)</v>
      </c>
      <c r="K23" s="115">
        <v>24</v>
      </c>
      <c r="L23" s="116">
        <f>D23-K23</f>
        <v>0</v>
      </c>
      <c r="M23" s="139" t="str">
        <f>VLOOKUP($G23,$L$5:$P$9,M$3,0)</f>
        <v>VĂN</v>
      </c>
      <c r="N23" s="140" t="str">
        <f t="shared" si="1"/>
        <v>KT-PL</v>
      </c>
      <c r="O23" s="139" t="str">
        <f t="shared" si="1"/>
        <v>TOÁN</v>
      </c>
      <c r="P23" s="139" t="str">
        <f t="shared" si="1"/>
        <v>SỬ</v>
      </c>
      <c r="Q23" s="98">
        <f>R21+1</f>
        <v>100094</v>
      </c>
      <c r="R23" s="98">
        <f>Q23+K23-1</f>
        <v>100117</v>
      </c>
      <c r="S23" s="100" t="s">
        <v>69</v>
      </c>
      <c r="T23" s="5" t="s">
        <v>60</v>
      </c>
      <c r="U23"/>
    </row>
    <row r="24" spans="1:21" s="6" customFormat="1" ht="15" customHeight="1" x14ac:dyDescent="0.2">
      <c r="A24" s="174">
        <f t="array" ref="A24">IF(F24="","",SUBTOTAL(3,$F$18:F24))</f>
        <v>6</v>
      </c>
      <c r="B24" s="117">
        <v>2</v>
      </c>
      <c r="C24" s="118" t="s">
        <v>11</v>
      </c>
      <c r="D24" s="124">
        <v>24</v>
      </c>
      <c r="E24" s="111"/>
      <c r="F24" s="112" t="str">
        <f t="shared" si="2"/>
        <v>6A.S</v>
      </c>
      <c r="G24" s="113" t="s">
        <v>14</v>
      </c>
      <c r="H24" s="120" t="s">
        <v>59</v>
      </c>
      <c r="I24" s="114" t="str">
        <f>VLOOKUP($H24,$D$2:$J$13,6,0)</f>
        <v>Thứ Ba (23/12)</v>
      </c>
      <c r="J24" s="114" t="str">
        <f>VLOOKUP($H24,$D$2:$J$13,7,0)</f>
        <v>Thứ Năm (25/12)</v>
      </c>
      <c r="K24" s="121">
        <v>24</v>
      </c>
      <c r="L24" s="116">
        <f>D24-K24</f>
        <v>0</v>
      </c>
      <c r="M24" s="139" t="str">
        <f>VLOOKUP($G24,$L$5:$P$9,M$3,0)</f>
        <v>VĂN</v>
      </c>
      <c r="N24" s="140" t="str">
        <f t="shared" si="1"/>
        <v>KT-PL</v>
      </c>
      <c r="O24" s="139" t="str">
        <f t="shared" si="1"/>
        <v>TOÁN</v>
      </c>
      <c r="P24" s="139" t="str">
        <f t="shared" si="1"/>
        <v>SỬ</v>
      </c>
      <c r="Q24" s="98">
        <f>Q23+K23</f>
        <v>100118</v>
      </c>
      <c r="R24" s="98">
        <f>Q24+K24-1</f>
        <v>100141</v>
      </c>
      <c r="S24" s="100" t="s">
        <v>69</v>
      </c>
      <c r="T24" s="5" t="s">
        <v>60</v>
      </c>
      <c r="U24"/>
    </row>
    <row r="25" spans="1:21" s="6" customFormat="1" ht="15" customHeight="1" x14ac:dyDescent="0.2">
      <c r="A25" s="174">
        <f t="array" ref="A25">IF(F25="","",SUBTOTAL(3,$F$18:F25))</f>
        <v>7</v>
      </c>
      <c r="B25" s="117">
        <v>3</v>
      </c>
      <c r="C25" s="118" t="s">
        <v>12</v>
      </c>
      <c r="D25" s="124">
        <v>24</v>
      </c>
      <c r="E25" s="111"/>
      <c r="F25" s="112" t="str">
        <f t="shared" si="2"/>
        <v>9A.S</v>
      </c>
      <c r="G25" s="113" t="s">
        <v>14</v>
      </c>
      <c r="H25" s="120" t="s">
        <v>59</v>
      </c>
      <c r="I25" s="114" t="str">
        <f>VLOOKUP($H25,$D$2:$J$13,6,0)</f>
        <v>Thứ Ba (23/12)</v>
      </c>
      <c r="J25" s="114" t="str">
        <f>VLOOKUP($H25,$D$2:$J$13,7,0)</f>
        <v>Thứ Năm (25/12)</v>
      </c>
      <c r="K25" s="121">
        <v>24</v>
      </c>
      <c r="L25" s="116">
        <f>D25-K25</f>
        <v>0</v>
      </c>
      <c r="M25" s="139" t="str">
        <f>VLOOKUP($G25,$L$5:$P$9,M$3,0)</f>
        <v>VĂN</v>
      </c>
      <c r="N25" s="140" t="str">
        <f t="shared" si="1"/>
        <v>KT-PL</v>
      </c>
      <c r="O25" s="139" t="str">
        <f t="shared" si="1"/>
        <v>TOÁN</v>
      </c>
      <c r="P25" s="139" t="str">
        <f t="shared" si="1"/>
        <v>SỬ</v>
      </c>
      <c r="Q25" s="98">
        <f>Q24+K24</f>
        <v>100142</v>
      </c>
      <c r="R25" s="98">
        <f>Q25+K25-1</f>
        <v>100165</v>
      </c>
      <c r="S25" s="100" t="s">
        <v>69</v>
      </c>
      <c r="T25" s="5" t="s">
        <v>60</v>
      </c>
      <c r="U25"/>
    </row>
    <row r="26" spans="1:21" s="6" customFormat="1" ht="15" customHeight="1" x14ac:dyDescent="0.2">
      <c r="A26" s="174">
        <f t="array" ref="A26">IF(F26="","",SUBTOTAL(3,$F$18:F26))</f>
        <v>8</v>
      </c>
      <c r="B26" s="122">
        <v>4</v>
      </c>
      <c r="C26" s="123" t="s">
        <v>13</v>
      </c>
      <c r="D26" s="124">
        <v>24</v>
      </c>
      <c r="E26" s="125"/>
      <c r="F26" s="112" t="str">
        <f t="shared" si="2"/>
        <v>10A.S</v>
      </c>
      <c r="G26" s="113" t="s">
        <v>14</v>
      </c>
      <c r="H26" s="126" t="s">
        <v>59</v>
      </c>
      <c r="I26" s="114" t="str">
        <f>VLOOKUP($H26,$D$2:$J$13,6,0)</f>
        <v>Thứ Ba (23/12)</v>
      </c>
      <c r="J26" s="114" t="str">
        <f>VLOOKUP($H26,$D$2:$J$13,7,0)</f>
        <v>Thứ Năm (25/12)</v>
      </c>
      <c r="K26" s="127">
        <v>23</v>
      </c>
      <c r="L26" s="116">
        <f>D26-K26</f>
        <v>1</v>
      </c>
      <c r="M26" s="139" t="str">
        <f>VLOOKUP($G26,$L$5:$P$9,M$3,0)</f>
        <v>VĂN</v>
      </c>
      <c r="N26" s="140" t="str">
        <f t="shared" si="1"/>
        <v>KT-PL</v>
      </c>
      <c r="O26" s="139" t="str">
        <f t="shared" si="1"/>
        <v>TOÁN</v>
      </c>
      <c r="P26" s="139" t="str">
        <f t="shared" si="1"/>
        <v>SỬ</v>
      </c>
      <c r="Q26" s="98">
        <f>Q25+K25</f>
        <v>100166</v>
      </c>
      <c r="R26" s="98">
        <f>Q26+K26-1</f>
        <v>100188</v>
      </c>
      <c r="S26" s="100" t="s">
        <v>69</v>
      </c>
      <c r="T26" s="5" t="s">
        <v>60</v>
      </c>
      <c r="U26"/>
    </row>
    <row r="27" spans="1:21" s="6" customFormat="1" ht="30.75" customHeight="1" x14ac:dyDescent="0.2">
      <c r="A27" s="174" t="str">
        <f t="array" ref="A27">IF(F27="","",SUBTOTAL(3,$F$18:F27))</f>
        <v/>
      </c>
      <c r="B27" s="100" t="s">
        <v>71</v>
      </c>
      <c r="C27" s="128"/>
      <c r="D27" s="129">
        <v>143</v>
      </c>
      <c r="E27" s="130"/>
      <c r="F27" s="131"/>
      <c r="G27" s="132"/>
      <c r="H27" s="132"/>
      <c r="I27" s="132"/>
      <c r="J27" s="132"/>
      <c r="K27" s="105">
        <v>96</v>
      </c>
      <c r="L27" s="106">
        <f>SUM(L28:L31)</f>
        <v>0</v>
      </c>
      <c r="M27" s="99" t="str">
        <f>VLOOKUP($G28,$L$5:$P$10,M$3,0)</f>
        <v>VĂN</v>
      </c>
      <c r="N27" s="107" t="str">
        <f>VLOOKUP($G28,$L$5:$P$10,N$3,0)</f>
        <v>LÝ</v>
      </c>
      <c r="O27" s="99" t="str">
        <f>VLOOKUP($G28,$L$5:$P$10,O$3,0)</f>
        <v>TOÁN</v>
      </c>
      <c r="P27" s="99" t="str">
        <f>VLOOKUP($G28,$L$5:$P$10,P$3,0)</f>
        <v>SỬ</v>
      </c>
      <c r="Q27" s="98"/>
      <c r="R27" s="98"/>
      <c r="S27" s="98"/>
      <c r="T27" s="5" t="e">
        <v>#N/A</v>
      </c>
      <c r="U27"/>
    </row>
    <row r="28" spans="1:21" s="6" customFormat="1" ht="15" customHeight="1" x14ac:dyDescent="0.2">
      <c r="A28" s="174">
        <f t="array" ref="A28">IF(F28="","",SUBTOTAL(3,$F$18:F28))</f>
        <v>9</v>
      </c>
      <c r="B28" s="108">
        <v>1</v>
      </c>
      <c r="C28" s="109" t="s">
        <v>15</v>
      </c>
      <c r="D28" s="124">
        <v>24</v>
      </c>
      <c r="E28" s="111" t="s">
        <v>70</v>
      </c>
      <c r="F28" s="112" t="str">
        <f t="shared" si="2"/>
        <v>11A.S</v>
      </c>
      <c r="G28" s="113" t="s">
        <v>28</v>
      </c>
      <c r="H28" s="113" t="s">
        <v>59</v>
      </c>
      <c r="I28" s="114" t="str">
        <f t="shared" ref="I28:I33" si="3">VLOOKUP($H28,$D$2:$J$13,6,0)</f>
        <v>Thứ Ba (23/12)</v>
      </c>
      <c r="J28" s="114" t="str">
        <f t="shared" ref="J28:J33" si="4">VLOOKUP($H28,$D$2:$J$13,7,0)</f>
        <v>Thứ Năm (25/12)</v>
      </c>
      <c r="K28" s="115">
        <v>24</v>
      </c>
      <c r="L28" s="116">
        <f t="shared" ref="L28:L33" si="5">D28-K28</f>
        <v>0</v>
      </c>
      <c r="M28" s="139" t="str">
        <f t="shared" ref="M28:M33" si="6">VLOOKUP($G28,$L$5:$P$9,M$3,0)</f>
        <v>VĂN</v>
      </c>
      <c r="N28" s="140" t="str">
        <f t="shared" si="1"/>
        <v>LÝ</v>
      </c>
      <c r="O28" s="139" t="str">
        <f t="shared" si="1"/>
        <v>TOÁN</v>
      </c>
      <c r="P28" s="139" t="str">
        <f t="shared" si="1"/>
        <v>SỬ</v>
      </c>
      <c r="Q28" s="98">
        <f>R26+1</f>
        <v>100189</v>
      </c>
      <c r="R28" s="98">
        <f t="shared" ref="R28:R33" si="7">Q28+K28-1</f>
        <v>100212</v>
      </c>
      <c r="S28" s="100" t="s">
        <v>71</v>
      </c>
      <c r="T28" s="5" t="s">
        <v>60</v>
      </c>
      <c r="U28"/>
    </row>
    <row r="29" spans="1:21" s="6" customFormat="1" ht="15" customHeight="1" x14ac:dyDescent="0.2">
      <c r="A29" s="174">
        <f t="array" ref="A29">IF(F29="","",SUBTOTAL(3,$F$18:F29))</f>
        <v>10</v>
      </c>
      <c r="B29" s="117">
        <v>2</v>
      </c>
      <c r="C29" s="118" t="s">
        <v>16</v>
      </c>
      <c r="D29" s="124">
        <v>24</v>
      </c>
      <c r="E29" s="111"/>
      <c r="F29" s="112" t="str">
        <f t="shared" si="2"/>
        <v>12A.S</v>
      </c>
      <c r="G29" s="113" t="s">
        <v>28</v>
      </c>
      <c r="H29" s="120" t="s">
        <v>59</v>
      </c>
      <c r="I29" s="114" t="str">
        <f t="shared" si="3"/>
        <v>Thứ Ba (23/12)</v>
      </c>
      <c r="J29" s="114" t="str">
        <f t="shared" si="4"/>
        <v>Thứ Năm (25/12)</v>
      </c>
      <c r="K29" s="121">
        <v>24</v>
      </c>
      <c r="L29" s="116">
        <f t="shared" si="5"/>
        <v>0</v>
      </c>
      <c r="M29" s="139" t="str">
        <f t="shared" si="6"/>
        <v>VĂN</v>
      </c>
      <c r="N29" s="140" t="str">
        <f t="shared" si="1"/>
        <v>LÝ</v>
      </c>
      <c r="O29" s="139" t="str">
        <f t="shared" si="1"/>
        <v>TOÁN</v>
      </c>
      <c r="P29" s="139" t="str">
        <f t="shared" si="1"/>
        <v>SỬ</v>
      </c>
      <c r="Q29" s="98">
        <f>Q28+K28</f>
        <v>100213</v>
      </c>
      <c r="R29" s="98">
        <f t="shared" si="7"/>
        <v>100236</v>
      </c>
      <c r="S29" s="100" t="s">
        <v>71</v>
      </c>
      <c r="T29" s="5" t="s">
        <v>60</v>
      </c>
      <c r="U29"/>
    </row>
    <row r="30" spans="1:21" s="6" customFormat="1" ht="15" customHeight="1" x14ac:dyDescent="0.2">
      <c r="A30" s="174">
        <f t="array" ref="A30">IF(F30="","",SUBTOTAL(3,$F$18:F30))</f>
        <v>11</v>
      </c>
      <c r="B30" s="117">
        <v>3</v>
      </c>
      <c r="C30" s="118" t="s">
        <v>17</v>
      </c>
      <c r="D30" s="124">
        <v>24</v>
      </c>
      <c r="E30" s="111"/>
      <c r="F30" s="112" t="str">
        <f t="shared" si="2"/>
        <v>13A.S</v>
      </c>
      <c r="G30" s="113" t="s">
        <v>28</v>
      </c>
      <c r="H30" s="120" t="s">
        <v>59</v>
      </c>
      <c r="I30" s="114" t="str">
        <f t="shared" si="3"/>
        <v>Thứ Ba (23/12)</v>
      </c>
      <c r="J30" s="114" t="str">
        <f t="shared" si="4"/>
        <v>Thứ Năm (25/12)</v>
      </c>
      <c r="K30" s="121">
        <v>24</v>
      </c>
      <c r="L30" s="116">
        <f t="shared" si="5"/>
        <v>0</v>
      </c>
      <c r="M30" s="139" t="str">
        <f t="shared" si="6"/>
        <v>VĂN</v>
      </c>
      <c r="N30" s="140" t="str">
        <f t="shared" si="1"/>
        <v>LÝ</v>
      </c>
      <c r="O30" s="139" t="str">
        <f t="shared" si="1"/>
        <v>TOÁN</v>
      </c>
      <c r="P30" s="139" t="str">
        <f t="shared" si="1"/>
        <v>SỬ</v>
      </c>
      <c r="Q30" s="98">
        <f>Q29+K29</f>
        <v>100237</v>
      </c>
      <c r="R30" s="98">
        <f t="shared" si="7"/>
        <v>100260</v>
      </c>
      <c r="S30" s="100" t="s">
        <v>71</v>
      </c>
      <c r="T30" s="5" t="s">
        <v>60</v>
      </c>
      <c r="U30"/>
    </row>
    <row r="31" spans="1:21" s="6" customFormat="1" ht="15" customHeight="1" x14ac:dyDescent="0.2">
      <c r="A31" s="174">
        <f t="array" ref="A31">IF(F31="","",SUBTOTAL(3,$F$18:F31))</f>
        <v>12</v>
      </c>
      <c r="B31" s="133">
        <v>4</v>
      </c>
      <c r="C31" s="118" t="s">
        <v>18</v>
      </c>
      <c r="D31" s="124">
        <v>24</v>
      </c>
      <c r="E31" s="111"/>
      <c r="F31" s="112" t="str">
        <f t="shared" si="2"/>
        <v>14A.S</v>
      </c>
      <c r="G31" s="113" t="s">
        <v>28</v>
      </c>
      <c r="H31" s="120" t="s">
        <v>59</v>
      </c>
      <c r="I31" s="114" t="str">
        <f t="shared" si="3"/>
        <v>Thứ Ba (23/12)</v>
      </c>
      <c r="J31" s="114" t="str">
        <f t="shared" si="4"/>
        <v>Thứ Năm (25/12)</v>
      </c>
      <c r="K31" s="121">
        <v>24</v>
      </c>
      <c r="L31" s="116">
        <f t="shared" si="5"/>
        <v>0</v>
      </c>
      <c r="M31" s="139" t="str">
        <f t="shared" si="6"/>
        <v>VĂN</v>
      </c>
      <c r="N31" s="140" t="str">
        <f t="shared" si="1"/>
        <v>LÝ</v>
      </c>
      <c r="O31" s="139" t="str">
        <f t="shared" si="1"/>
        <v>TOÁN</v>
      </c>
      <c r="P31" s="139" t="str">
        <f t="shared" si="1"/>
        <v>SỬ</v>
      </c>
      <c r="Q31" s="98">
        <f>Q30+K30</f>
        <v>100261</v>
      </c>
      <c r="R31" s="98">
        <f t="shared" si="7"/>
        <v>100284</v>
      </c>
      <c r="S31" s="100" t="s">
        <v>71</v>
      </c>
      <c r="T31" s="5" t="s">
        <v>60</v>
      </c>
      <c r="U31"/>
    </row>
    <row r="32" spans="1:21" s="6" customFormat="1" ht="15" customHeight="1" x14ac:dyDescent="0.2">
      <c r="A32" s="174">
        <f t="array" ref="A32">IF(F32="","",SUBTOTAL(3,$F$18:F32))</f>
        <v>13</v>
      </c>
      <c r="B32" s="117">
        <v>5</v>
      </c>
      <c r="C32" s="118" t="s">
        <v>20</v>
      </c>
      <c r="D32" s="124">
        <v>24</v>
      </c>
      <c r="E32" s="111"/>
      <c r="F32" s="112" t="str">
        <f t="shared" si="2"/>
        <v>2B.S</v>
      </c>
      <c r="G32" s="113" t="s">
        <v>28</v>
      </c>
      <c r="H32" s="120" t="s">
        <v>59</v>
      </c>
      <c r="I32" s="114" t="str">
        <f t="shared" si="3"/>
        <v>Thứ Ba (23/12)</v>
      </c>
      <c r="J32" s="114" t="str">
        <f t="shared" si="4"/>
        <v>Thứ Năm (25/12)</v>
      </c>
      <c r="K32" s="121">
        <v>24</v>
      </c>
      <c r="L32" s="116">
        <f t="shared" si="5"/>
        <v>0</v>
      </c>
      <c r="M32" s="139" t="str">
        <f t="shared" si="6"/>
        <v>VĂN</v>
      </c>
      <c r="N32" s="140" t="str">
        <f t="shared" si="1"/>
        <v>LÝ</v>
      </c>
      <c r="O32" s="139" t="str">
        <f t="shared" si="1"/>
        <v>TOÁN</v>
      </c>
      <c r="P32" s="139" t="str">
        <f t="shared" si="1"/>
        <v>SỬ</v>
      </c>
      <c r="Q32" s="98">
        <f>Q31+K31</f>
        <v>100285</v>
      </c>
      <c r="R32" s="98">
        <f t="shared" si="7"/>
        <v>100308</v>
      </c>
      <c r="S32" s="100" t="s">
        <v>71</v>
      </c>
      <c r="T32" s="5" t="s">
        <v>60</v>
      </c>
      <c r="U32"/>
    </row>
    <row r="33" spans="1:21" s="6" customFormat="1" ht="15" customHeight="1" x14ac:dyDescent="0.2">
      <c r="A33" s="174">
        <f t="array" ref="A33">IF(F33="","",SUBTOTAL(3,$F$18:F33))</f>
        <v>14</v>
      </c>
      <c r="B33" s="134">
        <v>6</v>
      </c>
      <c r="C33" s="135" t="s">
        <v>21</v>
      </c>
      <c r="D33" s="124">
        <v>23</v>
      </c>
      <c r="E33" s="111"/>
      <c r="F33" s="112" t="str">
        <f t="shared" si="2"/>
        <v>3B.S</v>
      </c>
      <c r="G33" s="113" t="s">
        <v>28</v>
      </c>
      <c r="H33" s="136" t="s">
        <v>59</v>
      </c>
      <c r="I33" s="114" t="str">
        <f t="shared" si="3"/>
        <v>Thứ Ba (23/12)</v>
      </c>
      <c r="J33" s="114" t="str">
        <f t="shared" si="4"/>
        <v>Thứ Năm (25/12)</v>
      </c>
      <c r="K33" s="121">
        <v>23</v>
      </c>
      <c r="L33" s="116">
        <f t="shared" si="5"/>
        <v>0</v>
      </c>
      <c r="M33" s="139" t="str">
        <f t="shared" si="6"/>
        <v>VĂN</v>
      </c>
      <c r="N33" s="140" t="str">
        <f t="shared" si="1"/>
        <v>LÝ</v>
      </c>
      <c r="O33" s="139" t="str">
        <f t="shared" si="1"/>
        <v>TOÁN</v>
      </c>
      <c r="P33" s="139" t="str">
        <f t="shared" si="1"/>
        <v>SỬ</v>
      </c>
      <c r="Q33" s="98">
        <f>Q32+K32</f>
        <v>100309</v>
      </c>
      <c r="R33" s="98">
        <f t="shared" si="7"/>
        <v>100331</v>
      </c>
      <c r="S33" s="100" t="s">
        <v>71</v>
      </c>
      <c r="T33" s="5" t="s">
        <v>60</v>
      </c>
      <c r="U33"/>
    </row>
    <row r="34" spans="1:21" s="6" customFormat="1" ht="15" customHeight="1" x14ac:dyDescent="0.2">
      <c r="A34" s="174" t="str">
        <f t="array" ref="A34">IF(F34="","",SUBTOTAL(3,$F$18:F34))</f>
        <v/>
      </c>
      <c r="B34" s="89" t="s">
        <v>72</v>
      </c>
      <c r="C34" s="188" t="s">
        <v>73</v>
      </c>
      <c r="D34" s="91">
        <v>87</v>
      </c>
      <c r="E34" s="92"/>
      <c r="F34" s="93"/>
      <c r="G34" s="94"/>
      <c r="H34" s="94"/>
      <c r="I34" s="94"/>
      <c r="J34" s="94"/>
      <c r="K34" s="88"/>
      <c r="L34" s="95"/>
      <c r="M34" s="96"/>
      <c r="N34" s="165"/>
      <c r="O34" s="96"/>
      <c r="P34" s="97"/>
      <c r="Q34" s="98"/>
      <c r="R34" s="98"/>
      <c r="S34" s="98"/>
      <c r="T34" s="5" t="e">
        <v>#N/A</v>
      </c>
      <c r="U34"/>
    </row>
    <row r="35" spans="1:21" s="6" customFormat="1" ht="30.75" customHeight="1" x14ac:dyDescent="0.2">
      <c r="A35" s="174" t="str">
        <f t="array" ref="A35">IF(F35="","",SUBTOTAL(3,$F$18:F35))</f>
        <v/>
      </c>
      <c r="B35" s="100" t="s">
        <v>74</v>
      </c>
      <c r="C35" s="128"/>
      <c r="D35" s="129">
        <v>87</v>
      </c>
      <c r="E35" s="130"/>
      <c r="F35" s="131"/>
      <c r="G35" s="132"/>
      <c r="H35" s="132"/>
      <c r="I35" s="132"/>
      <c r="J35" s="132"/>
      <c r="K35" s="105"/>
      <c r="L35" s="106"/>
      <c r="M35" s="99" t="str">
        <f>VLOOKUP($G36,$L$5:$P$10,M$3,0)</f>
        <v>VĂN</v>
      </c>
      <c r="N35" s="107" t="str">
        <f>VLOOKUP($G36,$L$5:$P$10,N$3,0)</f>
        <v>LÝ</v>
      </c>
      <c r="O35" s="99" t="str">
        <f>VLOOKUP($G36,$L$5:$P$10,O$3,0)</f>
        <v>TOÁN</v>
      </c>
      <c r="P35" s="99" t="str">
        <f>VLOOKUP($G36,$L$5:$P$10,P$3,0)</f>
        <v>SỬ</v>
      </c>
      <c r="Q35" s="98"/>
      <c r="R35" s="98"/>
      <c r="S35" s="98"/>
      <c r="T35" s="5" t="e">
        <v>#N/A</v>
      </c>
      <c r="U35"/>
    </row>
    <row r="36" spans="1:21" s="6" customFormat="1" ht="15" customHeight="1" x14ac:dyDescent="0.2">
      <c r="A36" s="174">
        <f t="array" ref="A36">IF(F36="","",SUBTOTAL(3,$F$18:F36))</f>
        <v>15</v>
      </c>
      <c r="B36" s="108">
        <v>1</v>
      </c>
      <c r="C36" s="109" t="s">
        <v>25</v>
      </c>
      <c r="D36" s="124">
        <v>29</v>
      </c>
      <c r="E36" s="111"/>
      <c r="F36" s="112" t="str">
        <f>C36&amp;".T"</f>
        <v>7B.T</v>
      </c>
      <c r="G36" s="113" t="s">
        <v>28</v>
      </c>
      <c r="H36" s="113" t="s">
        <v>57</v>
      </c>
      <c r="I36" s="114" t="str">
        <f>VLOOKUP($H36,$D$2:$J$13,6,0)</f>
        <v>Thứ Hai (22/12)</v>
      </c>
      <c r="J36" s="114" t="str">
        <f>VLOOKUP($H36,$D$2:$J$13,7,0)</f>
        <v>Thứ Ba (23/12)</v>
      </c>
      <c r="K36" s="115">
        <v>29</v>
      </c>
      <c r="L36" s="116">
        <f>D36-K36</f>
        <v>0</v>
      </c>
      <c r="M36" s="139" t="str">
        <f>VLOOKUP($G36,$L$5:$P$9,M$3,0)</f>
        <v>VĂN</v>
      </c>
      <c r="N36" s="140" t="str">
        <f t="shared" ref="N36:P38" si="8">VLOOKUP($G36,$L$5:$P$9,N$3,0)</f>
        <v>LÝ</v>
      </c>
      <c r="O36" s="139" t="str">
        <f t="shared" si="8"/>
        <v>TOÁN</v>
      </c>
      <c r="P36" s="139" t="str">
        <f t="shared" si="8"/>
        <v>SỬ</v>
      </c>
      <c r="Q36" s="98">
        <f>R33+1</f>
        <v>100332</v>
      </c>
      <c r="R36" s="98">
        <f>Q36+K36-1</f>
        <v>100360</v>
      </c>
      <c r="S36" s="100" t="s">
        <v>74</v>
      </c>
      <c r="T36" s="5" t="s">
        <v>53</v>
      </c>
      <c r="U36"/>
    </row>
    <row r="37" spans="1:21" s="6" customFormat="1" ht="15" customHeight="1" x14ac:dyDescent="0.2">
      <c r="A37" s="174">
        <f t="array" ref="A37">IF(F37="","",SUBTOTAL(3,$F$18:F37))</f>
        <v>16</v>
      </c>
      <c r="B37" s="117">
        <v>2</v>
      </c>
      <c r="C37" s="118" t="s">
        <v>26</v>
      </c>
      <c r="D37" s="124">
        <v>29</v>
      </c>
      <c r="E37" s="111"/>
      <c r="F37" s="112" t="str">
        <f>C37&amp;".T"</f>
        <v>8B.T</v>
      </c>
      <c r="G37" s="113" t="s">
        <v>28</v>
      </c>
      <c r="H37" s="113" t="s">
        <v>57</v>
      </c>
      <c r="I37" s="114" t="str">
        <f>VLOOKUP($H37,$D$2:$J$13,6,0)</f>
        <v>Thứ Hai (22/12)</v>
      </c>
      <c r="J37" s="114" t="str">
        <f>VLOOKUP($H37,$D$2:$J$13,7,0)</f>
        <v>Thứ Ba (23/12)</v>
      </c>
      <c r="K37" s="121">
        <v>29</v>
      </c>
      <c r="L37" s="116">
        <f>D37-K37</f>
        <v>0</v>
      </c>
      <c r="M37" s="139" t="str">
        <f>VLOOKUP($G37,$L$5:$P$9,M$3,0)</f>
        <v>VĂN</v>
      </c>
      <c r="N37" s="140" t="str">
        <f t="shared" si="8"/>
        <v>LÝ</v>
      </c>
      <c r="O37" s="139" t="str">
        <f t="shared" si="8"/>
        <v>TOÁN</v>
      </c>
      <c r="P37" s="139" t="str">
        <f t="shared" si="8"/>
        <v>SỬ</v>
      </c>
      <c r="Q37" s="98">
        <f>Q36+K36</f>
        <v>100361</v>
      </c>
      <c r="R37" s="98">
        <f>Q37+K37-1</f>
        <v>100389</v>
      </c>
      <c r="S37" s="100" t="s">
        <v>74</v>
      </c>
      <c r="T37" s="5" t="s">
        <v>53</v>
      </c>
      <c r="U37"/>
    </row>
    <row r="38" spans="1:21" s="6" customFormat="1" ht="15" customHeight="1" x14ac:dyDescent="0.2">
      <c r="A38" s="174">
        <f t="array" ref="A38">IF(F38="","",SUBTOTAL(3,$F$18:F38))</f>
        <v>17</v>
      </c>
      <c r="B38" s="117">
        <v>3</v>
      </c>
      <c r="C38" s="118" t="s">
        <v>27</v>
      </c>
      <c r="D38" s="124">
        <v>29</v>
      </c>
      <c r="E38" s="125"/>
      <c r="F38" s="112" t="str">
        <f>C38&amp;".T"</f>
        <v>9B.T</v>
      </c>
      <c r="G38" s="113" t="s">
        <v>28</v>
      </c>
      <c r="H38" s="113" t="s">
        <v>57</v>
      </c>
      <c r="I38" s="114" t="str">
        <f>VLOOKUP($H38,$D$2:$J$13,6,0)</f>
        <v>Thứ Hai (22/12)</v>
      </c>
      <c r="J38" s="114" t="str">
        <f>VLOOKUP($H38,$D$2:$J$13,7,0)</f>
        <v>Thứ Ba (23/12)</v>
      </c>
      <c r="K38" s="121">
        <v>29</v>
      </c>
      <c r="L38" s="116">
        <f>D38-K38</f>
        <v>0</v>
      </c>
      <c r="M38" s="139" t="str">
        <f>VLOOKUP($G38,$L$5:$P$9,M$3,0)</f>
        <v>VĂN</v>
      </c>
      <c r="N38" s="140" t="str">
        <f t="shared" si="8"/>
        <v>LÝ</v>
      </c>
      <c r="O38" s="139" t="str">
        <f t="shared" si="8"/>
        <v>TOÁN</v>
      </c>
      <c r="P38" s="139" t="str">
        <f t="shared" si="8"/>
        <v>SỬ</v>
      </c>
      <c r="Q38" s="98">
        <f>Q37+K37</f>
        <v>100390</v>
      </c>
      <c r="R38" s="98">
        <f>Q38+K38-1</f>
        <v>100418</v>
      </c>
      <c r="S38" s="100" t="s">
        <v>74</v>
      </c>
      <c r="T38" s="5" t="s">
        <v>53</v>
      </c>
      <c r="U38"/>
    </row>
    <row r="39" spans="1:21" s="6" customFormat="1" ht="15" customHeight="1" x14ac:dyDescent="0.2">
      <c r="A39" s="174" t="str">
        <f t="array" ref="A39">IF(F39="","",SUBTOTAL(3,$F$18:F39))</f>
        <v/>
      </c>
      <c r="B39" s="89" t="s">
        <v>75</v>
      </c>
      <c r="C39" s="188" t="s">
        <v>76</v>
      </c>
      <c r="D39" s="91">
        <v>142</v>
      </c>
      <c r="E39" s="92"/>
      <c r="F39" s="93"/>
      <c r="G39" s="94"/>
      <c r="H39" s="94"/>
      <c r="I39" s="94"/>
      <c r="J39" s="94"/>
      <c r="K39" s="88"/>
      <c r="L39" s="95"/>
      <c r="M39" s="96"/>
      <c r="N39" s="165"/>
      <c r="O39" s="96"/>
      <c r="P39" s="97"/>
      <c r="Q39" s="98"/>
      <c r="R39" s="98"/>
      <c r="S39" s="98"/>
      <c r="T39" s="5" t="e">
        <v>#N/A</v>
      </c>
      <c r="U39"/>
    </row>
    <row r="40" spans="1:21" s="6" customFormat="1" ht="30.75" customHeight="1" x14ac:dyDescent="0.2">
      <c r="A40" s="174" t="str">
        <f t="array" ref="A40">IF(F40="","",SUBTOTAL(3,$F$18:F40))</f>
        <v/>
      </c>
      <c r="B40" s="100" t="s">
        <v>77</v>
      </c>
      <c r="C40" s="128"/>
      <c r="D40" s="129">
        <v>142</v>
      </c>
      <c r="E40" s="130"/>
      <c r="F40" s="131"/>
      <c r="G40" s="132"/>
      <c r="H40" s="132"/>
      <c r="I40" s="132"/>
      <c r="J40" s="129"/>
      <c r="K40" s="105"/>
      <c r="L40" s="106"/>
      <c r="M40" s="99" t="str">
        <f>VLOOKUP($G41,$L$5:$P$10,M$3,0)</f>
        <v>VĂN</v>
      </c>
      <c r="N40" s="107" t="s">
        <v>62</v>
      </c>
      <c r="O40" s="99" t="str">
        <f>VLOOKUP($G41,$L$5:$P$10,O$3,0)</f>
        <v>TOÁN</v>
      </c>
      <c r="P40" s="99" t="str">
        <f>VLOOKUP($G41,$L$5:$P$10,P$3,0)</f>
        <v>SỬ</v>
      </c>
      <c r="Q40" s="98"/>
      <c r="R40" s="98"/>
      <c r="S40" s="98"/>
      <c r="T40" s="5" t="e">
        <v>#N/A</v>
      </c>
      <c r="U40"/>
    </row>
    <row r="41" spans="1:21" s="6" customFormat="1" ht="15" customHeight="1" x14ac:dyDescent="0.2">
      <c r="A41" s="174">
        <f t="array" ref="A41">IF(F41="","",SUBTOTAL(3,$F$18:F41))</f>
        <v>18</v>
      </c>
      <c r="B41" s="108">
        <v>1</v>
      </c>
      <c r="C41" s="109" t="s">
        <v>22</v>
      </c>
      <c r="D41" s="124">
        <v>29</v>
      </c>
      <c r="E41" s="111"/>
      <c r="F41" s="112" t="str">
        <f>C41&amp;".S"</f>
        <v>4B.S</v>
      </c>
      <c r="G41" s="113" t="s">
        <v>28</v>
      </c>
      <c r="H41" s="113" t="s">
        <v>63</v>
      </c>
      <c r="I41" s="114" t="str">
        <f>VLOOKUP($H41,$D$2:$J$13,6,0)</f>
        <v>Thứ Ba (23/12)</v>
      </c>
      <c r="J41" s="114" t="str">
        <f>VLOOKUP($H41,$D$2:$J$13,7,0)</f>
        <v>Thứ Năm (25/12)</v>
      </c>
      <c r="K41" s="115">
        <v>29</v>
      </c>
      <c r="L41" s="116">
        <f>D41-K41</f>
        <v>0</v>
      </c>
      <c r="M41" s="139" t="str">
        <f t="shared" ref="M41:P45" si="9">M$40</f>
        <v>VĂN</v>
      </c>
      <c r="N41" s="167" t="str">
        <f>N40</f>
        <v>SINH</v>
      </c>
      <c r="O41" s="139" t="str">
        <f t="shared" si="9"/>
        <v>TOÁN</v>
      </c>
      <c r="P41" s="139" t="str">
        <f t="shared" si="9"/>
        <v>SỬ</v>
      </c>
      <c r="Q41" s="98">
        <f>R38+1</f>
        <v>100419</v>
      </c>
      <c r="R41" s="98">
        <f>Q41+K41-1</f>
        <v>100447</v>
      </c>
      <c r="S41" s="100" t="s">
        <v>77</v>
      </c>
      <c r="T41" s="5" t="s">
        <v>60</v>
      </c>
      <c r="U41"/>
    </row>
    <row r="42" spans="1:21" s="6" customFormat="1" ht="15" customHeight="1" x14ac:dyDescent="0.2">
      <c r="A42" s="174">
        <f t="array" ref="A42">IF(F42="","",SUBTOTAL(3,$F$18:F42))</f>
        <v>19</v>
      </c>
      <c r="B42" s="117">
        <v>2</v>
      </c>
      <c r="C42" s="118" t="s">
        <v>23</v>
      </c>
      <c r="D42" s="124">
        <v>29</v>
      </c>
      <c r="E42" s="111"/>
      <c r="F42" s="112" t="str">
        <f>C42&amp;".S"</f>
        <v>5B.S</v>
      </c>
      <c r="G42" s="113" t="s">
        <v>28</v>
      </c>
      <c r="H42" s="113" t="s">
        <v>63</v>
      </c>
      <c r="I42" s="114" t="str">
        <f>VLOOKUP($H42,$D$2:$J$13,6,0)</f>
        <v>Thứ Ba (23/12)</v>
      </c>
      <c r="J42" s="114" t="str">
        <f>VLOOKUP($H42,$D$2:$J$13,7,0)</f>
        <v>Thứ Năm (25/12)</v>
      </c>
      <c r="K42" s="121">
        <v>29</v>
      </c>
      <c r="L42" s="116">
        <f>D42-K42</f>
        <v>0</v>
      </c>
      <c r="M42" s="139" t="str">
        <f t="shared" si="9"/>
        <v>VĂN</v>
      </c>
      <c r="N42" s="167" t="str">
        <f>N41</f>
        <v>SINH</v>
      </c>
      <c r="O42" s="139" t="str">
        <f t="shared" si="9"/>
        <v>TOÁN</v>
      </c>
      <c r="P42" s="139" t="str">
        <f t="shared" si="9"/>
        <v>SỬ</v>
      </c>
      <c r="Q42" s="98">
        <f>Q41+K41</f>
        <v>100448</v>
      </c>
      <c r="R42" s="98">
        <f>Q42+K42-1</f>
        <v>100476</v>
      </c>
      <c r="S42" s="100" t="s">
        <v>77</v>
      </c>
      <c r="T42" s="5" t="s">
        <v>60</v>
      </c>
      <c r="U42"/>
    </row>
    <row r="43" spans="1:21" s="6" customFormat="1" ht="15" customHeight="1" x14ac:dyDescent="0.2">
      <c r="A43" s="174">
        <f t="array" ref="A43">IF(F43="","",SUBTOTAL(3,$F$18:F43))</f>
        <v>20</v>
      </c>
      <c r="B43" s="117">
        <v>3</v>
      </c>
      <c r="C43" s="118" t="s">
        <v>24</v>
      </c>
      <c r="D43" s="124">
        <v>28</v>
      </c>
      <c r="E43" s="111"/>
      <c r="F43" s="112" t="str">
        <f>C43&amp;".S"</f>
        <v>6B.S</v>
      </c>
      <c r="G43" s="113" t="s">
        <v>28</v>
      </c>
      <c r="H43" s="113" t="s">
        <v>63</v>
      </c>
      <c r="I43" s="114" t="str">
        <f>VLOOKUP($H43,$D$2:$J$13,6,0)</f>
        <v>Thứ Ba (23/12)</v>
      </c>
      <c r="J43" s="114" t="str">
        <f>VLOOKUP($H43,$D$2:$J$13,7,0)</f>
        <v>Thứ Năm (25/12)</v>
      </c>
      <c r="K43" s="121">
        <v>28</v>
      </c>
      <c r="L43" s="116">
        <f>D43-K43</f>
        <v>0</v>
      </c>
      <c r="M43" s="139" t="str">
        <f t="shared" si="9"/>
        <v>VĂN</v>
      </c>
      <c r="N43" s="167" t="str">
        <f>N42</f>
        <v>SINH</v>
      </c>
      <c r="O43" s="139" t="str">
        <f t="shared" si="9"/>
        <v>TOÁN</v>
      </c>
      <c r="P43" s="139" t="str">
        <f t="shared" si="9"/>
        <v>SỬ</v>
      </c>
      <c r="Q43" s="98">
        <f>Q42+K42</f>
        <v>100477</v>
      </c>
      <c r="R43" s="98">
        <f>Q43+K43-1</f>
        <v>100504</v>
      </c>
      <c r="S43" s="100" t="s">
        <v>77</v>
      </c>
      <c r="T43" s="5" t="s">
        <v>60</v>
      </c>
      <c r="U43"/>
    </row>
    <row r="44" spans="1:21" s="6" customFormat="1" ht="15" customHeight="1" x14ac:dyDescent="0.2">
      <c r="A44" s="174">
        <f t="array" ref="A44">IF(F44="","",SUBTOTAL(3,$F$18:F44))</f>
        <v>21</v>
      </c>
      <c r="B44" s="108">
        <v>4</v>
      </c>
      <c r="C44" s="109" t="s">
        <v>25</v>
      </c>
      <c r="D44" s="124">
        <v>28</v>
      </c>
      <c r="E44" s="111"/>
      <c r="F44" s="112" t="str">
        <f>C44&amp;".S"</f>
        <v>7B.S</v>
      </c>
      <c r="G44" s="113" t="s">
        <v>28</v>
      </c>
      <c r="H44" s="113" t="s">
        <v>63</v>
      </c>
      <c r="I44" s="114" t="str">
        <f>VLOOKUP($H44,$D$2:$J$13,6,0)</f>
        <v>Thứ Ba (23/12)</v>
      </c>
      <c r="J44" s="114" t="str">
        <f>VLOOKUP($H44,$D$2:$J$13,7,0)</f>
        <v>Thứ Năm (25/12)</v>
      </c>
      <c r="K44" s="121">
        <v>28</v>
      </c>
      <c r="L44" s="116">
        <f>D44-K44</f>
        <v>0</v>
      </c>
      <c r="M44" s="139" t="str">
        <f t="shared" si="9"/>
        <v>VĂN</v>
      </c>
      <c r="N44" s="167" t="str">
        <f>N43</f>
        <v>SINH</v>
      </c>
      <c r="O44" s="139" t="str">
        <f t="shared" si="9"/>
        <v>TOÁN</v>
      </c>
      <c r="P44" s="139" t="str">
        <f t="shared" si="9"/>
        <v>SỬ</v>
      </c>
      <c r="Q44" s="98">
        <f>Q43+K43</f>
        <v>100505</v>
      </c>
      <c r="R44" s="98">
        <f>Q44+K44-1</f>
        <v>100532</v>
      </c>
      <c r="S44" s="100" t="s">
        <v>77</v>
      </c>
      <c r="T44" s="5" t="s">
        <v>60</v>
      </c>
      <c r="U44"/>
    </row>
    <row r="45" spans="1:21" s="6" customFormat="1" ht="15" customHeight="1" x14ac:dyDescent="0.2">
      <c r="A45" s="174">
        <f t="array" ref="A45">IF(F45="","",SUBTOTAL(3,$F$18:F45))</f>
        <v>22</v>
      </c>
      <c r="B45" s="117">
        <v>5</v>
      </c>
      <c r="C45" s="118" t="s">
        <v>26</v>
      </c>
      <c r="D45" s="124">
        <v>28</v>
      </c>
      <c r="E45" s="111"/>
      <c r="F45" s="112" t="str">
        <f>C45&amp;".S"</f>
        <v>8B.S</v>
      </c>
      <c r="G45" s="113" t="s">
        <v>28</v>
      </c>
      <c r="H45" s="113" t="s">
        <v>63</v>
      </c>
      <c r="I45" s="114" t="str">
        <f>VLOOKUP($H45,$D$2:$J$13,6,0)</f>
        <v>Thứ Ba (23/12)</v>
      </c>
      <c r="J45" s="114" t="str">
        <f>VLOOKUP($H45,$D$2:$J$13,7,0)</f>
        <v>Thứ Năm (25/12)</v>
      </c>
      <c r="K45" s="121">
        <v>28</v>
      </c>
      <c r="L45" s="116">
        <f>D45-K45</f>
        <v>0</v>
      </c>
      <c r="M45" s="139" t="str">
        <f t="shared" si="9"/>
        <v>VĂN</v>
      </c>
      <c r="N45" s="167" t="str">
        <f>N44</f>
        <v>SINH</v>
      </c>
      <c r="O45" s="139" t="str">
        <f t="shared" si="9"/>
        <v>TOÁN</v>
      </c>
      <c r="P45" s="139" t="str">
        <f t="shared" si="9"/>
        <v>SỬ</v>
      </c>
      <c r="Q45" s="98">
        <f>Q44+K44</f>
        <v>100533</v>
      </c>
      <c r="R45" s="98">
        <f>Q45+K45-1</f>
        <v>100560</v>
      </c>
      <c r="S45" s="100" t="s">
        <v>77</v>
      </c>
      <c r="T45" s="5" t="s">
        <v>60</v>
      </c>
      <c r="U45"/>
    </row>
    <row r="46" spans="1:21" s="6" customFormat="1" ht="15" customHeight="1" x14ac:dyDescent="0.2">
      <c r="A46" s="174" t="str">
        <f t="array" ref="A46">IF(F46="","",SUBTOTAL(3,$F$18:F46))</f>
        <v/>
      </c>
      <c r="B46" s="89" t="s">
        <v>78</v>
      </c>
      <c r="C46" s="188" t="s">
        <v>79</v>
      </c>
      <c r="D46" s="91">
        <v>379</v>
      </c>
      <c r="E46" s="92"/>
      <c r="F46" s="93"/>
      <c r="G46" s="94"/>
      <c r="H46" s="94"/>
      <c r="I46" s="94"/>
      <c r="J46" s="94"/>
      <c r="K46" s="88"/>
      <c r="L46" s="95"/>
      <c r="M46" s="96"/>
      <c r="N46" s="165"/>
      <c r="O46" s="96"/>
      <c r="P46" s="97"/>
      <c r="Q46" s="98"/>
      <c r="R46" s="98"/>
      <c r="S46" s="98"/>
      <c r="T46" s="5" t="e">
        <v>#N/A</v>
      </c>
      <c r="U46"/>
    </row>
    <row r="47" spans="1:21" s="6" customFormat="1" ht="30" customHeight="1" x14ac:dyDescent="0.2">
      <c r="A47" s="174" t="str">
        <f t="array" ref="A47">IF(F47="","",SUBTOTAL(3,$F$18:F47))</f>
        <v/>
      </c>
      <c r="B47" s="100" t="s">
        <v>80</v>
      </c>
      <c r="C47" s="128"/>
      <c r="D47" s="129">
        <v>100</v>
      </c>
      <c r="E47" s="130"/>
      <c r="F47" s="131"/>
      <c r="G47" s="132"/>
      <c r="H47" s="132"/>
      <c r="I47" s="132"/>
      <c r="J47" s="129"/>
      <c r="K47" s="105"/>
      <c r="L47" s="106"/>
      <c r="M47" s="99" t="str">
        <f>VLOOKUP($G48,$L$5:$P$10,M$3,0)</f>
        <v>VĂN</v>
      </c>
      <c r="N47" s="107" t="str">
        <f>VLOOKUP($G48,$L$5:$P$10,N$3,0)</f>
        <v>LÝ</v>
      </c>
      <c r="O47" s="99" t="str">
        <f>VLOOKUP($G48,$L$5:$P$10,O$3,0)</f>
        <v>TOÁN</v>
      </c>
      <c r="P47" s="99" t="str">
        <f>VLOOKUP($G48,$L$5:$P$10,P$3,0)</f>
        <v>SỬ</v>
      </c>
      <c r="Q47" s="98"/>
      <c r="R47" s="98"/>
      <c r="S47" s="98"/>
      <c r="T47" s="5" t="e">
        <v>#N/A</v>
      </c>
      <c r="U47"/>
    </row>
    <row r="48" spans="1:21" s="6" customFormat="1" ht="15" customHeight="1" x14ac:dyDescent="0.2">
      <c r="A48" s="174">
        <f t="array" ref="A48">IF(F48="","",SUBTOTAL(3,$F$18:F48))</f>
        <v>23</v>
      </c>
      <c r="B48" s="137">
        <v>1</v>
      </c>
      <c r="C48" s="109" t="s">
        <v>5</v>
      </c>
      <c r="D48" s="124">
        <v>25</v>
      </c>
      <c r="E48" s="111"/>
      <c r="F48" s="112" t="str">
        <f>C48&amp;".T"</f>
        <v>1A.T</v>
      </c>
      <c r="G48" s="113" t="s">
        <v>4</v>
      </c>
      <c r="H48" s="113" t="s">
        <v>58</v>
      </c>
      <c r="I48" s="114" t="str">
        <f>VLOOKUP($H48,$D$2:$J$13,6,0)</f>
        <v>Thứ Hai (22/12)</v>
      </c>
      <c r="J48" s="114" t="str">
        <f>VLOOKUP($H48,$D$2:$J$13,7,0)</f>
        <v>Thứ Ba (23/12)</v>
      </c>
      <c r="K48" s="115">
        <v>25</v>
      </c>
      <c r="L48" s="116">
        <f t="shared" ref="L48:L63" si="10">D48-K48</f>
        <v>0</v>
      </c>
      <c r="M48" s="139" t="str">
        <f t="shared" ref="M48:P51" si="11">VLOOKUP($G48,$L$5:$P$9,M$3,0)</f>
        <v>VĂN</v>
      </c>
      <c r="N48" s="140" t="str">
        <f t="shared" si="11"/>
        <v>LÝ</v>
      </c>
      <c r="O48" s="139" t="str">
        <f t="shared" si="11"/>
        <v>TOÁN</v>
      </c>
      <c r="P48" s="139" t="str">
        <f t="shared" si="11"/>
        <v>SỬ</v>
      </c>
      <c r="Q48" s="98">
        <f>R45+1</f>
        <v>100561</v>
      </c>
      <c r="R48" s="98">
        <f>Q48+K48-1</f>
        <v>100585</v>
      </c>
      <c r="S48" s="100" t="s">
        <v>80</v>
      </c>
      <c r="T48" s="5" t="s">
        <v>53</v>
      </c>
      <c r="U48"/>
    </row>
    <row r="49" spans="1:21" s="6" customFormat="1" ht="15" customHeight="1" x14ac:dyDescent="0.2">
      <c r="A49" s="174">
        <f t="array" ref="A49">IF(F49="","",SUBTOTAL(3,$F$18:F49))</f>
        <v>24</v>
      </c>
      <c r="B49" s="138">
        <v>2</v>
      </c>
      <c r="C49" s="109" t="s">
        <v>6</v>
      </c>
      <c r="D49" s="124">
        <v>25</v>
      </c>
      <c r="E49" s="111"/>
      <c r="F49" s="112" t="str">
        <f>C49&amp;".T"</f>
        <v>2A.T</v>
      </c>
      <c r="G49" s="113" t="s">
        <v>4</v>
      </c>
      <c r="H49" s="113" t="s">
        <v>58</v>
      </c>
      <c r="I49" s="114" t="str">
        <f>VLOOKUP($H49,$D$2:$J$13,6,0)</f>
        <v>Thứ Hai (22/12)</v>
      </c>
      <c r="J49" s="114" t="str">
        <f>VLOOKUP($H49,$D$2:$J$13,7,0)</f>
        <v>Thứ Ba (23/12)</v>
      </c>
      <c r="K49" s="121">
        <v>25</v>
      </c>
      <c r="L49" s="116">
        <f t="shared" si="10"/>
        <v>0</v>
      </c>
      <c r="M49" s="139" t="str">
        <f t="shared" si="11"/>
        <v>VĂN</v>
      </c>
      <c r="N49" s="140" t="str">
        <f t="shared" si="11"/>
        <v>LÝ</v>
      </c>
      <c r="O49" s="139" t="str">
        <f t="shared" si="11"/>
        <v>TOÁN</v>
      </c>
      <c r="P49" s="139" t="str">
        <f t="shared" si="11"/>
        <v>SỬ</v>
      </c>
      <c r="Q49" s="98">
        <f>Q48+K48</f>
        <v>100586</v>
      </c>
      <c r="R49" s="98">
        <f>Q49+K49-1</f>
        <v>100610</v>
      </c>
      <c r="S49" s="100" t="s">
        <v>80</v>
      </c>
      <c r="T49" s="5" t="s">
        <v>53</v>
      </c>
      <c r="U49"/>
    </row>
    <row r="50" spans="1:21" s="6" customFormat="1" ht="15" customHeight="1" x14ac:dyDescent="0.2">
      <c r="A50" s="174">
        <f t="array" ref="A50">IF(F50="","",SUBTOTAL(3,$F$18:F50))</f>
        <v>25</v>
      </c>
      <c r="B50" s="138">
        <v>3</v>
      </c>
      <c r="C50" s="109" t="s">
        <v>7</v>
      </c>
      <c r="D50" s="124">
        <v>25</v>
      </c>
      <c r="E50" s="111"/>
      <c r="F50" s="112" t="str">
        <f>C50&amp;".T"</f>
        <v>3A.T</v>
      </c>
      <c r="G50" s="113" t="s">
        <v>4</v>
      </c>
      <c r="H50" s="113" t="s">
        <v>58</v>
      </c>
      <c r="I50" s="114" t="str">
        <f>VLOOKUP($H50,$D$2:$J$13,6,0)</f>
        <v>Thứ Hai (22/12)</v>
      </c>
      <c r="J50" s="114" t="str">
        <f>VLOOKUP($H50,$D$2:$J$13,7,0)</f>
        <v>Thứ Ba (23/12)</v>
      </c>
      <c r="K50" s="121">
        <v>25</v>
      </c>
      <c r="L50" s="116">
        <f t="shared" si="10"/>
        <v>0</v>
      </c>
      <c r="M50" s="139" t="str">
        <f t="shared" si="11"/>
        <v>VĂN</v>
      </c>
      <c r="N50" s="140" t="str">
        <f t="shared" si="11"/>
        <v>LÝ</v>
      </c>
      <c r="O50" s="139" t="str">
        <f t="shared" si="11"/>
        <v>TOÁN</v>
      </c>
      <c r="P50" s="139" t="str">
        <f t="shared" si="11"/>
        <v>SỬ</v>
      </c>
      <c r="Q50" s="98">
        <f>Q49+K49</f>
        <v>100611</v>
      </c>
      <c r="R50" s="98">
        <f>Q50+K50-1</f>
        <v>100635</v>
      </c>
      <c r="S50" s="100" t="s">
        <v>80</v>
      </c>
      <c r="T50" s="5" t="s">
        <v>53</v>
      </c>
      <c r="U50"/>
    </row>
    <row r="51" spans="1:21" s="6" customFormat="1" ht="15" customHeight="1" x14ac:dyDescent="0.2">
      <c r="A51" s="174">
        <f t="array" ref="A51">IF(F51="","",SUBTOTAL(3,$F$18:F51))</f>
        <v>26</v>
      </c>
      <c r="B51" s="141">
        <v>4</v>
      </c>
      <c r="C51" s="109" t="s">
        <v>8</v>
      </c>
      <c r="D51" s="124">
        <v>25</v>
      </c>
      <c r="E51" s="111"/>
      <c r="F51" s="112" t="str">
        <f>C51&amp;".T"</f>
        <v>4A.T</v>
      </c>
      <c r="G51" s="113" t="s">
        <v>4</v>
      </c>
      <c r="H51" s="113" t="s">
        <v>58</v>
      </c>
      <c r="I51" s="114" t="str">
        <f>VLOOKUP($H51,$D$2:$J$13,6,0)</f>
        <v>Thứ Hai (22/12)</v>
      </c>
      <c r="J51" s="114" t="str">
        <f>VLOOKUP($H51,$D$2:$J$13,7,0)</f>
        <v>Thứ Ba (23/12)</v>
      </c>
      <c r="K51" s="121">
        <v>24</v>
      </c>
      <c r="L51" s="116">
        <f t="shared" si="10"/>
        <v>1</v>
      </c>
      <c r="M51" s="139" t="str">
        <f t="shared" si="11"/>
        <v>VĂN</v>
      </c>
      <c r="N51" s="140" t="str">
        <f t="shared" si="11"/>
        <v>LÝ</v>
      </c>
      <c r="O51" s="139" t="str">
        <f t="shared" si="11"/>
        <v>TOÁN</v>
      </c>
      <c r="P51" s="139" t="str">
        <f t="shared" si="11"/>
        <v>SỬ</v>
      </c>
      <c r="Q51" s="98">
        <f>Q50+K50</f>
        <v>100636</v>
      </c>
      <c r="R51" s="98">
        <f>Q51+K51-1</f>
        <v>100659</v>
      </c>
      <c r="S51" s="100" t="s">
        <v>80</v>
      </c>
      <c r="T51" s="5" t="s">
        <v>53</v>
      </c>
      <c r="U51"/>
    </row>
    <row r="52" spans="1:21" s="6" customFormat="1" ht="30.75" customHeight="1" x14ac:dyDescent="0.2">
      <c r="A52" s="174" t="str">
        <f t="array" ref="A52">IF(F52="","",SUBTOTAL(3,$F$18:F52))</f>
        <v/>
      </c>
      <c r="B52" s="100" t="s">
        <v>81</v>
      </c>
      <c r="C52" s="128"/>
      <c r="D52" s="129">
        <v>91</v>
      </c>
      <c r="E52" s="130"/>
      <c r="F52" s="131"/>
      <c r="G52" s="132"/>
      <c r="H52" s="132"/>
      <c r="I52" s="132"/>
      <c r="J52" s="129"/>
      <c r="K52" s="105"/>
      <c r="L52" s="106"/>
      <c r="M52" s="99" t="str">
        <f>VLOOKUP($G53,$L$5:$P$10,M$3,0)</f>
        <v>VĂN</v>
      </c>
      <c r="N52" s="107" t="str">
        <f>VLOOKUP($G53,$L$5:$P$10,N$3,0)</f>
        <v>HÓA</v>
      </c>
      <c r="O52" s="99" t="str">
        <f>VLOOKUP($G53,$L$5:$P$10,O$3,0)</f>
        <v>TOÁN</v>
      </c>
      <c r="P52" s="99" t="str">
        <f>VLOOKUP($G53,$L$5:$P$10,P$3,0)</f>
        <v>SỬ</v>
      </c>
      <c r="Q52" s="98"/>
      <c r="R52" s="98"/>
      <c r="S52" s="98"/>
      <c r="T52" s="5" t="e">
        <v>#N/A</v>
      </c>
      <c r="U52"/>
    </row>
    <row r="53" spans="1:21" s="6" customFormat="1" ht="15" customHeight="1" x14ac:dyDescent="0.2">
      <c r="A53" s="174">
        <f t="array" ref="A53">IF(F53="","",SUBTOTAL(3,$F$18:F53))</f>
        <v>27</v>
      </c>
      <c r="B53" s="137">
        <v>1</v>
      </c>
      <c r="C53" s="109" t="s">
        <v>10</v>
      </c>
      <c r="D53" s="124">
        <v>31</v>
      </c>
      <c r="E53" s="111"/>
      <c r="F53" s="112" t="str">
        <f>C53&amp;".T"</f>
        <v>5A.T</v>
      </c>
      <c r="G53" s="113" t="s">
        <v>9</v>
      </c>
      <c r="H53" s="113" t="s">
        <v>58</v>
      </c>
      <c r="I53" s="114" t="str">
        <f>VLOOKUP($H53,$D$2:$J$13,6,0)</f>
        <v>Thứ Hai (22/12)</v>
      </c>
      <c r="J53" s="114" t="str">
        <f>VLOOKUP($H53,$D$2:$J$13,7,0)</f>
        <v>Thứ Ba (23/12)</v>
      </c>
      <c r="K53" s="115">
        <v>31</v>
      </c>
      <c r="L53" s="116">
        <f t="shared" si="10"/>
        <v>0</v>
      </c>
      <c r="M53" s="139" t="str">
        <f t="shared" ref="M53:P55" si="12">VLOOKUP($G53,$L$5:$P$9,M$3,0)</f>
        <v>VĂN</v>
      </c>
      <c r="N53" s="140" t="str">
        <f t="shared" si="12"/>
        <v>HÓA</v>
      </c>
      <c r="O53" s="139" t="str">
        <f t="shared" si="12"/>
        <v>TOÁN</v>
      </c>
      <c r="P53" s="139" t="str">
        <f t="shared" si="12"/>
        <v>SỬ</v>
      </c>
      <c r="Q53" s="98">
        <f>R51+1</f>
        <v>100660</v>
      </c>
      <c r="R53" s="98">
        <f>Q53+K53-1</f>
        <v>100690</v>
      </c>
      <c r="S53" s="100" t="s">
        <v>81</v>
      </c>
      <c r="T53" s="5" t="s">
        <v>53</v>
      </c>
      <c r="U53"/>
    </row>
    <row r="54" spans="1:21" s="6" customFormat="1" ht="15" customHeight="1" x14ac:dyDescent="0.2">
      <c r="A54" s="174">
        <f t="array" ref="A54">IF(F54="","",SUBTOTAL(3,$F$18:F54))</f>
        <v>28</v>
      </c>
      <c r="B54" s="138">
        <v>2</v>
      </c>
      <c r="C54" s="109" t="s">
        <v>11</v>
      </c>
      <c r="D54" s="124">
        <v>30</v>
      </c>
      <c r="E54" s="111"/>
      <c r="F54" s="112" t="str">
        <f>C54&amp;".T"</f>
        <v>6A.T</v>
      </c>
      <c r="G54" s="113" t="s">
        <v>9</v>
      </c>
      <c r="H54" s="113" t="s">
        <v>58</v>
      </c>
      <c r="I54" s="114" t="str">
        <f>VLOOKUP($H54,$D$2:$J$13,6,0)</f>
        <v>Thứ Hai (22/12)</v>
      </c>
      <c r="J54" s="114" t="str">
        <f>VLOOKUP($H54,$D$2:$J$13,7,0)</f>
        <v>Thứ Ba (23/12)</v>
      </c>
      <c r="K54" s="121">
        <v>30</v>
      </c>
      <c r="L54" s="116">
        <f t="shared" si="10"/>
        <v>0</v>
      </c>
      <c r="M54" s="139" t="str">
        <f t="shared" si="12"/>
        <v>VĂN</v>
      </c>
      <c r="N54" s="140" t="str">
        <f t="shared" si="12"/>
        <v>HÓA</v>
      </c>
      <c r="O54" s="139" t="str">
        <f t="shared" si="12"/>
        <v>TOÁN</v>
      </c>
      <c r="P54" s="139" t="str">
        <f t="shared" si="12"/>
        <v>SỬ</v>
      </c>
      <c r="Q54" s="98">
        <f>Q53+K53</f>
        <v>100691</v>
      </c>
      <c r="R54" s="98">
        <f>Q54+K54-1</f>
        <v>100720</v>
      </c>
      <c r="S54" s="100" t="s">
        <v>81</v>
      </c>
      <c r="T54" s="5" t="s">
        <v>53</v>
      </c>
      <c r="U54"/>
    </row>
    <row r="55" spans="1:21" s="6" customFormat="1" ht="15" customHeight="1" x14ac:dyDescent="0.2">
      <c r="A55" s="190">
        <f t="array" ref="A55">IF(F55="","",SUBTOTAL(3,$F$18:F55))</f>
        <v>29</v>
      </c>
      <c r="B55" s="138">
        <v>3</v>
      </c>
      <c r="C55" s="191" t="s">
        <v>82</v>
      </c>
      <c r="D55" s="124">
        <v>30</v>
      </c>
      <c r="E55" s="111"/>
      <c r="F55" s="112" t="str">
        <f>C55&amp;".T"</f>
        <v>7A.T</v>
      </c>
      <c r="G55" s="113" t="s">
        <v>9</v>
      </c>
      <c r="H55" s="113" t="s">
        <v>58</v>
      </c>
      <c r="I55" s="114" t="str">
        <f>VLOOKUP($H55,$D$2:$J$13,6,0)</f>
        <v>Thứ Hai (22/12)</v>
      </c>
      <c r="J55" s="114" t="str">
        <f>VLOOKUP($H55,$D$2:$J$13,7,0)</f>
        <v>Thứ Ba (23/12)</v>
      </c>
      <c r="K55" s="121">
        <v>30</v>
      </c>
      <c r="L55" s="116">
        <f t="shared" si="10"/>
        <v>0</v>
      </c>
      <c r="M55" s="139" t="str">
        <f t="shared" si="12"/>
        <v>VĂN</v>
      </c>
      <c r="N55" s="140" t="str">
        <f t="shared" si="12"/>
        <v>HÓA</v>
      </c>
      <c r="O55" s="139" t="str">
        <f t="shared" si="12"/>
        <v>TOÁN</v>
      </c>
      <c r="P55" s="139" t="str">
        <f t="shared" si="12"/>
        <v>SỬ</v>
      </c>
      <c r="Q55" s="98">
        <f>Q54+K54</f>
        <v>100721</v>
      </c>
      <c r="R55" s="98">
        <f>Q55+K55-1</f>
        <v>100750</v>
      </c>
      <c r="S55" s="100" t="s">
        <v>81</v>
      </c>
      <c r="T55" s="5" t="s">
        <v>53</v>
      </c>
      <c r="U55"/>
    </row>
    <row r="56" spans="1:21" s="6" customFormat="1" ht="30" customHeight="1" x14ac:dyDescent="0.2">
      <c r="A56" s="174" t="str">
        <f t="array" ref="A56">IF(F56="","",SUBTOTAL(3,$F$18:F56))</f>
        <v/>
      </c>
      <c r="B56" s="100" t="s">
        <v>83</v>
      </c>
      <c r="C56" s="128"/>
      <c r="D56" s="129">
        <f>SUM(D57:D59)</f>
        <v>95</v>
      </c>
      <c r="E56" s="130"/>
      <c r="F56" s="131"/>
      <c r="G56" s="132"/>
      <c r="H56" s="132"/>
      <c r="I56" s="132"/>
      <c r="J56" s="129"/>
      <c r="K56" s="105"/>
      <c r="L56" s="106"/>
      <c r="M56" s="99" t="str">
        <f>VLOOKUP($G57,$L$5:$P$10,M$3,0)</f>
        <v>VĂN</v>
      </c>
      <c r="N56" s="107" t="str">
        <f>VLOOKUP($G57,$L$5:$P$10,N$3,0)</f>
        <v>KT-PL</v>
      </c>
      <c r="O56" s="99" t="str">
        <f>VLOOKUP($G57,$L$5:$P$10,O$3,0)</f>
        <v>TOÁN</v>
      </c>
      <c r="P56" s="99" t="str">
        <f>VLOOKUP($G57,$L$5:$P$10,P$3,0)</f>
        <v>SỬ</v>
      </c>
      <c r="Q56" s="98"/>
      <c r="R56" s="98"/>
      <c r="S56" s="98"/>
      <c r="T56" s="5" t="e">
        <v>#N/A</v>
      </c>
      <c r="U56"/>
    </row>
    <row r="57" spans="1:21" s="6" customFormat="1" ht="15" customHeight="1" x14ac:dyDescent="0.2">
      <c r="A57" s="174">
        <f t="array" ref="A57">IF(F57="","",SUBTOTAL(3,$F$18:F57))</f>
        <v>30</v>
      </c>
      <c r="B57" s="137">
        <v>1</v>
      </c>
      <c r="C57" s="109" t="s">
        <v>12</v>
      </c>
      <c r="D57" s="124">
        <v>32</v>
      </c>
      <c r="E57" s="111"/>
      <c r="F57" s="112" t="str">
        <f>C57&amp;".T"</f>
        <v>9A.T</v>
      </c>
      <c r="G57" s="113" t="s">
        <v>14</v>
      </c>
      <c r="H57" s="113" t="s">
        <v>58</v>
      </c>
      <c r="I57" s="114" t="str">
        <f>VLOOKUP($H57,$D$2:$J$13,6,0)</f>
        <v>Thứ Hai (22/12)</v>
      </c>
      <c r="J57" s="114" t="str">
        <f>VLOOKUP($H57,$D$2:$J$13,7,0)</f>
        <v>Thứ Ba (23/12)</v>
      </c>
      <c r="K57" s="115">
        <v>32</v>
      </c>
      <c r="L57" s="116">
        <f t="shared" si="10"/>
        <v>0</v>
      </c>
      <c r="M57" s="139" t="str">
        <f t="shared" ref="M57:P59" si="13">VLOOKUP($G57,$L$5:$P$9,M$3,0)</f>
        <v>VĂN</v>
      </c>
      <c r="N57" s="140" t="str">
        <f t="shared" si="13"/>
        <v>KT-PL</v>
      </c>
      <c r="O57" s="139" t="str">
        <f t="shared" si="13"/>
        <v>TOÁN</v>
      </c>
      <c r="P57" s="139" t="str">
        <f t="shared" si="13"/>
        <v>SỬ</v>
      </c>
      <c r="Q57" s="98">
        <f>R55+1</f>
        <v>100751</v>
      </c>
      <c r="R57" s="98">
        <f>Q57+K57-1</f>
        <v>100782</v>
      </c>
      <c r="S57" s="100" t="s">
        <v>83</v>
      </c>
      <c r="T57" s="5" t="s">
        <v>53</v>
      </c>
      <c r="U57"/>
    </row>
    <row r="58" spans="1:21" s="6" customFormat="1" ht="15" customHeight="1" x14ac:dyDescent="0.2">
      <c r="A58" s="174">
        <f t="array" ref="A58">IF(F58="","",SUBTOTAL(3,$F$18:F58))</f>
        <v>31</v>
      </c>
      <c r="B58" s="138">
        <v>2</v>
      </c>
      <c r="C58" s="109" t="s">
        <v>13</v>
      </c>
      <c r="D58" s="124">
        <v>32</v>
      </c>
      <c r="E58" s="111"/>
      <c r="F58" s="112" t="str">
        <f>C58&amp;".T"</f>
        <v>10A.T</v>
      </c>
      <c r="G58" s="113" t="s">
        <v>14</v>
      </c>
      <c r="H58" s="113" t="s">
        <v>58</v>
      </c>
      <c r="I58" s="114" t="str">
        <f>VLOOKUP($H58,$D$2:$J$13,6,0)</f>
        <v>Thứ Hai (22/12)</v>
      </c>
      <c r="J58" s="114" t="str">
        <f>VLOOKUP($H58,$D$2:$J$13,7,0)</f>
        <v>Thứ Ba (23/12)</v>
      </c>
      <c r="K58" s="121">
        <v>31</v>
      </c>
      <c r="L58" s="116">
        <f t="shared" si="10"/>
        <v>1</v>
      </c>
      <c r="M58" s="139" t="str">
        <f t="shared" si="13"/>
        <v>VĂN</v>
      </c>
      <c r="N58" s="140" t="str">
        <f t="shared" si="13"/>
        <v>KT-PL</v>
      </c>
      <c r="O58" s="139" t="str">
        <f t="shared" si="13"/>
        <v>TOÁN</v>
      </c>
      <c r="P58" s="139" t="str">
        <f t="shared" si="13"/>
        <v>SỬ</v>
      </c>
      <c r="Q58" s="98">
        <f>Q57+K57</f>
        <v>100783</v>
      </c>
      <c r="R58" s="98">
        <f>Q58+K58-1</f>
        <v>100813</v>
      </c>
      <c r="S58" s="100" t="s">
        <v>83</v>
      </c>
      <c r="T58" s="5" t="s">
        <v>53</v>
      </c>
      <c r="U58"/>
    </row>
    <row r="59" spans="1:21" s="6" customFormat="1" ht="15" customHeight="1" x14ac:dyDescent="0.2">
      <c r="A59" s="174">
        <f t="array" ref="A59">IF(F59="","",SUBTOTAL(3,$F$18:F59))</f>
        <v>32</v>
      </c>
      <c r="B59" s="138">
        <v>3</v>
      </c>
      <c r="C59" s="109" t="s">
        <v>15</v>
      </c>
      <c r="D59" s="124">
        <v>31</v>
      </c>
      <c r="E59" s="111"/>
      <c r="F59" s="112" t="str">
        <f>C59&amp;".T"</f>
        <v>11A.T</v>
      </c>
      <c r="G59" s="113" t="s">
        <v>14</v>
      </c>
      <c r="H59" s="113" t="s">
        <v>58</v>
      </c>
      <c r="I59" s="114" t="str">
        <f>VLOOKUP($H59,$D$2:$J$13,6,0)</f>
        <v>Thứ Hai (22/12)</v>
      </c>
      <c r="J59" s="114" t="str">
        <f>VLOOKUP($H59,$D$2:$J$13,7,0)</f>
        <v>Thứ Ba (23/12)</v>
      </c>
      <c r="K59" s="121">
        <v>31</v>
      </c>
      <c r="L59" s="116">
        <f t="shared" si="10"/>
        <v>0</v>
      </c>
      <c r="M59" s="139" t="str">
        <f t="shared" si="13"/>
        <v>VĂN</v>
      </c>
      <c r="N59" s="140" t="str">
        <f t="shared" si="13"/>
        <v>KT-PL</v>
      </c>
      <c r="O59" s="139" t="str">
        <f t="shared" si="13"/>
        <v>TOÁN</v>
      </c>
      <c r="P59" s="139" t="str">
        <f t="shared" si="13"/>
        <v>SỬ</v>
      </c>
      <c r="Q59" s="98">
        <f>Q58+K58</f>
        <v>100814</v>
      </c>
      <c r="R59" s="98">
        <f>Q59+K59-1</f>
        <v>100844</v>
      </c>
      <c r="S59" s="100" t="s">
        <v>83</v>
      </c>
      <c r="T59" s="5" t="s">
        <v>53</v>
      </c>
      <c r="U59"/>
    </row>
    <row r="60" spans="1:21" s="6" customFormat="1" ht="30" customHeight="1" x14ac:dyDescent="0.2">
      <c r="A60" s="174" t="str">
        <f t="array" ref="A60">IF(F60="","",SUBTOTAL(3,$F$18:F60))</f>
        <v/>
      </c>
      <c r="B60" s="100" t="s">
        <v>84</v>
      </c>
      <c r="C60" s="128"/>
      <c r="D60" s="129">
        <f>SUM(D61:D63)</f>
        <v>93</v>
      </c>
      <c r="E60" s="130"/>
      <c r="F60" s="131"/>
      <c r="G60" s="132"/>
      <c r="H60" s="132"/>
      <c r="I60" s="132"/>
      <c r="J60" s="129"/>
      <c r="K60" s="105"/>
      <c r="L60" s="106"/>
      <c r="M60" s="99" t="str">
        <f>VLOOKUP($G61,$L$5:$P$10,M$3,0)</f>
        <v>VĂN</v>
      </c>
      <c r="N60" s="107" t="str">
        <f>VLOOKUP($G61,$L$5:$P$10,N$3,0)</f>
        <v>KT-PL</v>
      </c>
      <c r="O60" s="99" t="str">
        <f>VLOOKUP($G61,$L$5:$P$10,O$3,0)</f>
        <v>TOÁN</v>
      </c>
      <c r="P60" s="99" t="str">
        <f>VLOOKUP($G61,$L$5:$P$10,P$3,0)</f>
        <v>SỬ</v>
      </c>
      <c r="Q60" s="98"/>
      <c r="R60" s="98"/>
      <c r="S60" s="98"/>
      <c r="T60" s="5" t="e">
        <v>#N/A</v>
      </c>
      <c r="U60"/>
    </row>
    <row r="61" spans="1:21" s="6" customFormat="1" ht="15" customHeight="1" x14ac:dyDescent="0.2">
      <c r="A61" s="174">
        <f t="array" ref="A61">IF(F61="","",SUBTOTAL(3,$F$18:F61))</f>
        <v>33</v>
      </c>
      <c r="B61" s="137">
        <v>1</v>
      </c>
      <c r="C61" s="109" t="s">
        <v>16</v>
      </c>
      <c r="D61" s="124">
        <v>31</v>
      </c>
      <c r="E61" s="111"/>
      <c r="F61" s="112" t="str">
        <f>C61&amp;".T"</f>
        <v>12A.T</v>
      </c>
      <c r="G61" s="113" t="s">
        <v>14</v>
      </c>
      <c r="H61" s="113" t="s">
        <v>58</v>
      </c>
      <c r="I61" s="114" t="str">
        <f>VLOOKUP($H61,$D$2:$J$13,6,0)</f>
        <v>Thứ Hai (22/12)</v>
      </c>
      <c r="J61" s="114" t="str">
        <f>VLOOKUP($H61,$D$2:$J$13,7,0)</f>
        <v>Thứ Ba (23/12)</v>
      </c>
      <c r="K61" s="115">
        <v>31</v>
      </c>
      <c r="L61" s="116">
        <f t="shared" si="10"/>
        <v>0</v>
      </c>
      <c r="M61" s="139" t="str">
        <f t="shared" ref="M61:P63" si="14">VLOOKUP($G61,$L$5:$P$9,M$3,0)</f>
        <v>VĂN</v>
      </c>
      <c r="N61" s="140" t="str">
        <f t="shared" si="14"/>
        <v>KT-PL</v>
      </c>
      <c r="O61" s="139" t="str">
        <f t="shared" si="14"/>
        <v>TOÁN</v>
      </c>
      <c r="P61" s="139" t="str">
        <f t="shared" si="14"/>
        <v>SỬ</v>
      </c>
      <c r="Q61" s="98">
        <f>R59+1</f>
        <v>100845</v>
      </c>
      <c r="R61" s="98">
        <f>Q61+K61-1</f>
        <v>100875</v>
      </c>
      <c r="S61" s="100" t="s">
        <v>84</v>
      </c>
      <c r="T61" s="5" t="s">
        <v>53</v>
      </c>
      <c r="U61"/>
    </row>
    <row r="62" spans="1:21" s="6" customFormat="1" ht="15" customHeight="1" x14ac:dyDescent="0.2">
      <c r="A62" s="174">
        <f t="array" ref="A62">IF(F62="","",SUBTOTAL(3,$F$18:F62))</f>
        <v>34</v>
      </c>
      <c r="B62" s="138">
        <v>2</v>
      </c>
      <c r="C62" s="109" t="s">
        <v>17</v>
      </c>
      <c r="D62" s="124">
        <v>31</v>
      </c>
      <c r="E62" s="111"/>
      <c r="F62" s="112" t="str">
        <f>C62&amp;".T"</f>
        <v>13A.T</v>
      </c>
      <c r="G62" s="113" t="s">
        <v>14</v>
      </c>
      <c r="H62" s="113" t="s">
        <v>58</v>
      </c>
      <c r="I62" s="114" t="str">
        <f>VLOOKUP($H62,$D$2:$J$13,6,0)</f>
        <v>Thứ Hai (22/12)</v>
      </c>
      <c r="J62" s="114" t="str">
        <f>VLOOKUP($H62,$D$2:$J$13,7,0)</f>
        <v>Thứ Ba (23/12)</v>
      </c>
      <c r="K62" s="121">
        <v>31</v>
      </c>
      <c r="L62" s="116">
        <f t="shared" si="10"/>
        <v>0</v>
      </c>
      <c r="M62" s="139" t="str">
        <f t="shared" si="14"/>
        <v>VĂN</v>
      </c>
      <c r="N62" s="140" t="str">
        <f t="shared" si="14"/>
        <v>KT-PL</v>
      </c>
      <c r="O62" s="139" t="str">
        <f t="shared" si="14"/>
        <v>TOÁN</v>
      </c>
      <c r="P62" s="139" t="str">
        <f t="shared" si="14"/>
        <v>SỬ</v>
      </c>
      <c r="Q62" s="98">
        <f>Q61+K61</f>
        <v>100876</v>
      </c>
      <c r="R62" s="98">
        <f>Q62+K62-1</f>
        <v>100906</v>
      </c>
      <c r="S62" s="100" t="s">
        <v>84</v>
      </c>
      <c r="T62" s="5" t="s">
        <v>53</v>
      </c>
      <c r="U62"/>
    </row>
    <row r="63" spans="1:21" s="6" customFormat="1" ht="15" customHeight="1" x14ac:dyDescent="0.2">
      <c r="A63" s="174">
        <f t="array" ref="A63">IF(F63="","",SUBTOTAL(3,$F$18:F63))</f>
        <v>35</v>
      </c>
      <c r="B63" s="138">
        <v>3</v>
      </c>
      <c r="C63" s="109" t="s">
        <v>18</v>
      </c>
      <c r="D63" s="124">
        <v>31</v>
      </c>
      <c r="E63" s="111"/>
      <c r="F63" s="112" t="str">
        <f>C63&amp;".T"</f>
        <v>14A.T</v>
      </c>
      <c r="G63" s="113" t="s">
        <v>14</v>
      </c>
      <c r="H63" s="113" t="s">
        <v>58</v>
      </c>
      <c r="I63" s="114" t="str">
        <f>VLOOKUP($H63,$D$2:$J$13,6,0)</f>
        <v>Thứ Hai (22/12)</v>
      </c>
      <c r="J63" s="114" t="str">
        <f>VLOOKUP($H63,$D$2:$J$13,7,0)</f>
        <v>Thứ Ba (23/12)</v>
      </c>
      <c r="K63" s="121">
        <v>31</v>
      </c>
      <c r="L63" s="116">
        <f t="shared" si="10"/>
        <v>0</v>
      </c>
      <c r="M63" s="139" t="str">
        <f t="shared" si="14"/>
        <v>VĂN</v>
      </c>
      <c r="N63" s="140" t="str">
        <f t="shared" si="14"/>
        <v>KT-PL</v>
      </c>
      <c r="O63" s="139" t="str">
        <f t="shared" si="14"/>
        <v>TOÁN</v>
      </c>
      <c r="P63" s="139" t="str">
        <f t="shared" si="14"/>
        <v>SỬ</v>
      </c>
      <c r="Q63" s="98">
        <f>Q62+K62</f>
        <v>100907</v>
      </c>
      <c r="R63" s="98">
        <f>Q63+K63-1</f>
        <v>100937</v>
      </c>
      <c r="S63" s="100" t="s">
        <v>84</v>
      </c>
      <c r="T63" s="5" t="s">
        <v>53</v>
      </c>
      <c r="U63"/>
    </row>
    <row r="64" spans="1:21" s="6" customFormat="1" ht="15" customHeight="1" x14ac:dyDescent="0.2">
      <c r="A64" s="174" t="str">
        <f t="array" ref="A64">IF(F64="","",SUBTOTAL(3,$F$18:F64))</f>
        <v/>
      </c>
      <c r="B64" s="142" t="s">
        <v>37</v>
      </c>
      <c r="C64" s="188" t="s">
        <v>85</v>
      </c>
      <c r="D64" s="91">
        <v>562</v>
      </c>
      <c r="E64" s="92"/>
      <c r="F64" s="93"/>
      <c r="G64" s="94"/>
      <c r="H64" s="94"/>
      <c r="I64" s="94"/>
      <c r="J64" s="94"/>
      <c r="K64" s="88"/>
      <c r="L64" s="95"/>
      <c r="M64" s="96"/>
      <c r="N64" s="165"/>
      <c r="O64" s="96"/>
      <c r="P64" s="97"/>
      <c r="Q64" s="98"/>
      <c r="R64" s="98"/>
      <c r="S64" s="98"/>
      <c r="T64" s="5" t="e">
        <v>#N/A</v>
      </c>
      <c r="U64"/>
    </row>
    <row r="65" spans="1:20" ht="30" customHeight="1" x14ac:dyDescent="0.2">
      <c r="A65" s="174" t="str">
        <f t="array" ref="A65">IF(F65="","",SUBTOTAL(3,$F$18:F65))</f>
        <v/>
      </c>
      <c r="B65" s="100" t="s">
        <v>86</v>
      </c>
      <c r="C65" s="128"/>
      <c r="D65" s="129">
        <v>125</v>
      </c>
      <c r="E65" s="130"/>
      <c r="F65" s="131"/>
      <c r="G65" s="132"/>
      <c r="H65" s="132"/>
      <c r="I65" s="132"/>
      <c r="J65" s="132"/>
      <c r="K65" s="105">
        <v>124</v>
      </c>
      <c r="L65" s="106">
        <f>SUM(L66:L70)</f>
        <v>1</v>
      </c>
      <c r="M65" s="99" t="str">
        <f>VLOOKUP($G66,$L$5:$P$10,M$3,0)</f>
        <v>VĂN</v>
      </c>
      <c r="N65" s="107" t="str">
        <f>VLOOKUP($G66,$L$5:$P$10,N$3,0)</f>
        <v>LÝ</v>
      </c>
      <c r="O65" s="99" t="str">
        <f>VLOOKUP($G66,$L$5:$P$10,O$3,0)</f>
        <v>TOÁN</v>
      </c>
      <c r="P65" s="99" t="str">
        <f>VLOOKUP($G66,$L$5:$P$10,P$3,0)</f>
        <v>SỬ</v>
      </c>
      <c r="Q65" s="98"/>
      <c r="R65" s="98"/>
      <c r="S65" s="98"/>
      <c r="T65" s="5" t="e">
        <v>#N/A</v>
      </c>
    </row>
    <row r="66" spans="1:20" ht="15" customHeight="1" x14ac:dyDescent="0.2">
      <c r="A66" s="174">
        <f t="array" ref="A66">IF(F66="","",SUBTOTAL(3,$F$18:F66))</f>
        <v>36</v>
      </c>
      <c r="B66" s="143">
        <v>1</v>
      </c>
      <c r="C66" s="144" t="s">
        <v>5</v>
      </c>
      <c r="D66" s="124">
        <v>25</v>
      </c>
      <c r="E66" s="111"/>
      <c r="F66" s="145" t="str">
        <f t="shared" ref="F66:F89" si="15">C66&amp;".S"</f>
        <v>1A.S</v>
      </c>
      <c r="G66" s="146" t="s">
        <v>4</v>
      </c>
      <c r="H66" s="146" t="s">
        <v>41</v>
      </c>
      <c r="I66" s="114" t="str">
        <f>VLOOKUP($H66,$D$2:$J$13,6,0)</f>
        <v>Thứ Hai (22/12)</v>
      </c>
      <c r="J66" s="114" t="str">
        <f>VLOOKUP($H66,$D$2:$J$13,7,0)</f>
        <v>Thứ Tư (24/12)</v>
      </c>
      <c r="K66" s="115">
        <v>25</v>
      </c>
      <c r="L66" s="116">
        <f>D66-K66</f>
        <v>0</v>
      </c>
      <c r="M66" s="139" t="str">
        <f t="shared" ref="M66:P70" si="16">VLOOKUP($G66,$L$5:$P$9,M$3,0)</f>
        <v>VĂN</v>
      </c>
      <c r="N66" s="140" t="str">
        <f t="shared" si="16"/>
        <v>LÝ</v>
      </c>
      <c r="O66" s="139" t="str">
        <f t="shared" si="16"/>
        <v>TOÁN</v>
      </c>
      <c r="P66" s="139" t="str">
        <f t="shared" si="16"/>
        <v>SỬ</v>
      </c>
      <c r="Q66" s="98">
        <f>R63+1</f>
        <v>100938</v>
      </c>
      <c r="R66" s="98">
        <f>Q66+K66-1</f>
        <v>100962</v>
      </c>
      <c r="S66" s="100" t="s">
        <v>86</v>
      </c>
      <c r="T66" s="5" t="s">
        <v>42</v>
      </c>
    </row>
    <row r="67" spans="1:20" ht="15" customHeight="1" x14ac:dyDescent="0.2">
      <c r="A67" s="174">
        <f t="array" ref="A67">IF(F67="","",SUBTOTAL(3,$F$18:F67))</f>
        <v>37</v>
      </c>
      <c r="B67" s="117">
        <v>2</v>
      </c>
      <c r="C67" s="118" t="s">
        <v>6</v>
      </c>
      <c r="D67" s="124">
        <v>25</v>
      </c>
      <c r="E67" s="111"/>
      <c r="F67" s="147" t="str">
        <f t="shared" si="15"/>
        <v>2A.S</v>
      </c>
      <c r="G67" s="120" t="s">
        <v>4</v>
      </c>
      <c r="H67" s="120" t="s">
        <v>41</v>
      </c>
      <c r="I67" s="114" t="str">
        <f>VLOOKUP($H67,$D$2:$J$13,6,0)</f>
        <v>Thứ Hai (22/12)</v>
      </c>
      <c r="J67" s="114" t="str">
        <f>VLOOKUP($H67,$D$2:$J$13,7,0)</f>
        <v>Thứ Tư (24/12)</v>
      </c>
      <c r="K67" s="121">
        <v>25</v>
      </c>
      <c r="L67" s="116">
        <f>D67-K67</f>
        <v>0</v>
      </c>
      <c r="M67" s="139" t="str">
        <f t="shared" si="16"/>
        <v>VĂN</v>
      </c>
      <c r="N67" s="140" t="str">
        <f t="shared" si="16"/>
        <v>LÝ</v>
      </c>
      <c r="O67" s="139" t="str">
        <f t="shared" si="16"/>
        <v>TOÁN</v>
      </c>
      <c r="P67" s="139" t="str">
        <f t="shared" si="16"/>
        <v>SỬ</v>
      </c>
      <c r="Q67" s="98">
        <f>Q66+K66</f>
        <v>100963</v>
      </c>
      <c r="R67" s="98">
        <f>Q67+K67-1</f>
        <v>100987</v>
      </c>
      <c r="S67" s="100" t="s">
        <v>86</v>
      </c>
      <c r="T67" s="5" t="s">
        <v>42</v>
      </c>
    </row>
    <row r="68" spans="1:20" ht="15" customHeight="1" x14ac:dyDescent="0.2">
      <c r="A68" s="174">
        <f t="array" ref="A68">IF(F68="","",SUBTOTAL(3,$F$18:F68))</f>
        <v>38</v>
      </c>
      <c r="B68" s="117">
        <v>3</v>
      </c>
      <c r="C68" s="118" t="s">
        <v>7</v>
      </c>
      <c r="D68" s="124">
        <v>25</v>
      </c>
      <c r="E68" s="111"/>
      <c r="F68" s="147" t="str">
        <f t="shared" si="15"/>
        <v>3A.S</v>
      </c>
      <c r="G68" s="120" t="s">
        <v>4</v>
      </c>
      <c r="H68" s="120" t="s">
        <v>41</v>
      </c>
      <c r="I68" s="114" t="str">
        <f>VLOOKUP($H68,$D$2:$J$13,6,0)</f>
        <v>Thứ Hai (22/12)</v>
      </c>
      <c r="J68" s="114" t="str">
        <f>VLOOKUP($H68,$D$2:$J$13,7,0)</f>
        <v>Thứ Tư (24/12)</v>
      </c>
      <c r="K68" s="121">
        <v>25</v>
      </c>
      <c r="L68" s="116">
        <f>D68-K68</f>
        <v>0</v>
      </c>
      <c r="M68" s="139" t="str">
        <f t="shared" si="16"/>
        <v>VĂN</v>
      </c>
      <c r="N68" s="140" t="str">
        <f t="shared" si="16"/>
        <v>LÝ</v>
      </c>
      <c r="O68" s="139" t="str">
        <f t="shared" si="16"/>
        <v>TOÁN</v>
      </c>
      <c r="P68" s="139" t="str">
        <f t="shared" si="16"/>
        <v>SỬ</v>
      </c>
      <c r="Q68" s="98">
        <f>Q67+K67</f>
        <v>100988</v>
      </c>
      <c r="R68" s="98">
        <f>Q68+K68-1</f>
        <v>101012</v>
      </c>
      <c r="S68" s="100" t="s">
        <v>86</v>
      </c>
      <c r="T68" s="5" t="s">
        <v>42</v>
      </c>
    </row>
    <row r="69" spans="1:20" ht="15" customHeight="1" x14ac:dyDescent="0.2">
      <c r="A69" s="174">
        <f t="array" ref="A69">IF(F69="","",SUBTOTAL(3,$F$18:F69))</f>
        <v>39</v>
      </c>
      <c r="B69" s="117">
        <v>4</v>
      </c>
      <c r="C69" s="118" t="s">
        <v>8</v>
      </c>
      <c r="D69" s="124">
        <v>25</v>
      </c>
      <c r="E69" s="111"/>
      <c r="F69" s="147" t="str">
        <f t="shared" si="15"/>
        <v>4A.S</v>
      </c>
      <c r="G69" s="120" t="s">
        <v>4</v>
      </c>
      <c r="H69" s="120" t="s">
        <v>41</v>
      </c>
      <c r="I69" s="114" t="str">
        <f>VLOOKUP($H69,$D$2:$J$13,6,0)</f>
        <v>Thứ Hai (22/12)</v>
      </c>
      <c r="J69" s="114" t="str">
        <f>VLOOKUP($H69,$D$2:$J$13,7,0)</f>
        <v>Thứ Tư (24/12)</v>
      </c>
      <c r="K69" s="121">
        <v>25</v>
      </c>
      <c r="L69" s="116">
        <f>D69-K69</f>
        <v>0</v>
      </c>
      <c r="M69" s="139" t="str">
        <f t="shared" si="16"/>
        <v>VĂN</v>
      </c>
      <c r="N69" s="140" t="str">
        <f t="shared" si="16"/>
        <v>LÝ</v>
      </c>
      <c r="O69" s="139" t="str">
        <f t="shared" si="16"/>
        <v>TOÁN</v>
      </c>
      <c r="P69" s="139" t="str">
        <f t="shared" si="16"/>
        <v>SỬ</v>
      </c>
      <c r="Q69" s="98">
        <f>Q68+K68</f>
        <v>101013</v>
      </c>
      <c r="R69" s="98">
        <f>Q69+K69-1</f>
        <v>101037</v>
      </c>
      <c r="S69" s="100" t="s">
        <v>86</v>
      </c>
      <c r="T69" s="5" t="s">
        <v>42</v>
      </c>
    </row>
    <row r="70" spans="1:20" ht="15" customHeight="1" x14ac:dyDescent="0.2">
      <c r="A70" s="174">
        <f t="array" ref="A70">IF(F70="","",SUBTOTAL(3,$F$18:F70))</f>
        <v>40</v>
      </c>
      <c r="B70" s="134">
        <v>5</v>
      </c>
      <c r="C70" s="135" t="s">
        <v>10</v>
      </c>
      <c r="D70" s="124">
        <v>25</v>
      </c>
      <c r="E70" s="111"/>
      <c r="F70" s="148" t="str">
        <f t="shared" si="15"/>
        <v>5A.S</v>
      </c>
      <c r="G70" s="136" t="s">
        <v>4</v>
      </c>
      <c r="H70" s="136" t="s">
        <v>41</v>
      </c>
      <c r="I70" s="114" t="str">
        <f>VLOOKUP($H70,$D$2:$J$13,6,0)</f>
        <v>Thứ Hai (22/12)</v>
      </c>
      <c r="J70" s="114" t="str">
        <f>VLOOKUP($H70,$D$2:$J$13,7,0)</f>
        <v>Thứ Tư (24/12)</v>
      </c>
      <c r="K70" s="121">
        <v>24</v>
      </c>
      <c r="L70" s="116">
        <f>D70-K70</f>
        <v>1</v>
      </c>
      <c r="M70" s="139" t="str">
        <f t="shared" si="16"/>
        <v>VĂN</v>
      </c>
      <c r="N70" s="140" t="str">
        <f t="shared" si="16"/>
        <v>LÝ</v>
      </c>
      <c r="O70" s="139" t="str">
        <f t="shared" si="16"/>
        <v>TOÁN</v>
      </c>
      <c r="P70" s="139" t="str">
        <f t="shared" si="16"/>
        <v>SỬ</v>
      </c>
      <c r="Q70" s="98">
        <f>Q69+K69</f>
        <v>101038</v>
      </c>
      <c r="R70" s="98">
        <f>Q70+K70-1</f>
        <v>101061</v>
      </c>
      <c r="S70" s="100" t="s">
        <v>86</v>
      </c>
      <c r="T70" s="5" t="s">
        <v>42</v>
      </c>
    </row>
    <row r="71" spans="1:20" ht="30" customHeight="1" x14ac:dyDescent="0.2">
      <c r="A71" s="174" t="str">
        <f t="array" ref="A71">IF(F71="","",SUBTOTAL(3,$F$18:F71))</f>
        <v/>
      </c>
      <c r="B71" s="100" t="s">
        <v>87</v>
      </c>
      <c r="C71" s="128"/>
      <c r="D71" s="129">
        <v>139</v>
      </c>
      <c r="E71" s="130"/>
      <c r="F71" s="131"/>
      <c r="G71" s="132"/>
      <c r="H71" s="132"/>
      <c r="I71" s="132"/>
      <c r="J71" s="132"/>
      <c r="K71" s="105">
        <v>139</v>
      </c>
      <c r="L71" s="106">
        <f>SUM(L72:L76)</f>
        <v>0</v>
      </c>
      <c r="M71" s="99" t="str">
        <f>VLOOKUP($G72,$L$5:$P$10,M$3,0)</f>
        <v>VĂN</v>
      </c>
      <c r="N71" s="107" t="str">
        <f>VLOOKUP($G72,$L$5:$P$10,N$3,0)</f>
        <v>HÓA</v>
      </c>
      <c r="O71" s="99" t="str">
        <f>VLOOKUP($G72,$L$5:$P$10,O$3,0)</f>
        <v>TOÁN</v>
      </c>
      <c r="P71" s="99" t="str">
        <f>VLOOKUP($G72,$L$5:$P$10,P$3,0)</f>
        <v>SỬ</v>
      </c>
      <c r="Q71" s="98"/>
      <c r="R71" s="98"/>
      <c r="S71" s="98"/>
      <c r="T71" s="5" t="e">
        <v>#N/A</v>
      </c>
    </row>
    <row r="72" spans="1:20" ht="15" customHeight="1" x14ac:dyDescent="0.2">
      <c r="A72" s="174">
        <f t="array" ref="A72">IF(F72="","",SUBTOTAL(3,$F$18:F72))</f>
        <v>41</v>
      </c>
      <c r="B72" s="143">
        <v>1</v>
      </c>
      <c r="C72" s="144" t="s">
        <v>11</v>
      </c>
      <c r="D72" s="124">
        <v>28</v>
      </c>
      <c r="E72" s="111" t="s">
        <v>88</v>
      </c>
      <c r="F72" s="145" t="str">
        <f t="shared" si="15"/>
        <v>6A.S</v>
      </c>
      <c r="G72" s="146" t="s">
        <v>9</v>
      </c>
      <c r="H72" s="146" t="s">
        <v>41</v>
      </c>
      <c r="I72" s="114" t="str">
        <f>VLOOKUP($H72,$D$2:$J$13,6,0)</f>
        <v>Thứ Hai (22/12)</v>
      </c>
      <c r="J72" s="114" t="str">
        <f>VLOOKUP($H72,$D$2:$J$13,7,0)</f>
        <v>Thứ Tư (24/12)</v>
      </c>
      <c r="K72" s="115">
        <v>28</v>
      </c>
      <c r="L72" s="116">
        <f>D72-K72</f>
        <v>0</v>
      </c>
      <c r="M72" s="139" t="str">
        <f t="shared" ref="M72:P76" si="17">VLOOKUP($G72,$L$5:$P$9,M$3,0)</f>
        <v>VĂN</v>
      </c>
      <c r="N72" s="140" t="str">
        <f t="shared" si="17"/>
        <v>HÓA</v>
      </c>
      <c r="O72" s="139" t="str">
        <f t="shared" si="17"/>
        <v>TOÁN</v>
      </c>
      <c r="P72" s="139" t="str">
        <f t="shared" si="17"/>
        <v>SỬ</v>
      </c>
      <c r="Q72" s="98">
        <f>R70+1</f>
        <v>101062</v>
      </c>
      <c r="R72" s="98">
        <f>Q72+K72-1</f>
        <v>101089</v>
      </c>
      <c r="S72" s="100" t="s">
        <v>87</v>
      </c>
      <c r="T72" s="5" t="s">
        <v>42</v>
      </c>
    </row>
    <row r="73" spans="1:20" ht="15" customHeight="1" x14ac:dyDescent="0.2">
      <c r="A73" s="190">
        <f t="array" ref="A73">IF(F73="","",SUBTOTAL(3,$F$18:F73))</f>
        <v>42</v>
      </c>
      <c r="B73" s="117">
        <v>2</v>
      </c>
      <c r="C73" s="192" t="s">
        <v>82</v>
      </c>
      <c r="D73" s="124">
        <v>28</v>
      </c>
      <c r="E73" s="111"/>
      <c r="F73" s="147" t="str">
        <f t="shared" si="15"/>
        <v>7A.S</v>
      </c>
      <c r="G73" s="120" t="s">
        <v>9</v>
      </c>
      <c r="H73" s="120" t="s">
        <v>41</v>
      </c>
      <c r="I73" s="114" t="str">
        <f>VLOOKUP($H73,$D$2:$J$13,6,0)</f>
        <v>Thứ Hai (22/12)</v>
      </c>
      <c r="J73" s="114" t="str">
        <f>VLOOKUP($H73,$D$2:$J$13,7,0)</f>
        <v>Thứ Tư (24/12)</v>
      </c>
      <c r="K73" s="121">
        <v>28</v>
      </c>
      <c r="L73" s="116">
        <f>D73-K73</f>
        <v>0</v>
      </c>
      <c r="M73" s="139" t="str">
        <f t="shared" si="17"/>
        <v>VĂN</v>
      </c>
      <c r="N73" s="140" t="str">
        <f t="shared" si="17"/>
        <v>HÓA</v>
      </c>
      <c r="O73" s="139" t="str">
        <f t="shared" si="17"/>
        <v>TOÁN</v>
      </c>
      <c r="P73" s="139" t="str">
        <f t="shared" si="17"/>
        <v>SỬ</v>
      </c>
      <c r="Q73" s="98">
        <f>Q72+K72</f>
        <v>101090</v>
      </c>
      <c r="R73" s="98">
        <f>Q73+K73-1</f>
        <v>101117</v>
      </c>
      <c r="S73" s="100" t="s">
        <v>87</v>
      </c>
      <c r="T73" s="5" t="s">
        <v>42</v>
      </c>
    </row>
    <row r="74" spans="1:20" ht="15" customHeight="1" x14ac:dyDescent="0.2">
      <c r="A74" s="174">
        <f t="array" ref="A74">IF(F74="","",SUBTOTAL(3,$F$18:F74))</f>
        <v>43</v>
      </c>
      <c r="B74" s="117">
        <v>3</v>
      </c>
      <c r="C74" s="118" t="s">
        <v>12</v>
      </c>
      <c r="D74" s="124">
        <v>28</v>
      </c>
      <c r="E74" s="111"/>
      <c r="F74" s="147" t="str">
        <f t="shared" si="15"/>
        <v>9A.S</v>
      </c>
      <c r="G74" s="120" t="s">
        <v>9</v>
      </c>
      <c r="H74" s="120" t="s">
        <v>41</v>
      </c>
      <c r="I74" s="114" t="str">
        <f>VLOOKUP($H74,$D$2:$J$13,6,0)</f>
        <v>Thứ Hai (22/12)</v>
      </c>
      <c r="J74" s="114" t="str">
        <f>VLOOKUP($H74,$D$2:$J$13,7,0)</f>
        <v>Thứ Tư (24/12)</v>
      </c>
      <c r="K74" s="121">
        <v>28</v>
      </c>
      <c r="L74" s="116">
        <f>D74-K74</f>
        <v>0</v>
      </c>
      <c r="M74" s="139" t="str">
        <f t="shared" si="17"/>
        <v>VĂN</v>
      </c>
      <c r="N74" s="140" t="str">
        <f t="shared" si="17"/>
        <v>HÓA</v>
      </c>
      <c r="O74" s="139" t="str">
        <f t="shared" si="17"/>
        <v>TOÁN</v>
      </c>
      <c r="P74" s="139" t="str">
        <f t="shared" si="17"/>
        <v>SỬ</v>
      </c>
      <c r="Q74" s="98">
        <f>Q73+K73</f>
        <v>101118</v>
      </c>
      <c r="R74" s="98">
        <f>Q74+K74-1</f>
        <v>101145</v>
      </c>
      <c r="S74" s="100" t="s">
        <v>87</v>
      </c>
      <c r="T74" s="5" t="s">
        <v>42</v>
      </c>
    </row>
    <row r="75" spans="1:20" ht="15" customHeight="1" x14ac:dyDescent="0.2">
      <c r="A75" s="174">
        <f t="array" ref="A75">IF(F75="","",SUBTOTAL(3,$F$18:F75))</f>
        <v>44</v>
      </c>
      <c r="B75" s="117">
        <v>4</v>
      </c>
      <c r="C75" s="118" t="s">
        <v>13</v>
      </c>
      <c r="D75" s="124">
        <v>28</v>
      </c>
      <c r="E75" s="111"/>
      <c r="F75" s="147" t="str">
        <f t="shared" si="15"/>
        <v>10A.S</v>
      </c>
      <c r="G75" s="120" t="s">
        <v>9</v>
      </c>
      <c r="H75" s="120" t="s">
        <v>41</v>
      </c>
      <c r="I75" s="114" t="str">
        <f>VLOOKUP($H75,$D$2:$J$13,6,0)</f>
        <v>Thứ Hai (22/12)</v>
      </c>
      <c r="J75" s="114" t="str">
        <f>VLOOKUP($H75,$D$2:$J$13,7,0)</f>
        <v>Thứ Tư (24/12)</v>
      </c>
      <c r="K75" s="121">
        <v>28</v>
      </c>
      <c r="L75" s="116">
        <f>D75-K75</f>
        <v>0</v>
      </c>
      <c r="M75" s="139" t="str">
        <f t="shared" si="17"/>
        <v>VĂN</v>
      </c>
      <c r="N75" s="140" t="str">
        <f t="shared" si="17"/>
        <v>HÓA</v>
      </c>
      <c r="O75" s="139" t="str">
        <f t="shared" si="17"/>
        <v>TOÁN</v>
      </c>
      <c r="P75" s="139" t="str">
        <f t="shared" si="17"/>
        <v>SỬ</v>
      </c>
      <c r="Q75" s="98">
        <f>Q74+K74</f>
        <v>101146</v>
      </c>
      <c r="R75" s="98">
        <f>Q75+K75-1</f>
        <v>101173</v>
      </c>
      <c r="S75" s="100" t="s">
        <v>87</v>
      </c>
      <c r="T75" s="5" t="s">
        <v>42</v>
      </c>
    </row>
    <row r="76" spans="1:20" ht="15" customHeight="1" x14ac:dyDescent="0.2">
      <c r="A76" s="174">
        <f t="array" ref="A76">IF(F76="","",SUBTOTAL(3,$F$18:F76))</f>
        <v>45</v>
      </c>
      <c r="B76" s="134">
        <v>5</v>
      </c>
      <c r="C76" s="135" t="s">
        <v>15</v>
      </c>
      <c r="D76" s="124">
        <v>27</v>
      </c>
      <c r="E76" s="111"/>
      <c r="F76" s="148" t="str">
        <f t="shared" si="15"/>
        <v>11A.S</v>
      </c>
      <c r="G76" s="136" t="s">
        <v>9</v>
      </c>
      <c r="H76" s="136" t="s">
        <v>41</v>
      </c>
      <c r="I76" s="114" t="str">
        <f>VLOOKUP($H76,$D$2:$J$13,6,0)</f>
        <v>Thứ Hai (22/12)</v>
      </c>
      <c r="J76" s="114" t="str">
        <f>VLOOKUP($H76,$D$2:$J$13,7,0)</f>
        <v>Thứ Tư (24/12)</v>
      </c>
      <c r="K76" s="121">
        <v>27</v>
      </c>
      <c r="L76" s="116">
        <f>D76-K76</f>
        <v>0</v>
      </c>
      <c r="M76" s="139" t="str">
        <f t="shared" si="17"/>
        <v>VĂN</v>
      </c>
      <c r="N76" s="140" t="str">
        <f t="shared" si="17"/>
        <v>HÓA</v>
      </c>
      <c r="O76" s="139" t="str">
        <f t="shared" si="17"/>
        <v>TOÁN</v>
      </c>
      <c r="P76" s="139" t="str">
        <f t="shared" si="17"/>
        <v>SỬ</v>
      </c>
      <c r="Q76" s="98">
        <f>Q75+K75</f>
        <v>101174</v>
      </c>
      <c r="R76" s="98">
        <f>Q76+K76-1</f>
        <v>101200</v>
      </c>
      <c r="S76" s="100" t="s">
        <v>87</v>
      </c>
      <c r="T76" s="5" t="s">
        <v>42</v>
      </c>
    </row>
    <row r="77" spans="1:20" ht="30" customHeight="1" x14ac:dyDescent="0.2">
      <c r="A77" s="174" t="str">
        <f t="array" ref="A77">IF(F77="","",SUBTOTAL(3,$F$18:F77))</f>
        <v/>
      </c>
      <c r="B77" s="100" t="s">
        <v>89</v>
      </c>
      <c r="C77" s="128"/>
      <c r="D77" s="129">
        <v>105</v>
      </c>
      <c r="E77" s="130"/>
      <c r="F77" s="131"/>
      <c r="G77" s="132"/>
      <c r="H77" s="132"/>
      <c r="I77" s="132"/>
      <c r="J77" s="132"/>
      <c r="K77" s="105">
        <v>105</v>
      </c>
      <c r="L77" s="106">
        <f>SUM(L78:L81)</f>
        <v>0</v>
      </c>
      <c r="M77" s="99" t="str">
        <f>VLOOKUP($G78,$L$5:$P$10,M$3,0)</f>
        <v>VĂN</v>
      </c>
      <c r="N77" s="107" t="str">
        <f>VLOOKUP($G78,$L$5:$P$10,N$3,0)</f>
        <v>KT-PL</v>
      </c>
      <c r="O77" s="99" t="str">
        <f>VLOOKUP($G78,$L$5:$P$10,O$3,0)</f>
        <v>TOÁN</v>
      </c>
      <c r="P77" s="99" t="str">
        <f>VLOOKUP($G78,$L$5:$P$10,P$3,0)</f>
        <v>SỬ</v>
      </c>
      <c r="Q77" s="98"/>
      <c r="R77" s="98"/>
      <c r="S77" s="98"/>
      <c r="T77" s="5" t="e">
        <v>#N/A</v>
      </c>
    </row>
    <row r="78" spans="1:20" ht="15" customHeight="1" x14ac:dyDescent="0.2">
      <c r="A78" s="174">
        <f t="array" ref="A78">IF(F78="","",SUBTOTAL(3,$F$18:F78))</f>
        <v>46</v>
      </c>
      <c r="B78" s="143">
        <v>1</v>
      </c>
      <c r="C78" s="144" t="s">
        <v>16</v>
      </c>
      <c r="D78" s="124">
        <v>27</v>
      </c>
      <c r="E78" s="111"/>
      <c r="F78" s="145" t="str">
        <f t="shared" si="15"/>
        <v>12A.S</v>
      </c>
      <c r="G78" s="146" t="s">
        <v>14</v>
      </c>
      <c r="H78" s="146" t="s">
        <v>41</v>
      </c>
      <c r="I78" s="114" t="str">
        <f>VLOOKUP($H78,$D$2:$J$13,6,0)</f>
        <v>Thứ Hai (22/12)</v>
      </c>
      <c r="J78" s="114" t="str">
        <f>VLOOKUP($H78,$D$2:$J$13,7,0)</f>
        <v>Thứ Tư (24/12)</v>
      </c>
      <c r="K78" s="115">
        <v>27</v>
      </c>
      <c r="L78" s="116">
        <f>D78-K78</f>
        <v>0</v>
      </c>
      <c r="M78" s="139" t="str">
        <f t="shared" ref="M78:P81" si="18">VLOOKUP($G78,$L$5:$P$9,M$3,0)</f>
        <v>VĂN</v>
      </c>
      <c r="N78" s="140" t="str">
        <f t="shared" si="18"/>
        <v>KT-PL</v>
      </c>
      <c r="O78" s="139" t="str">
        <f t="shared" si="18"/>
        <v>TOÁN</v>
      </c>
      <c r="P78" s="139" t="str">
        <f t="shared" si="18"/>
        <v>SỬ</v>
      </c>
      <c r="Q78" s="98">
        <f>R76+1</f>
        <v>101201</v>
      </c>
      <c r="R78" s="98">
        <f>Q78+K78-1</f>
        <v>101227</v>
      </c>
      <c r="S78" s="100" t="s">
        <v>89</v>
      </c>
      <c r="T78" s="5" t="s">
        <v>42</v>
      </c>
    </row>
    <row r="79" spans="1:20" ht="15" customHeight="1" x14ac:dyDescent="0.2">
      <c r="A79" s="174">
        <f t="array" ref="A79">IF(F79="","",SUBTOTAL(3,$F$18:F79))</f>
        <v>47</v>
      </c>
      <c r="B79" s="117">
        <v>2</v>
      </c>
      <c r="C79" s="118" t="s">
        <v>17</v>
      </c>
      <c r="D79" s="124">
        <v>26</v>
      </c>
      <c r="E79" s="111"/>
      <c r="F79" s="147" t="str">
        <f t="shared" si="15"/>
        <v>13A.S</v>
      </c>
      <c r="G79" s="120" t="s">
        <v>14</v>
      </c>
      <c r="H79" s="120" t="s">
        <v>41</v>
      </c>
      <c r="I79" s="114" t="str">
        <f>VLOOKUP($H79,$D$2:$J$13,6,0)</f>
        <v>Thứ Hai (22/12)</v>
      </c>
      <c r="J79" s="114" t="str">
        <f>VLOOKUP($H79,$D$2:$J$13,7,0)</f>
        <v>Thứ Tư (24/12)</v>
      </c>
      <c r="K79" s="121">
        <v>26</v>
      </c>
      <c r="L79" s="116">
        <f>D79-K79</f>
        <v>0</v>
      </c>
      <c r="M79" s="139" t="str">
        <f t="shared" si="18"/>
        <v>VĂN</v>
      </c>
      <c r="N79" s="140" t="str">
        <f t="shared" si="18"/>
        <v>KT-PL</v>
      </c>
      <c r="O79" s="139" t="str">
        <f t="shared" si="18"/>
        <v>TOÁN</v>
      </c>
      <c r="P79" s="139" t="str">
        <f t="shared" si="18"/>
        <v>SỬ</v>
      </c>
      <c r="Q79" s="98">
        <f>Q78+K78</f>
        <v>101228</v>
      </c>
      <c r="R79" s="98">
        <f>Q79+K79-1</f>
        <v>101253</v>
      </c>
      <c r="S79" s="100" t="s">
        <v>89</v>
      </c>
      <c r="T79" s="5" t="s">
        <v>42</v>
      </c>
    </row>
    <row r="80" spans="1:20" ht="15" customHeight="1" x14ac:dyDescent="0.2">
      <c r="A80" s="174">
        <f t="array" ref="A80">IF(F80="","",SUBTOTAL(3,$F$18:F80))</f>
        <v>48</v>
      </c>
      <c r="B80" s="117">
        <v>3</v>
      </c>
      <c r="C80" s="118" t="s">
        <v>18</v>
      </c>
      <c r="D80" s="124">
        <v>26</v>
      </c>
      <c r="E80" s="111"/>
      <c r="F80" s="147" t="str">
        <f t="shared" si="15"/>
        <v>14A.S</v>
      </c>
      <c r="G80" s="120" t="s">
        <v>14</v>
      </c>
      <c r="H80" s="120" t="s">
        <v>41</v>
      </c>
      <c r="I80" s="114" t="str">
        <f>VLOOKUP($H80,$D$2:$J$13,6,0)</f>
        <v>Thứ Hai (22/12)</v>
      </c>
      <c r="J80" s="114" t="str">
        <f>VLOOKUP($H80,$D$2:$J$13,7,0)</f>
        <v>Thứ Tư (24/12)</v>
      </c>
      <c r="K80" s="121">
        <v>26</v>
      </c>
      <c r="L80" s="116">
        <f>D80-K80</f>
        <v>0</v>
      </c>
      <c r="M80" s="139" t="str">
        <f t="shared" si="18"/>
        <v>VĂN</v>
      </c>
      <c r="N80" s="140" t="str">
        <f t="shared" si="18"/>
        <v>KT-PL</v>
      </c>
      <c r="O80" s="139" t="str">
        <f t="shared" si="18"/>
        <v>TOÁN</v>
      </c>
      <c r="P80" s="139" t="str">
        <f t="shared" si="18"/>
        <v>SỬ</v>
      </c>
      <c r="Q80" s="98">
        <f>Q79+K79</f>
        <v>101254</v>
      </c>
      <c r="R80" s="98">
        <f>Q80+K80-1</f>
        <v>101279</v>
      </c>
      <c r="S80" s="100" t="s">
        <v>89</v>
      </c>
      <c r="T80" s="5" t="s">
        <v>42</v>
      </c>
    </row>
    <row r="81" spans="1:21" ht="15" customHeight="1" x14ac:dyDescent="0.2">
      <c r="A81" s="174">
        <f t="array" ref="A81">IF(F81="","",SUBTOTAL(3,$F$18:F81))</f>
        <v>49</v>
      </c>
      <c r="B81" s="134">
        <v>4</v>
      </c>
      <c r="C81" s="135" t="s">
        <v>20</v>
      </c>
      <c r="D81" s="124">
        <v>26</v>
      </c>
      <c r="E81" s="111"/>
      <c r="F81" s="147" t="str">
        <f t="shared" si="15"/>
        <v>2B.S</v>
      </c>
      <c r="G81" s="136" t="s">
        <v>14</v>
      </c>
      <c r="H81" s="136" t="s">
        <v>41</v>
      </c>
      <c r="I81" s="114" t="str">
        <f>VLOOKUP($H81,$D$2:$J$13,6,0)</f>
        <v>Thứ Hai (22/12)</v>
      </c>
      <c r="J81" s="114" t="str">
        <f>VLOOKUP($H81,$D$2:$J$13,7,0)</f>
        <v>Thứ Tư (24/12)</v>
      </c>
      <c r="K81" s="121">
        <v>26</v>
      </c>
      <c r="L81" s="116">
        <f>D81-K81</f>
        <v>0</v>
      </c>
      <c r="M81" s="139" t="str">
        <f t="shared" si="18"/>
        <v>VĂN</v>
      </c>
      <c r="N81" s="140" t="str">
        <f t="shared" si="18"/>
        <v>KT-PL</v>
      </c>
      <c r="O81" s="139" t="str">
        <f t="shared" si="18"/>
        <v>TOÁN</v>
      </c>
      <c r="P81" s="139" t="str">
        <f t="shared" si="18"/>
        <v>SỬ</v>
      </c>
      <c r="Q81" s="98">
        <f>Q80+K80</f>
        <v>101280</v>
      </c>
      <c r="R81" s="98">
        <f>Q81+K81-1</f>
        <v>101305</v>
      </c>
      <c r="S81" s="100" t="s">
        <v>89</v>
      </c>
      <c r="T81" s="5" t="s">
        <v>42</v>
      </c>
    </row>
    <row r="82" spans="1:21" ht="30" customHeight="1" x14ac:dyDescent="0.2">
      <c r="A82" s="174" t="str">
        <f t="array" ref="A82">IF(F82="","",SUBTOTAL(3,$F$18:F82))</f>
        <v/>
      </c>
      <c r="B82" s="149" t="s">
        <v>90</v>
      </c>
      <c r="C82" s="128"/>
      <c r="D82" s="129">
        <v>193</v>
      </c>
      <c r="E82" s="130"/>
      <c r="F82" s="131"/>
      <c r="G82" s="132"/>
      <c r="H82" s="132"/>
      <c r="I82" s="132"/>
      <c r="J82" s="132"/>
      <c r="K82" s="105">
        <v>193</v>
      </c>
      <c r="L82" s="106">
        <f>SUM(L83:L94)</f>
        <v>4</v>
      </c>
      <c r="M82" s="99" t="str">
        <f>VLOOKUP($G83,$L$5:$P$10,M$3,0)</f>
        <v>VĂN</v>
      </c>
      <c r="N82" s="107" t="str">
        <f>VLOOKUP($G83,$L$5:$P$10,N$3,0)</f>
        <v>KT-PL</v>
      </c>
      <c r="O82" s="99" t="str">
        <f>VLOOKUP($G83,$L$5:$P$10,O$3,0)</f>
        <v>TOÁN</v>
      </c>
      <c r="P82" s="99" t="str">
        <f>VLOOKUP($G83,$L$5:$P$10,P$3,0)</f>
        <v>SỬ</v>
      </c>
      <c r="Q82" s="98"/>
      <c r="R82" s="98"/>
      <c r="S82" s="98"/>
      <c r="T82" s="5" t="e">
        <v>#N/A</v>
      </c>
    </row>
    <row r="83" spans="1:21" ht="15" customHeight="1" x14ac:dyDescent="0.2">
      <c r="A83" s="174">
        <f t="array" ref="A83">IF(F83="","",SUBTOTAL(3,$F$18:F83))</f>
        <v>50</v>
      </c>
      <c r="B83" s="143">
        <v>1</v>
      </c>
      <c r="C83" s="144" t="s">
        <v>21</v>
      </c>
      <c r="D83" s="124">
        <v>28</v>
      </c>
      <c r="E83" s="111" t="s">
        <v>70</v>
      </c>
      <c r="F83" s="145" t="str">
        <f t="shared" si="15"/>
        <v>3B.S</v>
      </c>
      <c r="G83" s="146" t="s">
        <v>19</v>
      </c>
      <c r="H83" s="146" t="s">
        <v>41</v>
      </c>
      <c r="I83" s="114" t="str">
        <f>VLOOKUP($H83,$D$2:$J$13,6,0)</f>
        <v>Thứ Hai (22/12)</v>
      </c>
      <c r="J83" s="114" t="str">
        <f>VLOOKUP($H83,$D$2:$J$13,7,0)</f>
        <v>Thứ Tư (24/12)</v>
      </c>
      <c r="K83" s="115">
        <v>28</v>
      </c>
      <c r="L83" s="116">
        <f t="shared" ref="L83:L89" si="19">D83-K83</f>
        <v>0</v>
      </c>
      <c r="M83" s="139" t="str">
        <f t="shared" ref="M83:P89" si="20">VLOOKUP($G83,$L$5:$P$9,M$3,0)</f>
        <v>VĂN</v>
      </c>
      <c r="N83" s="140" t="str">
        <f t="shared" si="20"/>
        <v>KT-PL</v>
      </c>
      <c r="O83" s="139" t="str">
        <f t="shared" si="20"/>
        <v>TOÁN</v>
      </c>
      <c r="P83" s="139" t="str">
        <f t="shared" si="20"/>
        <v>SỬ</v>
      </c>
      <c r="Q83" s="98">
        <f>R81+1</f>
        <v>101306</v>
      </c>
      <c r="R83" s="98">
        <f t="shared" ref="R83:R89" si="21">Q83+K83-1</f>
        <v>101333</v>
      </c>
      <c r="S83" s="149" t="s">
        <v>90</v>
      </c>
      <c r="T83" s="5" t="s">
        <v>42</v>
      </c>
    </row>
    <row r="84" spans="1:21" ht="15" customHeight="1" x14ac:dyDescent="0.2">
      <c r="A84" s="174">
        <f t="array" ref="A84">IF(F84="","",SUBTOTAL(3,$F$18:F84))</f>
        <v>51</v>
      </c>
      <c r="B84" s="117">
        <v>2</v>
      </c>
      <c r="C84" s="118" t="s">
        <v>22</v>
      </c>
      <c r="D84" s="124">
        <v>28</v>
      </c>
      <c r="E84" s="111"/>
      <c r="F84" s="147" t="str">
        <f t="shared" si="15"/>
        <v>4B.S</v>
      </c>
      <c r="G84" s="120" t="s">
        <v>19</v>
      </c>
      <c r="H84" s="120" t="s">
        <v>41</v>
      </c>
      <c r="I84" s="114" t="str">
        <f t="shared" ref="I84:I89" si="22">VLOOKUP($H84,$D$2:$J$13,6,0)</f>
        <v>Thứ Hai (22/12)</v>
      </c>
      <c r="J84" s="114" t="str">
        <f t="shared" ref="J84:J89" si="23">VLOOKUP($H84,$D$2:$J$13,7,0)</f>
        <v>Thứ Tư (24/12)</v>
      </c>
      <c r="K84" s="121">
        <v>28</v>
      </c>
      <c r="L84" s="116">
        <f t="shared" si="19"/>
        <v>0</v>
      </c>
      <c r="M84" s="139" t="str">
        <f t="shared" si="20"/>
        <v>VĂN</v>
      </c>
      <c r="N84" s="140" t="str">
        <f t="shared" si="20"/>
        <v>KT-PL</v>
      </c>
      <c r="O84" s="139" t="str">
        <f t="shared" si="20"/>
        <v>TOÁN</v>
      </c>
      <c r="P84" s="139" t="str">
        <f t="shared" si="20"/>
        <v>SỬ</v>
      </c>
      <c r="Q84" s="98">
        <f t="shared" ref="Q84:Q89" si="24">Q83+K83</f>
        <v>101334</v>
      </c>
      <c r="R84" s="98">
        <f t="shared" si="21"/>
        <v>101361</v>
      </c>
      <c r="S84" s="149" t="s">
        <v>90</v>
      </c>
      <c r="T84" s="5" t="s">
        <v>42</v>
      </c>
    </row>
    <row r="85" spans="1:21" ht="15" customHeight="1" x14ac:dyDescent="0.2">
      <c r="A85" s="174">
        <f t="array" ref="A85">IF(F85="","",SUBTOTAL(3,$F$18:F85))</f>
        <v>52</v>
      </c>
      <c r="B85" s="117">
        <v>3</v>
      </c>
      <c r="C85" s="118" t="s">
        <v>23</v>
      </c>
      <c r="D85" s="124">
        <v>28</v>
      </c>
      <c r="E85" s="111"/>
      <c r="F85" s="147" t="str">
        <f t="shared" si="15"/>
        <v>5B.S</v>
      </c>
      <c r="G85" s="120" t="s">
        <v>19</v>
      </c>
      <c r="H85" s="120" t="s">
        <v>41</v>
      </c>
      <c r="I85" s="114" t="str">
        <f t="shared" si="22"/>
        <v>Thứ Hai (22/12)</v>
      </c>
      <c r="J85" s="114" t="str">
        <f t="shared" si="23"/>
        <v>Thứ Tư (24/12)</v>
      </c>
      <c r="K85" s="121">
        <v>28</v>
      </c>
      <c r="L85" s="116">
        <f t="shared" si="19"/>
        <v>0</v>
      </c>
      <c r="M85" s="139" t="str">
        <f t="shared" si="20"/>
        <v>VĂN</v>
      </c>
      <c r="N85" s="140" t="str">
        <f t="shared" si="20"/>
        <v>KT-PL</v>
      </c>
      <c r="O85" s="139" t="str">
        <f t="shared" si="20"/>
        <v>TOÁN</v>
      </c>
      <c r="P85" s="139" t="str">
        <f t="shared" si="20"/>
        <v>SỬ</v>
      </c>
      <c r="Q85" s="98">
        <f t="shared" si="24"/>
        <v>101362</v>
      </c>
      <c r="R85" s="98">
        <f t="shared" si="21"/>
        <v>101389</v>
      </c>
      <c r="S85" s="149" t="s">
        <v>90</v>
      </c>
      <c r="T85" s="5" t="s">
        <v>42</v>
      </c>
    </row>
    <row r="86" spans="1:21" ht="15" customHeight="1" x14ac:dyDescent="0.2">
      <c r="A86" s="174">
        <f t="array" ref="A86">IF(F86="","",SUBTOTAL(3,$F$18:F86))</f>
        <v>53</v>
      </c>
      <c r="B86" s="117">
        <v>4</v>
      </c>
      <c r="C86" s="118" t="s">
        <v>24</v>
      </c>
      <c r="D86" s="124">
        <v>28</v>
      </c>
      <c r="E86" s="111"/>
      <c r="F86" s="147" t="str">
        <f t="shared" si="15"/>
        <v>6B.S</v>
      </c>
      <c r="G86" s="120" t="s">
        <v>19</v>
      </c>
      <c r="H86" s="120" t="s">
        <v>41</v>
      </c>
      <c r="I86" s="114" t="str">
        <f t="shared" si="22"/>
        <v>Thứ Hai (22/12)</v>
      </c>
      <c r="J86" s="114" t="str">
        <f t="shared" si="23"/>
        <v>Thứ Tư (24/12)</v>
      </c>
      <c r="K86" s="121">
        <v>28</v>
      </c>
      <c r="L86" s="116">
        <f t="shared" si="19"/>
        <v>0</v>
      </c>
      <c r="M86" s="139" t="str">
        <f t="shared" si="20"/>
        <v>VĂN</v>
      </c>
      <c r="N86" s="140" t="str">
        <f t="shared" si="20"/>
        <v>KT-PL</v>
      </c>
      <c r="O86" s="139" t="str">
        <f t="shared" si="20"/>
        <v>TOÁN</v>
      </c>
      <c r="P86" s="139" t="str">
        <f t="shared" si="20"/>
        <v>SỬ</v>
      </c>
      <c r="Q86" s="98">
        <f t="shared" si="24"/>
        <v>101390</v>
      </c>
      <c r="R86" s="98">
        <f t="shared" si="21"/>
        <v>101417</v>
      </c>
      <c r="S86" s="149" t="s">
        <v>90</v>
      </c>
      <c r="T86" s="5" t="s">
        <v>42</v>
      </c>
    </row>
    <row r="87" spans="1:21" ht="15" customHeight="1" x14ac:dyDescent="0.2">
      <c r="A87" s="174">
        <f t="array" ref="A87">IF(F87="","",SUBTOTAL(3,$F$18:F87))</f>
        <v>54</v>
      </c>
      <c r="B87" s="117">
        <v>5</v>
      </c>
      <c r="C87" s="118" t="s">
        <v>25</v>
      </c>
      <c r="D87" s="124">
        <v>27</v>
      </c>
      <c r="E87" s="111"/>
      <c r="F87" s="147" t="str">
        <f t="shared" si="15"/>
        <v>7B.S</v>
      </c>
      <c r="G87" s="120" t="s">
        <v>19</v>
      </c>
      <c r="H87" s="120" t="s">
        <v>41</v>
      </c>
      <c r="I87" s="114" t="str">
        <f t="shared" si="22"/>
        <v>Thứ Hai (22/12)</v>
      </c>
      <c r="J87" s="114" t="str">
        <f t="shared" si="23"/>
        <v>Thứ Tư (24/12)</v>
      </c>
      <c r="K87" s="121">
        <v>27</v>
      </c>
      <c r="L87" s="116">
        <f t="shared" si="19"/>
        <v>0</v>
      </c>
      <c r="M87" s="139" t="str">
        <f t="shared" si="20"/>
        <v>VĂN</v>
      </c>
      <c r="N87" s="140" t="str">
        <f t="shared" si="20"/>
        <v>KT-PL</v>
      </c>
      <c r="O87" s="139" t="str">
        <f t="shared" si="20"/>
        <v>TOÁN</v>
      </c>
      <c r="P87" s="139" t="str">
        <f t="shared" si="20"/>
        <v>SỬ</v>
      </c>
      <c r="Q87" s="98">
        <f t="shared" si="24"/>
        <v>101418</v>
      </c>
      <c r="R87" s="98">
        <f t="shared" si="21"/>
        <v>101444</v>
      </c>
      <c r="S87" s="149" t="s">
        <v>90</v>
      </c>
      <c r="T87" s="5" t="s">
        <v>42</v>
      </c>
    </row>
    <row r="88" spans="1:21" ht="15" customHeight="1" x14ac:dyDescent="0.2">
      <c r="A88" s="174">
        <f t="array" ref="A88">IF(F88="","",SUBTOTAL(3,$F$18:F88))</f>
        <v>55</v>
      </c>
      <c r="B88" s="117">
        <v>6</v>
      </c>
      <c r="C88" s="118" t="s">
        <v>26</v>
      </c>
      <c r="D88" s="124">
        <v>27</v>
      </c>
      <c r="E88" s="111"/>
      <c r="F88" s="147" t="str">
        <f t="shared" si="15"/>
        <v>8B.S</v>
      </c>
      <c r="G88" s="120" t="s">
        <v>19</v>
      </c>
      <c r="H88" s="120" t="s">
        <v>41</v>
      </c>
      <c r="I88" s="114" t="str">
        <f t="shared" si="22"/>
        <v>Thứ Hai (22/12)</v>
      </c>
      <c r="J88" s="114" t="str">
        <f t="shared" si="23"/>
        <v>Thứ Tư (24/12)</v>
      </c>
      <c r="K88" s="121">
        <v>27</v>
      </c>
      <c r="L88" s="116">
        <f t="shared" si="19"/>
        <v>0</v>
      </c>
      <c r="M88" s="139" t="str">
        <f t="shared" si="20"/>
        <v>VĂN</v>
      </c>
      <c r="N88" s="140" t="str">
        <f t="shared" si="20"/>
        <v>KT-PL</v>
      </c>
      <c r="O88" s="139" t="str">
        <f t="shared" si="20"/>
        <v>TOÁN</v>
      </c>
      <c r="P88" s="139" t="str">
        <f t="shared" si="20"/>
        <v>SỬ</v>
      </c>
      <c r="Q88" s="98">
        <f t="shared" si="24"/>
        <v>101445</v>
      </c>
      <c r="R88" s="98">
        <f t="shared" si="21"/>
        <v>101471</v>
      </c>
      <c r="S88" s="149" t="s">
        <v>90</v>
      </c>
      <c r="T88" s="5" t="s">
        <v>42</v>
      </c>
    </row>
    <row r="89" spans="1:21" ht="15" customHeight="1" x14ac:dyDescent="0.2">
      <c r="A89" s="174">
        <f t="array" ref="A89">IF(F89="","",SUBTOTAL(3,$F$18:F89))</f>
        <v>56</v>
      </c>
      <c r="B89" s="134">
        <v>7</v>
      </c>
      <c r="C89" s="135" t="s">
        <v>27</v>
      </c>
      <c r="D89" s="124">
        <v>27</v>
      </c>
      <c r="E89" s="111"/>
      <c r="F89" s="147" t="str">
        <f t="shared" si="15"/>
        <v>9B.S</v>
      </c>
      <c r="G89" s="136" t="s">
        <v>19</v>
      </c>
      <c r="H89" s="136" t="s">
        <v>41</v>
      </c>
      <c r="I89" s="114" t="str">
        <f t="shared" si="22"/>
        <v>Thứ Hai (22/12)</v>
      </c>
      <c r="J89" s="114" t="str">
        <f t="shared" si="23"/>
        <v>Thứ Tư (24/12)</v>
      </c>
      <c r="K89" s="121">
        <v>27</v>
      </c>
      <c r="L89" s="116">
        <f t="shared" si="19"/>
        <v>0</v>
      </c>
      <c r="M89" s="139" t="str">
        <f t="shared" si="20"/>
        <v>VĂN</v>
      </c>
      <c r="N89" s="140" t="str">
        <f t="shared" si="20"/>
        <v>KT-PL</v>
      </c>
      <c r="O89" s="139" t="str">
        <f t="shared" si="20"/>
        <v>TOÁN</v>
      </c>
      <c r="P89" s="139" t="str">
        <f t="shared" si="20"/>
        <v>SỬ</v>
      </c>
      <c r="Q89" s="98">
        <f t="shared" si="24"/>
        <v>101472</v>
      </c>
      <c r="R89" s="98">
        <f t="shared" si="21"/>
        <v>101498</v>
      </c>
      <c r="S89" s="149" t="s">
        <v>90</v>
      </c>
      <c r="T89" s="5" t="s">
        <v>42</v>
      </c>
    </row>
    <row r="90" spans="1:21" s="6" customFormat="1" ht="15" customHeight="1" x14ac:dyDescent="0.2">
      <c r="A90" s="174" t="str">
        <f t="array" ref="A90">IF(F90="","",SUBTOTAL(3,$F$18:F90))</f>
        <v/>
      </c>
      <c r="B90" s="89" t="s">
        <v>38</v>
      </c>
      <c r="C90" s="188" t="s">
        <v>76</v>
      </c>
      <c r="D90" s="91">
        <v>150</v>
      </c>
      <c r="E90" s="92"/>
      <c r="F90" s="93"/>
      <c r="G90" s="94"/>
      <c r="H90" s="94"/>
      <c r="I90" s="94"/>
      <c r="J90" s="94"/>
      <c r="K90" s="88"/>
      <c r="L90" s="95"/>
      <c r="M90" s="96"/>
      <c r="N90" s="165"/>
      <c r="O90" s="96"/>
      <c r="P90" s="97"/>
      <c r="Q90" s="98"/>
      <c r="R90" s="98"/>
      <c r="S90" s="98"/>
      <c r="T90" s="5" t="e">
        <v>#N/A</v>
      </c>
      <c r="U90"/>
    </row>
    <row r="91" spans="1:21" ht="30" customHeight="1" x14ac:dyDescent="0.2">
      <c r="A91" s="174" t="str">
        <f t="array" ref="A91">IF(F91="","",SUBTOTAL(3,$F$18:F91))</f>
        <v/>
      </c>
      <c r="B91" s="100" t="s">
        <v>91</v>
      </c>
      <c r="C91" s="128"/>
      <c r="D91" s="129">
        <v>94</v>
      </c>
      <c r="E91" s="130"/>
      <c r="F91" s="131"/>
      <c r="G91" s="132"/>
      <c r="H91" s="132"/>
      <c r="I91" s="132"/>
      <c r="J91" s="132"/>
      <c r="K91" s="105">
        <v>92</v>
      </c>
      <c r="L91" s="106">
        <f>SUM(L92:L94)</f>
        <v>2</v>
      </c>
      <c r="M91" s="99" t="str">
        <f>VLOOKUP($G92,$L$5:$P$10,M$3,0)</f>
        <v>VĂN</v>
      </c>
      <c r="N91" s="107" t="str">
        <f>VLOOKUP($G92,$L$5:$P$10,N$3,0)</f>
        <v>LÝ</v>
      </c>
      <c r="O91" s="99" t="str">
        <f>VLOOKUP($G92,$L$5:$P$10,O$3,0)</f>
        <v>TOÁN</v>
      </c>
      <c r="P91" s="99" t="str">
        <f>VLOOKUP($G92,$L$5:$P$10,P$3,0)</f>
        <v>SỬ</v>
      </c>
      <c r="Q91" s="98"/>
      <c r="R91" s="98"/>
      <c r="S91" s="98"/>
      <c r="T91" s="5" t="e">
        <v>#N/A</v>
      </c>
    </row>
    <row r="92" spans="1:21" ht="15" customHeight="1" x14ac:dyDescent="0.2">
      <c r="A92" s="174">
        <f t="array" ref="A92">IF(F92="","",SUBTOTAL(3,$F$18:F92))</f>
        <v>57</v>
      </c>
      <c r="B92" s="143">
        <v>1</v>
      </c>
      <c r="C92" s="144" t="s">
        <v>20</v>
      </c>
      <c r="D92" s="124">
        <v>32</v>
      </c>
      <c r="E92" s="111"/>
      <c r="F92" s="147" t="str">
        <f>C92&amp;".T"</f>
        <v>2B.T</v>
      </c>
      <c r="G92" s="146" t="s">
        <v>4</v>
      </c>
      <c r="H92" s="146" t="s">
        <v>52</v>
      </c>
      <c r="I92" s="114" t="str">
        <f t="shared" ref="I92:I97" si="25">VLOOKUP($H92,$D$2:$J$13,6,0)</f>
        <v>Thứ Hai (22/12)</v>
      </c>
      <c r="J92" s="114" t="str">
        <f t="shared" ref="J92:J97" si="26">VLOOKUP($H92,$D$2:$J$13,7,0)</f>
        <v>Thứ Ba (23/12)</v>
      </c>
      <c r="K92" s="121">
        <v>31</v>
      </c>
      <c r="L92" s="116">
        <f>D92-K92</f>
        <v>1</v>
      </c>
      <c r="M92" s="139" t="str">
        <f t="shared" ref="M92:P94" si="27">VLOOKUP($G92,$L$5:$P$9,M$3,0)</f>
        <v>VĂN</v>
      </c>
      <c r="N92" s="140" t="str">
        <f t="shared" si="27"/>
        <v>LÝ</v>
      </c>
      <c r="O92" s="139" t="str">
        <f t="shared" si="27"/>
        <v>TOÁN</v>
      </c>
      <c r="P92" s="139" t="str">
        <f t="shared" si="27"/>
        <v>SỬ</v>
      </c>
      <c r="Q92" s="98">
        <f>R89+1</f>
        <v>101499</v>
      </c>
      <c r="R92" s="98">
        <f>Q92+K92-1</f>
        <v>101529</v>
      </c>
      <c r="S92" s="100" t="s">
        <v>91</v>
      </c>
      <c r="T92" s="5" t="s">
        <v>53</v>
      </c>
    </row>
    <row r="93" spans="1:21" ht="15" customHeight="1" x14ac:dyDescent="0.2">
      <c r="A93" s="174">
        <f t="array" ref="A93">IF(F93="","",SUBTOTAL(3,$F$18:F93))</f>
        <v>58</v>
      </c>
      <c r="B93" s="117">
        <v>2</v>
      </c>
      <c r="C93" s="118" t="s">
        <v>21</v>
      </c>
      <c r="D93" s="124">
        <v>31</v>
      </c>
      <c r="E93" s="111"/>
      <c r="F93" s="147" t="str">
        <f>C93&amp;".T"</f>
        <v>3B.T</v>
      </c>
      <c r="G93" s="120" t="s">
        <v>4</v>
      </c>
      <c r="H93" s="120" t="s">
        <v>52</v>
      </c>
      <c r="I93" s="114" t="str">
        <f t="shared" si="25"/>
        <v>Thứ Hai (22/12)</v>
      </c>
      <c r="J93" s="114" t="str">
        <f t="shared" si="26"/>
        <v>Thứ Ba (23/12)</v>
      </c>
      <c r="K93" s="121">
        <v>31</v>
      </c>
      <c r="L93" s="116">
        <f>D93-K93</f>
        <v>0</v>
      </c>
      <c r="M93" s="139" t="str">
        <f t="shared" si="27"/>
        <v>VĂN</v>
      </c>
      <c r="N93" s="140" t="str">
        <f t="shared" si="27"/>
        <v>LÝ</v>
      </c>
      <c r="O93" s="139" t="str">
        <f t="shared" si="27"/>
        <v>TOÁN</v>
      </c>
      <c r="P93" s="139" t="str">
        <f t="shared" si="27"/>
        <v>SỬ</v>
      </c>
      <c r="Q93" s="98">
        <f>Q92+K92</f>
        <v>101530</v>
      </c>
      <c r="R93" s="98">
        <f>Q93+K93-1</f>
        <v>101560</v>
      </c>
      <c r="S93" s="100" t="s">
        <v>91</v>
      </c>
      <c r="T93" s="5" t="s">
        <v>53</v>
      </c>
    </row>
    <row r="94" spans="1:21" ht="15" customHeight="1" x14ac:dyDescent="0.2">
      <c r="A94" s="174">
        <f t="array" ref="A94">IF(F94="","",SUBTOTAL(3,$F$18:F94))</f>
        <v>59</v>
      </c>
      <c r="B94" s="134">
        <v>3</v>
      </c>
      <c r="C94" s="135" t="s">
        <v>22</v>
      </c>
      <c r="D94" s="124">
        <v>31</v>
      </c>
      <c r="E94" s="111"/>
      <c r="F94" s="147" t="str">
        <f>C94&amp;".T"</f>
        <v>4B.T</v>
      </c>
      <c r="G94" s="136" t="s">
        <v>4</v>
      </c>
      <c r="H94" s="136" t="s">
        <v>52</v>
      </c>
      <c r="I94" s="114" t="str">
        <f t="shared" si="25"/>
        <v>Thứ Hai (22/12)</v>
      </c>
      <c r="J94" s="114" t="str">
        <f t="shared" si="26"/>
        <v>Thứ Ba (23/12)</v>
      </c>
      <c r="K94" s="121">
        <v>30</v>
      </c>
      <c r="L94" s="116">
        <f>D94-K94</f>
        <v>1</v>
      </c>
      <c r="M94" s="139" t="str">
        <f t="shared" si="27"/>
        <v>VĂN</v>
      </c>
      <c r="N94" s="140" t="str">
        <f t="shared" si="27"/>
        <v>LÝ</v>
      </c>
      <c r="O94" s="139" t="str">
        <f t="shared" si="27"/>
        <v>TOÁN</v>
      </c>
      <c r="P94" s="139" t="str">
        <f t="shared" si="27"/>
        <v>SỬ</v>
      </c>
      <c r="Q94" s="98">
        <f>Q93+K93</f>
        <v>101561</v>
      </c>
      <c r="R94" s="98">
        <f>Q94+K94-1</f>
        <v>101590</v>
      </c>
      <c r="S94" s="100" t="s">
        <v>91</v>
      </c>
      <c r="T94" s="5" t="s">
        <v>53</v>
      </c>
    </row>
    <row r="95" spans="1:21" ht="30" customHeight="1" x14ac:dyDescent="0.2">
      <c r="A95" s="174" t="str">
        <f t="array" ref="A95">IF(F95="","",SUBTOTAL(3,$F$18:F95))</f>
        <v/>
      </c>
      <c r="B95" s="100" t="s">
        <v>92</v>
      </c>
      <c r="C95" s="128"/>
      <c r="D95" s="129">
        <v>56</v>
      </c>
      <c r="E95" s="130"/>
      <c r="F95" s="131"/>
      <c r="G95" s="132"/>
      <c r="H95" s="132"/>
      <c r="I95" s="132"/>
      <c r="J95" s="132"/>
      <c r="K95" s="105">
        <v>55</v>
      </c>
      <c r="L95" s="106">
        <f>SUM(L96:L97)</f>
        <v>1</v>
      </c>
      <c r="M95" s="99" t="str">
        <f>VLOOKUP($G96,$L$5:$P$10,M$3,0)</f>
        <v>VĂN</v>
      </c>
      <c r="N95" s="107" t="str">
        <f>VLOOKUP($G96,$L$5:$P$10,N$3,0)</f>
        <v>HÓA</v>
      </c>
      <c r="O95" s="99" t="str">
        <f>VLOOKUP($G96,$L$5:$P$10,O$3,0)</f>
        <v>TOÁN</v>
      </c>
      <c r="P95" s="99" t="str">
        <f>VLOOKUP($G96,$L$5:$P$10,P$3,0)</f>
        <v>SỬ</v>
      </c>
      <c r="Q95" s="98"/>
      <c r="R95" s="98"/>
      <c r="S95" s="98"/>
      <c r="T95" s="5" t="e">
        <v>#N/A</v>
      </c>
    </row>
    <row r="96" spans="1:21" ht="15" customHeight="1" x14ac:dyDescent="0.2">
      <c r="A96" s="174">
        <f t="array" ref="A96">IF(F96="","",SUBTOTAL(3,$F$18:F96))</f>
        <v>60</v>
      </c>
      <c r="B96" s="143">
        <v>1</v>
      </c>
      <c r="C96" s="144" t="s">
        <v>23</v>
      </c>
      <c r="D96" s="150">
        <v>28</v>
      </c>
      <c r="E96" s="151"/>
      <c r="F96" s="145" t="str">
        <f>C96&amp;".T"</f>
        <v>5B.T</v>
      </c>
      <c r="G96" s="146" t="s">
        <v>9</v>
      </c>
      <c r="H96" s="146" t="s">
        <v>52</v>
      </c>
      <c r="I96" s="114" t="str">
        <f t="shared" si="25"/>
        <v>Thứ Hai (22/12)</v>
      </c>
      <c r="J96" s="114" t="str">
        <f t="shared" si="26"/>
        <v>Thứ Ba (23/12)</v>
      </c>
      <c r="K96" s="121">
        <v>28</v>
      </c>
      <c r="L96" s="152">
        <f>D96-K96</f>
        <v>0</v>
      </c>
      <c r="M96" s="139" t="str">
        <f t="shared" ref="M96:P97" si="28">VLOOKUP($G96,$L$5:$P$9,M$3,0)</f>
        <v>VĂN</v>
      </c>
      <c r="N96" s="140" t="str">
        <f t="shared" si="28"/>
        <v>HÓA</v>
      </c>
      <c r="O96" s="139" t="str">
        <f t="shared" si="28"/>
        <v>TOÁN</v>
      </c>
      <c r="P96" s="139" t="str">
        <f t="shared" si="28"/>
        <v>SỬ</v>
      </c>
      <c r="Q96" s="98">
        <f>R94+1</f>
        <v>101591</v>
      </c>
      <c r="R96" s="98">
        <f>Q96+K96-1</f>
        <v>101618</v>
      </c>
      <c r="S96" s="100" t="s">
        <v>92</v>
      </c>
      <c r="T96" s="5" t="s">
        <v>53</v>
      </c>
    </row>
    <row r="97" spans="1:21" ht="15" customHeight="1" x14ac:dyDescent="0.2">
      <c r="A97" s="174">
        <f t="array" ref="A97">IF(F97="","",SUBTOTAL(3,$F$18:F97))</f>
        <v>61</v>
      </c>
      <c r="B97" s="134">
        <v>2</v>
      </c>
      <c r="C97" s="135" t="s">
        <v>24</v>
      </c>
      <c r="D97" s="153">
        <v>28</v>
      </c>
      <c r="E97" s="154"/>
      <c r="F97" s="148" t="str">
        <f>C97&amp;".T"</f>
        <v>6B.T</v>
      </c>
      <c r="G97" s="136" t="s">
        <v>9</v>
      </c>
      <c r="H97" s="136" t="s">
        <v>52</v>
      </c>
      <c r="I97" s="114" t="str">
        <f t="shared" si="25"/>
        <v>Thứ Hai (22/12)</v>
      </c>
      <c r="J97" s="114" t="str">
        <f t="shared" si="26"/>
        <v>Thứ Ba (23/12)</v>
      </c>
      <c r="K97" s="121">
        <v>27</v>
      </c>
      <c r="L97" s="155">
        <f>D97-K97</f>
        <v>1</v>
      </c>
      <c r="M97" s="139" t="str">
        <f t="shared" si="28"/>
        <v>VĂN</v>
      </c>
      <c r="N97" s="140" t="str">
        <f t="shared" si="28"/>
        <v>HÓA</v>
      </c>
      <c r="O97" s="139" t="str">
        <f t="shared" si="28"/>
        <v>TOÁN</v>
      </c>
      <c r="P97" s="139" t="str">
        <f t="shared" si="28"/>
        <v>SỬ</v>
      </c>
      <c r="Q97" s="98">
        <f>Q96+K96</f>
        <v>101619</v>
      </c>
      <c r="R97" s="98">
        <f>Q97+K97-1</f>
        <v>101645</v>
      </c>
      <c r="S97" s="100" t="s">
        <v>92</v>
      </c>
      <c r="T97" s="5" t="s">
        <v>53</v>
      </c>
    </row>
    <row r="98" spans="1:21" s="6" customFormat="1" ht="15" customHeight="1" x14ac:dyDescent="0.2">
      <c r="A98" s="174" t="str">
        <f t="array" ref="A98">IF(F98="","",SUBTOTAL(3,$F$18:F98))</f>
        <v/>
      </c>
      <c r="B98" s="89" t="s">
        <v>93</v>
      </c>
      <c r="C98" s="188" t="str">
        <f>COUNTIF(B99:B106,"&gt;0")&amp;" phòng"</f>
        <v>7 phòng</v>
      </c>
      <c r="D98" s="91">
        <f>D99</f>
        <v>200</v>
      </c>
      <c r="E98" s="92"/>
      <c r="F98" s="93"/>
      <c r="G98" s="94"/>
      <c r="H98" s="94"/>
      <c r="I98" s="94"/>
      <c r="J98" s="94"/>
      <c r="K98" s="88"/>
      <c r="L98" s="95"/>
      <c r="M98" s="96"/>
      <c r="N98" s="165"/>
      <c r="O98" s="96"/>
      <c r="P98" s="97"/>
      <c r="Q98" s="98"/>
      <c r="R98" s="98"/>
      <c r="S98" s="98"/>
      <c r="T98" s="5" t="e">
        <v>#N/A</v>
      </c>
      <c r="U98"/>
    </row>
    <row r="99" spans="1:21" ht="30" customHeight="1" x14ac:dyDescent="0.2">
      <c r="A99" s="174" t="str">
        <f t="array" ref="A99">IF(F99="","",SUBTOTAL(3,$F$18:F99))</f>
        <v/>
      </c>
      <c r="B99" s="156" t="s">
        <v>94</v>
      </c>
      <c r="C99" s="128"/>
      <c r="D99" s="129">
        <f>SUM(D100:D106)</f>
        <v>200</v>
      </c>
      <c r="E99" s="130"/>
      <c r="F99" s="131"/>
      <c r="G99" s="132"/>
      <c r="H99" s="132"/>
      <c r="I99" s="132"/>
      <c r="J99" s="132"/>
      <c r="K99" s="105">
        <v>196</v>
      </c>
      <c r="L99" s="106"/>
      <c r="M99" s="99" t="str">
        <f>VLOOKUP($G100,$L$5:$P$10,M$3,0)</f>
        <v>VĂN</v>
      </c>
      <c r="N99" s="107" t="str">
        <f>VLOOKUP($G100,$L$5:$P$10,N$3,0)</f>
        <v>LÝ</v>
      </c>
      <c r="O99" s="99" t="str">
        <f>VLOOKUP($G100,$L$5:$P$10,O$3,0)</f>
        <v>TOÁN</v>
      </c>
      <c r="P99" s="99" t="str">
        <f>VLOOKUP($G100,$L$5:$P$10,P$3,0)</f>
        <v>SỬ</v>
      </c>
      <c r="Q99" s="98"/>
      <c r="R99" s="98"/>
      <c r="S99" s="98"/>
      <c r="T99" s="5" t="e">
        <v>#N/A</v>
      </c>
    </row>
    <row r="100" spans="1:21" ht="15" customHeight="1" x14ac:dyDescent="0.2">
      <c r="A100" s="174">
        <f t="array" ref="A100">IF(F100="","",SUBTOTAL(3,$F$18:F100))</f>
        <v>62</v>
      </c>
      <c r="B100" s="143">
        <v>1</v>
      </c>
      <c r="C100" s="144" t="s">
        <v>95</v>
      </c>
      <c r="D100" s="150">
        <v>29</v>
      </c>
      <c r="E100" s="151" t="s">
        <v>70</v>
      </c>
      <c r="F100" s="145" t="str">
        <f>C100&amp;".C"</f>
        <v>HT2-1.C</v>
      </c>
      <c r="G100" s="146" t="s">
        <v>28</v>
      </c>
      <c r="H100" s="146" t="s">
        <v>51</v>
      </c>
      <c r="I100" s="114" t="str">
        <f>VLOOKUP($H100,$D$2:$J$13,6,0)</f>
        <v>Thứ Hai (22/12)</v>
      </c>
      <c r="J100" s="114" t="str">
        <f>VLOOKUP($H100,$D$2:$J$13,7,0)</f>
        <v>Thứ Tư (24/12)</v>
      </c>
      <c r="K100" s="115">
        <v>28</v>
      </c>
      <c r="L100" s="116">
        <f t="shared" ref="L100:L106" si="29">D100-K100</f>
        <v>1</v>
      </c>
      <c r="M100" s="139" t="str">
        <f t="shared" ref="M100:P106" si="30">VLOOKUP($G100,$L$5:$P$9,M$3,0)</f>
        <v>VĂN</v>
      </c>
      <c r="N100" s="140" t="str">
        <f t="shared" si="30"/>
        <v>LÝ</v>
      </c>
      <c r="O100" s="139" t="str">
        <f t="shared" si="30"/>
        <v>TOÁN</v>
      </c>
      <c r="P100" s="139" t="str">
        <f t="shared" si="30"/>
        <v>SỬ</v>
      </c>
      <c r="Q100" s="98">
        <v>500001</v>
      </c>
      <c r="R100" s="98">
        <f t="shared" ref="R100:R106" si="31">Q100+K100-1</f>
        <v>500028</v>
      </c>
      <c r="S100" s="156" t="s">
        <v>94</v>
      </c>
      <c r="T100" s="5" t="s">
        <v>42</v>
      </c>
    </row>
    <row r="101" spans="1:21" ht="15" customHeight="1" x14ac:dyDescent="0.2">
      <c r="A101" s="174">
        <f t="array" ref="A101">IF(F101="","",SUBTOTAL(3,$F$18:F101))</f>
        <v>63</v>
      </c>
      <c r="B101" s="117">
        <v>2</v>
      </c>
      <c r="C101" s="118" t="s">
        <v>96</v>
      </c>
      <c r="D101" s="119">
        <v>29</v>
      </c>
      <c r="E101" s="157"/>
      <c r="F101" s="147" t="str">
        <f t="shared" ref="F101:F106" si="32">C101&amp;".C"</f>
        <v>HT2-2.C</v>
      </c>
      <c r="G101" s="120" t="s">
        <v>28</v>
      </c>
      <c r="H101" s="120" t="s">
        <v>51</v>
      </c>
      <c r="I101" s="114" t="str">
        <f t="shared" ref="I101:I106" si="33">VLOOKUP($H101,$D$2:$J$13,6,0)</f>
        <v>Thứ Hai (22/12)</v>
      </c>
      <c r="J101" s="114" t="str">
        <f t="shared" ref="J101:J106" si="34">VLOOKUP($H101,$D$2:$J$13,7,0)</f>
        <v>Thứ Tư (24/12)</v>
      </c>
      <c r="K101" s="121">
        <v>28</v>
      </c>
      <c r="L101" s="116">
        <f t="shared" si="29"/>
        <v>1</v>
      </c>
      <c r="M101" s="139" t="str">
        <f t="shared" si="30"/>
        <v>VĂN</v>
      </c>
      <c r="N101" s="140" t="str">
        <f t="shared" si="30"/>
        <v>LÝ</v>
      </c>
      <c r="O101" s="139" t="str">
        <f t="shared" si="30"/>
        <v>TOÁN</v>
      </c>
      <c r="P101" s="139" t="str">
        <f t="shared" si="30"/>
        <v>SỬ</v>
      </c>
      <c r="Q101" s="98">
        <f t="shared" ref="Q101:Q106" si="35">Q100+K100</f>
        <v>500029</v>
      </c>
      <c r="R101" s="98">
        <f t="shared" si="31"/>
        <v>500056</v>
      </c>
      <c r="S101" s="156" t="s">
        <v>94</v>
      </c>
      <c r="T101" s="5" t="s">
        <v>42</v>
      </c>
    </row>
    <row r="102" spans="1:21" ht="15" customHeight="1" x14ac:dyDescent="0.2">
      <c r="A102" s="174">
        <f t="array" ref="A102">IF(F102="","",SUBTOTAL(3,$F$18:F102))</f>
        <v>64</v>
      </c>
      <c r="B102" s="117">
        <v>3</v>
      </c>
      <c r="C102" s="118" t="s">
        <v>97</v>
      </c>
      <c r="D102" s="119">
        <v>29</v>
      </c>
      <c r="E102" s="157"/>
      <c r="F102" s="147" t="str">
        <f t="shared" si="32"/>
        <v>HT2-3.C</v>
      </c>
      <c r="G102" s="120" t="s">
        <v>28</v>
      </c>
      <c r="H102" s="120" t="s">
        <v>51</v>
      </c>
      <c r="I102" s="114" t="str">
        <f t="shared" si="33"/>
        <v>Thứ Hai (22/12)</v>
      </c>
      <c r="J102" s="114" t="str">
        <f t="shared" si="34"/>
        <v>Thứ Tư (24/12)</v>
      </c>
      <c r="K102" s="121">
        <v>28</v>
      </c>
      <c r="L102" s="116">
        <f t="shared" si="29"/>
        <v>1</v>
      </c>
      <c r="M102" s="139" t="str">
        <f t="shared" si="30"/>
        <v>VĂN</v>
      </c>
      <c r="N102" s="140" t="str">
        <f t="shared" si="30"/>
        <v>LÝ</v>
      </c>
      <c r="O102" s="139" t="str">
        <f t="shared" si="30"/>
        <v>TOÁN</v>
      </c>
      <c r="P102" s="139" t="str">
        <f t="shared" si="30"/>
        <v>SỬ</v>
      </c>
      <c r="Q102" s="98">
        <f t="shared" si="35"/>
        <v>500057</v>
      </c>
      <c r="R102" s="98">
        <f t="shared" si="31"/>
        <v>500084</v>
      </c>
      <c r="S102" s="156" t="s">
        <v>94</v>
      </c>
      <c r="T102" s="5" t="s">
        <v>42</v>
      </c>
    </row>
    <row r="103" spans="1:21" ht="15" customHeight="1" x14ac:dyDescent="0.2">
      <c r="A103" s="174">
        <f t="array" ref="A103">IF(F103="","",SUBTOTAL(3,$F$18:F103))</f>
        <v>65</v>
      </c>
      <c r="B103" s="117">
        <v>4</v>
      </c>
      <c r="C103" s="118" t="s">
        <v>98</v>
      </c>
      <c r="D103" s="119">
        <v>29</v>
      </c>
      <c r="E103" s="157"/>
      <c r="F103" s="147" t="str">
        <f t="shared" si="32"/>
        <v>A0.13.C</v>
      </c>
      <c r="G103" s="120" t="s">
        <v>28</v>
      </c>
      <c r="H103" s="120" t="s">
        <v>51</v>
      </c>
      <c r="I103" s="114" t="str">
        <f t="shared" si="33"/>
        <v>Thứ Hai (22/12)</v>
      </c>
      <c r="J103" s="114" t="str">
        <f t="shared" si="34"/>
        <v>Thứ Tư (24/12)</v>
      </c>
      <c r="K103" s="121">
        <v>28</v>
      </c>
      <c r="L103" s="116">
        <f t="shared" si="29"/>
        <v>1</v>
      </c>
      <c r="M103" s="139" t="str">
        <f t="shared" si="30"/>
        <v>VĂN</v>
      </c>
      <c r="N103" s="140" t="str">
        <f t="shared" si="30"/>
        <v>LÝ</v>
      </c>
      <c r="O103" s="139" t="str">
        <f t="shared" si="30"/>
        <v>TOÁN</v>
      </c>
      <c r="P103" s="139" t="str">
        <f t="shared" si="30"/>
        <v>SỬ</v>
      </c>
      <c r="Q103" s="98">
        <f t="shared" si="35"/>
        <v>500085</v>
      </c>
      <c r="R103" s="98">
        <f t="shared" si="31"/>
        <v>500112</v>
      </c>
      <c r="S103" s="156" t="s">
        <v>94</v>
      </c>
      <c r="T103" s="5" t="s">
        <v>42</v>
      </c>
    </row>
    <row r="104" spans="1:21" ht="15" customHeight="1" x14ac:dyDescent="0.2">
      <c r="A104" s="174">
        <f t="array" ref="A104">IF(F104="","",SUBTOTAL(3,$F$18:F104))</f>
        <v>66</v>
      </c>
      <c r="B104" s="117">
        <v>5</v>
      </c>
      <c r="C104" s="118" t="s">
        <v>99</v>
      </c>
      <c r="D104" s="119">
        <v>28</v>
      </c>
      <c r="E104" s="157"/>
      <c r="F104" s="147" t="str">
        <f t="shared" si="32"/>
        <v>A0.15.C</v>
      </c>
      <c r="G104" s="120" t="s">
        <v>28</v>
      </c>
      <c r="H104" s="120" t="s">
        <v>51</v>
      </c>
      <c r="I104" s="114" t="str">
        <f t="shared" si="33"/>
        <v>Thứ Hai (22/12)</v>
      </c>
      <c r="J104" s="114" t="str">
        <f t="shared" si="34"/>
        <v>Thứ Tư (24/12)</v>
      </c>
      <c r="K104" s="121">
        <v>28</v>
      </c>
      <c r="L104" s="116">
        <f t="shared" si="29"/>
        <v>0</v>
      </c>
      <c r="M104" s="139" t="str">
        <f t="shared" si="30"/>
        <v>VĂN</v>
      </c>
      <c r="N104" s="140" t="str">
        <f t="shared" si="30"/>
        <v>LÝ</v>
      </c>
      <c r="O104" s="139" t="str">
        <f t="shared" si="30"/>
        <v>TOÁN</v>
      </c>
      <c r="P104" s="139" t="str">
        <f t="shared" si="30"/>
        <v>SỬ</v>
      </c>
      <c r="Q104" s="98">
        <f t="shared" si="35"/>
        <v>500113</v>
      </c>
      <c r="R104" s="98">
        <f t="shared" si="31"/>
        <v>500140</v>
      </c>
      <c r="S104" s="156" t="s">
        <v>94</v>
      </c>
      <c r="T104" s="5" t="s">
        <v>42</v>
      </c>
    </row>
    <row r="105" spans="1:21" ht="15" customHeight="1" x14ac:dyDescent="0.2">
      <c r="A105" s="174">
        <f t="array" ref="A105">IF(F105="","",SUBTOTAL(3,$F$18:F105))</f>
        <v>67</v>
      </c>
      <c r="B105" s="117">
        <v>6</v>
      </c>
      <c r="C105" s="118" t="s">
        <v>100</v>
      </c>
      <c r="D105" s="119">
        <v>28</v>
      </c>
      <c r="E105" s="157"/>
      <c r="F105" s="147" t="str">
        <f t="shared" si="32"/>
        <v>A1.10.C</v>
      </c>
      <c r="G105" s="120" t="s">
        <v>28</v>
      </c>
      <c r="H105" s="120" t="s">
        <v>51</v>
      </c>
      <c r="I105" s="114" t="str">
        <f t="shared" si="33"/>
        <v>Thứ Hai (22/12)</v>
      </c>
      <c r="J105" s="114" t="str">
        <f t="shared" si="34"/>
        <v>Thứ Tư (24/12)</v>
      </c>
      <c r="K105" s="121">
        <v>28</v>
      </c>
      <c r="L105" s="116">
        <f t="shared" si="29"/>
        <v>0</v>
      </c>
      <c r="M105" s="139" t="str">
        <f t="shared" si="30"/>
        <v>VĂN</v>
      </c>
      <c r="N105" s="140" t="str">
        <f t="shared" si="30"/>
        <v>LÝ</v>
      </c>
      <c r="O105" s="139" t="str">
        <f t="shared" si="30"/>
        <v>TOÁN</v>
      </c>
      <c r="P105" s="139" t="str">
        <f t="shared" si="30"/>
        <v>SỬ</v>
      </c>
      <c r="Q105" s="98">
        <f t="shared" si="35"/>
        <v>500141</v>
      </c>
      <c r="R105" s="98">
        <f t="shared" si="31"/>
        <v>500168</v>
      </c>
      <c r="S105" s="156" t="s">
        <v>94</v>
      </c>
      <c r="T105" s="5" t="s">
        <v>42</v>
      </c>
    </row>
    <row r="106" spans="1:21" ht="15" customHeight="1" x14ac:dyDescent="0.2">
      <c r="A106" s="174">
        <f t="array" ref="A106">IF(F106="","",SUBTOTAL(3,$F$18:F106))</f>
        <v>68</v>
      </c>
      <c r="B106" s="134">
        <v>7</v>
      </c>
      <c r="C106" s="135" t="s">
        <v>101</v>
      </c>
      <c r="D106" s="153">
        <v>28</v>
      </c>
      <c r="E106" s="154"/>
      <c r="F106" s="147" t="str">
        <f t="shared" si="32"/>
        <v>A1.11.C</v>
      </c>
      <c r="G106" s="120" t="s">
        <v>28</v>
      </c>
      <c r="H106" s="120" t="s">
        <v>51</v>
      </c>
      <c r="I106" s="114" t="str">
        <f t="shared" si="33"/>
        <v>Thứ Hai (22/12)</v>
      </c>
      <c r="J106" s="114" t="str">
        <f t="shared" si="34"/>
        <v>Thứ Tư (24/12)</v>
      </c>
      <c r="K106" s="127">
        <v>28</v>
      </c>
      <c r="L106" s="116">
        <f t="shared" si="29"/>
        <v>0</v>
      </c>
      <c r="M106" s="139" t="str">
        <f t="shared" si="30"/>
        <v>VĂN</v>
      </c>
      <c r="N106" s="140" t="str">
        <f t="shared" si="30"/>
        <v>LÝ</v>
      </c>
      <c r="O106" s="139" t="str">
        <f t="shared" si="30"/>
        <v>TOÁN</v>
      </c>
      <c r="P106" s="139" t="str">
        <f t="shared" si="30"/>
        <v>SỬ</v>
      </c>
      <c r="Q106" s="98">
        <f t="shared" si="35"/>
        <v>500169</v>
      </c>
      <c r="R106" s="98">
        <f t="shared" si="31"/>
        <v>500196</v>
      </c>
      <c r="S106" s="156" t="s">
        <v>94</v>
      </c>
      <c r="T106" s="5" t="s">
        <v>42</v>
      </c>
    </row>
    <row r="107" spans="1:21" s="6" customFormat="1" ht="15" customHeight="1" x14ac:dyDescent="0.2">
      <c r="A107" s="174" t="str">
        <f t="array" ref="A107">IF(F107="","",SUBTOTAL(3,$F$18:F107))</f>
        <v/>
      </c>
      <c r="B107" s="89" t="s">
        <v>102</v>
      </c>
      <c r="C107" s="188" t="str">
        <f>COUNTIF(B108:B115,"&gt;0")&amp;" phòng"</f>
        <v>7 phòng</v>
      </c>
      <c r="D107" s="91">
        <f>D108</f>
        <v>196</v>
      </c>
      <c r="E107" s="92"/>
      <c r="F107" s="93"/>
      <c r="G107" s="94"/>
      <c r="H107" s="94"/>
      <c r="I107" s="94"/>
      <c r="J107" s="94"/>
      <c r="K107" s="88"/>
      <c r="L107" s="95"/>
      <c r="M107" s="96"/>
      <c r="N107" s="165"/>
      <c r="O107" s="96"/>
      <c r="P107" s="97"/>
      <c r="Q107" s="98"/>
      <c r="R107" s="98"/>
      <c r="S107" s="98"/>
      <c r="T107" s="5" t="e">
        <v>#N/A</v>
      </c>
      <c r="U107"/>
    </row>
    <row r="108" spans="1:21" ht="30" customHeight="1" x14ac:dyDescent="0.2">
      <c r="A108" s="174" t="str">
        <f t="array" ref="A108">IF(F108="","",SUBTOTAL(3,$F$18:F108))</f>
        <v/>
      </c>
      <c r="B108" s="156" t="s">
        <v>103</v>
      </c>
      <c r="C108" s="128"/>
      <c r="D108" s="129">
        <f>SUM(D109:D115)</f>
        <v>196</v>
      </c>
      <c r="E108" s="130"/>
      <c r="F108" s="131"/>
      <c r="G108" s="132"/>
      <c r="H108" s="132"/>
      <c r="I108" s="132"/>
      <c r="J108" s="132"/>
      <c r="K108" s="105">
        <v>195</v>
      </c>
      <c r="L108" s="106"/>
      <c r="M108" s="99" t="str">
        <f>VLOOKUP($G109,$L$5:$P$10,M$3,0)</f>
        <v>VĂN</v>
      </c>
      <c r="N108" s="107" t="str">
        <f>VLOOKUP($G109,$L$5:$P$10,N$3,0)</f>
        <v>LÝ</v>
      </c>
      <c r="O108" s="99" t="str">
        <f>VLOOKUP($G109,$L$5:$P$10,O$3,0)</f>
        <v>TOÁN</v>
      </c>
      <c r="P108" s="99" t="str">
        <f>VLOOKUP($G109,$L$5:$P$10,P$3,0)</f>
        <v>SỬ</v>
      </c>
      <c r="Q108" s="98"/>
      <c r="R108" s="98"/>
      <c r="S108" s="98"/>
      <c r="T108" s="5" t="e">
        <v>#N/A</v>
      </c>
    </row>
    <row r="109" spans="1:21" ht="15" customHeight="1" x14ac:dyDescent="0.2">
      <c r="A109" s="174">
        <f t="array" ref="A109">IF(F109="","",SUBTOTAL(3,$F$18:F109))</f>
        <v>69</v>
      </c>
      <c r="B109" s="143">
        <v>1</v>
      </c>
      <c r="C109" s="144" t="s">
        <v>95</v>
      </c>
      <c r="D109" s="150">
        <v>28</v>
      </c>
      <c r="E109" s="151"/>
      <c r="F109" s="145" t="str">
        <f t="shared" ref="F109:F115" si="36">C109&amp;".C"</f>
        <v>HT2-1.C</v>
      </c>
      <c r="G109" s="146" t="s">
        <v>28</v>
      </c>
      <c r="H109" s="146" t="s">
        <v>65</v>
      </c>
      <c r="I109" s="114" t="str">
        <f t="shared" ref="I109:I115" si="37">VLOOKUP($H109,$D$2:$J$13,6,0)</f>
        <v>Thứ Ba (23/12)</v>
      </c>
      <c r="J109" s="114" t="str">
        <f t="shared" ref="J109:J115" si="38">VLOOKUP($H109,$D$2:$J$13,7,0)</f>
        <v>Thứ Năm (25/12)</v>
      </c>
      <c r="K109" s="115">
        <v>28</v>
      </c>
      <c r="L109" s="116">
        <f t="shared" ref="L109:L115" si="39">D109-K109</f>
        <v>0</v>
      </c>
      <c r="M109" s="139" t="str">
        <f t="shared" ref="M109:P115" si="40">VLOOKUP($G109,$L$5:$P$9,M$3,0)</f>
        <v>VĂN</v>
      </c>
      <c r="N109" s="140" t="str">
        <f t="shared" si="40"/>
        <v>LÝ</v>
      </c>
      <c r="O109" s="139" t="str">
        <f t="shared" si="40"/>
        <v>TOÁN</v>
      </c>
      <c r="P109" s="139" t="str">
        <f t="shared" si="40"/>
        <v>SỬ</v>
      </c>
      <c r="Q109" s="98">
        <f>R106+1</f>
        <v>500197</v>
      </c>
      <c r="R109" s="98">
        <f t="shared" ref="R109:R115" si="41">Q109+K109-1</f>
        <v>500224</v>
      </c>
      <c r="S109" s="156" t="s">
        <v>103</v>
      </c>
      <c r="T109" s="5" t="s">
        <v>60</v>
      </c>
    </row>
    <row r="110" spans="1:21" ht="15" customHeight="1" x14ac:dyDescent="0.2">
      <c r="A110" s="174">
        <f t="array" ref="A110">IF(F110="","",SUBTOTAL(3,$F$18:F110))</f>
        <v>70</v>
      </c>
      <c r="B110" s="117">
        <v>2</v>
      </c>
      <c r="C110" s="118" t="s">
        <v>96</v>
      </c>
      <c r="D110" s="119">
        <v>28</v>
      </c>
      <c r="E110" s="157"/>
      <c r="F110" s="147" t="str">
        <f t="shared" si="36"/>
        <v>HT2-2.C</v>
      </c>
      <c r="G110" s="120" t="s">
        <v>28</v>
      </c>
      <c r="H110" s="120" t="s">
        <v>65</v>
      </c>
      <c r="I110" s="114" t="str">
        <f t="shared" si="37"/>
        <v>Thứ Ba (23/12)</v>
      </c>
      <c r="J110" s="114" t="str">
        <f t="shared" si="38"/>
        <v>Thứ Năm (25/12)</v>
      </c>
      <c r="K110" s="121">
        <v>28</v>
      </c>
      <c r="L110" s="116">
        <f t="shared" si="39"/>
        <v>0</v>
      </c>
      <c r="M110" s="139" t="str">
        <f t="shared" si="40"/>
        <v>VĂN</v>
      </c>
      <c r="N110" s="140" t="str">
        <f t="shared" si="40"/>
        <v>LÝ</v>
      </c>
      <c r="O110" s="139" t="str">
        <f t="shared" si="40"/>
        <v>TOÁN</v>
      </c>
      <c r="P110" s="139" t="str">
        <f t="shared" si="40"/>
        <v>SỬ</v>
      </c>
      <c r="Q110" s="98">
        <f t="shared" ref="Q110:Q115" si="42">Q109+K109</f>
        <v>500225</v>
      </c>
      <c r="R110" s="98">
        <f t="shared" si="41"/>
        <v>500252</v>
      </c>
      <c r="S110" s="156" t="s">
        <v>103</v>
      </c>
      <c r="T110" s="5" t="s">
        <v>60</v>
      </c>
    </row>
    <row r="111" spans="1:21" ht="15" customHeight="1" x14ac:dyDescent="0.2">
      <c r="A111" s="174">
        <f t="array" ref="A111">IF(F111="","",SUBTOTAL(3,$F$18:F111))</f>
        <v>71</v>
      </c>
      <c r="B111" s="117">
        <v>3</v>
      </c>
      <c r="C111" s="118" t="s">
        <v>97</v>
      </c>
      <c r="D111" s="119">
        <v>28</v>
      </c>
      <c r="E111" s="157"/>
      <c r="F111" s="147" t="str">
        <f t="shared" si="36"/>
        <v>HT2-3.C</v>
      </c>
      <c r="G111" s="120" t="s">
        <v>28</v>
      </c>
      <c r="H111" s="120" t="s">
        <v>65</v>
      </c>
      <c r="I111" s="114" t="str">
        <f t="shared" si="37"/>
        <v>Thứ Ba (23/12)</v>
      </c>
      <c r="J111" s="114" t="str">
        <f t="shared" si="38"/>
        <v>Thứ Năm (25/12)</v>
      </c>
      <c r="K111" s="121">
        <v>28</v>
      </c>
      <c r="L111" s="116">
        <f t="shared" si="39"/>
        <v>0</v>
      </c>
      <c r="M111" s="139" t="str">
        <f t="shared" si="40"/>
        <v>VĂN</v>
      </c>
      <c r="N111" s="140" t="str">
        <f t="shared" si="40"/>
        <v>LÝ</v>
      </c>
      <c r="O111" s="139" t="str">
        <f t="shared" si="40"/>
        <v>TOÁN</v>
      </c>
      <c r="P111" s="139" t="str">
        <f t="shared" si="40"/>
        <v>SỬ</v>
      </c>
      <c r="Q111" s="98">
        <f t="shared" si="42"/>
        <v>500253</v>
      </c>
      <c r="R111" s="98">
        <f t="shared" si="41"/>
        <v>500280</v>
      </c>
      <c r="S111" s="156" t="s">
        <v>103</v>
      </c>
      <c r="T111" s="5" t="s">
        <v>60</v>
      </c>
    </row>
    <row r="112" spans="1:21" ht="15" customHeight="1" x14ac:dyDescent="0.2">
      <c r="A112" s="174">
        <f t="array" ref="A112">IF(F112="","",SUBTOTAL(3,$F$18:F112))</f>
        <v>72</v>
      </c>
      <c r="B112" s="117">
        <v>4</v>
      </c>
      <c r="C112" s="118" t="s">
        <v>98</v>
      </c>
      <c r="D112" s="119">
        <v>28</v>
      </c>
      <c r="E112" s="157"/>
      <c r="F112" s="147" t="str">
        <f t="shared" si="36"/>
        <v>A0.13.C</v>
      </c>
      <c r="G112" s="120" t="s">
        <v>28</v>
      </c>
      <c r="H112" s="120" t="s">
        <v>65</v>
      </c>
      <c r="I112" s="114" t="str">
        <f t="shared" si="37"/>
        <v>Thứ Ba (23/12)</v>
      </c>
      <c r="J112" s="114" t="str">
        <f t="shared" si="38"/>
        <v>Thứ Năm (25/12)</v>
      </c>
      <c r="K112" s="121">
        <v>28</v>
      </c>
      <c r="L112" s="116">
        <f t="shared" si="39"/>
        <v>0</v>
      </c>
      <c r="M112" s="139" t="str">
        <f t="shared" si="40"/>
        <v>VĂN</v>
      </c>
      <c r="N112" s="140" t="str">
        <f t="shared" si="40"/>
        <v>LÝ</v>
      </c>
      <c r="O112" s="139" t="str">
        <f t="shared" si="40"/>
        <v>TOÁN</v>
      </c>
      <c r="P112" s="139" t="str">
        <f t="shared" si="40"/>
        <v>SỬ</v>
      </c>
      <c r="Q112" s="98">
        <f t="shared" si="42"/>
        <v>500281</v>
      </c>
      <c r="R112" s="98">
        <f t="shared" si="41"/>
        <v>500308</v>
      </c>
      <c r="S112" s="156" t="s">
        <v>103</v>
      </c>
      <c r="T112" s="5" t="s">
        <v>60</v>
      </c>
    </row>
    <row r="113" spans="1:21" ht="15" customHeight="1" x14ac:dyDescent="0.2">
      <c r="A113" s="174">
        <f t="array" ref="A113">IF(F113="","",SUBTOTAL(3,$F$18:F113))</f>
        <v>73</v>
      </c>
      <c r="B113" s="117">
        <v>5</v>
      </c>
      <c r="C113" s="118" t="s">
        <v>99</v>
      </c>
      <c r="D113" s="119">
        <v>28</v>
      </c>
      <c r="E113" s="157"/>
      <c r="F113" s="147" t="str">
        <f t="shared" si="36"/>
        <v>A0.15.C</v>
      </c>
      <c r="G113" s="120" t="s">
        <v>28</v>
      </c>
      <c r="H113" s="120" t="s">
        <v>65</v>
      </c>
      <c r="I113" s="114" t="str">
        <f t="shared" si="37"/>
        <v>Thứ Ba (23/12)</v>
      </c>
      <c r="J113" s="114" t="str">
        <f t="shared" si="38"/>
        <v>Thứ Năm (25/12)</v>
      </c>
      <c r="K113" s="121">
        <v>28</v>
      </c>
      <c r="L113" s="116">
        <f t="shared" si="39"/>
        <v>0</v>
      </c>
      <c r="M113" s="139" t="str">
        <f t="shared" si="40"/>
        <v>VĂN</v>
      </c>
      <c r="N113" s="140" t="str">
        <f t="shared" si="40"/>
        <v>LÝ</v>
      </c>
      <c r="O113" s="139" t="str">
        <f t="shared" si="40"/>
        <v>TOÁN</v>
      </c>
      <c r="P113" s="139" t="str">
        <f t="shared" si="40"/>
        <v>SỬ</v>
      </c>
      <c r="Q113" s="98">
        <f t="shared" si="42"/>
        <v>500309</v>
      </c>
      <c r="R113" s="98">
        <f t="shared" si="41"/>
        <v>500336</v>
      </c>
      <c r="S113" s="156" t="s">
        <v>103</v>
      </c>
      <c r="T113" s="5" t="s">
        <v>60</v>
      </c>
    </row>
    <row r="114" spans="1:21" ht="15" customHeight="1" x14ac:dyDescent="0.2">
      <c r="A114" s="174">
        <f t="array" ref="A114">IF(F114="","",SUBTOTAL(3,$F$18:F114))</f>
        <v>74</v>
      </c>
      <c r="B114" s="117">
        <v>6</v>
      </c>
      <c r="C114" s="118" t="s">
        <v>100</v>
      </c>
      <c r="D114" s="119">
        <v>28</v>
      </c>
      <c r="E114" s="157"/>
      <c r="F114" s="147" t="str">
        <f t="shared" si="36"/>
        <v>A1.10.C</v>
      </c>
      <c r="G114" s="120" t="s">
        <v>28</v>
      </c>
      <c r="H114" s="120" t="s">
        <v>65</v>
      </c>
      <c r="I114" s="114" t="str">
        <f t="shared" si="37"/>
        <v>Thứ Ba (23/12)</v>
      </c>
      <c r="J114" s="114" t="str">
        <f t="shared" si="38"/>
        <v>Thứ Năm (25/12)</v>
      </c>
      <c r="K114" s="121">
        <v>28</v>
      </c>
      <c r="L114" s="116">
        <f t="shared" si="39"/>
        <v>0</v>
      </c>
      <c r="M114" s="139" t="str">
        <f t="shared" si="40"/>
        <v>VĂN</v>
      </c>
      <c r="N114" s="140" t="str">
        <f t="shared" si="40"/>
        <v>LÝ</v>
      </c>
      <c r="O114" s="139" t="str">
        <f t="shared" si="40"/>
        <v>TOÁN</v>
      </c>
      <c r="P114" s="139" t="str">
        <f t="shared" si="40"/>
        <v>SỬ</v>
      </c>
      <c r="Q114" s="98">
        <f t="shared" si="42"/>
        <v>500337</v>
      </c>
      <c r="R114" s="98">
        <f t="shared" si="41"/>
        <v>500364</v>
      </c>
      <c r="S114" s="156" t="s">
        <v>103</v>
      </c>
      <c r="T114" s="5" t="s">
        <v>60</v>
      </c>
    </row>
    <row r="115" spans="1:21" ht="15" customHeight="1" x14ac:dyDescent="0.2">
      <c r="A115" s="174">
        <f t="array" ref="A115">IF(F115="","",SUBTOTAL(3,$F$18:F115))</f>
        <v>75</v>
      </c>
      <c r="B115" s="134">
        <v>7</v>
      </c>
      <c r="C115" s="135" t="s">
        <v>101</v>
      </c>
      <c r="D115" s="153">
        <v>28</v>
      </c>
      <c r="E115" s="154"/>
      <c r="F115" s="148" t="str">
        <f t="shared" si="36"/>
        <v>A1.11.C</v>
      </c>
      <c r="G115" s="136" t="s">
        <v>28</v>
      </c>
      <c r="H115" s="120" t="s">
        <v>65</v>
      </c>
      <c r="I115" s="114" t="str">
        <f t="shared" si="37"/>
        <v>Thứ Ba (23/12)</v>
      </c>
      <c r="J115" s="114" t="str">
        <f t="shared" si="38"/>
        <v>Thứ Năm (25/12)</v>
      </c>
      <c r="K115" s="121">
        <v>27</v>
      </c>
      <c r="L115" s="116">
        <f t="shared" si="39"/>
        <v>1</v>
      </c>
      <c r="M115" s="139" t="str">
        <f t="shared" si="40"/>
        <v>VĂN</v>
      </c>
      <c r="N115" s="140" t="str">
        <f t="shared" si="40"/>
        <v>LÝ</v>
      </c>
      <c r="O115" s="139" t="str">
        <f t="shared" si="40"/>
        <v>TOÁN</v>
      </c>
      <c r="P115" s="139" t="str">
        <f t="shared" si="40"/>
        <v>SỬ</v>
      </c>
      <c r="Q115" s="98">
        <f t="shared" si="42"/>
        <v>500365</v>
      </c>
      <c r="R115" s="98">
        <f t="shared" si="41"/>
        <v>500391</v>
      </c>
      <c r="S115" s="156" t="s">
        <v>103</v>
      </c>
      <c r="T115" s="5" t="s">
        <v>60</v>
      </c>
    </row>
    <row r="116" spans="1:21" s="6" customFormat="1" ht="15" customHeight="1" x14ac:dyDescent="0.2">
      <c r="A116" s="174" t="str">
        <f t="array" ref="A116">IF(F116="","",SUBTOTAL(3,$F$18:F116))</f>
        <v/>
      </c>
      <c r="B116" s="89" t="s">
        <v>104</v>
      </c>
      <c r="C116" s="188" t="str">
        <f>COUNTIF(B117:B124,"&gt;0")&amp;" phòng"</f>
        <v>7 phòng</v>
      </c>
      <c r="D116" s="91">
        <f>D117</f>
        <v>188</v>
      </c>
      <c r="E116" s="92"/>
      <c r="F116" s="93"/>
      <c r="G116" s="94"/>
      <c r="H116" s="94"/>
      <c r="I116" s="94"/>
      <c r="J116" s="94"/>
      <c r="K116" s="88"/>
      <c r="L116" s="95"/>
      <c r="M116" s="96"/>
      <c r="N116" s="165"/>
      <c r="O116" s="96"/>
      <c r="P116" s="97"/>
      <c r="Q116" s="98"/>
      <c r="R116" s="98"/>
      <c r="S116" s="98"/>
      <c r="T116" s="5" t="e">
        <v>#N/A</v>
      </c>
      <c r="U116"/>
    </row>
    <row r="117" spans="1:21" ht="30" customHeight="1" x14ac:dyDescent="0.2">
      <c r="A117" s="174" t="str">
        <f t="array" ref="A117">IF(F117="","",SUBTOTAL(3,$F$18:F117))</f>
        <v/>
      </c>
      <c r="B117" s="156" t="s">
        <v>105</v>
      </c>
      <c r="C117" s="128"/>
      <c r="D117" s="129">
        <f>SUM(D118:D124)</f>
        <v>188</v>
      </c>
      <c r="E117" s="130"/>
      <c r="F117" s="131"/>
      <c r="G117" s="132"/>
      <c r="H117" s="132"/>
      <c r="I117" s="132"/>
      <c r="J117" s="132"/>
      <c r="K117" s="105">
        <v>188</v>
      </c>
      <c r="L117" s="106"/>
      <c r="M117" s="99" t="str">
        <f>VLOOKUP($G118,$L$5:$P$10,M$3,0)</f>
        <v>VĂN</v>
      </c>
      <c r="N117" s="107" t="str">
        <f>VLOOKUP($G118,$L$5:$P$10,N$3,0)</f>
        <v>LÝ</v>
      </c>
      <c r="O117" s="99" t="str">
        <f>VLOOKUP($G118,$L$5:$P$10,O$3,0)</f>
        <v>TOÁN</v>
      </c>
      <c r="P117" s="99" t="str">
        <f>VLOOKUP($G118,$L$5:$P$10,P$3,0)</f>
        <v>SỬ</v>
      </c>
      <c r="Q117" s="98"/>
      <c r="R117" s="98"/>
      <c r="S117" s="98"/>
      <c r="T117" s="5" t="e">
        <v>#N/A</v>
      </c>
    </row>
    <row r="118" spans="1:21" ht="15" customHeight="1" x14ac:dyDescent="0.2">
      <c r="A118" s="174">
        <f t="array" ref="A118">IF(F118="","",SUBTOTAL(3,$F$18:F118))</f>
        <v>76</v>
      </c>
      <c r="B118" s="143">
        <v>1</v>
      </c>
      <c r="C118" s="144" t="s">
        <v>95</v>
      </c>
      <c r="D118" s="150">
        <v>27</v>
      </c>
      <c r="E118" s="151"/>
      <c r="F118" s="145" t="str">
        <f>C118&amp;".S"</f>
        <v>HT2-1.S</v>
      </c>
      <c r="G118" s="146" t="s">
        <v>28</v>
      </c>
      <c r="H118" s="146" t="s">
        <v>48</v>
      </c>
      <c r="I118" s="114" t="str">
        <f t="shared" ref="I118:I124" si="43">VLOOKUP($H118,$D$2:$J$13,6,0)</f>
        <v>Thứ Hai (22/12)</v>
      </c>
      <c r="J118" s="114" t="str">
        <f t="shared" ref="J118:J124" si="44">VLOOKUP($H118,$D$2:$J$13,7,0)</f>
        <v>Thứ Tư (24/12)</v>
      </c>
      <c r="K118" s="115">
        <v>27</v>
      </c>
      <c r="L118" s="116">
        <f t="shared" ref="L118:L124" si="45">D118-K118</f>
        <v>0</v>
      </c>
      <c r="M118" s="139" t="str">
        <f>VLOOKUP($G118,$L$5:$P$9,M$3,0)</f>
        <v>VĂN</v>
      </c>
      <c r="N118" s="140" t="str">
        <f t="shared" ref="N118:P124" si="46">VLOOKUP($G118,$L$5:$P$9,N$3,0)</f>
        <v>LÝ</v>
      </c>
      <c r="O118" s="139" t="str">
        <f t="shared" si="46"/>
        <v>TOÁN</v>
      </c>
      <c r="P118" s="139" t="str">
        <f t="shared" si="46"/>
        <v>SỬ</v>
      </c>
      <c r="Q118" s="98">
        <f>R115+1</f>
        <v>500392</v>
      </c>
      <c r="R118" s="98">
        <f t="shared" ref="R118:R124" si="47">Q118+K118-1</f>
        <v>500418</v>
      </c>
      <c r="S118" s="156" t="s">
        <v>105</v>
      </c>
      <c r="T118" s="5" t="s">
        <v>42</v>
      </c>
    </row>
    <row r="119" spans="1:21" ht="15" customHeight="1" x14ac:dyDescent="0.2">
      <c r="A119" s="174">
        <f t="array" ref="A119">IF(F119="","",SUBTOTAL(3,$F$18:F119))</f>
        <v>77</v>
      </c>
      <c r="B119" s="117">
        <v>2</v>
      </c>
      <c r="C119" s="118" t="s">
        <v>96</v>
      </c>
      <c r="D119" s="119">
        <v>27</v>
      </c>
      <c r="E119" s="157"/>
      <c r="F119" s="147" t="str">
        <f t="shared" ref="F119:F124" si="48">C119&amp;".S"</f>
        <v>HT2-2.S</v>
      </c>
      <c r="G119" s="120" t="s">
        <v>28</v>
      </c>
      <c r="H119" s="120" t="s">
        <v>48</v>
      </c>
      <c r="I119" s="114" t="str">
        <f t="shared" si="43"/>
        <v>Thứ Hai (22/12)</v>
      </c>
      <c r="J119" s="114" t="str">
        <f t="shared" si="44"/>
        <v>Thứ Tư (24/12)</v>
      </c>
      <c r="K119" s="121">
        <v>27</v>
      </c>
      <c r="L119" s="116">
        <f t="shared" si="45"/>
        <v>0</v>
      </c>
      <c r="M119" s="139" t="str">
        <f t="shared" ref="M119:M124" si="49">VLOOKUP($G119,$L$5:$P$9,M$3,0)</f>
        <v>VĂN</v>
      </c>
      <c r="N119" s="140" t="str">
        <f t="shared" si="46"/>
        <v>LÝ</v>
      </c>
      <c r="O119" s="139" t="str">
        <f t="shared" si="46"/>
        <v>TOÁN</v>
      </c>
      <c r="P119" s="139" t="str">
        <f t="shared" si="46"/>
        <v>SỬ</v>
      </c>
      <c r="Q119" s="98">
        <f t="shared" ref="Q119:Q124" si="50">Q118+K118</f>
        <v>500419</v>
      </c>
      <c r="R119" s="98">
        <f t="shared" si="47"/>
        <v>500445</v>
      </c>
      <c r="S119" s="156" t="s">
        <v>105</v>
      </c>
      <c r="T119" s="5" t="s">
        <v>42</v>
      </c>
    </row>
    <row r="120" spans="1:21" ht="15" customHeight="1" x14ac:dyDescent="0.2">
      <c r="A120" s="174">
        <f t="array" ref="A120">IF(F120="","",SUBTOTAL(3,$F$18:F120))</f>
        <v>78</v>
      </c>
      <c r="B120" s="117">
        <v>3</v>
      </c>
      <c r="C120" s="118" t="s">
        <v>97</v>
      </c>
      <c r="D120" s="119">
        <v>27</v>
      </c>
      <c r="E120" s="157"/>
      <c r="F120" s="147" t="str">
        <f t="shared" si="48"/>
        <v>HT2-3.S</v>
      </c>
      <c r="G120" s="120" t="s">
        <v>28</v>
      </c>
      <c r="H120" s="120" t="s">
        <v>48</v>
      </c>
      <c r="I120" s="114" t="str">
        <f t="shared" si="43"/>
        <v>Thứ Hai (22/12)</v>
      </c>
      <c r="J120" s="114" t="str">
        <f t="shared" si="44"/>
        <v>Thứ Tư (24/12)</v>
      </c>
      <c r="K120" s="121">
        <v>27</v>
      </c>
      <c r="L120" s="116">
        <f t="shared" si="45"/>
        <v>0</v>
      </c>
      <c r="M120" s="139" t="str">
        <f t="shared" si="49"/>
        <v>VĂN</v>
      </c>
      <c r="N120" s="140" t="str">
        <f t="shared" si="46"/>
        <v>LÝ</v>
      </c>
      <c r="O120" s="139" t="str">
        <f t="shared" si="46"/>
        <v>TOÁN</v>
      </c>
      <c r="P120" s="139" t="str">
        <f t="shared" si="46"/>
        <v>SỬ</v>
      </c>
      <c r="Q120" s="98">
        <f t="shared" si="50"/>
        <v>500446</v>
      </c>
      <c r="R120" s="98">
        <f t="shared" si="47"/>
        <v>500472</v>
      </c>
      <c r="S120" s="156" t="s">
        <v>105</v>
      </c>
      <c r="T120" s="5" t="s">
        <v>42</v>
      </c>
    </row>
    <row r="121" spans="1:21" ht="15" customHeight="1" x14ac:dyDescent="0.2">
      <c r="A121" s="174">
        <f t="array" ref="A121">IF(F121="","",SUBTOTAL(3,$F$18:F121))</f>
        <v>79</v>
      </c>
      <c r="B121" s="117">
        <v>4</v>
      </c>
      <c r="C121" s="118" t="s">
        <v>98</v>
      </c>
      <c r="D121" s="119">
        <v>27</v>
      </c>
      <c r="E121" s="157"/>
      <c r="F121" s="147" t="str">
        <f t="shared" si="48"/>
        <v>A0.13.S</v>
      </c>
      <c r="G121" s="120" t="s">
        <v>28</v>
      </c>
      <c r="H121" s="120" t="s">
        <v>48</v>
      </c>
      <c r="I121" s="114" t="str">
        <f t="shared" si="43"/>
        <v>Thứ Hai (22/12)</v>
      </c>
      <c r="J121" s="114" t="str">
        <f t="shared" si="44"/>
        <v>Thứ Tư (24/12)</v>
      </c>
      <c r="K121" s="121">
        <v>27</v>
      </c>
      <c r="L121" s="116">
        <f t="shared" si="45"/>
        <v>0</v>
      </c>
      <c r="M121" s="139" t="str">
        <f t="shared" si="49"/>
        <v>VĂN</v>
      </c>
      <c r="N121" s="140" t="str">
        <f t="shared" si="46"/>
        <v>LÝ</v>
      </c>
      <c r="O121" s="139" t="str">
        <f t="shared" si="46"/>
        <v>TOÁN</v>
      </c>
      <c r="P121" s="139" t="str">
        <f t="shared" si="46"/>
        <v>SỬ</v>
      </c>
      <c r="Q121" s="98">
        <f t="shared" si="50"/>
        <v>500473</v>
      </c>
      <c r="R121" s="98">
        <f t="shared" si="47"/>
        <v>500499</v>
      </c>
      <c r="S121" s="156" t="s">
        <v>105</v>
      </c>
      <c r="T121" s="5" t="s">
        <v>42</v>
      </c>
    </row>
    <row r="122" spans="1:21" ht="15" customHeight="1" x14ac:dyDescent="0.2">
      <c r="A122" s="174">
        <f t="array" ref="A122">IF(F122="","",SUBTOTAL(3,$F$18:F122))</f>
        <v>80</v>
      </c>
      <c r="B122" s="117">
        <v>5</v>
      </c>
      <c r="C122" s="118" t="s">
        <v>100</v>
      </c>
      <c r="D122" s="119">
        <v>27</v>
      </c>
      <c r="E122" s="157"/>
      <c r="F122" s="147" t="str">
        <f t="shared" si="48"/>
        <v>A1.10.S</v>
      </c>
      <c r="G122" s="120" t="s">
        <v>28</v>
      </c>
      <c r="H122" s="120" t="s">
        <v>48</v>
      </c>
      <c r="I122" s="114" t="str">
        <f t="shared" si="43"/>
        <v>Thứ Hai (22/12)</v>
      </c>
      <c r="J122" s="114" t="str">
        <f t="shared" si="44"/>
        <v>Thứ Tư (24/12)</v>
      </c>
      <c r="K122" s="121">
        <v>27</v>
      </c>
      <c r="L122" s="116">
        <f t="shared" si="45"/>
        <v>0</v>
      </c>
      <c r="M122" s="139" t="str">
        <f t="shared" si="49"/>
        <v>VĂN</v>
      </c>
      <c r="N122" s="140" t="str">
        <f t="shared" si="46"/>
        <v>LÝ</v>
      </c>
      <c r="O122" s="139" t="str">
        <f t="shared" si="46"/>
        <v>TOÁN</v>
      </c>
      <c r="P122" s="139" t="str">
        <f t="shared" si="46"/>
        <v>SỬ</v>
      </c>
      <c r="Q122" s="98">
        <f t="shared" si="50"/>
        <v>500500</v>
      </c>
      <c r="R122" s="98">
        <f t="shared" si="47"/>
        <v>500526</v>
      </c>
      <c r="S122" s="156" t="s">
        <v>105</v>
      </c>
      <c r="T122" s="5" t="s">
        <v>42</v>
      </c>
    </row>
    <row r="123" spans="1:21" ht="15" customHeight="1" x14ac:dyDescent="0.2">
      <c r="A123" s="174">
        <f t="array" ref="A123">IF(F123="","",SUBTOTAL(3,$F$18:F123))</f>
        <v>81</v>
      </c>
      <c r="B123" s="117">
        <v>6</v>
      </c>
      <c r="C123" s="118" t="s">
        <v>101</v>
      </c>
      <c r="D123" s="119">
        <v>27</v>
      </c>
      <c r="E123" s="157"/>
      <c r="F123" s="147" t="str">
        <f t="shared" si="48"/>
        <v>A1.11.S</v>
      </c>
      <c r="G123" s="120" t="s">
        <v>28</v>
      </c>
      <c r="H123" s="120" t="s">
        <v>48</v>
      </c>
      <c r="I123" s="114" t="str">
        <f t="shared" si="43"/>
        <v>Thứ Hai (22/12)</v>
      </c>
      <c r="J123" s="114" t="str">
        <f t="shared" si="44"/>
        <v>Thứ Tư (24/12)</v>
      </c>
      <c r="K123" s="121">
        <v>27</v>
      </c>
      <c r="L123" s="116">
        <f t="shared" si="45"/>
        <v>0</v>
      </c>
      <c r="M123" s="139" t="str">
        <f t="shared" si="49"/>
        <v>VĂN</v>
      </c>
      <c r="N123" s="140" t="str">
        <f t="shared" si="46"/>
        <v>LÝ</v>
      </c>
      <c r="O123" s="139" t="str">
        <f t="shared" si="46"/>
        <v>TOÁN</v>
      </c>
      <c r="P123" s="139" t="str">
        <f t="shared" si="46"/>
        <v>SỬ</v>
      </c>
      <c r="Q123" s="98">
        <f t="shared" si="50"/>
        <v>500527</v>
      </c>
      <c r="R123" s="98">
        <f t="shared" si="47"/>
        <v>500553</v>
      </c>
      <c r="S123" s="156" t="s">
        <v>105</v>
      </c>
      <c r="T123" s="5" t="s">
        <v>42</v>
      </c>
    </row>
    <row r="124" spans="1:21" ht="15" customHeight="1" x14ac:dyDescent="0.2">
      <c r="A124" s="174">
        <f t="array" ref="A124">IF(F124="","",SUBTOTAL(3,$F$18:F124))</f>
        <v>82</v>
      </c>
      <c r="B124" s="134">
        <v>7</v>
      </c>
      <c r="C124" s="135" t="s">
        <v>106</v>
      </c>
      <c r="D124" s="153">
        <v>26</v>
      </c>
      <c r="E124" s="154"/>
      <c r="F124" s="148" t="str">
        <f t="shared" si="48"/>
        <v>A1.12.S</v>
      </c>
      <c r="G124" s="136" t="s">
        <v>28</v>
      </c>
      <c r="H124" s="120" t="s">
        <v>48</v>
      </c>
      <c r="I124" s="114" t="str">
        <f t="shared" si="43"/>
        <v>Thứ Hai (22/12)</v>
      </c>
      <c r="J124" s="114" t="str">
        <f t="shared" si="44"/>
        <v>Thứ Tư (24/12)</v>
      </c>
      <c r="K124" s="121">
        <v>26</v>
      </c>
      <c r="L124" s="116">
        <f t="shared" si="45"/>
        <v>0</v>
      </c>
      <c r="M124" s="139" t="str">
        <f t="shared" si="49"/>
        <v>VĂN</v>
      </c>
      <c r="N124" s="140" t="str">
        <f t="shared" si="46"/>
        <v>LÝ</v>
      </c>
      <c r="O124" s="139" t="str">
        <f t="shared" si="46"/>
        <v>TOÁN</v>
      </c>
      <c r="P124" s="139" t="str">
        <f t="shared" si="46"/>
        <v>SỬ</v>
      </c>
      <c r="Q124" s="98">
        <f t="shared" si="50"/>
        <v>500554</v>
      </c>
      <c r="R124" s="98">
        <f t="shared" si="47"/>
        <v>500579</v>
      </c>
      <c r="S124" s="156" t="s">
        <v>105</v>
      </c>
      <c r="T124" s="5" t="s">
        <v>42</v>
      </c>
    </row>
    <row r="125" spans="1:21" s="6" customFormat="1" ht="15" customHeight="1" x14ac:dyDescent="0.2">
      <c r="A125" s="174" t="str">
        <f t="array" ref="A125">IF(F125="","",SUBTOTAL(3,$F$18:F125))</f>
        <v/>
      </c>
      <c r="B125" s="89" t="s">
        <v>107</v>
      </c>
      <c r="C125" s="188" t="str">
        <f>COUNTIF(B126:B137,"&gt;0")&amp;" phòng"</f>
        <v>10 phòng</v>
      </c>
      <c r="D125" s="91">
        <f>D126+D131</f>
        <v>242</v>
      </c>
      <c r="E125" s="92"/>
      <c r="F125" s="93"/>
      <c r="G125" s="94"/>
      <c r="H125" s="94"/>
      <c r="I125" s="94"/>
      <c r="J125" s="94"/>
      <c r="K125" s="88"/>
      <c r="L125" s="95"/>
      <c r="M125" s="96"/>
      <c r="N125" s="165"/>
      <c r="O125" s="96"/>
      <c r="P125" s="97"/>
      <c r="Q125" s="98"/>
      <c r="R125" s="98"/>
      <c r="S125" s="98"/>
      <c r="T125" s="5" t="e">
        <v>#N/A</v>
      </c>
      <c r="U125"/>
    </row>
    <row r="126" spans="1:21" ht="30" customHeight="1" x14ac:dyDescent="0.2">
      <c r="A126" s="174" t="str">
        <f t="array" ref="A126">IF(F126="","",SUBTOTAL(3,$F$18:F126))</f>
        <v/>
      </c>
      <c r="B126" s="156" t="s">
        <v>108</v>
      </c>
      <c r="C126" s="128"/>
      <c r="D126" s="129">
        <f>SUM(D127:D130)</f>
        <v>97</v>
      </c>
      <c r="E126" s="130"/>
      <c r="F126" s="131"/>
      <c r="G126" s="132"/>
      <c r="H126" s="132"/>
      <c r="I126" s="132"/>
      <c r="J126" s="132"/>
      <c r="K126" s="105">
        <v>94</v>
      </c>
      <c r="L126" s="106"/>
      <c r="M126" s="99" t="str">
        <f>VLOOKUP($G127,$L$5:$P$10,M$3,0)</f>
        <v>VĂN</v>
      </c>
      <c r="N126" s="107" t="str">
        <f>VLOOKUP($G127,$L$5:$P$10,N$3,0)</f>
        <v>LÝ</v>
      </c>
      <c r="O126" s="99" t="str">
        <f>VLOOKUP($G127,$L$5:$P$10,O$3,0)</f>
        <v>TOÁN</v>
      </c>
      <c r="P126" s="99" t="str">
        <f>VLOOKUP($G127,$L$5:$P$10,P$3,0)</f>
        <v>SỬ</v>
      </c>
      <c r="Q126" s="98"/>
      <c r="R126" s="98"/>
      <c r="S126" s="98"/>
      <c r="T126" s="5" t="e">
        <v>#N/A</v>
      </c>
    </row>
    <row r="127" spans="1:21" ht="15" customHeight="1" x14ac:dyDescent="0.2">
      <c r="A127" s="174">
        <f t="array" ref="A127">IF(F127="","",SUBTOTAL(3,$F$18:F127))</f>
        <v>83</v>
      </c>
      <c r="B127" s="143">
        <v>1</v>
      </c>
      <c r="C127" s="144">
        <v>202</v>
      </c>
      <c r="D127" s="150">
        <v>25</v>
      </c>
      <c r="E127" s="151" t="s">
        <v>88</v>
      </c>
      <c r="F127" s="145" t="str">
        <f>C127&amp;".C"</f>
        <v>202.C</v>
      </c>
      <c r="G127" s="120" t="s">
        <v>28</v>
      </c>
      <c r="H127" s="146" t="s">
        <v>49</v>
      </c>
      <c r="I127" s="114" t="str">
        <f>VLOOKUP($H127,$D$2:$J$13,6,0)</f>
        <v>Thứ Hai (22/12)</v>
      </c>
      <c r="J127" s="114" t="str">
        <f>VLOOKUP($H127,$D$2:$J$13,7,0)</f>
        <v>Thứ Tư (24/12)</v>
      </c>
      <c r="K127" s="115">
        <v>24</v>
      </c>
      <c r="L127" s="116">
        <f>D127-K127</f>
        <v>1</v>
      </c>
      <c r="M127" s="139" t="str">
        <f t="shared" ref="M127:P137" si="51">VLOOKUP($G127,$L$5:$P$9,M$3,0)</f>
        <v>VĂN</v>
      </c>
      <c r="N127" s="140" t="str">
        <f t="shared" si="51"/>
        <v>LÝ</v>
      </c>
      <c r="O127" s="139" t="str">
        <f t="shared" si="51"/>
        <v>TOÁN</v>
      </c>
      <c r="P127" s="139" t="str">
        <f t="shared" si="51"/>
        <v>SỬ</v>
      </c>
      <c r="Q127" s="98">
        <v>400001</v>
      </c>
      <c r="R127" s="98">
        <f>Q127+K127-1</f>
        <v>400024</v>
      </c>
      <c r="S127" s="156" t="s">
        <v>133</v>
      </c>
      <c r="T127" s="5" t="s">
        <v>42</v>
      </c>
    </row>
    <row r="128" spans="1:21" ht="15" customHeight="1" x14ac:dyDescent="0.2">
      <c r="A128" s="174">
        <f t="array" ref="A128">IF(F128="","",SUBTOTAL(3,$F$18:F128))</f>
        <v>84</v>
      </c>
      <c r="B128" s="117">
        <v>2</v>
      </c>
      <c r="C128" s="118">
        <v>203</v>
      </c>
      <c r="D128" s="119">
        <v>24</v>
      </c>
      <c r="E128" s="157"/>
      <c r="F128" s="147" t="str">
        <f>C128&amp;".C"</f>
        <v>203.C</v>
      </c>
      <c r="G128" s="120" t="s">
        <v>28</v>
      </c>
      <c r="H128" s="120" t="s">
        <v>49</v>
      </c>
      <c r="I128" s="114" t="str">
        <f>VLOOKUP($H128,$D$2:$J$13,6,0)</f>
        <v>Thứ Hai (22/12)</v>
      </c>
      <c r="J128" s="114" t="str">
        <f>VLOOKUP($H128,$D$2:$J$13,7,0)</f>
        <v>Thứ Tư (24/12)</v>
      </c>
      <c r="K128" s="121">
        <v>24</v>
      </c>
      <c r="L128" s="116">
        <f>D128-K128</f>
        <v>0</v>
      </c>
      <c r="M128" s="139" t="str">
        <f t="shared" si="51"/>
        <v>VĂN</v>
      </c>
      <c r="N128" s="140" t="str">
        <f t="shared" si="51"/>
        <v>LÝ</v>
      </c>
      <c r="O128" s="139" t="str">
        <f t="shared" si="51"/>
        <v>TOÁN</v>
      </c>
      <c r="P128" s="139" t="str">
        <f t="shared" si="51"/>
        <v>SỬ</v>
      </c>
      <c r="Q128" s="98">
        <f>Q127+K127</f>
        <v>400025</v>
      </c>
      <c r="R128" s="98">
        <f>Q128+K128-1</f>
        <v>400048</v>
      </c>
      <c r="S128" s="156" t="s">
        <v>133</v>
      </c>
      <c r="T128" s="5" t="s">
        <v>42</v>
      </c>
    </row>
    <row r="129" spans="1:21" ht="15" customHeight="1" x14ac:dyDescent="0.2">
      <c r="A129" s="174">
        <f t="array" ref="A129">IF(F129="","",SUBTOTAL(3,$F$18:F129))</f>
        <v>85</v>
      </c>
      <c r="B129" s="117">
        <v>3</v>
      </c>
      <c r="C129" s="118">
        <v>204</v>
      </c>
      <c r="D129" s="119">
        <v>24</v>
      </c>
      <c r="E129" s="157"/>
      <c r="F129" s="147" t="str">
        <f>C129&amp;".C"</f>
        <v>204.C</v>
      </c>
      <c r="G129" s="120" t="s">
        <v>28</v>
      </c>
      <c r="H129" s="120" t="s">
        <v>49</v>
      </c>
      <c r="I129" s="114" t="str">
        <f>VLOOKUP($H129,$D$2:$J$13,6,0)</f>
        <v>Thứ Hai (22/12)</v>
      </c>
      <c r="J129" s="114" t="str">
        <f>VLOOKUP($H129,$D$2:$J$13,7,0)</f>
        <v>Thứ Tư (24/12)</v>
      </c>
      <c r="K129" s="121">
        <v>23</v>
      </c>
      <c r="L129" s="116">
        <f>D129-K129</f>
        <v>1</v>
      </c>
      <c r="M129" s="139" t="str">
        <f t="shared" si="51"/>
        <v>VĂN</v>
      </c>
      <c r="N129" s="140" t="str">
        <f t="shared" si="51"/>
        <v>LÝ</v>
      </c>
      <c r="O129" s="139" t="str">
        <f t="shared" si="51"/>
        <v>TOÁN</v>
      </c>
      <c r="P129" s="139" t="str">
        <f t="shared" si="51"/>
        <v>SỬ</v>
      </c>
      <c r="Q129" s="98">
        <f>Q128+K128</f>
        <v>400049</v>
      </c>
      <c r="R129" s="98">
        <f>Q129+K129-1</f>
        <v>400071</v>
      </c>
      <c r="S129" s="156" t="s">
        <v>133</v>
      </c>
      <c r="T129" s="5" t="s">
        <v>42</v>
      </c>
    </row>
    <row r="130" spans="1:21" ht="15" customHeight="1" x14ac:dyDescent="0.2">
      <c r="A130" s="174">
        <f t="array" ref="A130">IF(F130="","",SUBTOTAL(3,$F$18:F130))</f>
        <v>86</v>
      </c>
      <c r="B130" s="117">
        <v>4</v>
      </c>
      <c r="C130" s="118">
        <v>205</v>
      </c>
      <c r="D130" s="119">
        <v>24</v>
      </c>
      <c r="E130" s="157"/>
      <c r="F130" s="148" t="str">
        <f>C130&amp;".C"</f>
        <v>205.C</v>
      </c>
      <c r="G130" s="120" t="s">
        <v>28</v>
      </c>
      <c r="H130" s="136" t="s">
        <v>49</v>
      </c>
      <c r="I130" s="114" t="str">
        <f>VLOOKUP($H130,$D$2:$J$13,6,0)</f>
        <v>Thứ Hai (22/12)</v>
      </c>
      <c r="J130" s="114" t="str">
        <f>VLOOKUP($H130,$D$2:$J$13,7,0)</f>
        <v>Thứ Tư (24/12)</v>
      </c>
      <c r="K130" s="121">
        <v>23</v>
      </c>
      <c r="L130" s="116">
        <f>D130-K130</f>
        <v>1</v>
      </c>
      <c r="M130" s="139" t="str">
        <f t="shared" si="51"/>
        <v>VĂN</v>
      </c>
      <c r="N130" s="140" t="str">
        <f t="shared" si="51"/>
        <v>LÝ</v>
      </c>
      <c r="O130" s="139" t="str">
        <f t="shared" si="51"/>
        <v>TOÁN</v>
      </c>
      <c r="P130" s="139" t="str">
        <f t="shared" si="51"/>
        <v>SỬ</v>
      </c>
      <c r="Q130" s="98">
        <f>Q129+K129</f>
        <v>400072</v>
      </c>
      <c r="R130" s="98">
        <f>Q130+K130-1</f>
        <v>400094</v>
      </c>
      <c r="S130" s="156" t="s">
        <v>133</v>
      </c>
      <c r="T130" s="5" t="s">
        <v>42</v>
      </c>
    </row>
    <row r="131" spans="1:21" ht="30" customHeight="1" x14ac:dyDescent="0.2">
      <c r="A131" s="174" t="str">
        <f t="array" ref="A131">IF(F131="","",SUBTOTAL(3,$F$18:F131))</f>
        <v/>
      </c>
      <c r="B131" s="156" t="s">
        <v>109</v>
      </c>
      <c r="C131" s="128"/>
      <c r="D131" s="129">
        <f>SUM(D132:D137)</f>
        <v>145</v>
      </c>
      <c r="E131" s="130"/>
      <c r="F131" s="131"/>
      <c r="G131" s="132"/>
      <c r="H131" s="132"/>
      <c r="I131" s="132"/>
      <c r="J131" s="132"/>
      <c r="K131" s="105">
        <v>142</v>
      </c>
      <c r="L131" s="106"/>
      <c r="M131" s="99" t="str">
        <f>VLOOKUP($G132,$L$5:$P$10,M$3,0)</f>
        <v>VĂN</v>
      </c>
      <c r="N131" s="107" t="str">
        <f>VLOOKUP($G132,$L$5:$P$10,N$3,0)</f>
        <v>KT-PL</v>
      </c>
      <c r="O131" s="99" t="str">
        <f>VLOOKUP($G132,$L$5:$P$10,O$3,0)</f>
        <v>TOÁN</v>
      </c>
      <c r="P131" s="99" t="str">
        <f>VLOOKUP($G132,$L$5:$P$10,P$3,0)</f>
        <v>SỬ</v>
      </c>
      <c r="Q131" s="98"/>
      <c r="R131" s="98"/>
      <c r="S131" s="98"/>
      <c r="T131" s="5" t="e">
        <v>#N/A</v>
      </c>
    </row>
    <row r="132" spans="1:21" ht="15" customHeight="1" x14ac:dyDescent="0.2">
      <c r="A132" s="174">
        <f t="array" ref="A132">IF(F132="","",SUBTOTAL(3,$F$18:F132))</f>
        <v>87</v>
      </c>
      <c r="B132" s="143">
        <v>1</v>
      </c>
      <c r="C132" s="144">
        <v>206</v>
      </c>
      <c r="D132" s="150">
        <v>25</v>
      </c>
      <c r="E132" s="151" t="s">
        <v>70</v>
      </c>
      <c r="F132" s="145" t="str">
        <f t="shared" ref="F132:F137" si="52">C132&amp;".C"</f>
        <v>206.C</v>
      </c>
      <c r="G132" s="120" t="s">
        <v>19</v>
      </c>
      <c r="H132" s="146" t="s">
        <v>49</v>
      </c>
      <c r="I132" s="114" t="str">
        <f t="shared" ref="I132:I137" si="53">VLOOKUP($H132,$D$2:$J$13,6,0)</f>
        <v>Thứ Hai (22/12)</v>
      </c>
      <c r="J132" s="114" t="str">
        <f t="shared" ref="J132:J137" si="54">VLOOKUP($H132,$D$2:$J$13,7,0)</f>
        <v>Thứ Tư (24/12)</v>
      </c>
      <c r="K132" s="115">
        <v>24</v>
      </c>
      <c r="L132" s="116">
        <f t="shared" ref="L132:L137" si="55">D132-K132</f>
        <v>1</v>
      </c>
      <c r="M132" s="139" t="str">
        <f t="shared" si="51"/>
        <v>VĂN</v>
      </c>
      <c r="N132" s="140" t="str">
        <f t="shared" si="51"/>
        <v>KT-PL</v>
      </c>
      <c r="O132" s="139" t="str">
        <f t="shared" si="51"/>
        <v>TOÁN</v>
      </c>
      <c r="P132" s="139" t="str">
        <f t="shared" si="51"/>
        <v>SỬ</v>
      </c>
      <c r="Q132" s="98">
        <f>R130+1</f>
        <v>400095</v>
      </c>
      <c r="R132" s="98">
        <f t="shared" ref="R132:R137" si="56">Q132+K132-1</f>
        <v>400118</v>
      </c>
      <c r="S132" s="156" t="s">
        <v>134</v>
      </c>
      <c r="T132" s="5" t="s">
        <v>42</v>
      </c>
    </row>
    <row r="133" spans="1:21" ht="15" customHeight="1" x14ac:dyDescent="0.2">
      <c r="A133" s="174">
        <f t="array" ref="A133">IF(F133="","",SUBTOTAL(3,$F$18:F133))</f>
        <v>88</v>
      </c>
      <c r="B133" s="117">
        <v>2</v>
      </c>
      <c r="C133" s="118">
        <v>302</v>
      </c>
      <c r="D133" s="119">
        <v>24</v>
      </c>
      <c r="E133" s="157"/>
      <c r="F133" s="147" t="str">
        <f t="shared" si="52"/>
        <v>302.C</v>
      </c>
      <c r="G133" s="120" t="s">
        <v>19</v>
      </c>
      <c r="H133" s="120" t="s">
        <v>49</v>
      </c>
      <c r="I133" s="114" t="str">
        <f t="shared" si="53"/>
        <v>Thứ Hai (22/12)</v>
      </c>
      <c r="J133" s="114" t="str">
        <f t="shared" si="54"/>
        <v>Thứ Tư (24/12)</v>
      </c>
      <c r="K133" s="121">
        <v>24</v>
      </c>
      <c r="L133" s="116">
        <f t="shared" si="55"/>
        <v>0</v>
      </c>
      <c r="M133" s="139" t="str">
        <f t="shared" si="51"/>
        <v>VĂN</v>
      </c>
      <c r="N133" s="140" t="str">
        <f t="shared" si="51"/>
        <v>KT-PL</v>
      </c>
      <c r="O133" s="139" t="str">
        <f t="shared" si="51"/>
        <v>TOÁN</v>
      </c>
      <c r="P133" s="139" t="str">
        <f t="shared" si="51"/>
        <v>SỬ</v>
      </c>
      <c r="Q133" s="98">
        <f>Q132+K132</f>
        <v>400119</v>
      </c>
      <c r="R133" s="98">
        <f t="shared" si="56"/>
        <v>400142</v>
      </c>
      <c r="S133" s="156" t="s">
        <v>134</v>
      </c>
      <c r="T133" s="5" t="s">
        <v>42</v>
      </c>
    </row>
    <row r="134" spans="1:21" ht="15" customHeight="1" x14ac:dyDescent="0.2">
      <c r="A134" s="174">
        <f t="array" ref="A134">IF(F134="","",SUBTOTAL(3,$F$18:F134))</f>
        <v>89</v>
      </c>
      <c r="B134" s="117">
        <v>3</v>
      </c>
      <c r="C134" s="118">
        <v>303</v>
      </c>
      <c r="D134" s="119">
        <v>24</v>
      </c>
      <c r="E134" s="157"/>
      <c r="F134" s="147" t="str">
        <f t="shared" si="52"/>
        <v>303.C</v>
      </c>
      <c r="G134" s="120" t="s">
        <v>19</v>
      </c>
      <c r="H134" s="120" t="s">
        <v>49</v>
      </c>
      <c r="I134" s="114" t="str">
        <f t="shared" si="53"/>
        <v>Thứ Hai (22/12)</v>
      </c>
      <c r="J134" s="114" t="str">
        <f t="shared" si="54"/>
        <v>Thứ Tư (24/12)</v>
      </c>
      <c r="K134" s="121">
        <v>24</v>
      </c>
      <c r="L134" s="116">
        <f t="shared" si="55"/>
        <v>0</v>
      </c>
      <c r="M134" s="139" t="str">
        <f t="shared" si="51"/>
        <v>VĂN</v>
      </c>
      <c r="N134" s="140" t="str">
        <f t="shared" si="51"/>
        <v>KT-PL</v>
      </c>
      <c r="O134" s="139" t="str">
        <f t="shared" si="51"/>
        <v>TOÁN</v>
      </c>
      <c r="P134" s="139" t="str">
        <f t="shared" si="51"/>
        <v>SỬ</v>
      </c>
      <c r="Q134" s="98">
        <f>Q133+K133</f>
        <v>400143</v>
      </c>
      <c r="R134" s="98">
        <f t="shared" si="56"/>
        <v>400166</v>
      </c>
      <c r="S134" s="156" t="s">
        <v>134</v>
      </c>
      <c r="T134" s="5" t="s">
        <v>42</v>
      </c>
    </row>
    <row r="135" spans="1:21" ht="15" customHeight="1" x14ac:dyDescent="0.2">
      <c r="A135" s="174">
        <f t="array" ref="A135">IF(F135="","",SUBTOTAL(3,$F$18:F135))</f>
        <v>90</v>
      </c>
      <c r="B135" s="117">
        <v>4</v>
      </c>
      <c r="C135" s="118">
        <v>304</v>
      </c>
      <c r="D135" s="119">
        <v>24</v>
      </c>
      <c r="E135" s="157"/>
      <c r="F135" s="147" t="str">
        <f t="shared" si="52"/>
        <v>304.C</v>
      </c>
      <c r="G135" s="120" t="s">
        <v>19</v>
      </c>
      <c r="H135" s="120" t="s">
        <v>49</v>
      </c>
      <c r="I135" s="114" t="str">
        <f t="shared" si="53"/>
        <v>Thứ Hai (22/12)</v>
      </c>
      <c r="J135" s="114" t="str">
        <f t="shared" si="54"/>
        <v>Thứ Tư (24/12)</v>
      </c>
      <c r="K135" s="121">
        <v>24</v>
      </c>
      <c r="L135" s="116">
        <f t="shared" si="55"/>
        <v>0</v>
      </c>
      <c r="M135" s="139" t="str">
        <f t="shared" si="51"/>
        <v>VĂN</v>
      </c>
      <c r="N135" s="140" t="str">
        <f t="shared" si="51"/>
        <v>KT-PL</v>
      </c>
      <c r="O135" s="139" t="str">
        <f t="shared" si="51"/>
        <v>TOÁN</v>
      </c>
      <c r="P135" s="139" t="str">
        <f t="shared" si="51"/>
        <v>SỬ</v>
      </c>
      <c r="Q135" s="98">
        <f>Q134+K134</f>
        <v>400167</v>
      </c>
      <c r="R135" s="98">
        <f t="shared" si="56"/>
        <v>400190</v>
      </c>
      <c r="S135" s="156" t="s">
        <v>134</v>
      </c>
      <c r="T135" s="5" t="s">
        <v>42</v>
      </c>
    </row>
    <row r="136" spans="1:21" ht="15" customHeight="1" x14ac:dyDescent="0.2">
      <c r="A136" s="174">
        <f t="array" ref="A136">IF(F136="","",SUBTOTAL(3,$F$18:F136))</f>
        <v>91</v>
      </c>
      <c r="B136" s="117">
        <v>5</v>
      </c>
      <c r="C136" s="118">
        <v>305</v>
      </c>
      <c r="D136" s="119">
        <v>24</v>
      </c>
      <c r="E136" s="157"/>
      <c r="F136" s="147" t="str">
        <f t="shared" si="52"/>
        <v>305.C</v>
      </c>
      <c r="G136" s="120" t="s">
        <v>19</v>
      </c>
      <c r="H136" s="120" t="s">
        <v>49</v>
      </c>
      <c r="I136" s="114" t="str">
        <f t="shared" si="53"/>
        <v>Thứ Hai (22/12)</v>
      </c>
      <c r="J136" s="114" t="str">
        <f t="shared" si="54"/>
        <v>Thứ Tư (24/12)</v>
      </c>
      <c r="K136" s="121">
        <v>23</v>
      </c>
      <c r="L136" s="116">
        <f t="shared" si="55"/>
        <v>1</v>
      </c>
      <c r="M136" s="139" t="str">
        <f t="shared" si="51"/>
        <v>VĂN</v>
      </c>
      <c r="N136" s="140" t="str">
        <f t="shared" si="51"/>
        <v>KT-PL</v>
      </c>
      <c r="O136" s="139" t="str">
        <f t="shared" si="51"/>
        <v>TOÁN</v>
      </c>
      <c r="P136" s="139" t="str">
        <f t="shared" si="51"/>
        <v>SỬ</v>
      </c>
      <c r="Q136" s="98">
        <f>Q135+K135</f>
        <v>400191</v>
      </c>
      <c r="R136" s="98">
        <f t="shared" si="56"/>
        <v>400213</v>
      </c>
      <c r="S136" s="156" t="s">
        <v>134</v>
      </c>
      <c r="T136" s="5" t="s">
        <v>42</v>
      </c>
    </row>
    <row r="137" spans="1:21" ht="15" customHeight="1" x14ac:dyDescent="0.2">
      <c r="A137" s="174">
        <f t="array" ref="A137">IF(F137="","",SUBTOTAL(3,$F$18:F137))</f>
        <v>92</v>
      </c>
      <c r="B137" s="117">
        <v>6</v>
      </c>
      <c r="C137" s="118">
        <v>306</v>
      </c>
      <c r="D137" s="119">
        <v>24</v>
      </c>
      <c r="E137" s="157"/>
      <c r="F137" s="147" t="str">
        <f t="shared" si="52"/>
        <v>306.C</v>
      </c>
      <c r="G137" s="120" t="s">
        <v>19</v>
      </c>
      <c r="H137" s="120" t="s">
        <v>49</v>
      </c>
      <c r="I137" s="114" t="str">
        <f t="shared" si="53"/>
        <v>Thứ Hai (22/12)</v>
      </c>
      <c r="J137" s="114" t="str">
        <f t="shared" si="54"/>
        <v>Thứ Tư (24/12)</v>
      </c>
      <c r="K137" s="121">
        <v>23</v>
      </c>
      <c r="L137" s="116">
        <f t="shared" si="55"/>
        <v>1</v>
      </c>
      <c r="M137" s="139" t="str">
        <f t="shared" si="51"/>
        <v>VĂN</v>
      </c>
      <c r="N137" s="140" t="str">
        <f t="shared" si="51"/>
        <v>KT-PL</v>
      </c>
      <c r="O137" s="139" t="str">
        <f t="shared" si="51"/>
        <v>TOÁN</v>
      </c>
      <c r="P137" s="139" t="str">
        <f t="shared" si="51"/>
        <v>SỬ</v>
      </c>
      <c r="Q137" s="98">
        <f>Q136+K136</f>
        <v>400214</v>
      </c>
      <c r="R137" s="98">
        <f t="shared" si="56"/>
        <v>400236</v>
      </c>
      <c r="S137" s="156" t="s">
        <v>134</v>
      </c>
      <c r="T137" s="5" t="s">
        <v>42</v>
      </c>
    </row>
    <row r="138" spans="1:21" s="6" customFormat="1" ht="15" customHeight="1" x14ac:dyDescent="0.2">
      <c r="A138" s="174" t="str">
        <f t="array" ref="A138">IF(F138="","",SUBTOTAL(3,$F$18:F138))</f>
        <v/>
      </c>
      <c r="B138" s="89" t="s">
        <v>39</v>
      </c>
      <c r="C138" s="188" t="str">
        <f>COUNTIF(B139:B150,"&gt;0")&amp;" phòng"</f>
        <v>10 phòng</v>
      </c>
      <c r="D138" s="91">
        <f>D139+D144</f>
        <v>259</v>
      </c>
      <c r="E138" s="92"/>
      <c r="F138" s="93"/>
      <c r="G138" s="94"/>
      <c r="H138" s="94"/>
      <c r="I138" s="94"/>
      <c r="J138" s="94"/>
      <c r="K138" s="88"/>
      <c r="L138" s="95"/>
      <c r="M138" s="96"/>
      <c r="N138" s="165"/>
      <c r="O138" s="96"/>
      <c r="P138" s="97"/>
      <c r="Q138" s="98"/>
      <c r="R138" s="98"/>
      <c r="S138" s="98"/>
      <c r="T138" s="5" t="e">
        <v>#N/A</v>
      </c>
      <c r="U138"/>
    </row>
    <row r="139" spans="1:21" ht="30" customHeight="1" x14ac:dyDescent="0.2">
      <c r="A139" s="174" t="str">
        <f t="array" ref="A139">IF(F139="","",SUBTOTAL(3,$F$18:F139))</f>
        <v/>
      </c>
      <c r="B139" s="156" t="s">
        <v>110</v>
      </c>
      <c r="C139" s="128"/>
      <c r="D139" s="129">
        <f>SUM(D140:D143)</f>
        <v>111</v>
      </c>
      <c r="E139" s="130"/>
      <c r="F139" s="131"/>
      <c r="G139" s="132"/>
      <c r="H139" s="132"/>
      <c r="I139" s="132"/>
      <c r="J139" s="132"/>
      <c r="K139" s="105">
        <v>111</v>
      </c>
      <c r="L139" s="106"/>
      <c r="M139" s="99" t="str">
        <f>VLOOKUP($G140,$L$5:$P$10,M$3,0)</f>
        <v>VĂN</v>
      </c>
      <c r="N139" s="107" t="str">
        <f>VLOOKUP($G140,$L$5:$P$10,N$3,0)</f>
        <v>LÝ</v>
      </c>
      <c r="O139" s="99" t="str">
        <f>VLOOKUP($G140,$L$5:$P$10,O$3,0)</f>
        <v>TOÁN</v>
      </c>
      <c r="P139" s="99" t="str">
        <f>VLOOKUP($G140,$L$5:$P$10,P$3,0)</f>
        <v>SỬ</v>
      </c>
      <c r="Q139" s="98"/>
      <c r="R139" s="98"/>
      <c r="S139" s="98"/>
      <c r="T139" s="5" t="e">
        <v>#N/A</v>
      </c>
    </row>
    <row r="140" spans="1:21" ht="15" customHeight="1" x14ac:dyDescent="0.2">
      <c r="A140" s="174">
        <f t="array" ref="A140">IF(F140="","",SUBTOTAL(3,$F$18:F140))</f>
        <v>93</v>
      </c>
      <c r="B140" s="143">
        <v>1</v>
      </c>
      <c r="C140" s="144">
        <v>202</v>
      </c>
      <c r="D140" s="150">
        <v>28</v>
      </c>
      <c r="E140" s="151" t="s">
        <v>70</v>
      </c>
      <c r="F140" s="145" t="str">
        <f>C140&amp;".C"</f>
        <v>202.C</v>
      </c>
      <c r="G140" s="120" t="s">
        <v>28</v>
      </c>
      <c r="H140" s="146" t="s">
        <v>64</v>
      </c>
      <c r="I140" s="114" t="str">
        <f>VLOOKUP($H140,$D$2:$J$13,6,0)</f>
        <v>Thứ Ba (23/12)</v>
      </c>
      <c r="J140" s="114" t="str">
        <f>VLOOKUP($H140,$D$2:$J$13,7,0)</f>
        <v>Thứ Năm (25/12)</v>
      </c>
      <c r="K140" s="115">
        <v>28</v>
      </c>
      <c r="L140" s="116">
        <f>D140-K140</f>
        <v>0</v>
      </c>
      <c r="M140" s="139" t="str">
        <f t="shared" ref="M140:P143" si="57">VLOOKUP($G140,$L$5:$P$9,M$3,0)</f>
        <v>VĂN</v>
      </c>
      <c r="N140" s="140" t="str">
        <f t="shared" si="57"/>
        <v>LÝ</v>
      </c>
      <c r="O140" s="139" t="str">
        <f t="shared" si="57"/>
        <v>TOÁN</v>
      </c>
      <c r="P140" s="139" t="str">
        <f t="shared" si="57"/>
        <v>SỬ</v>
      </c>
      <c r="Q140" s="98">
        <f>R137+1</f>
        <v>400237</v>
      </c>
      <c r="R140" s="98">
        <f>Q140+K140-1</f>
        <v>400264</v>
      </c>
      <c r="S140" s="156" t="s">
        <v>110</v>
      </c>
      <c r="T140" s="5" t="s">
        <v>60</v>
      </c>
    </row>
    <row r="141" spans="1:21" ht="15" customHeight="1" x14ac:dyDescent="0.2">
      <c r="A141" s="174">
        <f t="array" ref="A141">IF(F141="","",SUBTOTAL(3,$F$18:F141))</f>
        <v>94</v>
      </c>
      <c r="B141" s="117">
        <v>2</v>
      </c>
      <c r="C141" s="118">
        <v>203</v>
      </c>
      <c r="D141" s="119">
        <v>28</v>
      </c>
      <c r="E141" s="157"/>
      <c r="F141" s="147" t="str">
        <f>C141&amp;".C"</f>
        <v>203.C</v>
      </c>
      <c r="G141" s="120" t="s">
        <v>28</v>
      </c>
      <c r="H141" s="120" t="s">
        <v>64</v>
      </c>
      <c r="I141" s="114" t="str">
        <f>VLOOKUP($H141,$D$2:$J$13,6,0)</f>
        <v>Thứ Ba (23/12)</v>
      </c>
      <c r="J141" s="114" t="str">
        <f>VLOOKUP($H141,$D$2:$J$13,7,0)</f>
        <v>Thứ Năm (25/12)</v>
      </c>
      <c r="K141" s="121">
        <v>28</v>
      </c>
      <c r="L141" s="116">
        <f>D141-K141</f>
        <v>0</v>
      </c>
      <c r="M141" s="139" t="str">
        <f t="shared" si="57"/>
        <v>VĂN</v>
      </c>
      <c r="N141" s="140" t="str">
        <f t="shared" si="57"/>
        <v>LÝ</v>
      </c>
      <c r="O141" s="139" t="str">
        <f t="shared" si="57"/>
        <v>TOÁN</v>
      </c>
      <c r="P141" s="139" t="str">
        <f t="shared" si="57"/>
        <v>SỬ</v>
      </c>
      <c r="Q141" s="98">
        <f>Q140+K140</f>
        <v>400265</v>
      </c>
      <c r="R141" s="98">
        <f>Q141+K141-1</f>
        <v>400292</v>
      </c>
      <c r="S141" s="156" t="s">
        <v>110</v>
      </c>
      <c r="T141" s="5" t="s">
        <v>60</v>
      </c>
    </row>
    <row r="142" spans="1:21" ht="15" customHeight="1" x14ac:dyDescent="0.2">
      <c r="A142" s="174">
        <f t="array" ref="A142">IF(F142="","",SUBTOTAL(3,$F$18:F142))</f>
        <v>95</v>
      </c>
      <c r="B142" s="117">
        <v>3</v>
      </c>
      <c r="C142" s="118">
        <v>204</v>
      </c>
      <c r="D142" s="119">
        <v>28</v>
      </c>
      <c r="E142" s="157"/>
      <c r="F142" s="147" t="str">
        <f>C142&amp;".C"</f>
        <v>204.C</v>
      </c>
      <c r="G142" s="120" t="s">
        <v>28</v>
      </c>
      <c r="H142" s="120" t="s">
        <v>64</v>
      </c>
      <c r="I142" s="114" t="str">
        <f>VLOOKUP($H142,$D$2:$J$13,6,0)</f>
        <v>Thứ Ba (23/12)</v>
      </c>
      <c r="J142" s="114" t="str">
        <f>VLOOKUP($H142,$D$2:$J$13,7,0)</f>
        <v>Thứ Năm (25/12)</v>
      </c>
      <c r="K142" s="121">
        <v>28</v>
      </c>
      <c r="L142" s="116">
        <f>D142-K142</f>
        <v>0</v>
      </c>
      <c r="M142" s="139" t="str">
        <f t="shared" si="57"/>
        <v>VĂN</v>
      </c>
      <c r="N142" s="140" t="str">
        <f t="shared" si="57"/>
        <v>LÝ</v>
      </c>
      <c r="O142" s="139" t="str">
        <f t="shared" si="57"/>
        <v>TOÁN</v>
      </c>
      <c r="P142" s="139" t="str">
        <f t="shared" si="57"/>
        <v>SỬ</v>
      </c>
      <c r="Q142" s="98">
        <f>Q141+K141</f>
        <v>400293</v>
      </c>
      <c r="R142" s="98">
        <f>Q142+K142-1</f>
        <v>400320</v>
      </c>
      <c r="S142" s="156" t="s">
        <v>110</v>
      </c>
      <c r="T142" s="5" t="s">
        <v>60</v>
      </c>
    </row>
    <row r="143" spans="1:21" ht="15" customHeight="1" x14ac:dyDescent="0.2">
      <c r="A143" s="174">
        <f t="array" ref="A143">IF(F143="","",SUBTOTAL(3,$F$18:F143))</f>
        <v>96</v>
      </c>
      <c r="B143" s="117">
        <v>4</v>
      </c>
      <c r="C143" s="118">
        <v>205</v>
      </c>
      <c r="D143" s="119">
        <v>27</v>
      </c>
      <c r="E143" s="157"/>
      <c r="F143" s="148" t="str">
        <f>C143&amp;".C"</f>
        <v>205.C</v>
      </c>
      <c r="G143" s="120" t="s">
        <v>28</v>
      </c>
      <c r="H143" s="136" t="s">
        <v>64</v>
      </c>
      <c r="I143" s="114" t="str">
        <f>VLOOKUP($H143,$D$2:$J$13,6,0)</f>
        <v>Thứ Ba (23/12)</v>
      </c>
      <c r="J143" s="114" t="str">
        <f>VLOOKUP($H143,$D$2:$J$13,7,0)</f>
        <v>Thứ Năm (25/12)</v>
      </c>
      <c r="K143" s="121">
        <v>27</v>
      </c>
      <c r="L143" s="116">
        <f>D143-K143</f>
        <v>0</v>
      </c>
      <c r="M143" s="139" t="str">
        <f t="shared" si="57"/>
        <v>VĂN</v>
      </c>
      <c r="N143" s="140" t="str">
        <f t="shared" si="57"/>
        <v>LÝ</v>
      </c>
      <c r="O143" s="139" t="str">
        <f t="shared" si="57"/>
        <v>TOÁN</v>
      </c>
      <c r="P143" s="139" t="str">
        <f t="shared" si="57"/>
        <v>SỬ</v>
      </c>
      <c r="Q143" s="98">
        <f>Q142+K142</f>
        <v>400321</v>
      </c>
      <c r="R143" s="98">
        <f>Q143+K143-1</f>
        <v>400347</v>
      </c>
      <c r="S143" s="156" t="s">
        <v>110</v>
      </c>
      <c r="T143" s="5" t="s">
        <v>60</v>
      </c>
    </row>
    <row r="144" spans="1:21" ht="30" customHeight="1" x14ac:dyDescent="0.2">
      <c r="A144" s="174" t="str">
        <f t="array" ref="A144">IF(F144="","",SUBTOTAL(3,$F$18:F144))</f>
        <v/>
      </c>
      <c r="B144" s="156" t="s">
        <v>111</v>
      </c>
      <c r="C144" s="128"/>
      <c r="D144" s="129">
        <f>SUM(D145:D150)</f>
        <v>148</v>
      </c>
      <c r="E144" s="130"/>
      <c r="F144" s="131"/>
      <c r="G144" s="132"/>
      <c r="H144" s="132"/>
      <c r="I144" s="132"/>
      <c r="J144" s="132"/>
      <c r="K144" s="105">
        <v>148</v>
      </c>
      <c r="L144" s="106"/>
      <c r="M144" s="99" t="str">
        <f>VLOOKUP($G145,$L$5:$P$10,M$3,0)</f>
        <v>VĂN</v>
      </c>
      <c r="N144" s="107" t="str">
        <f>VLOOKUP($G145,$L$5:$P$10,N$3,0)</f>
        <v>KT-PL</v>
      </c>
      <c r="O144" s="99" t="str">
        <f>VLOOKUP($G145,$L$5:$P$10,O$3,0)</f>
        <v>TOÁN</v>
      </c>
      <c r="P144" s="99" t="str">
        <f>VLOOKUP($G145,$L$5:$P$10,P$3,0)</f>
        <v>SỬ</v>
      </c>
      <c r="Q144" s="98"/>
      <c r="R144" s="98"/>
      <c r="S144" s="98"/>
      <c r="T144" s="5" t="e">
        <v>#N/A</v>
      </c>
    </row>
    <row r="145" spans="1:21" ht="15" customHeight="1" x14ac:dyDescent="0.2">
      <c r="A145" s="174">
        <f t="array" ref="A145">IF(F145="","",SUBTOTAL(3,$F$18:F145))</f>
        <v>97</v>
      </c>
      <c r="B145" s="143">
        <v>1</v>
      </c>
      <c r="C145" s="144">
        <v>206</v>
      </c>
      <c r="D145" s="150">
        <v>25</v>
      </c>
      <c r="E145" s="151" t="s">
        <v>88</v>
      </c>
      <c r="F145" s="145" t="str">
        <f t="shared" ref="F145:F150" si="58">C145&amp;".C"</f>
        <v>206.C</v>
      </c>
      <c r="G145" s="120" t="s">
        <v>19</v>
      </c>
      <c r="H145" s="146" t="s">
        <v>64</v>
      </c>
      <c r="I145" s="114" t="str">
        <f t="shared" ref="I145:I150" si="59">VLOOKUP($H145,$D$2:$J$13,6,0)</f>
        <v>Thứ Ba (23/12)</v>
      </c>
      <c r="J145" s="114" t="str">
        <f t="shared" ref="J145:J150" si="60">VLOOKUP($H145,$D$2:$J$13,7,0)</f>
        <v>Thứ Năm (25/12)</v>
      </c>
      <c r="K145" s="115">
        <v>25</v>
      </c>
      <c r="L145" s="116">
        <f t="shared" ref="L145:L150" si="61">D145-K145</f>
        <v>0</v>
      </c>
      <c r="M145" s="139" t="str">
        <f t="shared" ref="M145:P150" si="62">VLOOKUP($G145,$L$5:$P$9,M$3,0)</f>
        <v>VĂN</v>
      </c>
      <c r="N145" s="140" t="str">
        <f t="shared" si="62"/>
        <v>KT-PL</v>
      </c>
      <c r="O145" s="139" t="str">
        <f t="shared" si="62"/>
        <v>TOÁN</v>
      </c>
      <c r="P145" s="139" t="str">
        <f t="shared" si="62"/>
        <v>SỬ</v>
      </c>
      <c r="Q145" s="98">
        <f>R143+1</f>
        <v>400348</v>
      </c>
      <c r="R145" s="98">
        <f t="shared" ref="R145:R150" si="63">Q145+K145-1</f>
        <v>400372</v>
      </c>
      <c r="S145" s="156" t="s">
        <v>111</v>
      </c>
      <c r="T145" s="5" t="s">
        <v>60</v>
      </c>
    </row>
    <row r="146" spans="1:21" ht="15" customHeight="1" x14ac:dyDescent="0.2">
      <c r="A146" s="174">
        <f t="array" ref="A146">IF(F146="","",SUBTOTAL(3,$F$18:F146))</f>
        <v>98</v>
      </c>
      <c r="B146" s="117">
        <v>2</v>
      </c>
      <c r="C146" s="118">
        <v>302</v>
      </c>
      <c r="D146" s="119">
        <v>25</v>
      </c>
      <c r="E146" s="157"/>
      <c r="F146" s="147" t="str">
        <f t="shared" si="58"/>
        <v>302.C</v>
      </c>
      <c r="G146" s="120" t="s">
        <v>19</v>
      </c>
      <c r="H146" s="120" t="s">
        <v>64</v>
      </c>
      <c r="I146" s="114" t="str">
        <f t="shared" si="59"/>
        <v>Thứ Ba (23/12)</v>
      </c>
      <c r="J146" s="114" t="str">
        <f t="shared" si="60"/>
        <v>Thứ Năm (25/12)</v>
      </c>
      <c r="K146" s="121">
        <v>25</v>
      </c>
      <c r="L146" s="116">
        <f t="shared" si="61"/>
        <v>0</v>
      </c>
      <c r="M146" s="139" t="str">
        <f t="shared" si="62"/>
        <v>VĂN</v>
      </c>
      <c r="N146" s="140" t="str">
        <f t="shared" si="62"/>
        <v>KT-PL</v>
      </c>
      <c r="O146" s="139" t="str">
        <f t="shared" si="62"/>
        <v>TOÁN</v>
      </c>
      <c r="P146" s="139" t="str">
        <f t="shared" si="62"/>
        <v>SỬ</v>
      </c>
      <c r="Q146" s="98">
        <f>Q145+K145</f>
        <v>400373</v>
      </c>
      <c r="R146" s="98">
        <f t="shared" si="63"/>
        <v>400397</v>
      </c>
      <c r="S146" s="156" t="s">
        <v>111</v>
      </c>
      <c r="T146" s="5" t="s">
        <v>60</v>
      </c>
    </row>
    <row r="147" spans="1:21" ht="15" customHeight="1" x14ac:dyDescent="0.2">
      <c r="A147" s="174">
        <f t="array" ref="A147">IF(F147="","",SUBTOTAL(3,$F$18:F147))</f>
        <v>99</v>
      </c>
      <c r="B147" s="117">
        <v>3</v>
      </c>
      <c r="C147" s="118">
        <v>303</v>
      </c>
      <c r="D147" s="119">
        <v>25</v>
      </c>
      <c r="E147" s="157"/>
      <c r="F147" s="147" t="str">
        <f t="shared" si="58"/>
        <v>303.C</v>
      </c>
      <c r="G147" s="120" t="s">
        <v>19</v>
      </c>
      <c r="H147" s="120" t="s">
        <v>64</v>
      </c>
      <c r="I147" s="114" t="str">
        <f t="shared" si="59"/>
        <v>Thứ Ba (23/12)</v>
      </c>
      <c r="J147" s="114" t="str">
        <f t="shared" si="60"/>
        <v>Thứ Năm (25/12)</v>
      </c>
      <c r="K147" s="121">
        <v>25</v>
      </c>
      <c r="L147" s="116">
        <f t="shared" si="61"/>
        <v>0</v>
      </c>
      <c r="M147" s="139" t="str">
        <f t="shared" si="62"/>
        <v>VĂN</v>
      </c>
      <c r="N147" s="140" t="str">
        <f t="shared" si="62"/>
        <v>KT-PL</v>
      </c>
      <c r="O147" s="139" t="str">
        <f t="shared" si="62"/>
        <v>TOÁN</v>
      </c>
      <c r="P147" s="139" t="str">
        <f t="shared" si="62"/>
        <v>SỬ</v>
      </c>
      <c r="Q147" s="98">
        <f>Q146+K146</f>
        <v>400398</v>
      </c>
      <c r="R147" s="98">
        <f t="shared" si="63"/>
        <v>400422</v>
      </c>
      <c r="S147" s="156" t="s">
        <v>111</v>
      </c>
      <c r="T147" s="5" t="s">
        <v>60</v>
      </c>
    </row>
    <row r="148" spans="1:21" ht="15" customHeight="1" x14ac:dyDescent="0.2">
      <c r="A148" s="174">
        <f t="array" ref="A148">IF(F148="","",SUBTOTAL(3,$F$18:F148))</f>
        <v>100</v>
      </c>
      <c r="B148" s="117">
        <v>4</v>
      </c>
      <c r="C148" s="118">
        <v>304</v>
      </c>
      <c r="D148" s="119">
        <v>25</v>
      </c>
      <c r="E148" s="157"/>
      <c r="F148" s="147" t="str">
        <f t="shared" si="58"/>
        <v>304.C</v>
      </c>
      <c r="G148" s="120" t="s">
        <v>19</v>
      </c>
      <c r="H148" s="120" t="s">
        <v>64</v>
      </c>
      <c r="I148" s="114" t="str">
        <f t="shared" si="59"/>
        <v>Thứ Ba (23/12)</v>
      </c>
      <c r="J148" s="114" t="str">
        <f t="shared" si="60"/>
        <v>Thứ Năm (25/12)</v>
      </c>
      <c r="K148" s="121">
        <v>25</v>
      </c>
      <c r="L148" s="116">
        <f t="shared" si="61"/>
        <v>0</v>
      </c>
      <c r="M148" s="139" t="str">
        <f t="shared" si="62"/>
        <v>VĂN</v>
      </c>
      <c r="N148" s="140" t="str">
        <f t="shared" si="62"/>
        <v>KT-PL</v>
      </c>
      <c r="O148" s="139" t="str">
        <f t="shared" si="62"/>
        <v>TOÁN</v>
      </c>
      <c r="P148" s="139" t="str">
        <f t="shared" si="62"/>
        <v>SỬ</v>
      </c>
      <c r="Q148" s="98">
        <f>Q147+K147</f>
        <v>400423</v>
      </c>
      <c r="R148" s="98">
        <f t="shared" si="63"/>
        <v>400447</v>
      </c>
      <c r="S148" s="156" t="s">
        <v>111</v>
      </c>
      <c r="T148" s="5" t="s">
        <v>60</v>
      </c>
    </row>
    <row r="149" spans="1:21" ht="15" customHeight="1" x14ac:dyDescent="0.2">
      <c r="A149" s="174">
        <f t="array" ref="A149">IF(F149="","",SUBTOTAL(3,$F$18:F149))</f>
        <v>101</v>
      </c>
      <c r="B149" s="117">
        <v>5</v>
      </c>
      <c r="C149" s="118">
        <v>305</v>
      </c>
      <c r="D149" s="119">
        <v>24</v>
      </c>
      <c r="E149" s="157"/>
      <c r="F149" s="147" t="str">
        <f t="shared" si="58"/>
        <v>305.C</v>
      </c>
      <c r="G149" s="120" t="s">
        <v>19</v>
      </c>
      <c r="H149" s="120" t="s">
        <v>64</v>
      </c>
      <c r="I149" s="114" t="str">
        <f t="shared" si="59"/>
        <v>Thứ Ba (23/12)</v>
      </c>
      <c r="J149" s="114" t="str">
        <f t="shared" si="60"/>
        <v>Thứ Năm (25/12)</v>
      </c>
      <c r="K149" s="121">
        <v>24</v>
      </c>
      <c r="L149" s="116">
        <f t="shared" si="61"/>
        <v>0</v>
      </c>
      <c r="M149" s="139" t="str">
        <f t="shared" si="62"/>
        <v>VĂN</v>
      </c>
      <c r="N149" s="140" t="str">
        <f t="shared" si="62"/>
        <v>KT-PL</v>
      </c>
      <c r="O149" s="139" t="str">
        <f t="shared" si="62"/>
        <v>TOÁN</v>
      </c>
      <c r="P149" s="139" t="str">
        <f t="shared" si="62"/>
        <v>SỬ</v>
      </c>
      <c r="Q149" s="98">
        <f>Q148+K148</f>
        <v>400448</v>
      </c>
      <c r="R149" s="98">
        <f t="shared" si="63"/>
        <v>400471</v>
      </c>
      <c r="S149" s="156" t="s">
        <v>111</v>
      </c>
      <c r="T149" s="5" t="s">
        <v>60</v>
      </c>
    </row>
    <row r="150" spans="1:21" ht="15" customHeight="1" x14ac:dyDescent="0.2">
      <c r="A150" s="174">
        <f t="array" ref="A150">IF(F150="","",SUBTOTAL(3,$F$18:F150))</f>
        <v>102</v>
      </c>
      <c r="B150" s="117">
        <v>6</v>
      </c>
      <c r="C150" s="118">
        <v>306</v>
      </c>
      <c r="D150" s="119">
        <v>24</v>
      </c>
      <c r="E150" s="157"/>
      <c r="F150" s="148" t="str">
        <f t="shared" si="58"/>
        <v>306.C</v>
      </c>
      <c r="G150" s="120" t="s">
        <v>19</v>
      </c>
      <c r="H150" s="136" t="s">
        <v>64</v>
      </c>
      <c r="I150" s="114" t="str">
        <f t="shared" si="59"/>
        <v>Thứ Ba (23/12)</v>
      </c>
      <c r="J150" s="114" t="str">
        <f t="shared" si="60"/>
        <v>Thứ Năm (25/12)</v>
      </c>
      <c r="K150" s="121">
        <v>24</v>
      </c>
      <c r="L150" s="116">
        <f t="shared" si="61"/>
        <v>0</v>
      </c>
      <c r="M150" s="139" t="str">
        <f t="shared" si="62"/>
        <v>VĂN</v>
      </c>
      <c r="N150" s="140" t="str">
        <f t="shared" si="62"/>
        <v>KT-PL</v>
      </c>
      <c r="O150" s="139" t="str">
        <f t="shared" si="62"/>
        <v>TOÁN</v>
      </c>
      <c r="P150" s="139" t="str">
        <f t="shared" si="62"/>
        <v>SỬ</v>
      </c>
      <c r="Q150" s="98">
        <f>Q149+K149</f>
        <v>400472</v>
      </c>
      <c r="R150" s="98">
        <f t="shared" si="63"/>
        <v>400495</v>
      </c>
      <c r="S150" s="156" t="s">
        <v>111</v>
      </c>
      <c r="T150" s="5" t="s">
        <v>60</v>
      </c>
    </row>
    <row r="151" spans="1:21" s="6" customFormat="1" ht="15" customHeight="1" x14ac:dyDescent="0.2">
      <c r="A151" s="174" t="str">
        <f t="array" ref="A151">IF(F151="","",SUBTOTAL(3,$F$18:F151))</f>
        <v/>
      </c>
      <c r="B151" s="89" t="s">
        <v>40</v>
      </c>
      <c r="C151" s="188" t="str">
        <f>COUNTIF(B152:B165,"&gt;0")&amp;" phòng"</f>
        <v>12 phòng</v>
      </c>
      <c r="D151" s="91">
        <f>D152+D158</f>
        <v>299</v>
      </c>
      <c r="E151" s="92"/>
      <c r="F151" s="93"/>
      <c r="G151" s="94"/>
      <c r="H151" s="94"/>
      <c r="I151" s="94"/>
      <c r="J151" s="94"/>
      <c r="K151" s="88"/>
      <c r="L151" s="95"/>
      <c r="M151" s="96"/>
      <c r="N151" s="165"/>
      <c r="O151" s="96"/>
      <c r="P151" s="97"/>
      <c r="Q151" s="98"/>
      <c r="R151" s="98"/>
      <c r="S151" s="98"/>
      <c r="T151" s="5" t="e">
        <v>#N/A</v>
      </c>
      <c r="U151"/>
    </row>
    <row r="152" spans="1:21" ht="30" customHeight="1" x14ac:dyDescent="0.2">
      <c r="A152" s="174" t="str">
        <f t="array" ref="A152">IF(F152="","",SUBTOTAL(3,$F$18:F152))</f>
        <v/>
      </c>
      <c r="B152" s="156" t="s">
        <v>112</v>
      </c>
      <c r="C152" s="128"/>
      <c r="D152" s="129">
        <f>SUM(D153:D157)</f>
        <v>132</v>
      </c>
      <c r="E152" s="130"/>
      <c r="F152" s="131"/>
      <c r="G152" s="132"/>
      <c r="H152" s="132"/>
      <c r="I152" s="132"/>
      <c r="J152" s="132"/>
      <c r="K152" s="105">
        <v>131</v>
      </c>
      <c r="L152" s="106"/>
      <c r="M152" s="99" t="str">
        <f>VLOOKUP($G153,$L$5:$P$10,M$3,0)</f>
        <v>VĂN</v>
      </c>
      <c r="N152" s="107" t="str">
        <f>VLOOKUP($G153,$L$5:$P$10,N$3,0)</f>
        <v>LÝ</v>
      </c>
      <c r="O152" s="99" t="str">
        <f>VLOOKUP($G153,$L$5:$P$10,O$3,0)</f>
        <v>TOÁN</v>
      </c>
      <c r="P152" s="99" t="str">
        <f>VLOOKUP($G153,$L$5:$P$10,P$3,0)</f>
        <v>SỬ</v>
      </c>
      <c r="Q152" s="98"/>
      <c r="R152" s="98"/>
      <c r="S152" s="98"/>
      <c r="T152" s="5" t="e">
        <v>#N/A</v>
      </c>
    </row>
    <row r="153" spans="1:21" ht="15" customHeight="1" x14ac:dyDescent="0.2">
      <c r="A153" s="174">
        <f t="array" ref="A153">IF(F153="","",SUBTOTAL(3,$F$18:F153))</f>
        <v>103</v>
      </c>
      <c r="B153" s="143">
        <v>1</v>
      </c>
      <c r="C153" s="144">
        <v>202</v>
      </c>
      <c r="D153" s="150">
        <v>27</v>
      </c>
      <c r="E153" s="151"/>
      <c r="F153" s="145" t="str">
        <f>C153&amp;".T"</f>
        <v>202.T</v>
      </c>
      <c r="G153" s="146" t="s">
        <v>28</v>
      </c>
      <c r="H153" s="146" t="s">
        <v>56</v>
      </c>
      <c r="I153" s="114" t="str">
        <f>VLOOKUP($H153,$D$2:$J$13,6,0)</f>
        <v>Thứ Hai (22/12)</v>
      </c>
      <c r="J153" s="114" t="str">
        <f>VLOOKUP($H153,$D$2:$J$13,7,0)</f>
        <v>Thứ Ba (23/12)</v>
      </c>
      <c r="K153" s="115">
        <v>27</v>
      </c>
      <c r="L153" s="116">
        <f>D153-K153</f>
        <v>0</v>
      </c>
      <c r="M153" s="139" t="str">
        <f t="shared" ref="M153:P157" si="64">VLOOKUP($G153,$L$5:$P$9,M$3,0)</f>
        <v>VĂN</v>
      </c>
      <c r="N153" s="140" t="str">
        <f t="shared" si="64"/>
        <v>LÝ</v>
      </c>
      <c r="O153" s="139" t="str">
        <f t="shared" si="64"/>
        <v>TOÁN</v>
      </c>
      <c r="P153" s="139" t="str">
        <f t="shared" si="64"/>
        <v>SỬ</v>
      </c>
      <c r="Q153" s="98">
        <f>R150+1</f>
        <v>400496</v>
      </c>
      <c r="R153" s="98">
        <f>Q153+K153-1</f>
        <v>400522</v>
      </c>
      <c r="S153" s="156" t="s">
        <v>112</v>
      </c>
      <c r="T153" s="5" t="s">
        <v>53</v>
      </c>
    </row>
    <row r="154" spans="1:21" ht="15" customHeight="1" x14ac:dyDescent="0.2">
      <c r="A154" s="174">
        <f t="array" ref="A154">IF(F154="","",SUBTOTAL(3,$F$18:F154))</f>
        <v>104</v>
      </c>
      <c r="B154" s="117">
        <v>2</v>
      </c>
      <c r="C154" s="118">
        <v>203</v>
      </c>
      <c r="D154" s="119">
        <v>27</v>
      </c>
      <c r="E154" s="157"/>
      <c r="F154" s="147" t="str">
        <f>C154&amp;".T"</f>
        <v>203.T</v>
      </c>
      <c r="G154" s="120" t="s">
        <v>28</v>
      </c>
      <c r="H154" s="120" t="s">
        <v>56</v>
      </c>
      <c r="I154" s="114" t="str">
        <f>VLOOKUP($H154,$D$2:$J$13,6,0)</f>
        <v>Thứ Hai (22/12)</v>
      </c>
      <c r="J154" s="114" t="str">
        <f>VLOOKUP($H154,$D$2:$J$13,7,0)</f>
        <v>Thứ Ba (23/12)</v>
      </c>
      <c r="K154" s="121">
        <v>26</v>
      </c>
      <c r="L154" s="116">
        <f>D154-K154</f>
        <v>1</v>
      </c>
      <c r="M154" s="139" t="str">
        <f t="shared" si="64"/>
        <v>VĂN</v>
      </c>
      <c r="N154" s="140" t="str">
        <f t="shared" si="64"/>
        <v>LÝ</v>
      </c>
      <c r="O154" s="139" t="str">
        <f t="shared" si="64"/>
        <v>TOÁN</v>
      </c>
      <c r="P154" s="139" t="str">
        <f t="shared" si="64"/>
        <v>SỬ</v>
      </c>
      <c r="Q154" s="98">
        <f>Q153+K153</f>
        <v>400523</v>
      </c>
      <c r="R154" s="98">
        <f>Q154+K154-1</f>
        <v>400548</v>
      </c>
      <c r="S154" s="156" t="s">
        <v>112</v>
      </c>
      <c r="T154" s="5" t="s">
        <v>53</v>
      </c>
    </row>
    <row r="155" spans="1:21" ht="15" customHeight="1" x14ac:dyDescent="0.2">
      <c r="A155" s="174">
        <f t="array" ref="A155">IF(F155="","",SUBTOTAL(3,$F$18:F155))</f>
        <v>105</v>
      </c>
      <c r="B155" s="117">
        <v>3</v>
      </c>
      <c r="C155" s="118">
        <v>204</v>
      </c>
      <c r="D155" s="119">
        <v>26</v>
      </c>
      <c r="E155" s="157"/>
      <c r="F155" s="147" t="str">
        <f>C155&amp;".T"</f>
        <v>204.T</v>
      </c>
      <c r="G155" s="120" t="s">
        <v>28</v>
      </c>
      <c r="H155" s="120" t="s">
        <v>56</v>
      </c>
      <c r="I155" s="114" t="str">
        <f>VLOOKUP($H155,$D$2:$J$13,6,0)</f>
        <v>Thứ Hai (22/12)</v>
      </c>
      <c r="J155" s="114" t="str">
        <f>VLOOKUP($H155,$D$2:$J$13,7,0)</f>
        <v>Thứ Ba (23/12)</v>
      </c>
      <c r="K155" s="121">
        <v>26</v>
      </c>
      <c r="L155" s="116">
        <f>D155-K155</f>
        <v>0</v>
      </c>
      <c r="M155" s="139" t="str">
        <f t="shared" si="64"/>
        <v>VĂN</v>
      </c>
      <c r="N155" s="140" t="str">
        <f t="shared" si="64"/>
        <v>LÝ</v>
      </c>
      <c r="O155" s="139" t="str">
        <f t="shared" si="64"/>
        <v>TOÁN</v>
      </c>
      <c r="P155" s="139" t="str">
        <f t="shared" si="64"/>
        <v>SỬ</v>
      </c>
      <c r="Q155" s="98">
        <f>Q154+K154</f>
        <v>400549</v>
      </c>
      <c r="R155" s="98">
        <f>Q155+K155-1</f>
        <v>400574</v>
      </c>
      <c r="S155" s="156" t="s">
        <v>112</v>
      </c>
      <c r="T155" s="5" t="s">
        <v>53</v>
      </c>
    </row>
    <row r="156" spans="1:21" ht="15" customHeight="1" x14ac:dyDescent="0.2">
      <c r="A156" s="174">
        <f t="array" ref="A156">IF(F156="","",SUBTOTAL(3,$F$18:F156))</f>
        <v>106</v>
      </c>
      <c r="B156" s="117">
        <v>4</v>
      </c>
      <c r="C156" s="118">
        <v>205</v>
      </c>
      <c r="D156" s="119">
        <v>26</v>
      </c>
      <c r="E156" s="157"/>
      <c r="F156" s="147" t="str">
        <f>C156&amp;".T"</f>
        <v>205.T</v>
      </c>
      <c r="G156" s="120" t="s">
        <v>28</v>
      </c>
      <c r="H156" s="120" t="s">
        <v>56</v>
      </c>
      <c r="I156" s="114" t="str">
        <f>VLOOKUP($H156,$D$2:$J$13,6,0)</f>
        <v>Thứ Hai (22/12)</v>
      </c>
      <c r="J156" s="114" t="str">
        <f>VLOOKUP($H156,$D$2:$J$13,7,0)</f>
        <v>Thứ Ba (23/12)</v>
      </c>
      <c r="K156" s="121">
        <v>26</v>
      </c>
      <c r="L156" s="116">
        <f>D156-K156</f>
        <v>0</v>
      </c>
      <c r="M156" s="139" t="str">
        <f t="shared" si="64"/>
        <v>VĂN</v>
      </c>
      <c r="N156" s="140" t="str">
        <f t="shared" si="64"/>
        <v>LÝ</v>
      </c>
      <c r="O156" s="139" t="str">
        <f t="shared" si="64"/>
        <v>TOÁN</v>
      </c>
      <c r="P156" s="139" t="str">
        <f t="shared" si="64"/>
        <v>SỬ</v>
      </c>
      <c r="Q156" s="98">
        <f>Q155+K155</f>
        <v>400575</v>
      </c>
      <c r="R156" s="98">
        <f>Q156+K156-1</f>
        <v>400600</v>
      </c>
      <c r="S156" s="156" t="s">
        <v>112</v>
      </c>
      <c r="T156" s="5" t="s">
        <v>53</v>
      </c>
    </row>
    <row r="157" spans="1:21" ht="15" customHeight="1" x14ac:dyDescent="0.2">
      <c r="A157" s="174">
        <f t="array" ref="A157">IF(F157="","",SUBTOTAL(3,$F$18:F157))</f>
        <v>107</v>
      </c>
      <c r="B157" s="117">
        <v>5</v>
      </c>
      <c r="C157" s="118">
        <v>206</v>
      </c>
      <c r="D157" s="119">
        <v>26</v>
      </c>
      <c r="E157" s="157"/>
      <c r="F157" s="147" t="str">
        <f>C157&amp;".T"</f>
        <v>206.T</v>
      </c>
      <c r="G157" s="136" t="s">
        <v>28</v>
      </c>
      <c r="H157" s="136" t="s">
        <v>56</v>
      </c>
      <c r="I157" s="114" t="str">
        <f>VLOOKUP($H157,$D$2:$J$13,6,0)</f>
        <v>Thứ Hai (22/12)</v>
      </c>
      <c r="J157" s="114" t="str">
        <f>VLOOKUP($H157,$D$2:$J$13,7,0)</f>
        <v>Thứ Ba (23/12)</v>
      </c>
      <c r="K157" s="121">
        <v>26</v>
      </c>
      <c r="L157" s="116">
        <f>D157-K157</f>
        <v>0</v>
      </c>
      <c r="M157" s="139" t="str">
        <f t="shared" si="64"/>
        <v>VĂN</v>
      </c>
      <c r="N157" s="140" t="str">
        <f t="shared" si="64"/>
        <v>LÝ</v>
      </c>
      <c r="O157" s="139" t="str">
        <f t="shared" si="64"/>
        <v>TOÁN</v>
      </c>
      <c r="P157" s="139" t="str">
        <f t="shared" si="64"/>
        <v>SỬ</v>
      </c>
      <c r="Q157" s="98">
        <f>Q156+K156</f>
        <v>400601</v>
      </c>
      <c r="R157" s="98">
        <f>Q157+K157-1</f>
        <v>400626</v>
      </c>
      <c r="S157" s="156" t="s">
        <v>112</v>
      </c>
      <c r="T157" s="5" t="s">
        <v>53</v>
      </c>
    </row>
    <row r="158" spans="1:21" ht="30" customHeight="1" x14ac:dyDescent="0.2">
      <c r="A158" s="174" t="str">
        <f t="array" ref="A158">IF(F158="","",SUBTOTAL(3,$F$18:F158))</f>
        <v/>
      </c>
      <c r="B158" s="156" t="s">
        <v>113</v>
      </c>
      <c r="C158" s="128"/>
      <c r="D158" s="129">
        <f>SUM(D159:D165)</f>
        <v>167</v>
      </c>
      <c r="E158" s="130"/>
      <c r="F158" s="131"/>
      <c r="G158" s="132"/>
      <c r="H158" s="132"/>
      <c r="I158" s="132"/>
      <c r="J158" s="132"/>
      <c r="K158" s="105">
        <v>166</v>
      </c>
      <c r="L158" s="106"/>
      <c r="M158" s="99" t="str">
        <f>VLOOKUP($G159,$L$5:$P$10,M$3,0)</f>
        <v>VĂN</v>
      </c>
      <c r="N158" s="107" t="str">
        <f>VLOOKUP($G159,$L$5:$P$10,N$3,0)</f>
        <v>KT-PL</v>
      </c>
      <c r="O158" s="99" t="str">
        <f>VLOOKUP($G159,$L$5:$P$10,O$3,0)</f>
        <v>TOÁN</v>
      </c>
      <c r="P158" s="99" t="str">
        <f>VLOOKUP($G159,$L$5:$P$10,P$3,0)</f>
        <v>SỬ</v>
      </c>
      <c r="Q158" s="98"/>
      <c r="R158" s="98"/>
      <c r="S158" s="98"/>
      <c r="T158" s="5" t="e">
        <v>#N/A</v>
      </c>
    </row>
    <row r="159" spans="1:21" ht="15" customHeight="1" x14ac:dyDescent="0.2">
      <c r="A159" s="174">
        <f t="array" ref="A159">IF(F159="","",SUBTOTAL(3,$F$18:F159))</f>
        <v>108</v>
      </c>
      <c r="B159" s="143">
        <v>1</v>
      </c>
      <c r="C159" s="144">
        <v>302</v>
      </c>
      <c r="D159" s="150">
        <v>24</v>
      </c>
      <c r="E159" s="151" t="s">
        <v>88</v>
      </c>
      <c r="F159" s="145" t="str">
        <f t="shared" ref="F159:F165" si="65">C159&amp;".T"</f>
        <v>302.T</v>
      </c>
      <c r="G159" s="146" t="s">
        <v>19</v>
      </c>
      <c r="H159" s="146" t="s">
        <v>56</v>
      </c>
      <c r="I159" s="114" t="str">
        <f t="shared" ref="I159:I165" si="66">VLOOKUP($H159,$D$2:$J$13,6,0)</f>
        <v>Thứ Hai (22/12)</v>
      </c>
      <c r="J159" s="114" t="str">
        <f t="shared" ref="J159:J165" si="67">VLOOKUP($H159,$D$2:$J$13,7,0)</f>
        <v>Thứ Ba (23/12)</v>
      </c>
      <c r="K159" s="115">
        <v>24</v>
      </c>
      <c r="L159" s="116">
        <f t="shared" ref="L159:L165" si="68">D159-K159</f>
        <v>0</v>
      </c>
      <c r="M159" s="139" t="str">
        <f t="shared" ref="M159:P163" si="69">VLOOKUP($G159,$L$5:$P$9,M$3,0)</f>
        <v>VĂN</v>
      </c>
      <c r="N159" s="140" t="str">
        <f t="shared" si="69"/>
        <v>KT-PL</v>
      </c>
      <c r="O159" s="139" t="str">
        <f t="shared" si="69"/>
        <v>TOÁN</v>
      </c>
      <c r="P159" s="139" t="str">
        <f t="shared" si="69"/>
        <v>SỬ</v>
      </c>
      <c r="Q159" s="98">
        <f>R157+1</f>
        <v>400627</v>
      </c>
      <c r="R159" s="98">
        <f t="shared" ref="R159:R165" si="70">Q159+K159-1</f>
        <v>400650</v>
      </c>
      <c r="S159" s="156" t="s">
        <v>113</v>
      </c>
      <c r="T159" s="5" t="s">
        <v>53</v>
      </c>
    </row>
    <row r="160" spans="1:21" ht="15" customHeight="1" x14ac:dyDescent="0.2">
      <c r="A160" s="174">
        <f t="array" ref="A160">IF(F160="","",SUBTOTAL(3,$F$18:F160))</f>
        <v>109</v>
      </c>
      <c r="B160" s="117">
        <v>2</v>
      </c>
      <c r="C160" s="118">
        <v>303</v>
      </c>
      <c r="D160" s="119">
        <v>24</v>
      </c>
      <c r="E160" s="157"/>
      <c r="F160" s="147" t="str">
        <f t="shared" si="65"/>
        <v>303.T</v>
      </c>
      <c r="G160" s="120" t="s">
        <v>19</v>
      </c>
      <c r="H160" s="120" t="s">
        <v>56</v>
      </c>
      <c r="I160" s="114" t="str">
        <f t="shared" si="66"/>
        <v>Thứ Hai (22/12)</v>
      </c>
      <c r="J160" s="114" t="str">
        <f t="shared" si="67"/>
        <v>Thứ Ba (23/12)</v>
      </c>
      <c r="K160" s="121">
        <v>24</v>
      </c>
      <c r="L160" s="116">
        <f t="shared" si="68"/>
        <v>0</v>
      </c>
      <c r="M160" s="139" t="str">
        <f t="shared" si="69"/>
        <v>VĂN</v>
      </c>
      <c r="N160" s="140" t="str">
        <f t="shared" si="69"/>
        <v>KT-PL</v>
      </c>
      <c r="O160" s="139" t="str">
        <f t="shared" si="69"/>
        <v>TOÁN</v>
      </c>
      <c r="P160" s="139" t="str">
        <f t="shared" si="69"/>
        <v>SỬ</v>
      </c>
      <c r="Q160" s="98">
        <f t="shared" ref="Q160:Q165" si="71">Q159+K159</f>
        <v>400651</v>
      </c>
      <c r="R160" s="98">
        <f t="shared" si="70"/>
        <v>400674</v>
      </c>
      <c r="S160" s="156" t="s">
        <v>113</v>
      </c>
      <c r="T160" s="5" t="s">
        <v>53</v>
      </c>
    </row>
    <row r="161" spans="1:20" ht="15" customHeight="1" x14ac:dyDescent="0.2">
      <c r="A161" s="174">
        <f t="array" ref="A161">IF(F161="","",SUBTOTAL(3,$F$18:F161))</f>
        <v>110</v>
      </c>
      <c r="B161" s="117">
        <v>3</v>
      </c>
      <c r="C161" s="118">
        <v>304</v>
      </c>
      <c r="D161" s="119">
        <v>24</v>
      </c>
      <c r="E161" s="157"/>
      <c r="F161" s="147" t="str">
        <f t="shared" si="65"/>
        <v>304.T</v>
      </c>
      <c r="G161" s="120" t="s">
        <v>19</v>
      </c>
      <c r="H161" s="120" t="s">
        <v>56</v>
      </c>
      <c r="I161" s="114" t="str">
        <f t="shared" si="66"/>
        <v>Thứ Hai (22/12)</v>
      </c>
      <c r="J161" s="114" t="str">
        <f t="shared" si="67"/>
        <v>Thứ Ba (23/12)</v>
      </c>
      <c r="K161" s="121">
        <v>24</v>
      </c>
      <c r="L161" s="116">
        <f t="shared" si="68"/>
        <v>0</v>
      </c>
      <c r="M161" s="139" t="str">
        <f t="shared" si="69"/>
        <v>VĂN</v>
      </c>
      <c r="N161" s="140" t="str">
        <f t="shared" si="69"/>
        <v>KT-PL</v>
      </c>
      <c r="O161" s="139" t="str">
        <f t="shared" si="69"/>
        <v>TOÁN</v>
      </c>
      <c r="P161" s="139" t="str">
        <f t="shared" si="69"/>
        <v>SỬ</v>
      </c>
      <c r="Q161" s="98">
        <f t="shared" si="71"/>
        <v>400675</v>
      </c>
      <c r="R161" s="98">
        <f t="shared" si="70"/>
        <v>400698</v>
      </c>
      <c r="S161" s="156" t="s">
        <v>113</v>
      </c>
      <c r="T161" s="5" t="s">
        <v>53</v>
      </c>
    </row>
    <row r="162" spans="1:20" ht="15" customHeight="1" x14ac:dyDescent="0.2">
      <c r="A162" s="174">
        <f t="array" ref="A162">IF(F162="","",SUBTOTAL(3,$F$18:F162))</f>
        <v>111</v>
      </c>
      <c r="B162" s="117">
        <v>4</v>
      </c>
      <c r="C162" s="118">
        <v>305</v>
      </c>
      <c r="D162" s="119">
        <v>24</v>
      </c>
      <c r="E162" s="157"/>
      <c r="F162" s="147" t="str">
        <f t="shared" si="65"/>
        <v>305.T</v>
      </c>
      <c r="G162" s="120" t="s">
        <v>19</v>
      </c>
      <c r="H162" s="120" t="s">
        <v>56</v>
      </c>
      <c r="I162" s="114" t="str">
        <f t="shared" si="66"/>
        <v>Thứ Hai (22/12)</v>
      </c>
      <c r="J162" s="114" t="str">
        <f t="shared" si="67"/>
        <v>Thứ Ba (23/12)</v>
      </c>
      <c r="K162" s="121">
        <v>24</v>
      </c>
      <c r="L162" s="116">
        <f t="shared" si="68"/>
        <v>0</v>
      </c>
      <c r="M162" s="139" t="str">
        <f t="shared" si="69"/>
        <v>VĂN</v>
      </c>
      <c r="N162" s="140" t="str">
        <f t="shared" si="69"/>
        <v>KT-PL</v>
      </c>
      <c r="O162" s="139" t="str">
        <f t="shared" si="69"/>
        <v>TOÁN</v>
      </c>
      <c r="P162" s="139" t="str">
        <f t="shared" si="69"/>
        <v>SỬ</v>
      </c>
      <c r="Q162" s="98">
        <f t="shared" si="71"/>
        <v>400699</v>
      </c>
      <c r="R162" s="98">
        <f t="shared" si="70"/>
        <v>400722</v>
      </c>
      <c r="S162" s="156" t="s">
        <v>113</v>
      </c>
      <c r="T162" s="5" t="s">
        <v>53</v>
      </c>
    </row>
    <row r="163" spans="1:20" ht="15" customHeight="1" x14ac:dyDescent="0.2">
      <c r="A163" s="174">
        <f t="array" ref="A163">IF(F163="","",SUBTOTAL(3,$F$18:F163))</f>
        <v>112</v>
      </c>
      <c r="B163" s="117">
        <v>5</v>
      </c>
      <c r="C163" s="118">
        <v>306</v>
      </c>
      <c r="D163" s="119">
        <v>24</v>
      </c>
      <c r="E163" s="157"/>
      <c r="F163" s="147" t="str">
        <f t="shared" si="65"/>
        <v>306.T</v>
      </c>
      <c r="G163" s="120" t="s">
        <v>19</v>
      </c>
      <c r="H163" s="120" t="s">
        <v>56</v>
      </c>
      <c r="I163" s="114" t="str">
        <f t="shared" si="66"/>
        <v>Thứ Hai (22/12)</v>
      </c>
      <c r="J163" s="114" t="str">
        <f t="shared" si="67"/>
        <v>Thứ Ba (23/12)</v>
      </c>
      <c r="K163" s="121">
        <v>24</v>
      </c>
      <c r="L163" s="116">
        <f t="shared" si="68"/>
        <v>0</v>
      </c>
      <c r="M163" s="139" t="str">
        <f t="shared" si="69"/>
        <v>VĂN</v>
      </c>
      <c r="N163" s="140" t="str">
        <f t="shared" si="69"/>
        <v>KT-PL</v>
      </c>
      <c r="O163" s="139" t="str">
        <f t="shared" si="69"/>
        <v>TOÁN</v>
      </c>
      <c r="P163" s="139" t="str">
        <f t="shared" si="69"/>
        <v>SỬ</v>
      </c>
      <c r="Q163" s="98">
        <f t="shared" si="71"/>
        <v>400723</v>
      </c>
      <c r="R163" s="98">
        <f t="shared" si="70"/>
        <v>400746</v>
      </c>
      <c r="S163" s="156" t="s">
        <v>113</v>
      </c>
      <c r="T163" s="5" t="s">
        <v>53</v>
      </c>
    </row>
    <row r="164" spans="1:20" ht="15" customHeight="1" x14ac:dyDescent="0.2">
      <c r="A164" s="174">
        <f t="array" ref="A164">IF(F164="","",SUBTOTAL(3,$F$18:F164))</f>
        <v>113</v>
      </c>
      <c r="B164" s="117">
        <v>6</v>
      </c>
      <c r="C164" s="118">
        <v>310</v>
      </c>
      <c r="D164" s="119">
        <v>24</v>
      </c>
      <c r="E164" s="157"/>
      <c r="F164" s="147" t="str">
        <f t="shared" si="65"/>
        <v>310.T</v>
      </c>
      <c r="G164" s="120" t="s">
        <v>19</v>
      </c>
      <c r="H164" s="120" t="s">
        <v>56</v>
      </c>
      <c r="I164" s="114" t="str">
        <f t="shared" si="66"/>
        <v>Thứ Hai (22/12)</v>
      </c>
      <c r="J164" s="114" t="str">
        <f t="shared" si="67"/>
        <v>Thứ Ba (23/12)</v>
      </c>
      <c r="K164" s="121">
        <v>23</v>
      </c>
      <c r="L164" s="116">
        <f t="shared" si="68"/>
        <v>1</v>
      </c>
      <c r="M164" s="139" t="str">
        <f t="shared" ref="M164:P165" si="72">VLOOKUP($G164,$L$5:$P$9,M$3,0)</f>
        <v>VĂN</v>
      </c>
      <c r="N164" s="140" t="str">
        <f t="shared" si="72"/>
        <v>KT-PL</v>
      </c>
      <c r="O164" s="139" t="str">
        <f t="shared" si="72"/>
        <v>TOÁN</v>
      </c>
      <c r="P164" s="139" t="str">
        <f t="shared" si="72"/>
        <v>SỬ</v>
      </c>
      <c r="Q164" s="98">
        <f t="shared" si="71"/>
        <v>400747</v>
      </c>
      <c r="R164" s="98">
        <f t="shared" si="70"/>
        <v>400769</v>
      </c>
      <c r="S164" s="156" t="s">
        <v>113</v>
      </c>
      <c r="T164" s="5" t="s">
        <v>53</v>
      </c>
    </row>
    <row r="165" spans="1:20" ht="15" customHeight="1" x14ac:dyDescent="0.2">
      <c r="A165" s="174">
        <f t="array" ref="A165">IF(F165="","",SUBTOTAL(3,$F$18:F165))</f>
        <v>114</v>
      </c>
      <c r="B165" s="134">
        <v>7</v>
      </c>
      <c r="C165" s="135">
        <v>311</v>
      </c>
      <c r="D165" s="153">
        <v>23</v>
      </c>
      <c r="E165" s="154"/>
      <c r="F165" s="148" t="str">
        <f t="shared" si="65"/>
        <v>311.T</v>
      </c>
      <c r="G165" s="136" t="s">
        <v>19</v>
      </c>
      <c r="H165" s="136" t="s">
        <v>56</v>
      </c>
      <c r="I165" s="158" t="str">
        <f t="shared" si="66"/>
        <v>Thứ Hai (22/12)</v>
      </c>
      <c r="J165" s="158" t="str">
        <f t="shared" si="67"/>
        <v>Thứ Ba (23/12)</v>
      </c>
      <c r="K165" s="127">
        <v>23</v>
      </c>
      <c r="L165" s="155">
        <f t="shared" si="68"/>
        <v>0</v>
      </c>
      <c r="M165" s="139" t="str">
        <f t="shared" si="72"/>
        <v>VĂN</v>
      </c>
      <c r="N165" s="140" t="str">
        <f t="shared" si="72"/>
        <v>KT-PL</v>
      </c>
      <c r="O165" s="139" t="str">
        <f t="shared" si="72"/>
        <v>TOÁN</v>
      </c>
      <c r="P165" s="139" t="str">
        <f t="shared" si="72"/>
        <v>SỬ</v>
      </c>
      <c r="Q165" s="98">
        <f t="shared" si="71"/>
        <v>400770</v>
      </c>
      <c r="R165" s="98">
        <f t="shared" si="70"/>
        <v>400792</v>
      </c>
      <c r="S165" s="156" t="s">
        <v>113</v>
      </c>
      <c r="T165" s="5" t="s">
        <v>53</v>
      </c>
    </row>
  </sheetData>
  <autoFilter ref="A14:U165" xr:uid="{00000000-0009-0000-0000-000000000000}"/>
  <mergeCells count="5">
    <mergeCell ref="K2:K3"/>
    <mergeCell ref="L2:L3"/>
    <mergeCell ref="M4:N4"/>
    <mergeCell ref="O4:P4"/>
    <mergeCell ref="A1:J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H15"/>
  <sheetViews>
    <sheetView tabSelected="1" view="pageBreakPreview" zoomScaleNormal="100" zoomScaleSheetLayoutView="100" workbookViewId="0">
      <selection activeCell="A16" sqref="A16:XFD180"/>
    </sheetView>
  </sheetViews>
  <sheetFormatPr baseColWidth="10" defaultColWidth="9" defaultRowHeight="20" x14ac:dyDescent="0.2"/>
  <cols>
    <col min="1" max="2" width="8.6640625" style="1" customWidth="1"/>
    <col min="3" max="3" width="1.6640625" style="1" customWidth="1"/>
    <col min="4" max="5" width="8.6640625" style="1" customWidth="1"/>
    <col min="6" max="7" width="1.1640625" style="1" customWidth="1"/>
    <col min="8" max="9" width="8.6640625" style="1" customWidth="1"/>
    <col min="10" max="10" width="1.6640625" style="1" customWidth="1"/>
    <col min="11" max="12" width="8.6640625" style="1" customWidth="1"/>
    <col min="13" max="14" width="1.1640625" style="1" customWidth="1"/>
    <col min="15" max="16" width="8.6640625" style="1" customWidth="1"/>
    <col min="17" max="17" width="1.6640625" style="1" customWidth="1"/>
    <col min="18" max="19" width="8.6640625" style="1" customWidth="1"/>
    <col min="20" max="21" width="1.1640625" style="1" customWidth="1"/>
    <col min="22" max="23" width="8.6640625" style="1" customWidth="1"/>
    <col min="24" max="24" width="1.6640625" style="1" customWidth="1"/>
    <col min="25" max="26" width="8.6640625" style="1" customWidth="1"/>
    <col min="27" max="27" width="3.83203125" style="1" customWidth="1"/>
    <col min="28" max="28" width="4.5" style="1" customWidth="1"/>
    <col min="29" max="29" width="8.1640625" style="20" customWidth="1"/>
    <col min="30" max="30" width="7.1640625" style="1" customWidth="1"/>
    <col min="31" max="256" width="11" style="1" customWidth="1"/>
    <col min="257" max="16384" width="9" style="1"/>
  </cols>
  <sheetData>
    <row r="1" spans="1:34" x14ac:dyDescent="0.2">
      <c r="A1" s="194" t="str">
        <f>VLOOKUP($AC1,'1_Coppy_Tke Pthi dan'!$A$18:$S$165,19,0)</f>
        <v>TỔ HỢP 2 (10AS1,2)</v>
      </c>
      <c r="B1" s="194"/>
      <c r="C1" s="194"/>
      <c r="D1" s="194"/>
      <c r="E1" s="194"/>
      <c r="F1" s="11"/>
      <c r="H1" s="194" t="str">
        <f>A1</f>
        <v>TỔ HỢP 2 (10AS1,2)</v>
      </c>
      <c r="I1" s="194"/>
      <c r="J1" s="194"/>
      <c r="K1" s="194"/>
      <c r="L1" s="194"/>
      <c r="M1" s="28"/>
      <c r="N1" s="186"/>
      <c r="O1" s="194" t="str">
        <f>H1</f>
        <v>TỔ HỢP 2 (10AS1,2)</v>
      </c>
      <c r="P1" s="194"/>
      <c r="Q1" s="194"/>
      <c r="R1" s="194"/>
      <c r="S1" s="194"/>
      <c r="T1" s="11"/>
      <c r="V1" s="194" t="str">
        <f>O1</f>
        <v>TỔ HỢP 2 (10AS1,2)</v>
      </c>
      <c r="W1" s="194"/>
      <c r="X1" s="194"/>
      <c r="Y1" s="194"/>
      <c r="Z1" s="194"/>
      <c r="AA1" s="186"/>
      <c r="AB1" s="186"/>
      <c r="AC1" s="19">
        <f>$AH$1</f>
        <v>1</v>
      </c>
      <c r="AD1" s="16" t="str">
        <f>VLOOKUP($AC1,'1_Coppy_Tke Pthi dan'!$A$18:$S$165,7,0)</f>
        <v>TH2</v>
      </c>
      <c r="AE1" s="16" t="str">
        <f>VLOOKUP($AC1,'1_Coppy_Tke Pthi dan'!$A$18:$S$165,3,0)</f>
        <v>1A</v>
      </c>
      <c r="AF1" s="21">
        <v>22</v>
      </c>
      <c r="AG1" s="14"/>
      <c r="AH1" s="178">
        <v>1</v>
      </c>
    </row>
    <row r="2" spans="1:34" ht="18" customHeight="1" x14ac:dyDescent="0.2">
      <c r="A2" s="195" t="s">
        <v>3</v>
      </c>
      <c r="B2" s="195"/>
      <c r="C2" s="195"/>
      <c r="D2" s="195"/>
      <c r="E2" s="195"/>
      <c r="F2" s="196"/>
      <c r="G2" s="10"/>
      <c r="H2" s="195" t="str">
        <f>$A$2</f>
        <v>Sơ đồ chỗ ngồi</v>
      </c>
      <c r="I2" s="195"/>
      <c r="J2" s="195"/>
      <c r="K2" s="195"/>
      <c r="L2" s="195"/>
      <c r="M2" s="17"/>
      <c r="N2" s="18"/>
      <c r="O2" s="195" t="str">
        <f>$A$2</f>
        <v>Sơ đồ chỗ ngồi</v>
      </c>
      <c r="P2" s="195"/>
      <c r="Q2" s="195"/>
      <c r="R2" s="195"/>
      <c r="S2" s="195"/>
      <c r="T2" s="196"/>
      <c r="U2" s="10"/>
      <c r="V2" s="195" t="str">
        <f>$A$2</f>
        <v>Sơ đồ chỗ ngồi</v>
      </c>
      <c r="W2" s="195"/>
      <c r="X2" s="195"/>
      <c r="Y2" s="195"/>
      <c r="Z2" s="195"/>
      <c r="AA2" s="18"/>
      <c r="AB2" s="18"/>
      <c r="AC2" s="20" t="s">
        <v>34</v>
      </c>
      <c r="AD2" s="20" t="s">
        <v>33</v>
      </c>
      <c r="AE2" s="20" t="s">
        <v>35</v>
      </c>
      <c r="AF2" s="20" t="s">
        <v>36</v>
      </c>
      <c r="AG2" s="14"/>
      <c r="AH2" s="179">
        <f>AH1+1</f>
        <v>2</v>
      </c>
    </row>
    <row r="3" spans="1:34" s="22" customFormat="1" ht="18.75" customHeight="1" x14ac:dyDescent="0.2">
      <c r="A3" s="194" t="str">
        <f>VLOOKUP($AC1,'1_Coppy_Tke Pthi dan'!$A$18:$S$165,13,0)</f>
        <v>VĂN</v>
      </c>
      <c r="B3" s="194"/>
      <c r="E3" s="187" t="str">
        <f>"P. "&amp;$AE1</f>
        <v>P. 1A</v>
      </c>
      <c r="F3" s="23"/>
      <c r="G3" s="24"/>
      <c r="H3" s="197" t="str">
        <f>VLOOKUP($AC1,'1_Coppy_Tke Pthi dan'!$A$18:$S$165,14,0)</f>
        <v>HÓA</v>
      </c>
      <c r="I3" s="197"/>
      <c r="L3" s="186" t="str">
        <f>E3</f>
        <v>P. 1A</v>
      </c>
      <c r="M3" s="28"/>
      <c r="N3" s="186"/>
      <c r="O3" s="194" t="str">
        <f>VLOOKUP($AC1,'1_Coppy_Tke Pthi dan'!$A$18:$S$165,15,0)</f>
        <v>TOÁN</v>
      </c>
      <c r="P3" s="194"/>
      <c r="S3" s="186" t="str">
        <f>L3</f>
        <v>P. 1A</v>
      </c>
      <c r="T3" s="23"/>
      <c r="U3" s="24"/>
      <c r="V3" s="194" t="str">
        <f>VLOOKUP($AC1,'1_Coppy_Tke Pthi dan'!$A$18:$S$165,16,0)</f>
        <v>SỬ</v>
      </c>
      <c r="W3" s="194"/>
      <c r="Z3" s="186" t="str">
        <f>S3</f>
        <v>P. 1A</v>
      </c>
      <c r="AA3" s="186"/>
      <c r="AB3" s="186"/>
      <c r="AC3" s="30">
        <v>100001</v>
      </c>
      <c r="AD3" s="30">
        <v>100022</v>
      </c>
      <c r="AG3" s="180"/>
      <c r="AH3" s="179">
        <f t="shared" ref="AH3:AH12" si="0">AH2+1</f>
        <v>3</v>
      </c>
    </row>
    <row r="4" spans="1:34" ht="16" customHeight="1" x14ac:dyDescent="0.2">
      <c r="A4" s="14" t="s">
        <v>1</v>
      </c>
      <c r="E4" s="3"/>
      <c r="F4" s="9"/>
      <c r="H4" s="14" t="s">
        <v>1</v>
      </c>
      <c r="L4" s="3"/>
      <c r="M4" s="12"/>
      <c r="N4" s="3"/>
      <c r="O4" s="14" t="s">
        <v>1</v>
      </c>
      <c r="S4" s="3"/>
      <c r="T4" s="9"/>
      <c r="V4" s="14" t="s">
        <v>1</v>
      </c>
      <c r="Z4" s="3"/>
      <c r="AA4" s="3"/>
      <c r="AB4" s="3"/>
      <c r="AG4" s="14"/>
      <c r="AH4" s="179">
        <f t="shared" si="0"/>
        <v>4</v>
      </c>
    </row>
    <row r="5" spans="1:34" ht="8" customHeight="1" x14ac:dyDescent="0.2">
      <c r="E5" s="3"/>
      <c r="F5" s="9"/>
      <c r="L5" s="3"/>
      <c r="M5" s="12"/>
      <c r="N5" s="3"/>
      <c r="S5" s="3"/>
      <c r="T5" s="9"/>
      <c r="Z5" s="3"/>
      <c r="AA5" s="3"/>
      <c r="AB5" s="3"/>
      <c r="AG5" s="14"/>
      <c r="AH5" s="179">
        <f t="shared" si="0"/>
        <v>5</v>
      </c>
    </row>
    <row r="6" spans="1:34" ht="16" customHeight="1" x14ac:dyDescent="0.2">
      <c r="A6" s="25">
        <f>VLOOKUP($AC1,'1_Coppy_Tke Pthi dan'!$A$18:$S$165,17,0)</f>
        <v>100001</v>
      </c>
      <c r="B6" s="26">
        <f>A6+5</f>
        <v>100006</v>
      </c>
      <c r="C6" s="27"/>
      <c r="D6" s="26">
        <f>A6+11</f>
        <v>100012</v>
      </c>
      <c r="E6" s="26">
        <f>A6+17</f>
        <v>100018</v>
      </c>
      <c r="F6" s="13"/>
      <c r="G6" s="15"/>
      <c r="H6" s="29">
        <f>L6+17</f>
        <v>100018</v>
      </c>
      <c r="I6" s="26">
        <f>L6+11</f>
        <v>100012</v>
      </c>
      <c r="J6" s="27"/>
      <c r="K6" s="26">
        <f>L6+5</f>
        <v>100006</v>
      </c>
      <c r="L6" s="25">
        <f>VLOOKUP($AC1,'1_Coppy_Tke Pthi dan'!$A$18:$S$165,17,0)</f>
        <v>100001</v>
      </c>
      <c r="M6" s="13"/>
      <c r="N6" s="4"/>
      <c r="O6" s="193">
        <f>AD3</f>
        <v>100022</v>
      </c>
      <c r="P6" s="26">
        <f>O6-1</f>
        <v>100021</v>
      </c>
      <c r="Q6" s="27"/>
      <c r="R6" s="26">
        <f>P6-1</f>
        <v>100020</v>
      </c>
      <c r="S6" s="26">
        <f>R6-1</f>
        <v>100019</v>
      </c>
      <c r="T6" s="13"/>
      <c r="U6" s="15"/>
      <c r="V6" s="29">
        <f>W6-1</f>
        <v>100019</v>
      </c>
      <c r="W6" s="26">
        <f>Y6-1</f>
        <v>100020</v>
      </c>
      <c r="X6" s="27"/>
      <c r="Y6" s="26">
        <f>Z6-1</f>
        <v>100021</v>
      </c>
      <c r="Z6" s="193">
        <f>AD3</f>
        <v>100022</v>
      </c>
      <c r="AA6" s="4"/>
      <c r="AB6" s="4"/>
      <c r="AC6" s="2"/>
      <c r="AG6" s="180"/>
      <c r="AH6" s="179">
        <f t="shared" si="0"/>
        <v>6</v>
      </c>
    </row>
    <row r="7" spans="1:34" ht="16" customHeight="1" x14ac:dyDescent="0.2">
      <c r="A7" s="26">
        <f>A6+1</f>
        <v>100002</v>
      </c>
      <c r="B7" s="26">
        <f>A7+5</f>
        <v>100007</v>
      </c>
      <c r="C7" s="27"/>
      <c r="D7" s="26">
        <f>A7+11</f>
        <v>100013</v>
      </c>
      <c r="E7" s="26">
        <f>A7+17</f>
        <v>100019</v>
      </c>
      <c r="F7" s="13"/>
      <c r="G7" s="15"/>
      <c r="H7" s="29">
        <f>L7+17</f>
        <v>100019</v>
      </c>
      <c r="I7" s="26">
        <f>L7+11</f>
        <v>100013</v>
      </c>
      <c r="J7" s="27"/>
      <c r="K7" s="26">
        <f>L7+5</f>
        <v>100007</v>
      </c>
      <c r="L7" s="26">
        <f>L6+1</f>
        <v>100002</v>
      </c>
      <c r="M7" s="13"/>
      <c r="N7" s="4"/>
      <c r="O7" s="26">
        <f>P7-1</f>
        <v>100015</v>
      </c>
      <c r="P7" s="26">
        <f>R7-1</f>
        <v>100016</v>
      </c>
      <c r="Q7" s="27"/>
      <c r="R7" s="26">
        <f>S7-1</f>
        <v>100017</v>
      </c>
      <c r="S7" s="26">
        <f>S6-1</f>
        <v>100018</v>
      </c>
      <c r="T7" s="13"/>
      <c r="U7" s="15"/>
      <c r="V7" s="26">
        <f>V6-1</f>
        <v>100018</v>
      </c>
      <c r="W7" s="26">
        <f>V7-1</f>
        <v>100017</v>
      </c>
      <c r="X7" s="27"/>
      <c r="Y7" s="26">
        <f>W7-1</f>
        <v>100016</v>
      </c>
      <c r="Z7" s="26">
        <f>Y7-1</f>
        <v>100015</v>
      </c>
      <c r="AA7" s="4"/>
      <c r="AB7" s="4"/>
      <c r="AC7" s="2"/>
      <c r="AG7" s="14"/>
      <c r="AH7" s="179">
        <f t="shared" si="0"/>
        <v>7</v>
      </c>
    </row>
    <row r="8" spans="1:34" ht="16" customHeight="1" x14ac:dyDescent="0.2">
      <c r="A8" s="26">
        <f>A7+1</f>
        <v>100003</v>
      </c>
      <c r="B8" s="26">
        <f>A8+5</f>
        <v>100008</v>
      </c>
      <c r="C8" s="27"/>
      <c r="D8" s="26">
        <f>A8+11</f>
        <v>100014</v>
      </c>
      <c r="E8" s="26">
        <f>A8+17</f>
        <v>100020</v>
      </c>
      <c r="F8" s="13"/>
      <c r="G8" s="15"/>
      <c r="H8" s="29">
        <f>L8+17</f>
        <v>100020</v>
      </c>
      <c r="I8" s="26">
        <f>L8+11</f>
        <v>100014</v>
      </c>
      <c r="J8" s="27"/>
      <c r="K8" s="26">
        <f>L8+5</f>
        <v>100008</v>
      </c>
      <c r="L8" s="26">
        <f>L7+1</f>
        <v>100003</v>
      </c>
      <c r="M8" s="13"/>
      <c r="N8" s="4"/>
      <c r="O8" s="26">
        <f>O7-1</f>
        <v>100014</v>
      </c>
      <c r="P8" s="26">
        <f>O8-1</f>
        <v>100013</v>
      </c>
      <c r="Q8" s="27"/>
      <c r="R8" s="26">
        <f>P8-1</f>
        <v>100012</v>
      </c>
      <c r="S8" s="26">
        <f>R8-1</f>
        <v>100011</v>
      </c>
      <c r="T8" s="13"/>
      <c r="U8" s="15"/>
      <c r="V8" s="26">
        <f>W8-1</f>
        <v>100011</v>
      </c>
      <c r="W8" s="26">
        <f>Y8-1</f>
        <v>100012</v>
      </c>
      <c r="X8" s="27"/>
      <c r="Y8" s="26">
        <f>Z8-1</f>
        <v>100013</v>
      </c>
      <c r="Z8" s="26">
        <f>Z7-1</f>
        <v>100014</v>
      </c>
      <c r="AA8" s="4"/>
      <c r="AB8" s="4"/>
      <c r="AC8" s="2"/>
      <c r="AG8" s="14"/>
      <c r="AH8" s="179">
        <f t="shared" si="0"/>
        <v>8</v>
      </c>
    </row>
    <row r="9" spans="1:34" ht="16" customHeight="1" x14ac:dyDescent="0.2">
      <c r="A9" s="26">
        <f>A8+1</f>
        <v>100004</v>
      </c>
      <c r="B9" s="26">
        <f>A9+5</f>
        <v>100009</v>
      </c>
      <c r="C9" s="27"/>
      <c r="D9" s="26">
        <f>A9+11</f>
        <v>100015</v>
      </c>
      <c r="E9" s="26">
        <f>A9+17</f>
        <v>100021</v>
      </c>
      <c r="F9" s="13"/>
      <c r="G9" s="15"/>
      <c r="H9" s="29">
        <f>L9+17</f>
        <v>100021</v>
      </c>
      <c r="I9" s="26">
        <f>L9+11</f>
        <v>100015</v>
      </c>
      <c r="J9" s="27"/>
      <c r="K9" s="26">
        <f>L9+5</f>
        <v>100009</v>
      </c>
      <c r="L9" s="26">
        <f>L8+1</f>
        <v>100004</v>
      </c>
      <c r="M9" s="13"/>
      <c r="N9" s="4"/>
      <c r="O9" s="26">
        <f>P9-1</f>
        <v>100007</v>
      </c>
      <c r="P9" s="26">
        <f>R9-1</f>
        <v>100008</v>
      </c>
      <c r="Q9" s="27"/>
      <c r="R9" s="26">
        <f>S9-1</f>
        <v>100009</v>
      </c>
      <c r="S9" s="26">
        <f>S8-1</f>
        <v>100010</v>
      </c>
      <c r="T9" s="13"/>
      <c r="U9" s="15"/>
      <c r="V9" s="26">
        <f>V8-1</f>
        <v>100010</v>
      </c>
      <c r="W9" s="26">
        <f>V9-1</f>
        <v>100009</v>
      </c>
      <c r="X9" s="27"/>
      <c r="Y9" s="26">
        <f>W9-1</f>
        <v>100008</v>
      </c>
      <c r="Z9" s="26">
        <f>Y9-1</f>
        <v>100007</v>
      </c>
      <c r="AA9" s="4"/>
      <c r="AB9" s="4"/>
      <c r="AC9" s="2"/>
      <c r="AG9" s="180"/>
      <c r="AH9" s="179">
        <f t="shared" si="0"/>
        <v>9</v>
      </c>
    </row>
    <row r="10" spans="1:34" ht="16" customHeight="1" x14ac:dyDescent="0.2">
      <c r="A10" s="26">
        <f>A9+1</f>
        <v>100005</v>
      </c>
      <c r="B10" s="26">
        <f>A10+5</f>
        <v>100010</v>
      </c>
      <c r="C10" s="27"/>
      <c r="D10" s="26">
        <f>A10+11</f>
        <v>100016</v>
      </c>
      <c r="E10" s="193">
        <f>A10+17</f>
        <v>100022</v>
      </c>
      <c r="F10" s="13"/>
      <c r="G10" s="15"/>
      <c r="H10" s="193">
        <f>L10+17</f>
        <v>100022</v>
      </c>
      <c r="I10" s="26">
        <f>L10+11</f>
        <v>100016</v>
      </c>
      <c r="J10" s="27"/>
      <c r="K10" s="26">
        <f>L10+5</f>
        <v>100010</v>
      </c>
      <c r="L10" s="26">
        <f>L9+1</f>
        <v>100005</v>
      </c>
      <c r="M10" s="13"/>
      <c r="N10" s="4"/>
      <c r="O10" s="26">
        <f>O9-1</f>
        <v>100006</v>
      </c>
      <c r="P10" s="26">
        <f>O10-1</f>
        <v>100005</v>
      </c>
      <c r="Q10" s="27"/>
      <c r="R10" s="26">
        <f>P10-1</f>
        <v>100004</v>
      </c>
      <c r="S10" s="26">
        <f>R10-1</f>
        <v>100003</v>
      </c>
      <c r="T10" s="13"/>
      <c r="U10" s="15"/>
      <c r="V10" s="26">
        <f>W10-1</f>
        <v>100003</v>
      </c>
      <c r="W10" s="26">
        <f>Y10-1</f>
        <v>100004</v>
      </c>
      <c r="X10" s="27"/>
      <c r="Y10" s="26">
        <f>Z10-1</f>
        <v>100005</v>
      </c>
      <c r="Z10" s="26">
        <f>Z9-1</f>
        <v>100006</v>
      </c>
      <c r="AA10" s="4"/>
      <c r="AB10" s="4"/>
      <c r="AC10" s="2"/>
      <c r="AG10" s="14"/>
      <c r="AH10" s="179">
        <f t="shared" si="0"/>
        <v>10</v>
      </c>
    </row>
    <row r="11" spans="1:34" ht="16" customHeight="1" x14ac:dyDescent="0.2">
      <c r="A11" s="26"/>
      <c r="B11" s="26">
        <f>B10+1</f>
        <v>100011</v>
      </c>
      <c r="C11" s="27"/>
      <c r="D11" s="26">
        <f>D10+1</f>
        <v>100017</v>
      </c>
      <c r="E11" s="26"/>
      <c r="F11" s="13"/>
      <c r="G11" s="15"/>
      <c r="H11" s="29"/>
      <c r="I11" s="26">
        <f>I10+1</f>
        <v>100017</v>
      </c>
      <c r="J11" s="27"/>
      <c r="K11" s="26">
        <f>K10+1</f>
        <v>100011</v>
      </c>
      <c r="L11" s="26"/>
      <c r="M11" s="13"/>
      <c r="N11" s="4"/>
      <c r="O11" s="26"/>
      <c r="P11" s="25">
        <f>R11-1</f>
        <v>100001</v>
      </c>
      <c r="Q11" s="27"/>
      <c r="R11" s="26">
        <f>S10-1</f>
        <v>100002</v>
      </c>
      <c r="S11" s="26"/>
      <c r="T11" s="13"/>
      <c r="U11" s="15"/>
      <c r="V11" s="26"/>
      <c r="W11" s="26">
        <f>V10-1</f>
        <v>100002</v>
      </c>
      <c r="X11" s="27"/>
      <c r="Y11" s="25">
        <f>W11-1</f>
        <v>100001</v>
      </c>
      <c r="Z11" s="26"/>
      <c r="AA11" s="4"/>
      <c r="AB11" s="4"/>
      <c r="AC11" s="2"/>
      <c r="AG11" s="14"/>
      <c r="AH11" s="179">
        <f t="shared" si="0"/>
        <v>11</v>
      </c>
    </row>
    <row r="12" spans="1:34" ht="16" customHeight="1" x14ac:dyDescent="0.2">
      <c r="A12" s="26"/>
      <c r="B12" s="26"/>
      <c r="C12" s="27"/>
      <c r="D12" s="26"/>
      <c r="E12" s="26"/>
      <c r="F12" s="13"/>
      <c r="G12" s="15"/>
      <c r="H12" s="29"/>
      <c r="I12" s="26"/>
      <c r="J12" s="27"/>
      <c r="K12" s="26"/>
      <c r="L12" s="26"/>
      <c r="M12" s="13"/>
      <c r="N12" s="4"/>
      <c r="O12" s="26"/>
      <c r="P12" s="26"/>
      <c r="Q12" s="27"/>
      <c r="R12" s="26"/>
      <c r="S12" s="26"/>
      <c r="T12" s="13"/>
      <c r="U12" s="15"/>
      <c r="V12" s="26"/>
      <c r="W12" s="26"/>
      <c r="X12" s="27"/>
      <c r="Y12" s="26"/>
      <c r="Z12" s="26"/>
      <c r="AA12" s="4"/>
      <c r="AB12" s="4"/>
      <c r="AC12" s="2"/>
      <c r="AG12" s="180"/>
      <c r="AH12" s="179">
        <f t="shared" si="0"/>
        <v>12</v>
      </c>
    </row>
    <row r="13" spans="1:34" ht="16" customHeight="1" x14ac:dyDescent="0.2">
      <c r="A13" s="26"/>
      <c r="B13" s="26"/>
      <c r="C13" s="27"/>
      <c r="D13" s="26"/>
      <c r="E13" s="26"/>
      <c r="F13" s="13"/>
      <c r="G13" s="15"/>
      <c r="H13" s="29"/>
      <c r="I13" s="26"/>
      <c r="J13" s="27"/>
      <c r="K13" s="26"/>
      <c r="L13" s="26"/>
      <c r="M13" s="13"/>
      <c r="N13" s="4"/>
      <c r="O13" s="26"/>
      <c r="P13" s="26"/>
      <c r="Q13" s="27"/>
      <c r="R13" s="26"/>
      <c r="S13" s="26"/>
      <c r="T13" s="13"/>
      <c r="U13" s="15"/>
      <c r="V13" s="26"/>
      <c r="W13" s="26"/>
      <c r="X13" s="27"/>
      <c r="Y13" s="26"/>
      <c r="Z13" s="26"/>
      <c r="AA13" s="4"/>
      <c r="AB13" s="4"/>
      <c r="AC13" s="2"/>
      <c r="AG13" s="180"/>
      <c r="AH13" s="179"/>
    </row>
    <row r="14" spans="1:34" ht="10" customHeight="1" x14ac:dyDescent="0.2">
      <c r="A14" s="4"/>
      <c r="B14" s="4"/>
      <c r="C14" s="4"/>
      <c r="D14" s="4"/>
      <c r="E14" s="4"/>
      <c r="F14" s="13"/>
      <c r="G14" s="15"/>
      <c r="H14" s="189"/>
      <c r="I14" s="4"/>
      <c r="J14" s="4"/>
      <c r="K14" s="4"/>
      <c r="L14" s="4"/>
      <c r="M14" s="13"/>
      <c r="N14" s="4"/>
      <c r="O14" s="4"/>
      <c r="P14" s="4"/>
      <c r="Q14" s="4"/>
      <c r="R14" s="4"/>
      <c r="S14" s="4"/>
      <c r="T14" s="13"/>
      <c r="U14" s="15"/>
      <c r="V14" s="4"/>
      <c r="W14" s="4"/>
      <c r="X14" s="4"/>
      <c r="Y14" s="4"/>
      <c r="Z14" s="4"/>
      <c r="AA14" s="4"/>
      <c r="AB14" s="4"/>
      <c r="AC14" s="2"/>
      <c r="AG14" s="180"/>
      <c r="AH14" s="179"/>
    </row>
    <row r="15" spans="1:34" ht="10" customHeight="1" x14ac:dyDescent="0.2">
      <c r="A15" s="4"/>
      <c r="B15" s="4"/>
      <c r="C15" s="4"/>
      <c r="D15" s="4"/>
      <c r="E15" s="4"/>
      <c r="F15" s="13"/>
      <c r="G15" s="2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13"/>
      <c r="U15" s="2"/>
      <c r="V15" s="4"/>
      <c r="W15" s="4"/>
      <c r="X15" s="4"/>
      <c r="Y15" s="4"/>
      <c r="Z15" s="4"/>
      <c r="AA15" s="4"/>
      <c r="AB15" s="4"/>
      <c r="AC15" s="2"/>
      <c r="AG15" s="14"/>
      <c r="AH15" s="179">
        <f>AH12+1</f>
        <v>13</v>
      </c>
    </row>
  </sheetData>
  <mergeCells count="12">
    <mergeCell ref="A1:E1"/>
    <mergeCell ref="H1:L1"/>
    <mergeCell ref="O1:S1"/>
    <mergeCell ref="V1:Z1"/>
    <mergeCell ref="A2:F2"/>
    <mergeCell ref="H2:L2"/>
    <mergeCell ref="O2:T2"/>
    <mergeCell ref="V2:Z2"/>
    <mergeCell ref="A3:B3"/>
    <mergeCell ref="H3:I3"/>
    <mergeCell ref="O3:P3"/>
    <mergeCell ref="V3:W3"/>
  </mergeCells>
  <pageMargins left="0.24" right="0.2" top="0.25" bottom="0" header="0.22" footer="0.2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1_Coppy_Tke Pthi dan</vt:lpstr>
      <vt:lpstr>4_Sơ đồ mẫu</vt:lpstr>
      <vt:lpstr>'4_Sơ đồ mẫu'!Print_Area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PHI HUYNH ANH HAO</cp:lastModifiedBy>
  <cp:lastPrinted>2025-12-22T13:47:15Z</cp:lastPrinted>
  <dcterms:created xsi:type="dcterms:W3CDTF">2016-12-08T02:50:30Z</dcterms:created>
  <dcterms:modified xsi:type="dcterms:W3CDTF">2026-03-17T08:25:39Z</dcterms:modified>
</cp:coreProperties>
</file>