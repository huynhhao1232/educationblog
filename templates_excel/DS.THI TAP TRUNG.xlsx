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8a7d7e2f-8e5c-44b2-9bf8-a058aa83b0ca\"/>
    </mc:Choice>
  </mc:AlternateContent>
  <xr:revisionPtr revIDLastSave="0" documentId="8_{4C334879-D7F6-4F46-BC54-D7479E867646}" xr6:coauthVersionLast="47" xr6:coauthVersionMax="47" xr10:uidLastSave="{00000000-0000-0000-0000-000000000000}"/>
  <bookViews>
    <workbookView xWindow="-120" yWindow="-120" windowWidth="19440" windowHeight="10440" tabRatio="638"/>
  </bookViews>
  <sheets>
    <sheet name="In_GIAO NHAN BAI" sheetId="145" r:id="rId1"/>
    <sheet name="Nghi hoc T12" sheetId="192" r:id="rId2"/>
    <sheet name="No_HP" sheetId="155" r:id="rId3"/>
    <sheet name="TH_P.thi" sheetId="162" r:id="rId4"/>
    <sheet name="DS_Tong_12AS-AT-VH" sheetId="146" r:id="rId5"/>
    <sheet name="In_DS" sheetId="180" r:id="rId6"/>
  </sheets>
  <definedNames>
    <definedName name="_xlnm._FilterDatabase" localSheetId="4" hidden="1">'DS_Tong_12AS-AT-VH'!$A$8:$V$3028</definedName>
    <definedName name="_xlnm._FilterDatabase" localSheetId="5" hidden="1">In_DS!$A$9:$Q$42</definedName>
    <definedName name="_xlnm._FilterDatabase" localSheetId="0" hidden="1">'In_GIAO NHAN BAI'!$A$8:$W$42</definedName>
    <definedName name="_xlnm._FilterDatabase" localSheetId="2" hidden="1">No_HP!$A$1:$E$507</definedName>
    <definedName name="_xlnm.Print_Area" localSheetId="4">'DS_Tong_12AS-AT-VH'!$A$1:$M$3032</definedName>
    <definedName name="_xlnm.Print_Area" localSheetId="5">In_DS!$A$1:$K$49</definedName>
    <definedName name="_xlnm.Print_Area" localSheetId="0">'In_GIAO NHAN BAI'!$A$1:$P$42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0" i="146" l="1"/>
  <c r="X10" i="146"/>
  <c r="Y10" i="146"/>
  <c r="W11" i="146"/>
  <c r="X11" i="146"/>
  <c r="Y11" i="146"/>
  <c r="W12" i="146"/>
  <c r="X12" i="146"/>
  <c r="Y12" i="146"/>
  <c r="W13" i="146"/>
  <c r="X13" i="146"/>
  <c r="Y13" i="146"/>
  <c r="W14" i="146"/>
  <c r="X14" i="146"/>
  <c r="Y14" i="146"/>
  <c r="W15" i="146"/>
  <c r="X15" i="146"/>
  <c r="Y15" i="146"/>
  <c r="W16" i="146"/>
  <c r="X16" i="146"/>
  <c r="Y16" i="146"/>
  <c r="W17" i="146"/>
  <c r="X17" i="146"/>
  <c r="Y17" i="146"/>
  <c r="W18" i="146"/>
  <c r="X18" i="146"/>
  <c r="Y18" i="146"/>
  <c r="W19" i="146"/>
  <c r="X19" i="146"/>
  <c r="Y19" i="146"/>
  <c r="W20" i="146"/>
  <c r="X20" i="146"/>
  <c r="Y20" i="146"/>
  <c r="W21" i="146"/>
  <c r="X21" i="146"/>
  <c r="Y21" i="146"/>
  <c r="W22" i="146"/>
  <c r="X22" i="146"/>
  <c r="Y22" i="146"/>
  <c r="W23" i="146"/>
  <c r="X23" i="146"/>
  <c r="Y23" i="146"/>
  <c r="W24" i="146"/>
  <c r="X24" i="146"/>
  <c r="Y24" i="146"/>
  <c r="W25" i="146"/>
  <c r="X25" i="146"/>
  <c r="Y25" i="146"/>
  <c r="W26" i="146"/>
  <c r="X26" i="146"/>
  <c r="Y26" i="146"/>
  <c r="W27" i="146"/>
  <c r="X27" i="146"/>
  <c r="Y27" i="146"/>
  <c r="W28" i="146"/>
  <c r="X28" i="146"/>
  <c r="Y28" i="146"/>
  <c r="W29" i="146"/>
  <c r="X29" i="146"/>
  <c r="Y29" i="146"/>
  <c r="W30" i="146"/>
  <c r="X30" i="146"/>
  <c r="Y30" i="146"/>
  <c r="W31" i="146"/>
  <c r="X31" i="146"/>
  <c r="Y31" i="146"/>
  <c r="W32" i="146"/>
  <c r="X32" i="146"/>
  <c r="Y32" i="146"/>
  <c r="W33" i="146"/>
  <c r="X33" i="146"/>
  <c r="Y33" i="146"/>
  <c r="W34" i="146"/>
  <c r="X34" i="146"/>
  <c r="Y34" i="146"/>
  <c r="W35" i="146"/>
  <c r="X35" i="146"/>
  <c r="Y35" i="146"/>
  <c r="W36" i="146"/>
  <c r="X36" i="146"/>
  <c r="Y36" i="146"/>
  <c r="W37" i="146"/>
  <c r="X37" i="146"/>
  <c r="Y37" i="146"/>
  <c r="W38" i="146"/>
  <c r="X38" i="146"/>
  <c r="Y38" i="146"/>
  <c r="W39" i="146"/>
  <c r="X39" i="146"/>
  <c r="Y39" i="146"/>
  <c r="W40" i="146"/>
  <c r="X40" i="146"/>
  <c r="Y40" i="146"/>
  <c r="W41" i="146"/>
  <c r="X41" i="146"/>
  <c r="Y41" i="146"/>
  <c r="W42" i="146"/>
  <c r="X42" i="146"/>
  <c r="Y42" i="146"/>
  <c r="W43" i="146"/>
  <c r="X43" i="146"/>
  <c r="Y43" i="146"/>
  <c r="W44" i="146"/>
  <c r="X44" i="146"/>
  <c r="Y44" i="146"/>
  <c r="W45" i="146"/>
  <c r="X45" i="146"/>
  <c r="Y45" i="146"/>
  <c r="W46" i="146"/>
  <c r="X46" i="146"/>
  <c r="Y46" i="146"/>
  <c r="W47" i="146"/>
  <c r="X47" i="146"/>
  <c r="Y47" i="146"/>
  <c r="W48" i="146"/>
  <c r="X48" i="146"/>
  <c r="Y48" i="146"/>
  <c r="W49" i="146"/>
  <c r="X49" i="146"/>
  <c r="Y49" i="146"/>
  <c r="W50" i="146"/>
  <c r="X50" i="146"/>
  <c r="Y50" i="146"/>
  <c r="W51" i="146"/>
  <c r="X51" i="146"/>
  <c r="Y51" i="146"/>
  <c r="W52" i="146"/>
  <c r="X52" i="146"/>
  <c r="Y52" i="146"/>
  <c r="W53" i="146"/>
  <c r="X53" i="146"/>
  <c r="Y53" i="146"/>
  <c r="W54" i="146"/>
  <c r="X54" i="146"/>
  <c r="Y54" i="146"/>
  <c r="W55" i="146"/>
  <c r="X55" i="146"/>
  <c r="Y55" i="146"/>
  <c r="W56" i="146"/>
  <c r="X56" i="146"/>
  <c r="Y56" i="146"/>
  <c r="W57" i="146"/>
  <c r="X57" i="146"/>
  <c r="Y57" i="146"/>
  <c r="W58" i="146"/>
  <c r="X58" i="146"/>
  <c r="Y58" i="146"/>
  <c r="W59" i="146"/>
  <c r="X59" i="146"/>
  <c r="Y59" i="146"/>
  <c r="W60" i="146"/>
  <c r="X60" i="146"/>
  <c r="Y60" i="146"/>
  <c r="W61" i="146"/>
  <c r="X61" i="146"/>
  <c r="Y61" i="146"/>
  <c r="W62" i="146"/>
  <c r="X62" i="146"/>
  <c r="Y62" i="146"/>
  <c r="W63" i="146"/>
  <c r="X63" i="146"/>
  <c r="Y63" i="146"/>
  <c r="W64" i="146"/>
  <c r="X64" i="146"/>
  <c r="Y64" i="146"/>
  <c r="W65" i="146"/>
  <c r="X65" i="146"/>
  <c r="Y65" i="146"/>
  <c r="W66" i="146"/>
  <c r="X66" i="146"/>
  <c r="Y66" i="146"/>
  <c r="W67" i="146"/>
  <c r="X67" i="146"/>
  <c r="Y67" i="146"/>
  <c r="W68" i="146"/>
  <c r="X68" i="146"/>
  <c r="Y68" i="146"/>
  <c r="W69" i="146"/>
  <c r="X69" i="146"/>
  <c r="Y69" i="146"/>
  <c r="W70" i="146"/>
  <c r="X70" i="146"/>
  <c r="Y70" i="146"/>
  <c r="W71" i="146"/>
  <c r="X71" i="146"/>
  <c r="Y71" i="146"/>
  <c r="W72" i="146"/>
  <c r="X72" i="146"/>
  <c r="Y72" i="146"/>
  <c r="W73" i="146"/>
  <c r="X73" i="146"/>
  <c r="Y73" i="146"/>
  <c r="W74" i="146"/>
  <c r="X74" i="146"/>
  <c r="Y74" i="146"/>
  <c r="W75" i="146"/>
  <c r="X75" i="146"/>
  <c r="Y75" i="146"/>
  <c r="W76" i="146"/>
  <c r="X76" i="146"/>
  <c r="Y76" i="146"/>
  <c r="W77" i="146"/>
  <c r="X77" i="146"/>
  <c r="Y77" i="146"/>
  <c r="W78" i="146"/>
  <c r="X78" i="146"/>
  <c r="Y78" i="146"/>
  <c r="W79" i="146"/>
  <c r="X79" i="146"/>
  <c r="Y79" i="146"/>
  <c r="W80" i="146"/>
  <c r="X80" i="146"/>
  <c r="Y80" i="146"/>
  <c r="W81" i="146"/>
  <c r="X81" i="146"/>
  <c r="Y81" i="146"/>
  <c r="W82" i="146"/>
  <c r="X82" i="146"/>
  <c r="Y82" i="146"/>
  <c r="W83" i="146"/>
  <c r="X83" i="146"/>
  <c r="Y83" i="146"/>
  <c r="W84" i="146"/>
  <c r="X84" i="146"/>
  <c r="Y84" i="146"/>
  <c r="W85" i="146"/>
  <c r="X85" i="146"/>
  <c r="Y85" i="146"/>
  <c r="W86" i="146"/>
  <c r="X86" i="146"/>
  <c r="Y86" i="146"/>
  <c r="W87" i="146"/>
  <c r="X87" i="146"/>
  <c r="Y87" i="146"/>
  <c r="W88" i="146"/>
  <c r="X88" i="146"/>
  <c r="Y88" i="146"/>
  <c r="W89" i="146"/>
  <c r="X89" i="146"/>
  <c r="Y89" i="146"/>
  <c r="W90" i="146"/>
  <c r="X90" i="146"/>
  <c r="Y90" i="146"/>
  <c r="W91" i="146"/>
  <c r="X91" i="146"/>
  <c r="Y91" i="146"/>
  <c r="W92" i="146"/>
  <c r="X92" i="146"/>
  <c r="Y92" i="146"/>
  <c r="W93" i="146"/>
  <c r="X93" i="146"/>
  <c r="Y93" i="146"/>
  <c r="W94" i="146"/>
  <c r="X94" i="146"/>
  <c r="Y94" i="146"/>
  <c r="W95" i="146"/>
  <c r="X95" i="146"/>
  <c r="Y95" i="146"/>
  <c r="W96" i="146"/>
  <c r="X96" i="146"/>
  <c r="Y96" i="146"/>
  <c r="W97" i="146"/>
  <c r="X97" i="146"/>
  <c r="Y97" i="146"/>
  <c r="W98" i="146"/>
  <c r="X98" i="146"/>
  <c r="Y98" i="146"/>
  <c r="W99" i="146"/>
  <c r="X99" i="146"/>
  <c r="Y99" i="146"/>
  <c r="W100" i="146"/>
  <c r="X100" i="146"/>
  <c r="Y100" i="146"/>
  <c r="W101" i="146"/>
  <c r="X101" i="146"/>
  <c r="Y101" i="146"/>
  <c r="W102" i="146"/>
  <c r="X102" i="146"/>
  <c r="Y102" i="146"/>
  <c r="W103" i="146"/>
  <c r="X103" i="146"/>
  <c r="Y103" i="146"/>
  <c r="W104" i="146"/>
  <c r="X104" i="146"/>
  <c r="Y104" i="146"/>
  <c r="W105" i="146"/>
  <c r="X105" i="146"/>
  <c r="Y105" i="146"/>
  <c r="W106" i="146"/>
  <c r="X106" i="146"/>
  <c r="Y106" i="146"/>
  <c r="W107" i="146"/>
  <c r="X107" i="146"/>
  <c r="Y107" i="146"/>
  <c r="W108" i="146"/>
  <c r="X108" i="146"/>
  <c r="Y108" i="146"/>
  <c r="W109" i="146"/>
  <c r="X109" i="146"/>
  <c r="Y109" i="146"/>
  <c r="W110" i="146"/>
  <c r="X110" i="146"/>
  <c r="Y110" i="146"/>
  <c r="W111" i="146"/>
  <c r="X111" i="146"/>
  <c r="Y111" i="146"/>
  <c r="W112" i="146"/>
  <c r="X112" i="146"/>
  <c r="Y112" i="146"/>
  <c r="W113" i="146"/>
  <c r="X113" i="146"/>
  <c r="Y113" i="146"/>
  <c r="W114" i="146"/>
  <c r="X114" i="146"/>
  <c r="Y114" i="146"/>
  <c r="W115" i="146"/>
  <c r="X115" i="146"/>
  <c r="Y115" i="146"/>
  <c r="W116" i="146"/>
  <c r="X116" i="146"/>
  <c r="Y116" i="146"/>
  <c r="W117" i="146"/>
  <c r="X117" i="146"/>
  <c r="Y117" i="146"/>
  <c r="W118" i="146"/>
  <c r="X118" i="146"/>
  <c r="Y118" i="146"/>
  <c r="W119" i="146"/>
  <c r="X119" i="146"/>
  <c r="Y119" i="146"/>
  <c r="W120" i="146"/>
  <c r="X120" i="146"/>
  <c r="Y120" i="146"/>
  <c r="W121" i="146"/>
  <c r="X121" i="146"/>
  <c r="Y121" i="146"/>
  <c r="W122" i="146"/>
  <c r="X122" i="146"/>
  <c r="Y122" i="146"/>
  <c r="W123" i="146"/>
  <c r="X123" i="146"/>
  <c r="Y123" i="146"/>
  <c r="W124" i="146"/>
  <c r="X124" i="146"/>
  <c r="Y124" i="146"/>
  <c r="W125" i="146"/>
  <c r="X125" i="146"/>
  <c r="Y125" i="146"/>
  <c r="W126" i="146"/>
  <c r="X126" i="146"/>
  <c r="Y126" i="146"/>
  <c r="W127" i="146"/>
  <c r="X127" i="146"/>
  <c r="Y127" i="146"/>
  <c r="W128" i="146"/>
  <c r="X128" i="146"/>
  <c r="Y128" i="146"/>
  <c r="W129" i="146"/>
  <c r="X129" i="146"/>
  <c r="Y129" i="146"/>
  <c r="W130" i="146"/>
  <c r="X130" i="146"/>
  <c r="Y130" i="146"/>
  <c r="W131" i="146"/>
  <c r="X131" i="146"/>
  <c r="Y131" i="146"/>
  <c r="W132" i="146"/>
  <c r="X132" i="146"/>
  <c r="Y132" i="146"/>
  <c r="W133" i="146"/>
  <c r="X133" i="146"/>
  <c r="Y133" i="146"/>
  <c r="W134" i="146"/>
  <c r="X134" i="146"/>
  <c r="Y134" i="146"/>
  <c r="W135" i="146"/>
  <c r="X135" i="146"/>
  <c r="Y135" i="146"/>
  <c r="W136" i="146"/>
  <c r="X136" i="146"/>
  <c r="Y136" i="146"/>
  <c r="W137" i="146"/>
  <c r="X137" i="146"/>
  <c r="Y137" i="146"/>
  <c r="W138" i="146"/>
  <c r="X138" i="146"/>
  <c r="Y138" i="146"/>
  <c r="W139" i="146"/>
  <c r="X139" i="146"/>
  <c r="Y139" i="146"/>
  <c r="W140" i="146"/>
  <c r="X140" i="146"/>
  <c r="Y140" i="146"/>
  <c r="W141" i="146"/>
  <c r="X141" i="146"/>
  <c r="Y141" i="146"/>
  <c r="W142" i="146"/>
  <c r="X142" i="146"/>
  <c r="Y142" i="146"/>
  <c r="W143" i="146"/>
  <c r="X143" i="146"/>
  <c r="Y143" i="146"/>
  <c r="W144" i="146"/>
  <c r="X144" i="146"/>
  <c r="Y144" i="146"/>
  <c r="W145" i="146"/>
  <c r="X145" i="146"/>
  <c r="Y145" i="146"/>
  <c r="W146" i="146"/>
  <c r="X146" i="146"/>
  <c r="Y146" i="146"/>
  <c r="W147" i="146"/>
  <c r="X147" i="146"/>
  <c r="Y147" i="146"/>
  <c r="W148" i="146"/>
  <c r="X148" i="146"/>
  <c r="Y148" i="146"/>
  <c r="W149" i="146"/>
  <c r="X149" i="146"/>
  <c r="Y149" i="146"/>
  <c r="W150" i="146"/>
  <c r="X150" i="146"/>
  <c r="Y150" i="146"/>
  <c r="W151" i="146"/>
  <c r="X151" i="146"/>
  <c r="Y151" i="146"/>
  <c r="W152" i="146"/>
  <c r="X152" i="146"/>
  <c r="Y152" i="146"/>
  <c r="W153" i="146"/>
  <c r="X153" i="146"/>
  <c r="Y153" i="146"/>
  <c r="W154" i="146"/>
  <c r="X154" i="146"/>
  <c r="Y154" i="146"/>
  <c r="W155" i="146"/>
  <c r="X155" i="146"/>
  <c r="Y155" i="146"/>
  <c r="W156" i="146"/>
  <c r="X156" i="146"/>
  <c r="Y156" i="146"/>
  <c r="W157" i="146"/>
  <c r="X157" i="146"/>
  <c r="Y157" i="146"/>
  <c r="W158" i="146"/>
  <c r="X158" i="146"/>
  <c r="Y158" i="146"/>
  <c r="W159" i="146"/>
  <c r="X159" i="146"/>
  <c r="Y159" i="146"/>
  <c r="W160" i="146"/>
  <c r="X160" i="146"/>
  <c r="Y160" i="146"/>
  <c r="W161" i="146"/>
  <c r="X161" i="146"/>
  <c r="Y161" i="146"/>
  <c r="W162" i="146"/>
  <c r="X162" i="146"/>
  <c r="Y162" i="146"/>
  <c r="W163" i="146"/>
  <c r="X163" i="146"/>
  <c r="Y163" i="146"/>
  <c r="W164" i="146"/>
  <c r="X164" i="146"/>
  <c r="Y164" i="146"/>
  <c r="W165" i="146"/>
  <c r="X165" i="146"/>
  <c r="Y165" i="146"/>
  <c r="W166" i="146"/>
  <c r="X166" i="146"/>
  <c r="Y166" i="146"/>
  <c r="W167" i="146"/>
  <c r="X167" i="146"/>
  <c r="Y167" i="146"/>
  <c r="W168" i="146"/>
  <c r="X168" i="146"/>
  <c r="Y168" i="146"/>
  <c r="W169" i="146"/>
  <c r="X169" i="146"/>
  <c r="Y169" i="146"/>
  <c r="W170" i="146"/>
  <c r="X170" i="146"/>
  <c r="Y170" i="146"/>
  <c r="W171" i="146"/>
  <c r="X171" i="146"/>
  <c r="Y171" i="146"/>
  <c r="W172" i="146"/>
  <c r="X172" i="146"/>
  <c r="Y172" i="146"/>
  <c r="W173" i="146"/>
  <c r="X173" i="146"/>
  <c r="Y173" i="146"/>
  <c r="W174" i="146"/>
  <c r="X174" i="146"/>
  <c r="Y174" i="146"/>
  <c r="W175" i="146"/>
  <c r="X175" i="146"/>
  <c r="Y175" i="146"/>
  <c r="W176" i="146"/>
  <c r="X176" i="146"/>
  <c r="Y176" i="146"/>
  <c r="W177" i="146"/>
  <c r="X177" i="146"/>
  <c r="Y177" i="146"/>
  <c r="W178" i="146"/>
  <c r="X178" i="146"/>
  <c r="Y178" i="146"/>
  <c r="W179" i="146"/>
  <c r="X179" i="146"/>
  <c r="Y179" i="146"/>
  <c r="W180" i="146"/>
  <c r="X180" i="146"/>
  <c r="Y180" i="146"/>
  <c r="W181" i="146"/>
  <c r="X181" i="146"/>
  <c r="Y181" i="146"/>
  <c r="W182" i="146"/>
  <c r="X182" i="146"/>
  <c r="Y182" i="146"/>
  <c r="W183" i="146"/>
  <c r="X183" i="146"/>
  <c r="Y183" i="146"/>
  <c r="W184" i="146"/>
  <c r="X184" i="146"/>
  <c r="Y184" i="146"/>
  <c r="W185" i="146"/>
  <c r="X185" i="146"/>
  <c r="Y185" i="146"/>
  <c r="W186" i="146"/>
  <c r="X186" i="146"/>
  <c r="Y186" i="146"/>
  <c r="W187" i="146"/>
  <c r="X187" i="146"/>
  <c r="Y187" i="146"/>
  <c r="W188" i="146"/>
  <c r="X188" i="146"/>
  <c r="Y188" i="146"/>
  <c r="W189" i="146"/>
  <c r="X189" i="146"/>
  <c r="Y189" i="146"/>
  <c r="W190" i="146"/>
  <c r="X190" i="146"/>
  <c r="Y190" i="146"/>
  <c r="W191" i="146"/>
  <c r="X191" i="146"/>
  <c r="Y191" i="146"/>
  <c r="W192" i="146"/>
  <c r="X192" i="146"/>
  <c r="Y192" i="146"/>
  <c r="W193" i="146"/>
  <c r="X193" i="146"/>
  <c r="Y193" i="146"/>
  <c r="W194" i="146"/>
  <c r="X194" i="146"/>
  <c r="Y194" i="146"/>
  <c r="W195" i="146"/>
  <c r="X195" i="146"/>
  <c r="Y195" i="146"/>
  <c r="W196" i="146"/>
  <c r="X196" i="146"/>
  <c r="Y196" i="146"/>
  <c r="W197" i="146"/>
  <c r="X197" i="146"/>
  <c r="Y197" i="146"/>
  <c r="W198" i="146"/>
  <c r="X198" i="146"/>
  <c r="Y198" i="146"/>
  <c r="W199" i="146"/>
  <c r="X199" i="146"/>
  <c r="Y199" i="146"/>
  <c r="W200" i="146"/>
  <c r="X200" i="146"/>
  <c r="Y200" i="146"/>
  <c r="W201" i="146"/>
  <c r="X201" i="146"/>
  <c r="Y201" i="146"/>
  <c r="W202" i="146"/>
  <c r="X202" i="146"/>
  <c r="Y202" i="146"/>
  <c r="W203" i="146"/>
  <c r="X203" i="146"/>
  <c r="Y203" i="146"/>
  <c r="W204" i="146"/>
  <c r="X204" i="146"/>
  <c r="Y204" i="146"/>
  <c r="W205" i="146"/>
  <c r="X205" i="146"/>
  <c r="Y205" i="146"/>
  <c r="W206" i="146"/>
  <c r="X206" i="146"/>
  <c r="Y206" i="146"/>
  <c r="W207" i="146"/>
  <c r="X207" i="146"/>
  <c r="Y207" i="146"/>
  <c r="W208" i="146"/>
  <c r="X208" i="146"/>
  <c r="Y208" i="146"/>
  <c r="W209" i="146"/>
  <c r="X209" i="146"/>
  <c r="Y209" i="146"/>
  <c r="W210" i="146"/>
  <c r="X210" i="146"/>
  <c r="Y210" i="146"/>
  <c r="W211" i="146"/>
  <c r="X211" i="146"/>
  <c r="Y211" i="146"/>
  <c r="W212" i="146"/>
  <c r="X212" i="146"/>
  <c r="Y212" i="146"/>
  <c r="W213" i="146"/>
  <c r="X213" i="146"/>
  <c r="Y213" i="146"/>
  <c r="W214" i="146"/>
  <c r="X214" i="146"/>
  <c r="Y214" i="146"/>
  <c r="W215" i="146"/>
  <c r="X215" i="146"/>
  <c r="Y215" i="146"/>
  <c r="W216" i="146"/>
  <c r="X216" i="146"/>
  <c r="Y216" i="146"/>
  <c r="W217" i="146"/>
  <c r="X217" i="146"/>
  <c r="Y217" i="146"/>
  <c r="W218" i="146"/>
  <c r="X218" i="146"/>
  <c r="Y218" i="146"/>
  <c r="W219" i="146"/>
  <c r="X219" i="146"/>
  <c r="Y219" i="146"/>
  <c r="W220" i="146"/>
  <c r="X220" i="146"/>
  <c r="Y220" i="146"/>
  <c r="W221" i="146"/>
  <c r="X221" i="146"/>
  <c r="Y221" i="146"/>
  <c r="W222" i="146"/>
  <c r="X222" i="146"/>
  <c r="Y222" i="146"/>
  <c r="W223" i="146"/>
  <c r="X223" i="146"/>
  <c r="Y223" i="146"/>
  <c r="W224" i="146"/>
  <c r="X224" i="146"/>
  <c r="Y224" i="146"/>
  <c r="W225" i="146"/>
  <c r="X225" i="146"/>
  <c r="Y225" i="146"/>
  <c r="W226" i="146"/>
  <c r="X226" i="146"/>
  <c r="Y226" i="146"/>
  <c r="W227" i="146"/>
  <c r="X227" i="146"/>
  <c r="Y227" i="146"/>
  <c r="W228" i="146"/>
  <c r="X228" i="146"/>
  <c r="Y228" i="146"/>
  <c r="W229" i="146"/>
  <c r="X229" i="146"/>
  <c r="Y229" i="146"/>
  <c r="W230" i="146"/>
  <c r="X230" i="146"/>
  <c r="Y230" i="146"/>
  <c r="W231" i="146"/>
  <c r="X231" i="146"/>
  <c r="Y231" i="146"/>
  <c r="W232" i="146"/>
  <c r="X232" i="146"/>
  <c r="Y232" i="146"/>
  <c r="W233" i="146"/>
  <c r="X233" i="146"/>
  <c r="Y233" i="146"/>
  <c r="W234" i="146"/>
  <c r="X234" i="146"/>
  <c r="Y234" i="146"/>
  <c r="W235" i="146"/>
  <c r="X235" i="146"/>
  <c r="Y235" i="146"/>
  <c r="W236" i="146"/>
  <c r="X236" i="146"/>
  <c r="Y236" i="146"/>
  <c r="W237" i="146"/>
  <c r="X237" i="146"/>
  <c r="Y237" i="146"/>
  <c r="W238" i="146"/>
  <c r="X238" i="146"/>
  <c r="Y238" i="146"/>
  <c r="W239" i="146"/>
  <c r="X239" i="146"/>
  <c r="Y239" i="146"/>
  <c r="W240" i="146"/>
  <c r="X240" i="146"/>
  <c r="Y240" i="146"/>
  <c r="W241" i="146"/>
  <c r="X241" i="146"/>
  <c r="Y241" i="146"/>
  <c r="W242" i="146"/>
  <c r="X242" i="146"/>
  <c r="Y242" i="146"/>
  <c r="W243" i="146"/>
  <c r="X243" i="146"/>
  <c r="Y243" i="146"/>
  <c r="W244" i="146"/>
  <c r="X244" i="146"/>
  <c r="Y244" i="146"/>
  <c r="W245" i="146"/>
  <c r="X245" i="146"/>
  <c r="Y245" i="146"/>
  <c r="W246" i="146"/>
  <c r="X246" i="146"/>
  <c r="Y246" i="146"/>
  <c r="W247" i="146"/>
  <c r="X247" i="146"/>
  <c r="Y247" i="146"/>
  <c r="W248" i="146"/>
  <c r="X248" i="146"/>
  <c r="Y248" i="146"/>
  <c r="W249" i="146"/>
  <c r="X249" i="146"/>
  <c r="Y249" i="146"/>
  <c r="W250" i="146"/>
  <c r="X250" i="146"/>
  <c r="Y250" i="146"/>
  <c r="W251" i="146"/>
  <c r="X251" i="146"/>
  <c r="Y251" i="146"/>
  <c r="W252" i="146"/>
  <c r="X252" i="146"/>
  <c r="Y252" i="146"/>
  <c r="W253" i="146"/>
  <c r="X253" i="146"/>
  <c r="Y253" i="146"/>
  <c r="W254" i="146"/>
  <c r="X254" i="146"/>
  <c r="Y254" i="146"/>
  <c r="W255" i="146"/>
  <c r="X255" i="146"/>
  <c r="Y255" i="146"/>
  <c r="W256" i="146"/>
  <c r="X256" i="146"/>
  <c r="Y256" i="146"/>
  <c r="W257" i="146"/>
  <c r="X257" i="146"/>
  <c r="Y257" i="146"/>
  <c r="W258" i="146"/>
  <c r="X258" i="146"/>
  <c r="Y258" i="146"/>
  <c r="W259" i="146"/>
  <c r="X259" i="146"/>
  <c r="Y259" i="146"/>
  <c r="W260" i="146"/>
  <c r="X260" i="146"/>
  <c r="Y260" i="146"/>
  <c r="W261" i="146"/>
  <c r="X261" i="146"/>
  <c r="Y261" i="146"/>
  <c r="W262" i="146"/>
  <c r="X262" i="146"/>
  <c r="Y262" i="146"/>
  <c r="W263" i="146"/>
  <c r="X263" i="146"/>
  <c r="Y263" i="146"/>
  <c r="W264" i="146"/>
  <c r="X264" i="146"/>
  <c r="Y264" i="146"/>
  <c r="W265" i="146"/>
  <c r="X265" i="146"/>
  <c r="Y265" i="146"/>
  <c r="W266" i="146"/>
  <c r="X266" i="146"/>
  <c r="Y266" i="146"/>
  <c r="W267" i="146"/>
  <c r="X267" i="146"/>
  <c r="Y267" i="146"/>
  <c r="W268" i="146"/>
  <c r="X268" i="146"/>
  <c r="Y268" i="146"/>
  <c r="W269" i="146"/>
  <c r="X269" i="146"/>
  <c r="Y269" i="146"/>
  <c r="W270" i="146"/>
  <c r="X270" i="146"/>
  <c r="Y270" i="146"/>
  <c r="W271" i="146"/>
  <c r="X271" i="146"/>
  <c r="Y271" i="146"/>
  <c r="W272" i="146"/>
  <c r="X272" i="146"/>
  <c r="Y272" i="146"/>
  <c r="W273" i="146"/>
  <c r="X273" i="146"/>
  <c r="Y273" i="146"/>
  <c r="W274" i="146"/>
  <c r="X274" i="146"/>
  <c r="Y274" i="146"/>
  <c r="W275" i="146"/>
  <c r="X275" i="146"/>
  <c r="Y275" i="146"/>
  <c r="W276" i="146"/>
  <c r="X276" i="146"/>
  <c r="Y276" i="146"/>
  <c r="W277" i="146"/>
  <c r="X277" i="146"/>
  <c r="Y277" i="146"/>
  <c r="W278" i="146"/>
  <c r="X278" i="146"/>
  <c r="Y278" i="146"/>
  <c r="W279" i="146"/>
  <c r="X279" i="146"/>
  <c r="Y279" i="146"/>
  <c r="W280" i="146"/>
  <c r="X280" i="146"/>
  <c r="Y280" i="146"/>
  <c r="W281" i="146"/>
  <c r="X281" i="146"/>
  <c r="Y281" i="146"/>
  <c r="W282" i="146"/>
  <c r="X282" i="146"/>
  <c r="Y282" i="146"/>
  <c r="W283" i="146"/>
  <c r="X283" i="146"/>
  <c r="Y283" i="146"/>
  <c r="W284" i="146"/>
  <c r="X284" i="146"/>
  <c r="Y284" i="146"/>
  <c r="W285" i="146"/>
  <c r="X285" i="146"/>
  <c r="Y285" i="146"/>
  <c r="W286" i="146"/>
  <c r="X286" i="146"/>
  <c r="Y286" i="146"/>
  <c r="W287" i="146"/>
  <c r="X287" i="146"/>
  <c r="Y287" i="146"/>
  <c r="W288" i="146"/>
  <c r="X288" i="146"/>
  <c r="Y288" i="146"/>
  <c r="W289" i="146"/>
  <c r="X289" i="146"/>
  <c r="Y289" i="146"/>
  <c r="W290" i="146"/>
  <c r="X290" i="146"/>
  <c r="Y290" i="146"/>
  <c r="W291" i="146"/>
  <c r="X291" i="146"/>
  <c r="Y291" i="146"/>
  <c r="W292" i="146"/>
  <c r="X292" i="146"/>
  <c r="Y292" i="146"/>
  <c r="W293" i="146"/>
  <c r="X293" i="146"/>
  <c r="Y293" i="146"/>
  <c r="W294" i="146"/>
  <c r="X294" i="146"/>
  <c r="Y294" i="146"/>
  <c r="W295" i="146"/>
  <c r="X295" i="146"/>
  <c r="Y295" i="146"/>
  <c r="W296" i="146"/>
  <c r="X296" i="146"/>
  <c r="Y296" i="146"/>
  <c r="W297" i="146"/>
  <c r="X297" i="146"/>
  <c r="Y297" i="146"/>
  <c r="W298" i="146"/>
  <c r="X298" i="146"/>
  <c r="Y298" i="146"/>
  <c r="W299" i="146"/>
  <c r="X299" i="146"/>
  <c r="Y299" i="146"/>
  <c r="W300" i="146"/>
  <c r="X300" i="146"/>
  <c r="Y300" i="146"/>
  <c r="W301" i="146"/>
  <c r="X301" i="146"/>
  <c r="Y301" i="146"/>
  <c r="W302" i="146"/>
  <c r="X302" i="146"/>
  <c r="Y302" i="146"/>
  <c r="W303" i="146"/>
  <c r="X303" i="146"/>
  <c r="Y303" i="146"/>
  <c r="W304" i="146"/>
  <c r="X304" i="146"/>
  <c r="Y304" i="146"/>
  <c r="W305" i="146"/>
  <c r="X305" i="146"/>
  <c r="Y305" i="146"/>
  <c r="W306" i="146"/>
  <c r="X306" i="146"/>
  <c r="Y306" i="146"/>
  <c r="W307" i="146"/>
  <c r="X307" i="146"/>
  <c r="Y307" i="146"/>
  <c r="W308" i="146"/>
  <c r="X308" i="146"/>
  <c r="Y308" i="146"/>
  <c r="W309" i="146"/>
  <c r="X309" i="146"/>
  <c r="Y309" i="146"/>
  <c r="W310" i="146"/>
  <c r="X310" i="146"/>
  <c r="Y310" i="146"/>
  <c r="W311" i="146"/>
  <c r="X311" i="146"/>
  <c r="Y311" i="146"/>
  <c r="W312" i="146"/>
  <c r="X312" i="146"/>
  <c r="Y312" i="146"/>
  <c r="W313" i="146"/>
  <c r="X313" i="146"/>
  <c r="Y313" i="146"/>
  <c r="W314" i="146"/>
  <c r="X314" i="146"/>
  <c r="Y314" i="146"/>
  <c r="W315" i="146"/>
  <c r="X315" i="146"/>
  <c r="Y315" i="146"/>
  <c r="W316" i="146"/>
  <c r="X316" i="146"/>
  <c r="Y316" i="146"/>
  <c r="W317" i="146"/>
  <c r="X317" i="146"/>
  <c r="Y317" i="146"/>
  <c r="W318" i="146"/>
  <c r="X318" i="146"/>
  <c r="Y318" i="146"/>
  <c r="W319" i="146"/>
  <c r="X319" i="146"/>
  <c r="Y319" i="146"/>
  <c r="W320" i="146"/>
  <c r="X320" i="146"/>
  <c r="Y320" i="146"/>
  <c r="W321" i="146"/>
  <c r="X321" i="146"/>
  <c r="Y321" i="146"/>
  <c r="W322" i="146"/>
  <c r="X322" i="146"/>
  <c r="Y322" i="146"/>
  <c r="W323" i="146"/>
  <c r="X323" i="146"/>
  <c r="Y323" i="146"/>
  <c r="W324" i="146"/>
  <c r="X324" i="146"/>
  <c r="Y324" i="146"/>
  <c r="W325" i="146"/>
  <c r="X325" i="146"/>
  <c r="Y325" i="146"/>
  <c r="W326" i="146"/>
  <c r="X326" i="146"/>
  <c r="Y326" i="146"/>
  <c r="W327" i="146"/>
  <c r="X327" i="146"/>
  <c r="Y327" i="146"/>
  <c r="W328" i="146"/>
  <c r="X328" i="146"/>
  <c r="Y328" i="146"/>
  <c r="W329" i="146"/>
  <c r="X329" i="146"/>
  <c r="Y329" i="146"/>
  <c r="W330" i="146"/>
  <c r="X330" i="146"/>
  <c r="Y330" i="146"/>
  <c r="W331" i="146"/>
  <c r="X331" i="146"/>
  <c r="Y331" i="146"/>
  <c r="W332" i="146"/>
  <c r="X332" i="146"/>
  <c r="Y332" i="146"/>
  <c r="W333" i="146"/>
  <c r="X333" i="146"/>
  <c r="Y333" i="146"/>
  <c r="W334" i="146"/>
  <c r="X334" i="146"/>
  <c r="Y334" i="146"/>
  <c r="W335" i="146"/>
  <c r="X335" i="146"/>
  <c r="Y335" i="146"/>
  <c r="W336" i="146"/>
  <c r="X336" i="146"/>
  <c r="Y336" i="146"/>
  <c r="W337" i="146"/>
  <c r="X337" i="146"/>
  <c r="Y337" i="146"/>
  <c r="W338" i="146"/>
  <c r="X338" i="146"/>
  <c r="Y338" i="146"/>
  <c r="W339" i="146"/>
  <c r="X339" i="146"/>
  <c r="Y339" i="146"/>
  <c r="W340" i="146"/>
  <c r="X340" i="146"/>
  <c r="Y340" i="146"/>
  <c r="W341" i="146"/>
  <c r="X341" i="146"/>
  <c r="Y341" i="146"/>
  <c r="W342" i="146"/>
  <c r="X342" i="146"/>
  <c r="Y342" i="146"/>
  <c r="W343" i="146"/>
  <c r="X343" i="146"/>
  <c r="Y343" i="146"/>
  <c r="W344" i="146"/>
  <c r="X344" i="146"/>
  <c r="Y344" i="146"/>
  <c r="W345" i="146"/>
  <c r="X345" i="146"/>
  <c r="Y345" i="146"/>
  <c r="W346" i="146"/>
  <c r="X346" i="146"/>
  <c r="Y346" i="146"/>
  <c r="W347" i="146"/>
  <c r="X347" i="146"/>
  <c r="Y347" i="146"/>
  <c r="W348" i="146"/>
  <c r="X348" i="146"/>
  <c r="Y348" i="146"/>
  <c r="W349" i="146"/>
  <c r="X349" i="146"/>
  <c r="Y349" i="146"/>
  <c r="W350" i="146"/>
  <c r="X350" i="146"/>
  <c r="Y350" i="146"/>
  <c r="W351" i="146"/>
  <c r="X351" i="146"/>
  <c r="Y351" i="146"/>
  <c r="W352" i="146"/>
  <c r="X352" i="146"/>
  <c r="Y352" i="146"/>
  <c r="W353" i="146"/>
  <c r="X353" i="146"/>
  <c r="Y353" i="146"/>
  <c r="W354" i="146"/>
  <c r="X354" i="146"/>
  <c r="Y354" i="146"/>
  <c r="W355" i="146"/>
  <c r="X355" i="146"/>
  <c r="Y355" i="146"/>
  <c r="W356" i="146"/>
  <c r="X356" i="146"/>
  <c r="Y356" i="146"/>
  <c r="W357" i="146"/>
  <c r="X357" i="146"/>
  <c r="Y357" i="146"/>
  <c r="W358" i="146"/>
  <c r="X358" i="146"/>
  <c r="Y358" i="146"/>
  <c r="W359" i="146"/>
  <c r="X359" i="146"/>
  <c r="Y359" i="146"/>
  <c r="W360" i="146"/>
  <c r="X360" i="146"/>
  <c r="Y360" i="146"/>
  <c r="W361" i="146"/>
  <c r="X361" i="146"/>
  <c r="Y361" i="146"/>
  <c r="W362" i="146"/>
  <c r="X362" i="146"/>
  <c r="Y362" i="146"/>
  <c r="W363" i="146"/>
  <c r="X363" i="146"/>
  <c r="Y363" i="146"/>
  <c r="W364" i="146"/>
  <c r="X364" i="146"/>
  <c r="Y364" i="146"/>
  <c r="W365" i="146"/>
  <c r="X365" i="146"/>
  <c r="Y365" i="146"/>
  <c r="W366" i="146"/>
  <c r="X366" i="146"/>
  <c r="Y366" i="146"/>
  <c r="W367" i="146"/>
  <c r="X367" i="146"/>
  <c r="Y367" i="146"/>
  <c r="W368" i="146"/>
  <c r="X368" i="146"/>
  <c r="Y368" i="146"/>
  <c r="W369" i="146"/>
  <c r="X369" i="146"/>
  <c r="Y369" i="146"/>
  <c r="W370" i="146"/>
  <c r="X370" i="146"/>
  <c r="Y370" i="146"/>
  <c r="W371" i="146"/>
  <c r="X371" i="146"/>
  <c r="Y371" i="146"/>
  <c r="W372" i="146"/>
  <c r="X372" i="146"/>
  <c r="Y372" i="146"/>
  <c r="W373" i="146"/>
  <c r="X373" i="146"/>
  <c r="Y373" i="146"/>
  <c r="W374" i="146"/>
  <c r="X374" i="146"/>
  <c r="Y374" i="146"/>
  <c r="W375" i="146"/>
  <c r="X375" i="146"/>
  <c r="Y375" i="146"/>
  <c r="W376" i="146"/>
  <c r="X376" i="146"/>
  <c r="Y376" i="146"/>
  <c r="W377" i="146"/>
  <c r="X377" i="146"/>
  <c r="Y377" i="146"/>
  <c r="W378" i="146"/>
  <c r="X378" i="146"/>
  <c r="Y378" i="146"/>
  <c r="W379" i="146"/>
  <c r="X379" i="146"/>
  <c r="Y379" i="146"/>
  <c r="W380" i="146"/>
  <c r="X380" i="146"/>
  <c r="Y380" i="146"/>
  <c r="W381" i="146"/>
  <c r="X381" i="146"/>
  <c r="Y381" i="146"/>
  <c r="W382" i="146"/>
  <c r="X382" i="146"/>
  <c r="Y382" i="146"/>
  <c r="W383" i="146"/>
  <c r="X383" i="146"/>
  <c r="Y383" i="146"/>
  <c r="W384" i="146"/>
  <c r="X384" i="146"/>
  <c r="Y384" i="146"/>
  <c r="W385" i="146"/>
  <c r="X385" i="146"/>
  <c r="Y385" i="146"/>
  <c r="W386" i="146"/>
  <c r="X386" i="146"/>
  <c r="Y386" i="146"/>
  <c r="W387" i="146"/>
  <c r="X387" i="146"/>
  <c r="Y387" i="146"/>
  <c r="W388" i="146"/>
  <c r="X388" i="146"/>
  <c r="Y388" i="146"/>
  <c r="W389" i="146"/>
  <c r="X389" i="146"/>
  <c r="Y389" i="146"/>
  <c r="W390" i="146"/>
  <c r="X390" i="146"/>
  <c r="Y390" i="146"/>
  <c r="W391" i="146"/>
  <c r="X391" i="146"/>
  <c r="Y391" i="146"/>
  <c r="W392" i="146"/>
  <c r="X392" i="146"/>
  <c r="Y392" i="146"/>
  <c r="W393" i="146"/>
  <c r="X393" i="146"/>
  <c r="Y393" i="146"/>
  <c r="W394" i="146"/>
  <c r="X394" i="146"/>
  <c r="Y394" i="146"/>
  <c r="W395" i="146"/>
  <c r="X395" i="146"/>
  <c r="Y395" i="146"/>
  <c r="W396" i="146"/>
  <c r="X396" i="146"/>
  <c r="Y396" i="146"/>
  <c r="W397" i="146"/>
  <c r="X397" i="146"/>
  <c r="Y397" i="146"/>
  <c r="W398" i="146"/>
  <c r="X398" i="146"/>
  <c r="Y398" i="146"/>
  <c r="W399" i="146"/>
  <c r="X399" i="146"/>
  <c r="Y399" i="146"/>
  <c r="W400" i="146"/>
  <c r="X400" i="146"/>
  <c r="Y400" i="146"/>
  <c r="W401" i="146"/>
  <c r="X401" i="146"/>
  <c r="Y401" i="146"/>
  <c r="W402" i="146"/>
  <c r="X402" i="146"/>
  <c r="Y402" i="146"/>
  <c r="W403" i="146"/>
  <c r="X403" i="146"/>
  <c r="Y403" i="146"/>
  <c r="W404" i="146"/>
  <c r="X404" i="146"/>
  <c r="Y404" i="146"/>
  <c r="W405" i="146"/>
  <c r="X405" i="146"/>
  <c r="Y405" i="146"/>
  <c r="W406" i="146"/>
  <c r="X406" i="146"/>
  <c r="Y406" i="146"/>
  <c r="W407" i="146"/>
  <c r="X407" i="146"/>
  <c r="Y407" i="146"/>
  <c r="W408" i="146"/>
  <c r="X408" i="146"/>
  <c r="Y408" i="146"/>
  <c r="W409" i="146"/>
  <c r="X409" i="146"/>
  <c r="Y409" i="146"/>
  <c r="W410" i="146"/>
  <c r="X410" i="146"/>
  <c r="Y410" i="146"/>
  <c r="W411" i="146"/>
  <c r="X411" i="146"/>
  <c r="Y411" i="146"/>
  <c r="W412" i="146"/>
  <c r="X412" i="146"/>
  <c r="Y412" i="146"/>
  <c r="W413" i="146"/>
  <c r="X413" i="146"/>
  <c r="Y413" i="146"/>
  <c r="W414" i="146"/>
  <c r="X414" i="146"/>
  <c r="Y414" i="146"/>
  <c r="W415" i="146"/>
  <c r="X415" i="146"/>
  <c r="Y415" i="146"/>
  <c r="W416" i="146"/>
  <c r="X416" i="146"/>
  <c r="Y416" i="146"/>
  <c r="W417" i="146"/>
  <c r="X417" i="146"/>
  <c r="Y417" i="146"/>
  <c r="W418" i="146"/>
  <c r="X418" i="146"/>
  <c r="Y418" i="146"/>
  <c r="W419" i="146"/>
  <c r="X419" i="146"/>
  <c r="Y419" i="146"/>
  <c r="W420" i="146"/>
  <c r="X420" i="146"/>
  <c r="Y420" i="146"/>
  <c r="W421" i="146"/>
  <c r="X421" i="146"/>
  <c r="Y421" i="146"/>
  <c r="W422" i="146"/>
  <c r="X422" i="146"/>
  <c r="Y422" i="146"/>
  <c r="W423" i="146"/>
  <c r="X423" i="146"/>
  <c r="Y423" i="146"/>
  <c r="W424" i="146"/>
  <c r="X424" i="146"/>
  <c r="Y424" i="146"/>
  <c r="W425" i="146"/>
  <c r="X425" i="146"/>
  <c r="Y425" i="146"/>
  <c r="W426" i="146"/>
  <c r="X426" i="146"/>
  <c r="Y426" i="146"/>
  <c r="W427" i="146"/>
  <c r="X427" i="146"/>
  <c r="Y427" i="146"/>
  <c r="W428" i="146"/>
  <c r="X428" i="146"/>
  <c r="Y428" i="146"/>
  <c r="W429" i="146"/>
  <c r="X429" i="146"/>
  <c r="Y429" i="146"/>
  <c r="W430" i="146"/>
  <c r="X430" i="146"/>
  <c r="Y430" i="146"/>
  <c r="W431" i="146"/>
  <c r="X431" i="146"/>
  <c r="Y431" i="146"/>
  <c r="W432" i="146"/>
  <c r="X432" i="146"/>
  <c r="Y432" i="146"/>
  <c r="W433" i="146"/>
  <c r="X433" i="146"/>
  <c r="Y433" i="146"/>
  <c r="W434" i="146"/>
  <c r="X434" i="146"/>
  <c r="Y434" i="146"/>
  <c r="W435" i="146"/>
  <c r="X435" i="146"/>
  <c r="Y435" i="146"/>
  <c r="W436" i="146"/>
  <c r="X436" i="146"/>
  <c r="Y436" i="146"/>
  <c r="W437" i="146"/>
  <c r="X437" i="146"/>
  <c r="Y437" i="146"/>
  <c r="W438" i="146"/>
  <c r="X438" i="146"/>
  <c r="Y438" i="146"/>
  <c r="W439" i="146"/>
  <c r="X439" i="146"/>
  <c r="Y439" i="146"/>
  <c r="W440" i="146"/>
  <c r="X440" i="146"/>
  <c r="Y440" i="146"/>
  <c r="W441" i="146"/>
  <c r="X441" i="146"/>
  <c r="Y441" i="146"/>
  <c r="W442" i="146"/>
  <c r="X442" i="146"/>
  <c r="Y442" i="146"/>
  <c r="W443" i="146"/>
  <c r="X443" i="146"/>
  <c r="Y443" i="146"/>
  <c r="W444" i="146"/>
  <c r="X444" i="146"/>
  <c r="Y444" i="146"/>
  <c r="W445" i="146"/>
  <c r="X445" i="146"/>
  <c r="Y445" i="146"/>
  <c r="W446" i="146"/>
  <c r="X446" i="146"/>
  <c r="Y446" i="146"/>
  <c r="W447" i="146"/>
  <c r="X447" i="146"/>
  <c r="Y447" i="146"/>
  <c r="W448" i="146"/>
  <c r="X448" i="146"/>
  <c r="Y448" i="146"/>
  <c r="W449" i="146"/>
  <c r="X449" i="146"/>
  <c r="Y449" i="146"/>
  <c r="W450" i="146"/>
  <c r="X450" i="146"/>
  <c r="Y450" i="146"/>
  <c r="W451" i="146"/>
  <c r="X451" i="146"/>
  <c r="Y451" i="146"/>
  <c r="W452" i="146"/>
  <c r="X452" i="146"/>
  <c r="Y452" i="146"/>
  <c r="W453" i="146"/>
  <c r="X453" i="146"/>
  <c r="Y453" i="146"/>
  <c r="W454" i="146"/>
  <c r="X454" i="146"/>
  <c r="Y454" i="146"/>
  <c r="W455" i="146"/>
  <c r="X455" i="146"/>
  <c r="Y455" i="146"/>
  <c r="W456" i="146"/>
  <c r="X456" i="146"/>
  <c r="Y456" i="146"/>
  <c r="W457" i="146"/>
  <c r="X457" i="146"/>
  <c r="Y457" i="146"/>
  <c r="W458" i="146"/>
  <c r="X458" i="146"/>
  <c r="Y458" i="146"/>
  <c r="W459" i="146"/>
  <c r="X459" i="146"/>
  <c r="Y459" i="146"/>
  <c r="W460" i="146"/>
  <c r="X460" i="146"/>
  <c r="Y460" i="146"/>
  <c r="W461" i="146"/>
  <c r="X461" i="146"/>
  <c r="Y461" i="146"/>
  <c r="W462" i="146"/>
  <c r="X462" i="146"/>
  <c r="Y462" i="146"/>
  <c r="W463" i="146"/>
  <c r="X463" i="146"/>
  <c r="Y463" i="146"/>
  <c r="W464" i="146"/>
  <c r="X464" i="146"/>
  <c r="Y464" i="146"/>
  <c r="W465" i="146"/>
  <c r="X465" i="146"/>
  <c r="Y465" i="146"/>
  <c r="W466" i="146"/>
  <c r="X466" i="146"/>
  <c r="Y466" i="146"/>
  <c r="W467" i="146"/>
  <c r="X467" i="146"/>
  <c r="Y467" i="146"/>
  <c r="W468" i="146"/>
  <c r="X468" i="146"/>
  <c r="Y468" i="146"/>
  <c r="W469" i="146"/>
  <c r="X469" i="146"/>
  <c r="Y469" i="146"/>
  <c r="W470" i="146"/>
  <c r="X470" i="146"/>
  <c r="Y470" i="146"/>
  <c r="W471" i="146"/>
  <c r="X471" i="146"/>
  <c r="Y471" i="146"/>
  <c r="W472" i="146"/>
  <c r="X472" i="146"/>
  <c r="Y472" i="146"/>
  <c r="W473" i="146"/>
  <c r="X473" i="146"/>
  <c r="Y473" i="146"/>
  <c r="W474" i="146"/>
  <c r="X474" i="146"/>
  <c r="Y474" i="146"/>
  <c r="W475" i="146"/>
  <c r="X475" i="146"/>
  <c r="Y475" i="146"/>
  <c r="W476" i="146"/>
  <c r="X476" i="146"/>
  <c r="Y476" i="146"/>
  <c r="W477" i="146"/>
  <c r="X477" i="146"/>
  <c r="Y477" i="146"/>
  <c r="W478" i="146"/>
  <c r="X478" i="146"/>
  <c r="Y478" i="146"/>
  <c r="W479" i="146"/>
  <c r="X479" i="146"/>
  <c r="Y479" i="146"/>
  <c r="W480" i="146"/>
  <c r="X480" i="146"/>
  <c r="Y480" i="146"/>
  <c r="W481" i="146"/>
  <c r="X481" i="146"/>
  <c r="Y481" i="146"/>
  <c r="W482" i="146"/>
  <c r="X482" i="146"/>
  <c r="Y482" i="146"/>
  <c r="W483" i="146"/>
  <c r="X483" i="146"/>
  <c r="Y483" i="146"/>
  <c r="W484" i="146"/>
  <c r="X484" i="146"/>
  <c r="Y484" i="146"/>
  <c r="W485" i="146"/>
  <c r="X485" i="146"/>
  <c r="Y485" i="146"/>
  <c r="W486" i="146"/>
  <c r="X486" i="146"/>
  <c r="Y486" i="146"/>
  <c r="W487" i="146"/>
  <c r="X487" i="146"/>
  <c r="Y487" i="146"/>
  <c r="W488" i="146"/>
  <c r="X488" i="146"/>
  <c r="Y488" i="146"/>
  <c r="W489" i="146"/>
  <c r="X489" i="146"/>
  <c r="Y489" i="146"/>
  <c r="W490" i="146"/>
  <c r="X490" i="146"/>
  <c r="Y490" i="146"/>
  <c r="W491" i="146"/>
  <c r="X491" i="146"/>
  <c r="Y491" i="146"/>
  <c r="W492" i="146"/>
  <c r="X492" i="146"/>
  <c r="Y492" i="146"/>
  <c r="W493" i="146"/>
  <c r="X493" i="146"/>
  <c r="Y493" i="146"/>
  <c r="W494" i="146"/>
  <c r="X494" i="146"/>
  <c r="Y494" i="146"/>
  <c r="W495" i="146"/>
  <c r="X495" i="146"/>
  <c r="Y495" i="146"/>
  <c r="W496" i="146"/>
  <c r="X496" i="146"/>
  <c r="Y496" i="146"/>
  <c r="W497" i="146"/>
  <c r="X497" i="146"/>
  <c r="Y497" i="146"/>
  <c r="W498" i="146"/>
  <c r="X498" i="146"/>
  <c r="Y498" i="146"/>
  <c r="W499" i="146"/>
  <c r="X499" i="146"/>
  <c r="Y499" i="146"/>
  <c r="W500" i="146"/>
  <c r="X500" i="146"/>
  <c r="Y500" i="146"/>
  <c r="W501" i="146"/>
  <c r="X501" i="146"/>
  <c r="Y501" i="146"/>
  <c r="W502" i="146"/>
  <c r="X502" i="146"/>
  <c r="Y502" i="146"/>
  <c r="W503" i="146"/>
  <c r="X503" i="146"/>
  <c r="Y503" i="146"/>
  <c r="W504" i="146"/>
  <c r="X504" i="146"/>
  <c r="Y504" i="146"/>
  <c r="W505" i="146"/>
  <c r="X505" i="146"/>
  <c r="Y505" i="146"/>
  <c r="W506" i="146"/>
  <c r="X506" i="146"/>
  <c r="Y506" i="146"/>
  <c r="W507" i="146"/>
  <c r="X507" i="146"/>
  <c r="Y507" i="146"/>
  <c r="W508" i="146"/>
  <c r="X508" i="146"/>
  <c r="Y508" i="146"/>
  <c r="W509" i="146"/>
  <c r="X509" i="146"/>
  <c r="Y509" i="146"/>
  <c r="W510" i="146"/>
  <c r="X510" i="146"/>
  <c r="Y510" i="146"/>
  <c r="W511" i="146"/>
  <c r="X511" i="146"/>
  <c r="Y511" i="146"/>
  <c r="W512" i="146"/>
  <c r="X512" i="146"/>
  <c r="Y512" i="146"/>
  <c r="W513" i="146"/>
  <c r="X513" i="146"/>
  <c r="Y513" i="146"/>
  <c r="W514" i="146"/>
  <c r="X514" i="146"/>
  <c r="Y514" i="146"/>
  <c r="W515" i="146"/>
  <c r="X515" i="146"/>
  <c r="Y515" i="146"/>
  <c r="W516" i="146"/>
  <c r="X516" i="146"/>
  <c r="Y516" i="146"/>
  <c r="W517" i="146"/>
  <c r="X517" i="146"/>
  <c r="Y517" i="146"/>
  <c r="W518" i="146"/>
  <c r="X518" i="146"/>
  <c r="Y518" i="146"/>
  <c r="W519" i="146"/>
  <c r="X519" i="146"/>
  <c r="Y519" i="146"/>
  <c r="W520" i="146"/>
  <c r="X520" i="146"/>
  <c r="Y520" i="146"/>
  <c r="W521" i="146"/>
  <c r="X521" i="146"/>
  <c r="Y521" i="146"/>
  <c r="W522" i="146"/>
  <c r="X522" i="146"/>
  <c r="Y522" i="146"/>
  <c r="W523" i="146"/>
  <c r="X523" i="146"/>
  <c r="Y523" i="146"/>
  <c r="W524" i="146"/>
  <c r="X524" i="146"/>
  <c r="Y524" i="146"/>
  <c r="W525" i="146"/>
  <c r="X525" i="146"/>
  <c r="Y525" i="146"/>
  <c r="W526" i="146"/>
  <c r="X526" i="146"/>
  <c r="Y526" i="146"/>
  <c r="W527" i="146"/>
  <c r="X527" i="146"/>
  <c r="Y527" i="146"/>
  <c r="W528" i="146"/>
  <c r="X528" i="146"/>
  <c r="Y528" i="146"/>
  <c r="W529" i="146"/>
  <c r="X529" i="146"/>
  <c r="Y529" i="146"/>
  <c r="W530" i="146"/>
  <c r="X530" i="146"/>
  <c r="Y530" i="146"/>
  <c r="W531" i="146"/>
  <c r="X531" i="146"/>
  <c r="Y531" i="146"/>
  <c r="W532" i="146"/>
  <c r="X532" i="146"/>
  <c r="Y532" i="146"/>
  <c r="W533" i="146"/>
  <c r="X533" i="146"/>
  <c r="Y533" i="146"/>
  <c r="W534" i="146"/>
  <c r="X534" i="146"/>
  <c r="Y534" i="146"/>
  <c r="W535" i="146"/>
  <c r="X535" i="146"/>
  <c r="Y535" i="146"/>
  <c r="W536" i="146"/>
  <c r="X536" i="146"/>
  <c r="Y536" i="146"/>
  <c r="W537" i="146"/>
  <c r="X537" i="146"/>
  <c r="Y537" i="146"/>
  <c r="W538" i="146"/>
  <c r="X538" i="146"/>
  <c r="Y538" i="146"/>
  <c r="W539" i="146"/>
  <c r="X539" i="146"/>
  <c r="Y539" i="146"/>
  <c r="W540" i="146"/>
  <c r="X540" i="146"/>
  <c r="Y540" i="146"/>
  <c r="W541" i="146"/>
  <c r="X541" i="146"/>
  <c r="Y541" i="146"/>
  <c r="W542" i="146"/>
  <c r="X542" i="146"/>
  <c r="Y542" i="146"/>
  <c r="W543" i="146"/>
  <c r="X543" i="146"/>
  <c r="Y543" i="146"/>
  <c r="W544" i="146"/>
  <c r="X544" i="146"/>
  <c r="Y544" i="146"/>
  <c r="W545" i="146"/>
  <c r="X545" i="146"/>
  <c r="Y545" i="146"/>
  <c r="W546" i="146"/>
  <c r="X546" i="146"/>
  <c r="Y546" i="146"/>
  <c r="W547" i="146"/>
  <c r="X547" i="146"/>
  <c r="Y547" i="146"/>
  <c r="W548" i="146"/>
  <c r="X548" i="146"/>
  <c r="Y548" i="146"/>
  <c r="W549" i="146"/>
  <c r="X549" i="146"/>
  <c r="Y549" i="146"/>
  <c r="W550" i="146"/>
  <c r="X550" i="146"/>
  <c r="Y550" i="146"/>
  <c r="W551" i="146"/>
  <c r="X551" i="146"/>
  <c r="Y551" i="146"/>
  <c r="W552" i="146"/>
  <c r="X552" i="146"/>
  <c r="Y552" i="146"/>
  <c r="W553" i="146"/>
  <c r="X553" i="146"/>
  <c r="Y553" i="146"/>
  <c r="W554" i="146"/>
  <c r="X554" i="146"/>
  <c r="Y554" i="146"/>
  <c r="W555" i="146"/>
  <c r="X555" i="146"/>
  <c r="Y555" i="146"/>
  <c r="W556" i="146"/>
  <c r="X556" i="146"/>
  <c r="Y556" i="146"/>
  <c r="W557" i="146"/>
  <c r="X557" i="146"/>
  <c r="Y557" i="146"/>
  <c r="W558" i="146"/>
  <c r="X558" i="146"/>
  <c r="Y558" i="146"/>
  <c r="W559" i="146"/>
  <c r="X559" i="146"/>
  <c r="Y559" i="146"/>
  <c r="W560" i="146"/>
  <c r="X560" i="146"/>
  <c r="Y560" i="146"/>
  <c r="W561" i="146"/>
  <c r="X561" i="146"/>
  <c r="Y561" i="146"/>
  <c r="W562" i="146"/>
  <c r="X562" i="146"/>
  <c r="Y562" i="146"/>
  <c r="W563" i="146"/>
  <c r="X563" i="146"/>
  <c r="Y563" i="146"/>
  <c r="W564" i="146"/>
  <c r="X564" i="146"/>
  <c r="Y564" i="146"/>
  <c r="W565" i="146"/>
  <c r="X565" i="146"/>
  <c r="Y565" i="146"/>
  <c r="W566" i="146"/>
  <c r="X566" i="146"/>
  <c r="Y566" i="146"/>
  <c r="W567" i="146"/>
  <c r="X567" i="146"/>
  <c r="Y567" i="146"/>
  <c r="W568" i="146"/>
  <c r="X568" i="146"/>
  <c r="Y568" i="146"/>
  <c r="W569" i="146"/>
  <c r="X569" i="146"/>
  <c r="Y569" i="146"/>
  <c r="W570" i="146"/>
  <c r="X570" i="146"/>
  <c r="Y570" i="146"/>
  <c r="W571" i="146"/>
  <c r="X571" i="146"/>
  <c r="Y571" i="146"/>
  <c r="W572" i="146"/>
  <c r="X572" i="146"/>
  <c r="Y572" i="146"/>
  <c r="W573" i="146"/>
  <c r="X573" i="146"/>
  <c r="Y573" i="146"/>
  <c r="W574" i="146"/>
  <c r="X574" i="146"/>
  <c r="Y574" i="146"/>
  <c r="W575" i="146"/>
  <c r="X575" i="146"/>
  <c r="Y575" i="146"/>
  <c r="W576" i="146"/>
  <c r="X576" i="146"/>
  <c r="Y576" i="146"/>
  <c r="W577" i="146"/>
  <c r="X577" i="146"/>
  <c r="Y577" i="146"/>
  <c r="W578" i="146"/>
  <c r="X578" i="146"/>
  <c r="Y578" i="146"/>
  <c r="W579" i="146"/>
  <c r="X579" i="146"/>
  <c r="Y579" i="146"/>
  <c r="W580" i="146"/>
  <c r="X580" i="146"/>
  <c r="Y580" i="146"/>
  <c r="W581" i="146"/>
  <c r="X581" i="146"/>
  <c r="Y581" i="146"/>
  <c r="W582" i="146"/>
  <c r="X582" i="146"/>
  <c r="Y582" i="146"/>
  <c r="W583" i="146"/>
  <c r="X583" i="146"/>
  <c r="Y583" i="146"/>
  <c r="W584" i="146"/>
  <c r="X584" i="146"/>
  <c r="Y584" i="146"/>
  <c r="W585" i="146"/>
  <c r="X585" i="146"/>
  <c r="Y585" i="146"/>
  <c r="W586" i="146"/>
  <c r="X586" i="146"/>
  <c r="Y586" i="146"/>
  <c r="W587" i="146"/>
  <c r="X587" i="146"/>
  <c r="Y587" i="146"/>
  <c r="W588" i="146"/>
  <c r="X588" i="146"/>
  <c r="Y588" i="146"/>
  <c r="W589" i="146"/>
  <c r="X589" i="146"/>
  <c r="Y589" i="146"/>
  <c r="W590" i="146"/>
  <c r="X590" i="146"/>
  <c r="Y590" i="146"/>
  <c r="W591" i="146"/>
  <c r="X591" i="146"/>
  <c r="Y591" i="146"/>
  <c r="W592" i="146"/>
  <c r="X592" i="146"/>
  <c r="Y592" i="146"/>
  <c r="W593" i="146"/>
  <c r="X593" i="146"/>
  <c r="Y593" i="146"/>
  <c r="W594" i="146"/>
  <c r="X594" i="146"/>
  <c r="Y594" i="146"/>
  <c r="W595" i="146"/>
  <c r="X595" i="146"/>
  <c r="Y595" i="146"/>
  <c r="W596" i="146"/>
  <c r="X596" i="146"/>
  <c r="Y596" i="146"/>
  <c r="W597" i="146"/>
  <c r="X597" i="146"/>
  <c r="Y597" i="146"/>
  <c r="W598" i="146"/>
  <c r="X598" i="146"/>
  <c r="Y598" i="146"/>
  <c r="W599" i="146"/>
  <c r="X599" i="146"/>
  <c r="Y599" i="146"/>
  <c r="W600" i="146"/>
  <c r="X600" i="146"/>
  <c r="Y600" i="146"/>
  <c r="W601" i="146"/>
  <c r="X601" i="146"/>
  <c r="Y601" i="146"/>
  <c r="W602" i="146"/>
  <c r="X602" i="146"/>
  <c r="Y602" i="146"/>
  <c r="W603" i="146"/>
  <c r="X603" i="146"/>
  <c r="Y603" i="146"/>
  <c r="W604" i="146"/>
  <c r="X604" i="146"/>
  <c r="Y604" i="146"/>
  <c r="W605" i="146"/>
  <c r="X605" i="146"/>
  <c r="Y605" i="146"/>
  <c r="W606" i="146"/>
  <c r="X606" i="146"/>
  <c r="Y606" i="146"/>
  <c r="W607" i="146"/>
  <c r="X607" i="146"/>
  <c r="Y607" i="146"/>
  <c r="W608" i="146"/>
  <c r="X608" i="146"/>
  <c r="Y608" i="146"/>
  <c r="W609" i="146"/>
  <c r="X609" i="146"/>
  <c r="Y609" i="146"/>
  <c r="W610" i="146"/>
  <c r="X610" i="146"/>
  <c r="Y610" i="146"/>
  <c r="W611" i="146"/>
  <c r="X611" i="146"/>
  <c r="Y611" i="146"/>
  <c r="W612" i="146"/>
  <c r="X612" i="146"/>
  <c r="Y612" i="146"/>
  <c r="W613" i="146"/>
  <c r="X613" i="146"/>
  <c r="Y613" i="146"/>
  <c r="W614" i="146"/>
  <c r="X614" i="146"/>
  <c r="Y614" i="146"/>
  <c r="W615" i="146"/>
  <c r="X615" i="146"/>
  <c r="Y615" i="146"/>
  <c r="W616" i="146"/>
  <c r="X616" i="146"/>
  <c r="Y616" i="146"/>
  <c r="W617" i="146"/>
  <c r="X617" i="146"/>
  <c r="Y617" i="146"/>
  <c r="W618" i="146"/>
  <c r="X618" i="146"/>
  <c r="Y618" i="146"/>
  <c r="W619" i="146"/>
  <c r="X619" i="146"/>
  <c r="Y619" i="146"/>
  <c r="W620" i="146"/>
  <c r="X620" i="146"/>
  <c r="Y620" i="146"/>
  <c r="W621" i="146"/>
  <c r="X621" i="146"/>
  <c r="Y621" i="146"/>
  <c r="W622" i="146"/>
  <c r="X622" i="146"/>
  <c r="Y622" i="146"/>
  <c r="W623" i="146"/>
  <c r="X623" i="146"/>
  <c r="Y623" i="146"/>
  <c r="W624" i="146"/>
  <c r="X624" i="146"/>
  <c r="Y624" i="146"/>
  <c r="W625" i="146"/>
  <c r="X625" i="146"/>
  <c r="Y625" i="146"/>
  <c r="W626" i="146"/>
  <c r="X626" i="146"/>
  <c r="Y626" i="146"/>
  <c r="W627" i="146"/>
  <c r="X627" i="146"/>
  <c r="Y627" i="146"/>
  <c r="W628" i="146"/>
  <c r="X628" i="146"/>
  <c r="Y628" i="146"/>
  <c r="W629" i="146"/>
  <c r="X629" i="146"/>
  <c r="Y629" i="146"/>
  <c r="W630" i="146"/>
  <c r="X630" i="146"/>
  <c r="Y630" i="146"/>
  <c r="W631" i="146"/>
  <c r="X631" i="146"/>
  <c r="Y631" i="146"/>
  <c r="W632" i="146"/>
  <c r="X632" i="146"/>
  <c r="Y632" i="146"/>
  <c r="W633" i="146"/>
  <c r="X633" i="146"/>
  <c r="Y633" i="146"/>
  <c r="W634" i="146"/>
  <c r="X634" i="146"/>
  <c r="Y634" i="146"/>
  <c r="W635" i="146"/>
  <c r="X635" i="146"/>
  <c r="Y635" i="146"/>
  <c r="W636" i="146"/>
  <c r="X636" i="146"/>
  <c r="Y636" i="146"/>
  <c r="W637" i="146"/>
  <c r="X637" i="146"/>
  <c r="Y637" i="146"/>
  <c r="W638" i="146"/>
  <c r="X638" i="146"/>
  <c r="Y638" i="146"/>
  <c r="W639" i="146"/>
  <c r="X639" i="146"/>
  <c r="Y639" i="146"/>
  <c r="W640" i="146"/>
  <c r="X640" i="146"/>
  <c r="Y640" i="146"/>
  <c r="W641" i="146"/>
  <c r="X641" i="146"/>
  <c r="Y641" i="146"/>
  <c r="W642" i="146"/>
  <c r="X642" i="146"/>
  <c r="Y642" i="146"/>
  <c r="W643" i="146"/>
  <c r="X643" i="146"/>
  <c r="Y643" i="146"/>
  <c r="W644" i="146"/>
  <c r="X644" i="146"/>
  <c r="Y644" i="146"/>
  <c r="W645" i="146"/>
  <c r="X645" i="146"/>
  <c r="Y645" i="146"/>
  <c r="W646" i="146"/>
  <c r="X646" i="146"/>
  <c r="Y646" i="146"/>
  <c r="W647" i="146"/>
  <c r="X647" i="146"/>
  <c r="Y647" i="146"/>
  <c r="W648" i="146"/>
  <c r="X648" i="146"/>
  <c r="Y648" i="146"/>
  <c r="W649" i="146"/>
  <c r="X649" i="146"/>
  <c r="Y649" i="146"/>
  <c r="W650" i="146"/>
  <c r="X650" i="146"/>
  <c r="Y650" i="146"/>
  <c r="W651" i="146"/>
  <c r="X651" i="146"/>
  <c r="Y651" i="146"/>
  <c r="W652" i="146"/>
  <c r="X652" i="146"/>
  <c r="Y652" i="146"/>
  <c r="W653" i="146"/>
  <c r="X653" i="146"/>
  <c r="Y653" i="146"/>
  <c r="W654" i="146"/>
  <c r="X654" i="146"/>
  <c r="Y654" i="146"/>
  <c r="W655" i="146"/>
  <c r="X655" i="146"/>
  <c r="Y655" i="146"/>
  <c r="W656" i="146"/>
  <c r="X656" i="146"/>
  <c r="Y656" i="146"/>
  <c r="W657" i="146"/>
  <c r="X657" i="146"/>
  <c r="Y657" i="146"/>
  <c r="W658" i="146"/>
  <c r="X658" i="146"/>
  <c r="Y658" i="146"/>
  <c r="W659" i="146"/>
  <c r="X659" i="146"/>
  <c r="Y659" i="146"/>
  <c r="W660" i="146"/>
  <c r="X660" i="146"/>
  <c r="Y660" i="146"/>
  <c r="W661" i="146"/>
  <c r="X661" i="146"/>
  <c r="Y661" i="146"/>
  <c r="W662" i="146"/>
  <c r="X662" i="146"/>
  <c r="Y662" i="146"/>
  <c r="W663" i="146"/>
  <c r="X663" i="146"/>
  <c r="Y663" i="146"/>
  <c r="W664" i="146"/>
  <c r="X664" i="146"/>
  <c r="Y664" i="146"/>
  <c r="W665" i="146"/>
  <c r="X665" i="146"/>
  <c r="Y665" i="146"/>
  <c r="W666" i="146"/>
  <c r="X666" i="146"/>
  <c r="Y666" i="146"/>
  <c r="W667" i="146"/>
  <c r="X667" i="146"/>
  <c r="Y667" i="146"/>
  <c r="W668" i="146"/>
  <c r="X668" i="146"/>
  <c r="Y668" i="146"/>
  <c r="W669" i="146"/>
  <c r="X669" i="146"/>
  <c r="Y669" i="146"/>
  <c r="W670" i="146"/>
  <c r="X670" i="146"/>
  <c r="Y670" i="146"/>
  <c r="W671" i="146"/>
  <c r="X671" i="146"/>
  <c r="Y671" i="146"/>
  <c r="W672" i="146"/>
  <c r="X672" i="146"/>
  <c r="Y672" i="146"/>
  <c r="W673" i="146"/>
  <c r="X673" i="146"/>
  <c r="Y673" i="146"/>
  <c r="W674" i="146"/>
  <c r="X674" i="146"/>
  <c r="Y674" i="146"/>
  <c r="W675" i="146"/>
  <c r="X675" i="146"/>
  <c r="Y675" i="146"/>
  <c r="W676" i="146"/>
  <c r="X676" i="146"/>
  <c r="Y676" i="146"/>
  <c r="W677" i="146"/>
  <c r="X677" i="146"/>
  <c r="Y677" i="146"/>
  <c r="W678" i="146"/>
  <c r="X678" i="146"/>
  <c r="Y678" i="146"/>
  <c r="W679" i="146"/>
  <c r="X679" i="146"/>
  <c r="Y679" i="146"/>
  <c r="W680" i="146"/>
  <c r="X680" i="146"/>
  <c r="Y680" i="146"/>
  <c r="W681" i="146"/>
  <c r="X681" i="146"/>
  <c r="Y681" i="146"/>
  <c r="W682" i="146"/>
  <c r="X682" i="146"/>
  <c r="Y682" i="146"/>
  <c r="W683" i="146"/>
  <c r="X683" i="146"/>
  <c r="Y683" i="146"/>
  <c r="W684" i="146"/>
  <c r="X684" i="146"/>
  <c r="Y684" i="146"/>
  <c r="W685" i="146"/>
  <c r="X685" i="146"/>
  <c r="Y685" i="146"/>
  <c r="W686" i="146"/>
  <c r="X686" i="146"/>
  <c r="Y686" i="146"/>
  <c r="W687" i="146"/>
  <c r="X687" i="146"/>
  <c r="Y687" i="146"/>
  <c r="W688" i="146"/>
  <c r="X688" i="146"/>
  <c r="Y688" i="146"/>
  <c r="W689" i="146"/>
  <c r="X689" i="146"/>
  <c r="Y689" i="146"/>
  <c r="W690" i="146"/>
  <c r="X690" i="146"/>
  <c r="Y690" i="146"/>
  <c r="W691" i="146"/>
  <c r="X691" i="146"/>
  <c r="Y691" i="146"/>
  <c r="W692" i="146"/>
  <c r="X692" i="146"/>
  <c r="Y692" i="146"/>
  <c r="W693" i="146"/>
  <c r="X693" i="146"/>
  <c r="Y693" i="146"/>
  <c r="W694" i="146"/>
  <c r="X694" i="146"/>
  <c r="Y694" i="146"/>
  <c r="W695" i="146"/>
  <c r="X695" i="146"/>
  <c r="Y695" i="146"/>
  <c r="W696" i="146"/>
  <c r="X696" i="146"/>
  <c r="Y696" i="146"/>
  <c r="W697" i="146"/>
  <c r="X697" i="146"/>
  <c r="Y697" i="146"/>
  <c r="W698" i="146"/>
  <c r="X698" i="146"/>
  <c r="Y698" i="146"/>
  <c r="W699" i="146"/>
  <c r="X699" i="146"/>
  <c r="Y699" i="146"/>
  <c r="W700" i="146"/>
  <c r="X700" i="146"/>
  <c r="Y700" i="146"/>
  <c r="W701" i="146"/>
  <c r="X701" i="146"/>
  <c r="Y701" i="146"/>
  <c r="W702" i="146"/>
  <c r="X702" i="146"/>
  <c r="Y702" i="146"/>
  <c r="W703" i="146"/>
  <c r="X703" i="146"/>
  <c r="Y703" i="146"/>
  <c r="W704" i="146"/>
  <c r="X704" i="146"/>
  <c r="Y704" i="146"/>
  <c r="W705" i="146"/>
  <c r="X705" i="146"/>
  <c r="Y705" i="146"/>
  <c r="W706" i="146"/>
  <c r="X706" i="146"/>
  <c r="Y706" i="146"/>
  <c r="W707" i="146"/>
  <c r="X707" i="146"/>
  <c r="Y707" i="146"/>
  <c r="W708" i="146"/>
  <c r="X708" i="146"/>
  <c r="Y708" i="146"/>
  <c r="W709" i="146"/>
  <c r="X709" i="146"/>
  <c r="Y709" i="146"/>
  <c r="W710" i="146"/>
  <c r="X710" i="146"/>
  <c r="Y710" i="146"/>
  <c r="W711" i="146"/>
  <c r="X711" i="146"/>
  <c r="Y711" i="146"/>
  <c r="W712" i="146"/>
  <c r="X712" i="146"/>
  <c r="Y712" i="146"/>
  <c r="W713" i="146"/>
  <c r="X713" i="146"/>
  <c r="Y713" i="146"/>
  <c r="W714" i="146"/>
  <c r="X714" i="146"/>
  <c r="Y714" i="146"/>
  <c r="W715" i="146"/>
  <c r="X715" i="146"/>
  <c r="Y715" i="146"/>
  <c r="W716" i="146"/>
  <c r="X716" i="146"/>
  <c r="Y716" i="146"/>
  <c r="W717" i="146"/>
  <c r="X717" i="146"/>
  <c r="Y717" i="146"/>
  <c r="W718" i="146"/>
  <c r="X718" i="146"/>
  <c r="Y718" i="146"/>
  <c r="W719" i="146"/>
  <c r="X719" i="146"/>
  <c r="Y719" i="146"/>
  <c r="W720" i="146"/>
  <c r="X720" i="146"/>
  <c r="Y720" i="146"/>
  <c r="W721" i="146"/>
  <c r="X721" i="146"/>
  <c r="Y721" i="146"/>
  <c r="W722" i="146"/>
  <c r="X722" i="146"/>
  <c r="Y722" i="146"/>
  <c r="W723" i="146"/>
  <c r="X723" i="146"/>
  <c r="Y723" i="146"/>
  <c r="W724" i="146"/>
  <c r="X724" i="146"/>
  <c r="Y724" i="146"/>
  <c r="W725" i="146"/>
  <c r="X725" i="146"/>
  <c r="Y725" i="146"/>
  <c r="W726" i="146"/>
  <c r="X726" i="146"/>
  <c r="Y726" i="146"/>
  <c r="W727" i="146"/>
  <c r="X727" i="146"/>
  <c r="Y727" i="146"/>
  <c r="W728" i="146"/>
  <c r="X728" i="146"/>
  <c r="Y728" i="146"/>
  <c r="W729" i="146"/>
  <c r="X729" i="146"/>
  <c r="Y729" i="146"/>
  <c r="W730" i="146"/>
  <c r="X730" i="146"/>
  <c r="Y730" i="146"/>
  <c r="W731" i="146"/>
  <c r="X731" i="146"/>
  <c r="Y731" i="146"/>
  <c r="W732" i="146"/>
  <c r="X732" i="146"/>
  <c r="Y732" i="146"/>
  <c r="W733" i="146"/>
  <c r="X733" i="146"/>
  <c r="Y733" i="146"/>
  <c r="W734" i="146"/>
  <c r="X734" i="146"/>
  <c r="Y734" i="146"/>
  <c r="W735" i="146"/>
  <c r="X735" i="146"/>
  <c r="Y735" i="146"/>
  <c r="W736" i="146"/>
  <c r="X736" i="146"/>
  <c r="Y736" i="146"/>
  <c r="W737" i="146"/>
  <c r="X737" i="146"/>
  <c r="Y737" i="146"/>
  <c r="W738" i="146"/>
  <c r="X738" i="146"/>
  <c r="Y738" i="146"/>
  <c r="W739" i="146"/>
  <c r="X739" i="146"/>
  <c r="Y739" i="146"/>
  <c r="W740" i="146"/>
  <c r="X740" i="146"/>
  <c r="Y740" i="146"/>
  <c r="W741" i="146"/>
  <c r="X741" i="146"/>
  <c r="Y741" i="146"/>
  <c r="W742" i="146"/>
  <c r="X742" i="146"/>
  <c r="Y742" i="146"/>
  <c r="W743" i="146"/>
  <c r="X743" i="146"/>
  <c r="Y743" i="146"/>
  <c r="W744" i="146"/>
  <c r="X744" i="146"/>
  <c r="Y744" i="146"/>
  <c r="W745" i="146"/>
  <c r="X745" i="146"/>
  <c r="Y745" i="146"/>
  <c r="W746" i="146"/>
  <c r="X746" i="146"/>
  <c r="Y746" i="146"/>
  <c r="W747" i="146"/>
  <c r="X747" i="146"/>
  <c r="Y747" i="146"/>
  <c r="W748" i="146"/>
  <c r="X748" i="146"/>
  <c r="Y748" i="146"/>
  <c r="W749" i="146"/>
  <c r="X749" i="146"/>
  <c r="Y749" i="146"/>
  <c r="W750" i="146"/>
  <c r="X750" i="146"/>
  <c r="Y750" i="146"/>
  <c r="W751" i="146"/>
  <c r="X751" i="146"/>
  <c r="Y751" i="146"/>
  <c r="W752" i="146"/>
  <c r="X752" i="146"/>
  <c r="Y752" i="146"/>
  <c r="W753" i="146"/>
  <c r="X753" i="146"/>
  <c r="Y753" i="146"/>
  <c r="W754" i="146"/>
  <c r="X754" i="146"/>
  <c r="Y754" i="146"/>
  <c r="W755" i="146"/>
  <c r="X755" i="146"/>
  <c r="Y755" i="146"/>
  <c r="W756" i="146"/>
  <c r="X756" i="146"/>
  <c r="Y756" i="146"/>
  <c r="W757" i="146"/>
  <c r="X757" i="146"/>
  <c r="Y757" i="146"/>
  <c r="W758" i="146"/>
  <c r="X758" i="146"/>
  <c r="Y758" i="146"/>
  <c r="W759" i="146"/>
  <c r="X759" i="146"/>
  <c r="Y759" i="146"/>
  <c r="W760" i="146"/>
  <c r="X760" i="146"/>
  <c r="Y760" i="146"/>
  <c r="W761" i="146"/>
  <c r="X761" i="146"/>
  <c r="Y761" i="146"/>
  <c r="W762" i="146"/>
  <c r="X762" i="146"/>
  <c r="Y762" i="146"/>
  <c r="W763" i="146"/>
  <c r="X763" i="146"/>
  <c r="Y763" i="146"/>
  <c r="W764" i="146"/>
  <c r="X764" i="146"/>
  <c r="Y764" i="146"/>
  <c r="W765" i="146"/>
  <c r="X765" i="146"/>
  <c r="Y765" i="146"/>
  <c r="W766" i="146"/>
  <c r="X766" i="146"/>
  <c r="Y766" i="146"/>
  <c r="W767" i="146"/>
  <c r="X767" i="146"/>
  <c r="Y767" i="146"/>
  <c r="W768" i="146"/>
  <c r="X768" i="146"/>
  <c r="Y768" i="146"/>
  <c r="W769" i="146"/>
  <c r="X769" i="146"/>
  <c r="Y769" i="146"/>
  <c r="W770" i="146"/>
  <c r="X770" i="146"/>
  <c r="Y770" i="146"/>
  <c r="W771" i="146"/>
  <c r="X771" i="146"/>
  <c r="Y771" i="146"/>
  <c r="W772" i="146"/>
  <c r="X772" i="146"/>
  <c r="Y772" i="146"/>
  <c r="W773" i="146"/>
  <c r="X773" i="146"/>
  <c r="Y773" i="146"/>
  <c r="W774" i="146"/>
  <c r="X774" i="146"/>
  <c r="Y774" i="146"/>
  <c r="W775" i="146"/>
  <c r="X775" i="146"/>
  <c r="Y775" i="146"/>
  <c r="W776" i="146"/>
  <c r="X776" i="146"/>
  <c r="Y776" i="146"/>
  <c r="W777" i="146"/>
  <c r="X777" i="146"/>
  <c r="Y777" i="146"/>
  <c r="W778" i="146"/>
  <c r="X778" i="146"/>
  <c r="Y778" i="146"/>
  <c r="W779" i="146"/>
  <c r="X779" i="146"/>
  <c r="Y779" i="146"/>
  <c r="W780" i="146"/>
  <c r="X780" i="146"/>
  <c r="Y780" i="146"/>
  <c r="W781" i="146"/>
  <c r="X781" i="146"/>
  <c r="Y781" i="146"/>
  <c r="W782" i="146"/>
  <c r="X782" i="146"/>
  <c r="Y782" i="146"/>
  <c r="W783" i="146"/>
  <c r="X783" i="146"/>
  <c r="Y783" i="146"/>
  <c r="W784" i="146"/>
  <c r="X784" i="146"/>
  <c r="Y784" i="146"/>
  <c r="W785" i="146"/>
  <c r="X785" i="146"/>
  <c r="Y785" i="146"/>
  <c r="W786" i="146"/>
  <c r="X786" i="146"/>
  <c r="Y786" i="146"/>
  <c r="W787" i="146"/>
  <c r="X787" i="146"/>
  <c r="Y787" i="146"/>
  <c r="W788" i="146"/>
  <c r="X788" i="146"/>
  <c r="Y788" i="146"/>
  <c r="W789" i="146"/>
  <c r="X789" i="146"/>
  <c r="Y789" i="146"/>
  <c r="W790" i="146"/>
  <c r="X790" i="146"/>
  <c r="Y790" i="146"/>
  <c r="W791" i="146"/>
  <c r="X791" i="146"/>
  <c r="Y791" i="146"/>
  <c r="W792" i="146"/>
  <c r="X792" i="146"/>
  <c r="Y792" i="146"/>
  <c r="W793" i="146"/>
  <c r="X793" i="146"/>
  <c r="Y793" i="146"/>
  <c r="W794" i="146"/>
  <c r="X794" i="146"/>
  <c r="Y794" i="146"/>
  <c r="W795" i="146"/>
  <c r="X795" i="146"/>
  <c r="Y795" i="146"/>
  <c r="W796" i="146"/>
  <c r="X796" i="146"/>
  <c r="Y796" i="146"/>
  <c r="W797" i="146"/>
  <c r="X797" i="146"/>
  <c r="Y797" i="146"/>
  <c r="W798" i="146"/>
  <c r="X798" i="146"/>
  <c r="Y798" i="146"/>
  <c r="W799" i="146"/>
  <c r="X799" i="146"/>
  <c r="Y799" i="146"/>
  <c r="W800" i="146"/>
  <c r="X800" i="146"/>
  <c r="Y800" i="146"/>
  <c r="W801" i="146"/>
  <c r="X801" i="146"/>
  <c r="Y801" i="146"/>
  <c r="W802" i="146"/>
  <c r="X802" i="146"/>
  <c r="Y802" i="146"/>
  <c r="W803" i="146"/>
  <c r="X803" i="146"/>
  <c r="Y803" i="146"/>
  <c r="W804" i="146"/>
  <c r="X804" i="146"/>
  <c r="Y804" i="146"/>
  <c r="W805" i="146"/>
  <c r="X805" i="146"/>
  <c r="Y805" i="146"/>
  <c r="W806" i="146"/>
  <c r="X806" i="146"/>
  <c r="Y806" i="146"/>
  <c r="W807" i="146"/>
  <c r="X807" i="146"/>
  <c r="Y807" i="146"/>
  <c r="W808" i="146"/>
  <c r="X808" i="146"/>
  <c r="Y808" i="146"/>
  <c r="W809" i="146"/>
  <c r="X809" i="146"/>
  <c r="Y809" i="146"/>
  <c r="W810" i="146"/>
  <c r="X810" i="146"/>
  <c r="Y810" i="146"/>
  <c r="W811" i="146"/>
  <c r="X811" i="146"/>
  <c r="Y811" i="146"/>
  <c r="W812" i="146"/>
  <c r="X812" i="146"/>
  <c r="Y812" i="146"/>
  <c r="W813" i="146"/>
  <c r="X813" i="146"/>
  <c r="Y813" i="146"/>
  <c r="W814" i="146"/>
  <c r="X814" i="146"/>
  <c r="Y814" i="146"/>
  <c r="W815" i="146"/>
  <c r="X815" i="146"/>
  <c r="Y815" i="146"/>
  <c r="W816" i="146"/>
  <c r="X816" i="146"/>
  <c r="Y816" i="146"/>
  <c r="W817" i="146"/>
  <c r="X817" i="146"/>
  <c r="Y817" i="146"/>
  <c r="W818" i="146"/>
  <c r="X818" i="146"/>
  <c r="Y818" i="146"/>
  <c r="W819" i="146"/>
  <c r="X819" i="146"/>
  <c r="Y819" i="146"/>
  <c r="W820" i="146"/>
  <c r="X820" i="146"/>
  <c r="Y820" i="146"/>
  <c r="W821" i="146"/>
  <c r="X821" i="146"/>
  <c r="Y821" i="146"/>
  <c r="W822" i="146"/>
  <c r="X822" i="146"/>
  <c r="Y822" i="146"/>
  <c r="W823" i="146"/>
  <c r="X823" i="146"/>
  <c r="Y823" i="146"/>
  <c r="W824" i="146"/>
  <c r="X824" i="146"/>
  <c r="Y824" i="146"/>
  <c r="W825" i="146"/>
  <c r="X825" i="146"/>
  <c r="Y825" i="146"/>
  <c r="W826" i="146"/>
  <c r="X826" i="146"/>
  <c r="Y826" i="146"/>
  <c r="W827" i="146"/>
  <c r="X827" i="146"/>
  <c r="Y827" i="146"/>
  <c r="W828" i="146"/>
  <c r="X828" i="146"/>
  <c r="Y828" i="146"/>
  <c r="W829" i="146"/>
  <c r="X829" i="146"/>
  <c r="Y829" i="146"/>
  <c r="W830" i="146"/>
  <c r="X830" i="146"/>
  <c r="Y830" i="146"/>
  <c r="W831" i="146"/>
  <c r="X831" i="146"/>
  <c r="Y831" i="146"/>
  <c r="W832" i="146"/>
  <c r="X832" i="146"/>
  <c r="Y832" i="146"/>
  <c r="W833" i="146"/>
  <c r="X833" i="146"/>
  <c r="Y833" i="146"/>
  <c r="W834" i="146"/>
  <c r="X834" i="146"/>
  <c r="Y834" i="146"/>
  <c r="W835" i="146"/>
  <c r="X835" i="146"/>
  <c r="Y835" i="146"/>
  <c r="W836" i="146"/>
  <c r="X836" i="146"/>
  <c r="Y836" i="146"/>
  <c r="W837" i="146"/>
  <c r="X837" i="146"/>
  <c r="Y837" i="146"/>
  <c r="W838" i="146"/>
  <c r="X838" i="146"/>
  <c r="Y838" i="146"/>
  <c r="W839" i="146"/>
  <c r="X839" i="146"/>
  <c r="Y839" i="146"/>
  <c r="W840" i="146"/>
  <c r="X840" i="146"/>
  <c r="Y840" i="146"/>
  <c r="W841" i="146"/>
  <c r="X841" i="146"/>
  <c r="Y841" i="146"/>
  <c r="W842" i="146"/>
  <c r="X842" i="146"/>
  <c r="Y842" i="146"/>
  <c r="W843" i="146"/>
  <c r="X843" i="146"/>
  <c r="Y843" i="146"/>
  <c r="W844" i="146"/>
  <c r="X844" i="146"/>
  <c r="Y844" i="146"/>
  <c r="W845" i="146"/>
  <c r="X845" i="146"/>
  <c r="Y845" i="146"/>
  <c r="W846" i="146"/>
  <c r="X846" i="146"/>
  <c r="Y846" i="146"/>
  <c r="W847" i="146"/>
  <c r="X847" i="146"/>
  <c r="Y847" i="146"/>
  <c r="W848" i="146"/>
  <c r="X848" i="146"/>
  <c r="Y848" i="146"/>
  <c r="W849" i="146"/>
  <c r="X849" i="146"/>
  <c r="Y849" i="146"/>
  <c r="W850" i="146"/>
  <c r="X850" i="146"/>
  <c r="Y850" i="146"/>
  <c r="W851" i="146"/>
  <c r="X851" i="146"/>
  <c r="Y851" i="146"/>
  <c r="W852" i="146"/>
  <c r="X852" i="146"/>
  <c r="Y852" i="146"/>
  <c r="W853" i="146"/>
  <c r="X853" i="146"/>
  <c r="Y853" i="146"/>
  <c r="W854" i="146"/>
  <c r="X854" i="146"/>
  <c r="Y854" i="146"/>
  <c r="W855" i="146"/>
  <c r="X855" i="146"/>
  <c r="Y855" i="146"/>
  <c r="W856" i="146"/>
  <c r="X856" i="146"/>
  <c r="Y856" i="146"/>
  <c r="W857" i="146"/>
  <c r="X857" i="146"/>
  <c r="Y857" i="146"/>
  <c r="W858" i="146"/>
  <c r="X858" i="146"/>
  <c r="Y858" i="146"/>
  <c r="W859" i="146"/>
  <c r="X859" i="146"/>
  <c r="Y859" i="146"/>
  <c r="W860" i="146"/>
  <c r="X860" i="146"/>
  <c r="Y860" i="146"/>
  <c r="W861" i="146"/>
  <c r="X861" i="146"/>
  <c r="Y861" i="146"/>
  <c r="W862" i="146"/>
  <c r="X862" i="146"/>
  <c r="Y862" i="146"/>
  <c r="W863" i="146"/>
  <c r="X863" i="146"/>
  <c r="Y863" i="146"/>
  <c r="W864" i="146"/>
  <c r="X864" i="146"/>
  <c r="Y864" i="146"/>
  <c r="W865" i="146"/>
  <c r="X865" i="146"/>
  <c r="Y865" i="146"/>
  <c r="W866" i="146"/>
  <c r="X866" i="146"/>
  <c r="Y866" i="146"/>
  <c r="W867" i="146"/>
  <c r="X867" i="146"/>
  <c r="Y867" i="146"/>
  <c r="W868" i="146"/>
  <c r="X868" i="146"/>
  <c r="Y868" i="146"/>
  <c r="W869" i="146"/>
  <c r="X869" i="146"/>
  <c r="Y869" i="146"/>
  <c r="W870" i="146"/>
  <c r="X870" i="146"/>
  <c r="Y870" i="146"/>
  <c r="W871" i="146"/>
  <c r="X871" i="146"/>
  <c r="Y871" i="146"/>
  <c r="W872" i="146"/>
  <c r="X872" i="146"/>
  <c r="Y872" i="146"/>
  <c r="W873" i="146"/>
  <c r="X873" i="146"/>
  <c r="Y873" i="146"/>
  <c r="W874" i="146"/>
  <c r="X874" i="146"/>
  <c r="Y874" i="146"/>
  <c r="W875" i="146"/>
  <c r="X875" i="146"/>
  <c r="Y875" i="146"/>
  <c r="W876" i="146"/>
  <c r="X876" i="146"/>
  <c r="Y876" i="146"/>
  <c r="W877" i="146"/>
  <c r="X877" i="146"/>
  <c r="Y877" i="146"/>
  <c r="W878" i="146"/>
  <c r="X878" i="146"/>
  <c r="Y878" i="146"/>
  <c r="W879" i="146"/>
  <c r="X879" i="146"/>
  <c r="Y879" i="146"/>
  <c r="W880" i="146"/>
  <c r="X880" i="146"/>
  <c r="Y880" i="146"/>
  <c r="W881" i="146"/>
  <c r="X881" i="146"/>
  <c r="Y881" i="146"/>
  <c r="W882" i="146"/>
  <c r="X882" i="146"/>
  <c r="Y882" i="146"/>
  <c r="W883" i="146"/>
  <c r="X883" i="146"/>
  <c r="Y883" i="146"/>
  <c r="W884" i="146"/>
  <c r="X884" i="146"/>
  <c r="Y884" i="146"/>
  <c r="W885" i="146"/>
  <c r="X885" i="146"/>
  <c r="Y885" i="146"/>
  <c r="W886" i="146"/>
  <c r="X886" i="146"/>
  <c r="Y886" i="146"/>
  <c r="W887" i="146"/>
  <c r="X887" i="146"/>
  <c r="Y887" i="146"/>
  <c r="W888" i="146"/>
  <c r="X888" i="146"/>
  <c r="Y888" i="146"/>
  <c r="W889" i="146"/>
  <c r="X889" i="146"/>
  <c r="Y889" i="146"/>
  <c r="W890" i="146"/>
  <c r="X890" i="146"/>
  <c r="Y890" i="146"/>
  <c r="W891" i="146"/>
  <c r="X891" i="146"/>
  <c r="Y891" i="146"/>
  <c r="W892" i="146"/>
  <c r="X892" i="146"/>
  <c r="Y892" i="146"/>
  <c r="W893" i="146"/>
  <c r="X893" i="146"/>
  <c r="Y893" i="146"/>
  <c r="W894" i="146"/>
  <c r="X894" i="146"/>
  <c r="Y894" i="146"/>
  <c r="W895" i="146"/>
  <c r="X895" i="146"/>
  <c r="Y895" i="146"/>
  <c r="W896" i="146"/>
  <c r="X896" i="146"/>
  <c r="Y896" i="146"/>
  <c r="W897" i="146"/>
  <c r="X897" i="146"/>
  <c r="Y897" i="146"/>
  <c r="W898" i="146"/>
  <c r="X898" i="146"/>
  <c r="Y898" i="146"/>
  <c r="W899" i="146"/>
  <c r="X899" i="146"/>
  <c r="Y899" i="146"/>
  <c r="W900" i="146"/>
  <c r="X900" i="146"/>
  <c r="Y900" i="146"/>
  <c r="W901" i="146"/>
  <c r="X901" i="146"/>
  <c r="Y901" i="146"/>
  <c r="W902" i="146"/>
  <c r="X902" i="146"/>
  <c r="Y902" i="146"/>
  <c r="W903" i="146"/>
  <c r="X903" i="146"/>
  <c r="Y903" i="146"/>
  <c r="W904" i="146"/>
  <c r="X904" i="146"/>
  <c r="Y904" i="146"/>
  <c r="W905" i="146"/>
  <c r="X905" i="146"/>
  <c r="Y905" i="146"/>
  <c r="W906" i="146"/>
  <c r="X906" i="146"/>
  <c r="Y906" i="146"/>
  <c r="W907" i="146"/>
  <c r="X907" i="146"/>
  <c r="Y907" i="146"/>
  <c r="W908" i="146"/>
  <c r="X908" i="146"/>
  <c r="Y908" i="146"/>
  <c r="W909" i="146"/>
  <c r="X909" i="146"/>
  <c r="Y909" i="146"/>
  <c r="W910" i="146"/>
  <c r="X910" i="146"/>
  <c r="Y910" i="146"/>
  <c r="W911" i="146"/>
  <c r="X911" i="146"/>
  <c r="Y911" i="146"/>
  <c r="W912" i="146"/>
  <c r="X912" i="146"/>
  <c r="Y912" i="146"/>
  <c r="W913" i="146"/>
  <c r="X913" i="146"/>
  <c r="Y913" i="146"/>
  <c r="W914" i="146"/>
  <c r="X914" i="146"/>
  <c r="Y914" i="146"/>
  <c r="W915" i="146"/>
  <c r="X915" i="146"/>
  <c r="Y915" i="146"/>
  <c r="W916" i="146"/>
  <c r="X916" i="146"/>
  <c r="Y916" i="146"/>
  <c r="W917" i="146"/>
  <c r="X917" i="146"/>
  <c r="Y917" i="146"/>
  <c r="W918" i="146"/>
  <c r="X918" i="146"/>
  <c r="Y918" i="146"/>
  <c r="W919" i="146"/>
  <c r="X919" i="146"/>
  <c r="Y919" i="146"/>
  <c r="W920" i="146"/>
  <c r="X920" i="146"/>
  <c r="Y920" i="146"/>
  <c r="W921" i="146"/>
  <c r="X921" i="146"/>
  <c r="Y921" i="146"/>
  <c r="W922" i="146"/>
  <c r="X922" i="146"/>
  <c r="Y922" i="146"/>
  <c r="W923" i="146"/>
  <c r="X923" i="146"/>
  <c r="Y923" i="146"/>
  <c r="W924" i="146"/>
  <c r="X924" i="146"/>
  <c r="Y924" i="146"/>
  <c r="W925" i="146"/>
  <c r="X925" i="146"/>
  <c r="Y925" i="146"/>
  <c r="W926" i="146"/>
  <c r="X926" i="146"/>
  <c r="Y926" i="146"/>
  <c r="W927" i="146"/>
  <c r="X927" i="146"/>
  <c r="Y927" i="146"/>
  <c r="W928" i="146"/>
  <c r="X928" i="146"/>
  <c r="Y928" i="146"/>
  <c r="W929" i="146"/>
  <c r="X929" i="146"/>
  <c r="Y929" i="146"/>
  <c r="W930" i="146"/>
  <c r="X930" i="146"/>
  <c r="Y930" i="146"/>
  <c r="W931" i="146"/>
  <c r="X931" i="146"/>
  <c r="Y931" i="146"/>
  <c r="W932" i="146"/>
  <c r="X932" i="146"/>
  <c r="Y932" i="146"/>
  <c r="W933" i="146"/>
  <c r="X933" i="146"/>
  <c r="Y933" i="146"/>
  <c r="W934" i="146"/>
  <c r="X934" i="146"/>
  <c r="Y934" i="146"/>
  <c r="W935" i="146"/>
  <c r="X935" i="146"/>
  <c r="Y935" i="146"/>
  <c r="W936" i="146"/>
  <c r="X936" i="146"/>
  <c r="Y936" i="146"/>
  <c r="W937" i="146"/>
  <c r="X937" i="146"/>
  <c r="Y937" i="146"/>
  <c r="W938" i="146"/>
  <c r="X938" i="146"/>
  <c r="Y938" i="146"/>
  <c r="W939" i="146"/>
  <c r="X939" i="146"/>
  <c r="Y939" i="146"/>
  <c r="W940" i="146"/>
  <c r="X940" i="146"/>
  <c r="Y940" i="146"/>
  <c r="W941" i="146"/>
  <c r="X941" i="146"/>
  <c r="Y941" i="146"/>
  <c r="W942" i="146"/>
  <c r="X942" i="146"/>
  <c r="Y942" i="146"/>
  <c r="W943" i="146"/>
  <c r="X943" i="146"/>
  <c r="Y943" i="146"/>
  <c r="W944" i="146"/>
  <c r="X944" i="146"/>
  <c r="Y944" i="146"/>
  <c r="W945" i="146"/>
  <c r="X945" i="146"/>
  <c r="Y945" i="146"/>
  <c r="W946" i="146"/>
  <c r="X946" i="146"/>
  <c r="Y946" i="146"/>
  <c r="W947" i="146"/>
  <c r="X947" i="146"/>
  <c r="Y947" i="146"/>
  <c r="W948" i="146"/>
  <c r="X948" i="146"/>
  <c r="Y948" i="146"/>
  <c r="W949" i="146"/>
  <c r="X949" i="146"/>
  <c r="Y949" i="146"/>
  <c r="W950" i="146"/>
  <c r="X950" i="146"/>
  <c r="Y950" i="146"/>
  <c r="W951" i="146"/>
  <c r="X951" i="146"/>
  <c r="Y951" i="146"/>
  <c r="W952" i="146"/>
  <c r="X952" i="146"/>
  <c r="Y952" i="146"/>
  <c r="W953" i="146"/>
  <c r="X953" i="146"/>
  <c r="Y953" i="146"/>
  <c r="W954" i="146"/>
  <c r="X954" i="146"/>
  <c r="Y954" i="146"/>
  <c r="W955" i="146"/>
  <c r="X955" i="146"/>
  <c r="Y955" i="146"/>
  <c r="W956" i="146"/>
  <c r="X956" i="146"/>
  <c r="Y956" i="146"/>
  <c r="W957" i="146"/>
  <c r="X957" i="146"/>
  <c r="Y957" i="146"/>
  <c r="W958" i="146"/>
  <c r="X958" i="146"/>
  <c r="Y958" i="146"/>
  <c r="W959" i="146"/>
  <c r="X959" i="146"/>
  <c r="Y959" i="146"/>
  <c r="W960" i="146"/>
  <c r="X960" i="146"/>
  <c r="Y960" i="146"/>
  <c r="W961" i="146"/>
  <c r="X961" i="146"/>
  <c r="Y961" i="146"/>
  <c r="W962" i="146"/>
  <c r="X962" i="146"/>
  <c r="Y962" i="146"/>
  <c r="W963" i="146"/>
  <c r="X963" i="146"/>
  <c r="Y963" i="146"/>
  <c r="W964" i="146"/>
  <c r="X964" i="146"/>
  <c r="Y964" i="146"/>
  <c r="W965" i="146"/>
  <c r="X965" i="146"/>
  <c r="Y965" i="146"/>
  <c r="W966" i="146"/>
  <c r="X966" i="146"/>
  <c r="Y966" i="146"/>
  <c r="W967" i="146"/>
  <c r="X967" i="146"/>
  <c r="Y967" i="146"/>
  <c r="W968" i="146"/>
  <c r="X968" i="146"/>
  <c r="Y968" i="146"/>
  <c r="W969" i="146"/>
  <c r="X969" i="146"/>
  <c r="Y969" i="146"/>
  <c r="W970" i="146"/>
  <c r="X970" i="146"/>
  <c r="Y970" i="146"/>
  <c r="W971" i="146"/>
  <c r="X971" i="146"/>
  <c r="Y971" i="146"/>
  <c r="W972" i="146"/>
  <c r="X972" i="146"/>
  <c r="Y972" i="146"/>
  <c r="W973" i="146"/>
  <c r="X973" i="146"/>
  <c r="Y973" i="146"/>
  <c r="W974" i="146"/>
  <c r="X974" i="146"/>
  <c r="Y974" i="146"/>
  <c r="W975" i="146"/>
  <c r="X975" i="146"/>
  <c r="Y975" i="146"/>
  <c r="W976" i="146"/>
  <c r="X976" i="146"/>
  <c r="Y976" i="146"/>
  <c r="W977" i="146"/>
  <c r="X977" i="146"/>
  <c r="Y977" i="146"/>
  <c r="W978" i="146"/>
  <c r="X978" i="146"/>
  <c r="Y978" i="146"/>
  <c r="W979" i="146"/>
  <c r="X979" i="146"/>
  <c r="Y979" i="146"/>
  <c r="W980" i="146"/>
  <c r="X980" i="146"/>
  <c r="Y980" i="146"/>
  <c r="W981" i="146"/>
  <c r="X981" i="146"/>
  <c r="Y981" i="146"/>
  <c r="W982" i="146"/>
  <c r="X982" i="146"/>
  <c r="Y982" i="146"/>
  <c r="W983" i="146"/>
  <c r="X983" i="146"/>
  <c r="Y983" i="146"/>
  <c r="W984" i="146"/>
  <c r="X984" i="146"/>
  <c r="Y984" i="146"/>
  <c r="W985" i="146"/>
  <c r="X985" i="146"/>
  <c r="Y985" i="146"/>
  <c r="W986" i="146"/>
  <c r="X986" i="146"/>
  <c r="Y986" i="146"/>
  <c r="W987" i="146"/>
  <c r="X987" i="146"/>
  <c r="Y987" i="146"/>
  <c r="W988" i="146"/>
  <c r="X988" i="146"/>
  <c r="Y988" i="146"/>
  <c r="W989" i="146"/>
  <c r="X989" i="146"/>
  <c r="Y989" i="146"/>
  <c r="W990" i="146"/>
  <c r="X990" i="146"/>
  <c r="Y990" i="146"/>
  <c r="W991" i="146"/>
  <c r="X991" i="146"/>
  <c r="Y991" i="146"/>
  <c r="W992" i="146"/>
  <c r="X992" i="146"/>
  <c r="Y992" i="146"/>
  <c r="W993" i="146"/>
  <c r="X993" i="146"/>
  <c r="Y993" i="146"/>
  <c r="W994" i="146"/>
  <c r="X994" i="146"/>
  <c r="Y994" i="146"/>
  <c r="W995" i="146"/>
  <c r="X995" i="146"/>
  <c r="Y995" i="146"/>
  <c r="W996" i="146"/>
  <c r="X996" i="146"/>
  <c r="Y996" i="146"/>
  <c r="W997" i="146"/>
  <c r="X997" i="146"/>
  <c r="Y997" i="146"/>
  <c r="W998" i="146"/>
  <c r="X998" i="146"/>
  <c r="Y998" i="146"/>
  <c r="W999" i="146"/>
  <c r="X999" i="146"/>
  <c r="Y999" i="146"/>
  <c r="W1000" i="146"/>
  <c r="X1000" i="146"/>
  <c r="Y1000" i="146"/>
  <c r="W1001" i="146"/>
  <c r="X1001" i="146"/>
  <c r="Y1001" i="146"/>
  <c r="W1002" i="146"/>
  <c r="X1002" i="146"/>
  <c r="Y1002" i="146"/>
  <c r="W1003" i="146"/>
  <c r="X1003" i="146"/>
  <c r="Y1003" i="146"/>
  <c r="W1004" i="146"/>
  <c r="X1004" i="146"/>
  <c r="Y1004" i="146"/>
  <c r="W1005" i="146"/>
  <c r="X1005" i="146"/>
  <c r="Y1005" i="146"/>
  <c r="W1006" i="146"/>
  <c r="X1006" i="146"/>
  <c r="Y1006" i="146"/>
  <c r="W1007" i="146"/>
  <c r="X1007" i="146"/>
  <c r="Y1007" i="146"/>
  <c r="W1008" i="146"/>
  <c r="X1008" i="146"/>
  <c r="Y1008" i="146"/>
  <c r="W1009" i="146"/>
  <c r="X1009" i="146"/>
  <c r="Y1009" i="146"/>
  <c r="W1010" i="146"/>
  <c r="X1010" i="146"/>
  <c r="Y1010" i="146"/>
  <c r="W1011" i="146"/>
  <c r="X1011" i="146"/>
  <c r="Y1011" i="146"/>
  <c r="W1012" i="146"/>
  <c r="X1012" i="146"/>
  <c r="Y1012" i="146"/>
  <c r="W1013" i="146"/>
  <c r="X1013" i="146"/>
  <c r="Y1013" i="146"/>
  <c r="W1014" i="146"/>
  <c r="X1014" i="146"/>
  <c r="Y1014" i="146"/>
  <c r="W1015" i="146"/>
  <c r="X1015" i="146"/>
  <c r="Y1015" i="146"/>
  <c r="W1016" i="146"/>
  <c r="X1016" i="146"/>
  <c r="Y1016" i="146"/>
  <c r="W1017" i="146"/>
  <c r="X1017" i="146"/>
  <c r="Y1017" i="146"/>
  <c r="W1018" i="146"/>
  <c r="X1018" i="146"/>
  <c r="Y1018" i="146"/>
  <c r="W1019" i="146"/>
  <c r="X1019" i="146"/>
  <c r="Y1019" i="146"/>
  <c r="W1020" i="146"/>
  <c r="X1020" i="146"/>
  <c r="Y1020" i="146"/>
  <c r="W1021" i="146"/>
  <c r="X1021" i="146"/>
  <c r="Y1021" i="146"/>
  <c r="W1022" i="146"/>
  <c r="X1022" i="146"/>
  <c r="Y1022" i="146"/>
  <c r="W1023" i="146"/>
  <c r="X1023" i="146"/>
  <c r="Y1023" i="146"/>
  <c r="W1024" i="146"/>
  <c r="X1024" i="146"/>
  <c r="Y1024" i="146"/>
  <c r="W1025" i="146"/>
  <c r="X1025" i="146"/>
  <c r="Y1025" i="146"/>
  <c r="W1026" i="146"/>
  <c r="X1026" i="146"/>
  <c r="Y1026" i="146"/>
  <c r="W1027" i="146"/>
  <c r="X1027" i="146"/>
  <c r="Y1027" i="146"/>
  <c r="W1028" i="146"/>
  <c r="X1028" i="146"/>
  <c r="Y1028" i="146"/>
  <c r="W1029" i="146"/>
  <c r="X1029" i="146"/>
  <c r="Y1029" i="146"/>
  <c r="W1030" i="146"/>
  <c r="X1030" i="146"/>
  <c r="Y1030" i="146"/>
  <c r="W1031" i="146"/>
  <c r="X1031" i="146"/>
  <c r="Y1031" i="146"/>
  <c r="W1032" i="146"/>
  <c r="X1032" i="146"/>
  <c r="Y1032" i="146"/>
  <c r="W1033" i="146"/>
  <c r="X1033" i="146"/>
  <c r="Y1033" i="146"/>
  <c r="W1034" i="146"/>
  <c r="X1034" i="146"/>
  <c r="Y1034" i="146"/>
  <c r="W1035" i="146"/>
  <c r="X1035" i="146"/>
  <c r="Y1035" i="146"/>
  <c r="W1036" i="146"/>
  <c r="X1036" i="146"/>
  <c r="Y1036" i="146"/>
  <c r="W1037" i="146"/>
  <c r="X1037" i="146"/>
  <c r="Y1037" i="146"/>
  <c r="W1038" i="146"/>
  <c r="X1038" i="146"/>
  <c r="Y1038" i="146"/>
  <c r="W1039" i="146"/>
  <c r="X1039" i="146"/>
  <c r="Y1039" i="146"/>
  <c r="W1040" i="146"/>
  <c r="X1040" i="146"/>
  <c r="Y1040" i="146"/>
  <c r="W1041" i="146"/>
  <c r="X1041" i="146"/>
  <c r="Y1041" i="146"/>
  <c r="W1042" i="146"/>
  <c r="X1042" i="146"/>
  <c r="Y1042" i="146"/>
  <c r="W1043" i="146"/>
  <c r="X1043" i="146"/>
  <c r="Y1043" i="146"/>
  <c r="W1044" i="146"/>
  <c r="X1044" i="146"/>
  <c r="Y1044" i="146"/>
  <c r="W1045" i="146"/>
  <c r="X1045" i="146"/>
  <c r="Y1045" i="146"/>
  <c r="W1046" i="146"/>
  <c r="X1046" i="146"/>
  <c r="Y1046" i="146"/>
  <c r="W1047" i="146"/>
  <c r="X1047" i="146"/>
  <c r="Y1047" i="146"/>
  <c r="W1048" i="146"/>
  <c r="X1048" i="146"/>
  <c r="Y1048" i="146"/>
  <c r="W1049" i="146"/>
  <c r="X1049" i="146"/>
  <c r="Y1049" i="146"/>
  <c r="W1050" i="146"/>
  <c r="X1050" i="146"/>
  <c r="Y1050" i="146"/>
  <c r="W1051" i="146"/>
  <c r="X1051" i="146"/>
  <c r="Y1051" i="146"/>
  <c r="W1052" i="146"/>
  <c r="X1052" i="146"/>
  <c r="Y1052" i="146"/>
  <c r="W1053" i="146"/>
  <c r="X1053" i="146"/>
  <c r="Y1053" i="146"/>
  <c r="W1054" i="146"/>
  <c r="X1054" i="146"/>
  <c r="Y1054" i="146"/>
  <c r="W1055" i="146"/>
  <c r="X1055" i="146"/>
  <c r="Y1055" i="146"/>
  <c r="W1056" i="146"/>
  <c r="X1056" i="146"/>
  <c r="Y1056" i="146"/>
  <c r="W1057" i="146"/>
  <c r="X1057" i="146"/>
  <c r="Y1057" i="146"/>
  <c r="W1058" i="146"/>
  <c r="X1058" i="146"/>
  <c r="Y1058" i="146"/>
  <c r="W1059" i="146"/>
  <c r="X1059" i="146"/>
  <c r="Y1059" i="146"/>
  <c r="W1060" i="146"/>
  <c r="X1060" i="146"/>
  <c r="Y1060" i="146"/>
  <c r="W1061" i="146"/>
  <c r="X1061" i="146"/>
  <c r="Y1061" i="146"/>
  <c r="W1062" i="146"/>
  <c r="X1062" i="146"/>
  <c r="Y1062" i="146"/>
  <c r="W1063" i="146"/>
  <c r="X1063" i="146"/>
  <c r="Y1063" i="146"/>
  <c r="W1064" i="146"/>
  <c r="X1064" i="146"/>
  <c r="Y1064" i="146"/>
  <c r="W1065" i="146"/>
  <c r="X1065" i="146"/>
  <c r="Y1065" i="146"/>
  <c r="W1066" i="146"/>
  <c r="X1066" i="146"/>
  <c r="Y1066" i="146"/>
  <c r="W1067" i="146"/>
  <c r="X1067" i="146"/>
  <c r="Y1067" i="146"/>
  <c r="W1068" i="146"/>
  <c r="X1068" i="146"/>
  <c r="Y1068" i="146"/>
  <c r="W1069" i="146"/>
  <c r="X1069" i="146"/>
  <c r="Y1069" i="146"/>
  <c r="W1070" i="146"/>
  <c r="X1070" i="146"/>
  <c r="Y1070" i="146"/>
  <c r="W1071" i="146"/>
  <c r="X1071" i="146"/>
  <c r="Y1071" i="146"/>
  <c r="W1072" i="146"/>
  <c r="X1072" i="146"/>
  <c r="Y1072" i="146"/>
  <c r="W1073" i="146"/>
  <c r="X1073" i="146"/>
  <c r="Y1073" i="146"/>
  <c r="W1074" i="146"/>
  <c r="X1074" i="146"/>
  <c r="Y1074" i="146"/>
  <c r="W1075" i="146"/>
  <c r="X1075" i="146"/>
  <c r="Y1075" i="146"/>
  <c r="W1076" i="146"/>
  <c r="X1076" i="146"/>
  <c r="Y1076" i="146"/>
  <c r="W1077" i="146"/>
  <c r="X1077" i="146"/>
  <c r="Y1077" i="146"/>
  <c r="W1078" i="146"/>
  <c r="X1078" i="146"/>
  <c r="Y1078" i="146"/>
  <c r="W1079" i="146"/>
  <c r="X1079" i="146"/>
  <c r="Y1079" i="146"/>
  <c r="W1080" i="146"/>
  <c r="X1080" i="146"/>
  <c r="Y1080" i="146"/>
  <c r="W1081" i="146"/>
  <c r="X1081" i="146"/>
  <c r="Y1081" i="146"/>
  <c r="W1082" i="146"/>
  <c r="X1082" i="146"/>
  <c r="Y1082" i="146"/>
  <c r="W1083" i="146"/>
  <c r="X1083" i="146"/>
  <c r="Y1083" i="146"/>
  <c r="W1084" i="146"/>
  <c r="X1084" i="146"/>
  <c r="Y1084" i="146"/>
  <c r="W1085" i="146"/>
  <c r="X1085" i="146"/>
  <c r="Y1085" i="146"/>
  <c r="W1086" i="146"/>
  <c r="X1086" i="146"/>
  <c r="Y1086" i="146"/>
  <c r="W1087" i="146"/>
  <c r="X1087" i="146"/>
  <c r="Y1087" i="146"/>
  <c r="W1088" i="146"/>
  <c r="X1088" i="146"/>
  <c r="Y1088" i="146"/>
  <c r="W1089" i="146"/>
  <c r="X1089" i="146"/>
  <c r="Y1089" i="146"/>
  <c r="W1090" i="146"/>
  <c r="X1090" i="146"/>
  <c r="Y1090" i="146"/>
  <c r="W1091" i="146"/>
  <c r="X1091" i="146"/>
  <c r="Y1091" i="146"/>
  <c r="W1092" i="146"/>
  <c r="X1092" i="146"/>
  <c r="Y1092" i="146"/>
  <c r="W1093" i="146"/>
  <c r="X1093" i="146"/>
  <c r="Y1093" i="146"/>
  <c r="W1094" i="146"/>
  <c r="X1094" i="146"/>
  <c r="Y1094" i="146"/>
  <c r="W1095" i="146"/>
  <c r="X1095" i="146"/>
  <c r="Y1095" i="146"/>
  <c r="W1096" i="146"/>
  <c r="X1096" i="146"/>
  <c r="Y1096" i="146"/>
  <c r="W1097" i="146"/>
  <c r="X1097" i="146"/>
  <c r="Y1097" i="146"/>
  <c r="W1098" i="146"/>
  <c r="X1098" i="146"/>
  <c r="Y1098" i="146"/>
  <c r="W1099" i="146"/>
  <c r="X1099" i="146"/>
  <c r="Y1099" i="146"/>
  <c r="W1100" i="146"/>
  <c r="X1100" i="146"/>
  <c r="Y1100" i="146"/>
  <c r="W1101" i="146"/>
  <c r="X1101" i="146"/>
  <c r="Y1101" i="146"/>
  <c r="W1102" i="146"/>
  <c r="X1102" i="146"/>
  <c r="Y1102" i="146"/>
  <c r="W1103" i="146"/>
  <c r="X1103" i="146"/>
  <c r="Y1103" i="146"/>
  <c r="W1104" i="146"/>
  <c r="X1104" i="146"/>
  <c r="Y1104" i="146"/>
  <c r="W1105" i="146"/>
  <c r="X1105" i="146"/>
  <c r="Y1105" i="146"/>
  <c r="W1106" i="146"/>
  <c r="X1106" i="146"/>
  <c r="Y1106" i="146"/>
  <c r="W1107" i="146"/>
  <c r="X1107" i="146"/>
  <c r="Y1107" i="146"/>
  <c r="W1108" i="146"/>
  <c r="X1108" i="146"/>
  <c r="Y1108" i="146"/>
  <c r="W1109" i="146"/>
  <c r="X1109" i="146"/>
  <c r="Y1109" i="146"/>
  <c r="W1110" i="146"/>
  <c r="X1110" i="146"/>
  <c r="Y1110" i="146"/>
  <c r="W1111" i="146"/>
  <c r="X1111" i="146"/>
  <c r="Y1111" i="146"/>
  <c r="W1112" i="146"/>
  <c r="X1112" i="146"/>
  <c r="Y1112" i="146"/>
  <c r="W1113" i="146"/>
  <c r="X1113" i="146"/>
  <c r="Y1113" i="146"/>
  <c r="W1114" i="146"/>
  <c r="X1114" i="146"/>
  <c r="Y1114" i="146"/>
  <c r="W1115" i="146"/>
  <c r="X1115" i="146"/>
  <c r="Y1115" i="146"/>
  <c r="W1116" i="146"/>
  <c r="X1116" i="146"/>
  <c r="Y1116" i="146"/>
  <c r="W1117" i="146"/>
  <c r="X1117" i="146"/>
  <c r="Y1117" i="146"/>
  <c r="W1118" i="146"/>
  <c r="X1118" i="146"/>
  <c r="Y1118" i="146"/>
  <c r="W1119" i="146"/>
  <c r="X1119" i="146"/>
  <c r="Y1119" i="146"/>
  <c r="W1120" i="146"/>
  <c r="X1120" i="146"/>
  <c r="Y1120" i="146"/>
  <c r="W1121" i="146"/>
  <c r="X1121" i="146"/>
  <c r="Y1121" i="146"/>
  <c r="W1122" i="146"/>
  <c r="X1122" i="146"/>
  <c r="Y1122" i="146"/>
  <c r="W1123" i="146"/>
  <c r="X1123" i="146"/>
  <c r="Y1123" i="146"/>
  <c r="W1124" i="146"/>
  <c r="X1124" i="146"/>
  <c r="Y1124" i="146"/>
  <c r="W1125" i="146"/>
  <c r="X1125" i="146"/>
  <c r="Y1125" i="146"/>
  <c r="W1126" i="146"/>
  <c r="X1126" i="146"/>
  <c r="Y1126" i="146"/>
  <c r="W1127" i="146"/>
  <c r="X1127" i="146"/>
  <c r="Y1127" i="146"/>
  <c r="W1128" i="146"/>
  <c r="X1128" i="146"/>
  <c r="Y1128" i="146"/>
  <c r="W1129" i="146"/>
  <c r="X1129" i="146"/>
  <c r="Y1129" i="146"/>
  <c r="W1130" i="146"/>
  <c r="X1130" i="146"/>
  <c r="Y1130" i="146"/>
  <c r="W1131" i="146"/>
  <c r="X1131" i="146"/>
  <c r="Y1131" i="146"/>
  <c r="W1132" i="146"/>
  <c r="X1132" i="146"/>
  <c r="Y1132" i="146"/>
  <c r="W1133" i="146"/>
  <c r="X1133" i="146"/>
  <c r="Y1133" i="146"/>
  <c r="W1134" i="146"/>
  <c r="X1134" i="146"/>
  <c r="Y1134" i="146"/>
  <c r="W1135" i="146"/>
  <c r="X1135" i="146"/>
  <c r="Y1135" i="146"/>
  <c r="W1136" i="146"/>
  <c r="X1136" i="146"/>
  <c r="Y1136" i="146"/>
  <c r="W1137" i="146"/>
  <c r="X1137" i="146"/>
  <c r="Y1137" i="146"/>
  <c r="W1138" i="146"/>
  <c r="X1138" i="146"/>
  <c r="Y1138" i="146"/>
  <c r="W1139" i="146"/>
  <c r="X1139" i="146"/>
  <c r="Y1139" i="146"/>
  <c r="W1140" i="146"/>
  <c r="X1140" i="146"/>
  <c r="Y1140" i="146"/>
  <c r="W1141" i="146"/>
  <c r="X1141" i="146"/>
  <c r="Y1141" i="146"/>
  <c r="W1142" i="146"/>
  <c r="X1142" i="146"/>
  <c r="Y1142" i="146"/>
  <c r="W1143" i="146"/>
  <c r="X1143" i="146"/>
  <c r="Y1143" i="146"/>
  <c r="W1144" i="146"/>
  <c r="X1144" i="146"/>
  <c r="Y1144" i="146"/>
  <c r="W1145" i="146"/>
  <c r="X1145" i="146"/>
  <c r="Y1145" i="146"/>
  <c r="W1146" i="146"/>
  <c r="X1146" i="146"/>
  <c r="Y1146" i="146"/>
  <c r="W1147" i="146"/>
  <c r="X1147" i="146"/>
  <c r="Y1147" i="146"/>
  <c r="W1148" i="146"/>
  <c r="X1148" i="146"/>
  <c r="Y1148" i="146"/>
  <c r="W1149" i="146"/>
  <c r="X1149" i="146"/>
  <c r="Y1149" i="146"/>
  <c r="W1150" i="146"/>
  <c r="X1150" i="146"/>
  <c r="Y1150" i="146"/>
  <c r="W1151" i="146"/>
  <c r="X1151" i="146"/>
  <c r="Y1151" i="146"/>
  <c r="W1152" i="146"/>
  <c r="X1152" i="146"/>
  <c r="Y1152" i="146"/>
  <c r="W1153" i="146"/>
  <c r="X1153" i="146"/>
  <c r="Y1153" i="146"/>
  <c r="W1154" i="146"/>
  <c r="X1154" i="146"/>
  <c r="Y1154" i="146"/>
  <c r="W1155" i="146"/>
  <c r="X1155" i="146"/>
  <c r="Y1155" i="146"/>
  <c r="W1156" i="146"/>
  <c r="X1156" i="146"/>
  <c r="Y1156" i="146"/>
  <c r="W1157" i="146"/>
  <c r="X1157" i="146"/>
  <c r="Y1157" i="146"/>
  <c r="W1158" i="146"/>
  <c r="X1158" i="146"/>
  <c r="Y1158" i="146"/>
  <c r="W1159" i="146"/>
  <c r="X1159" i="146"/>
  <c r="Y1159" i="146"/>
  <c r="W1160" i="146"/>
  <c r="X1160" i="146"/>
  <c r="Y1160" i="146"/>
  <c r="W1161" i="146"/>
  <c r="X1161" i="146"/>
  <c r="Y1161" i="146"/>
  <c r="W1162" i="146"/>
  <c r="X1162" i="146"/>
  <c r="Y1162" i="146"/>
  <c r="W1163" i="146"/>
  <c r="X1163" i="146"/>
  <c r="Y1163" i="146"/>
  <c r="W1164" i="146"/>
  <c r="X1164" i="146"/>
  <c r="Y1164" i="146"/>
  <c r="W1165" i="146"/>
  <c r="X1165" i="146"/>
  <c r="Y1165" i="146"/>
  <c r="W1166" i="146"/>
  <c r="X1166" i="146"/>
  <c r="Y1166" i="146"/>
  <c r="W1167" i="146"/>
  <c r="X1167" i="146"/>
  <c r="Y1167" i="146"/>
  <c r="W1168" i="146"/>
  <c r="X1168" i="146"/>
  <c r="Y1168" i="146"/>
  <c r="W1169" i="146"/>
  <c r="X1169" i="146"/>
  <c r="Y1169" i="146"/>
  <c r="W1170" i="146"/>
  <c r="X1170" i="146"/>
  <c r="Y1170" i="146"/>
  <c r="W1171" i="146"/>
  <c r="X1171" i="146"/>
  <c r="Y1171" i="146"/>
  <c r="W1172" i="146"/>
  <c r="X1172" i="146"/>
  <c r="Y1172" i="146"/>
  <c r="W1173" i="146"/>
  <c r="X1173" i="146"/>
  <c r="Y1173" i="146"/>
  <c r="W1174" i="146"/>
  <c r="X1174" i="146"/>
  <c r="Y1174" i="146"/>
  <c r="W1175" i="146"/>
  <c r="X1175" i="146"/>
  <c r="Y1175" i="146"/>
  <c r="W1176" i="146"/>
  <c r="X1176" i="146"/>
  <c r="Y1176" i="146"/>
  <c r="W1177" i="146"/>
  <c r="X1177" i="146"/>
  <c r="Y1177" i="146"/>
  <c r="W1178" i="146"/>
  <c r="X1178" i="146"/>
  <c r="Y1178" i="146"/>
  <c r="W1179" i="146"/>
  <c r="X1179" i="146"/>
  <c r="Y1179" i="146"/>
  <c r="W1180" i="146"/>
  <c r="X1180" i="146"/>
  <c r="Y1180" i="146"/>
  <c r="W1181" i="146"/>
  <c r="X1181" i="146"/>
  <c r="Y1181" i="146"/>
  <c r="W1182" i="146"/>
  <c r="X1182" i="146"/>
  <c r="Y1182" i="146"/>
  <c r="W1183" i="146"/>
  <c r="X1183" i="146"/>
  <c r="Y1183" i="146"/>
  <c r="W1184" i="146"/>
  <c r="X1184" i="146"/>
  <c r="Y1184" i="146"/>
  <c r="W1185" i="146"/>
  <c r="X1185" i="146"/>
  <c r="Y1185" i="146"/>
  <c r="W1186" i="146"/>
  <c r="X1186" i="146"/>
  <c r="Y1186" i="146"/>
  <c r="W1187" i="146"/>
  <c r="X1187" i="146"/>
  <c r="Y1187" i="146"/>
  <c r="W1188" i="146"/>
  <c r="X1188" i="146"/>
  <c r="Y1188" i="146"/>
  <c r="W1189" i="146"/>
  <c r="X1189" i="146"/>
  <c r="Y1189" i="146"/>
  <c r="W1190" i="146"/>
  <c r="X1190" i="146"/>
  <c r="Y1190" i="146"/>
  <c r="W1191" i="146"/>
  <c r="X1191" i="146"/>
  <c r="Y1191" i="146"/>
  <c r="W1192" i="146"/>
  <c r="X1192" i="146"/>
  <c r="Y1192" i="146"/>
  <c r="W1193" i="146"/>
  <c r="X1193" i="146"/>
  <c r="Y1193" i="146"/>
  <c r="W1194" i="146"/>
  <c r="X1194" i="146"/>
  <c r="Y1194" i="146"/>
  <c r="W1195" i="146"/>
  <c r="X1195" i="146"/>
  <c r="Y1195" i="146"/>
  <c r="W1196" i="146"/>
  <c r="X1196" i="146"/>
  <c r="Y1196" i="146"/>
  <c r="W1197" i="146"/>
  <c r="X1197" i="146"/>
  <c r="Y1197" i="146"/>
  <c r="W1198" i="146"/>
  <c r="X1198" i="146"/>
  <c r="Y1198" i="146"/>
  <c r="W1199" i="146"/>
  <c r="X1199" i="146"/>
  <c r="Y1199" i="146"/>
  <c r="W1200" i="146"/>
  <c r="X1200" i="146"/>
  <c r="Y1200" i="146"/>
  <c r="W1201" i="146"/>
  <c r="X1201" i="146"/>
  <c r="Y1201" i="146"/>
  <c r="W1202" i="146"/>
  <c r="X1202" i="146"/>
  <c r="Y1202" i="146"/>
  <c r="W1203" i="146"/>
  <c r="X1203" i="146"/>
  <c r="Y1203" i="146"/>
  <c r="W1204" i="146"/>
  <c r="X1204" i="146"/>
  <c r="Y1204" i="146"/>
  <c r="W1205" i="146"/>
  <c r="X1205" i="146"/>
  <c r="Y1205" i="146"/>
  <c r="W1206" i="146"/>
  <c r="X1206" i="146"/>
  <c r="Y1206" i="146"/>
  <c r="W1207" i="146"/>
  <c r="X1207" i="146"/>
  <c r="Y1207" i="146"/>
  <c r="W1208" i="146"/>
  <c r="X1208" i="146"/>
  <c r="Y1208" i="146"/>
  <c r="W1209" i="146"/>
  <c r="X1209" i="146"/>
  <c r="Y1209" i="146"/>
  <c r="W1210" i="146"/>
  <c r="X1210" i="146"/>
  <c r="Y1210" i="146"/>
  <c r="W1211" i="146"/>
  <c r="X1211" i="146"/>
  <c r="Y1211" i="146"/>
  <c r="W1212" i="146"/>
  <c r="X1212" i="146"/>
  <c r="Y1212" i="146"/>
  <c r="W1213" i="146"/>
  <c r="X1213" i="146"/>
  <c r="Y1213" i="146"/>
  <c r="W1214" i="146"/>
  <c r="X1214" i="146"/>
  <c r="Y1214" i="146"/>
  <c r="W1215" i="146"/>
  <c r="X1215" i="146"/>
  <c r="Y1215" i="146"/>
  <c r="W1216" i="146"/>
  <c r="X1216" i="146"/>
  <c r="Y1216" i="146"/>
  <c r="W1217" i="146"/>
  <c r="X1217" i="146"/>
  <c r="Y1217" i="146"/>
  <c r="W1218" i="146"/>
  <c r="X1218" i="146"/>
  <c r="Y1218" i="146"/>
  <c r="W1219" i="146"/>
  <c r="X1219" i="146"/>
  <c r="Y1219" i="146"/>
  <c r="W1220" i="146"/>
  <c r="X1220" i="146"/>
  <c r="Y1220" i="146"/>
  <c r="W1221" i="146"/>
  <c r="X1221" i="146"/>
  <c r="Y1221" i="146"/>
  <c r="W1222" i="146"/>
  <c r="X1222" i="146"/>
  <c r="Y1222" i="146"/>
  <c r="W1223" i="146"/>
  <c r="X1223" i="146"/>
  <c r="Y1223" i="146"/>
  <c r="W1224" i="146"/>
  <c r="X1224" i="146"/>
  <c r="Y1224" i="146"/>
  <c r="W1225" i="146"/>
  <c r="X1225" i="146"/>
  <c r="Y1225" i="146"/>
  <c r="W1226" i="146"/>
  <c r="X1226" i="146"/>
  <c r="Y1226" i="146"/>
  <c r="W1227" i="146"/>
  <c r="X1227" i="146"/>
  <c r="Y1227" i="146"/>
  <c r="W1228" i="146"/>
  <c r="X1228" i="146"/>
  <c r="Y1228" i="146"/>
  <c r="W1229" i="146"/>
  <c r="X1229" i="146"/>
  <c r="Y1229" i="146"/>
  <c r="W1230" i="146"/>
  <c r="X1230" i="146"/>
  <c r="Y1230" i="146"/>
  <c r="W1231" i="146"/>
  <c r="X1231" i="146"/>
  <c r="Y1231" i="146"/>
  <c r="W1232" i="146"/>
  <c r="X1232" i="146"/>
  <c r="Y1232" i="146"/>
  <c r="W1233" i="146"/>
  <c r="X1233" i="146"/>
  <c r="Y1233" i="146"/>
  <c r="W1234" i="146"/>
  <c r="X1234" i="146"/>
  <c r="Y1234" i="146"/>
  <c r="W1235" i="146"/>
  <c r="X1235" i="146"/>
  <c r="Y1235" i="146"/>
  <c r="W1236" i="146"/>
  <c r="X1236" i="146"/>
  <c r="Y1236" i="146"/>
  <c r="W1237" i="146"/>
  <c r="X1237" i="146"/>
  <c r="Y1237" i="146"/>
  <c r="W1238" i="146"/>
  <c r="X1238" i="146"/>
  <c r="Y1238" i="146"/>
  <c r="W1239" i="146"/>
  <c r="X1239" i="146"/>
  <c r="Y1239" i="146"/>
  <c r="W1240" i="146"/>
  <c r="X1240" i="146"/>
  <c r="Y1240" i="146"/>
  <c r="W1241" i="146"/>
  <c r="X1241" i="146"/>
  <c r="Y1241" i="146"/>
  <c r="W1242" i="146"/>
  <c r="X1242" i="146"/>
  <c r="Y1242" i="146"/>
  <c r="W1243" i="146"/>
  <c r="X1243" i="146"/>
  <c r="Y1243" i="146"/>
  <c r="W1244" i="146"/>
  <c r="X1244" i="146"/>
  <c r="Y1244" i="146"/>
  <c r="W1245" i="146"/>
  <c r="X1245" i="146"/>
  <c r="Y1245" i="146"/>
  <c r="W1246" i="146"/>
  <c r="X1246" i="146"/>
  <c r="Y1246" i="146"/>
  <c r="W1247" i="146"/>
  <c r="X1247" i="146"/>
  <c r="Y1247" i="146"/>
  <c r="W1248" i="146"/>
  <c r="X1248" i="146"/>
  <c r="Y1248" i="146"/>
  <c r="W1249" i="146"/>
  <c r="X1249" i="146"/>
  <c r="Y1249" i="146"/>
  <c r="W1250" i="146"/>
  <c r="X1250" i="146"/>
  <c r="Y1250" i="146"/>
  <c r="W1251" i="146"/>
  <c r="X1251" i="146"/>
  <c r="Y1251" i="146"/>
  <c r="W1252" i="146"/>
  <c r="X1252" i="146"/>
  <c r="Y1252" i="146"/>
  <c r="W1253" i="146"/>
  <c r="X1253" i="146"/>
  <c r="Y1253" i="146"/>
  <c r="W1254" i="146"/>
  <c r="X1254" i="146"/>
  <c r="Y1254" i="146"/>
  <c r="W1255" i="146"/>
  <c r="X1255" i="146"/>
  <c r="Y1255" i="146"/>
  <c r="W1256" i="146"/>
  <c r="X1256" i="146"/>
  <c r="Y1256" i="146"/>
  <c r="W1257" i="146"/>
  <c r="X1257" i="146"/>
  <c r="Y1257" i="146"/>
  <c r="W1258" i="146"/>
  <c r="X1258" i="146"/>
  <c r="Y1258" i="146"/>
  <c r="W1259" i="146"/>
  <c r="X1259" i="146"/>
  <c r="Y1259" i="146"/>
  <c r="W1260" i="146"/>
  <c r="X1260" i="146"/>
  <c r="Y1260" i="146"/>
  <c r="W1261" i="146"/>
  <c r="X1261" i="146"/>
  <c r="Y1261" i="146"/>
  <c r="W1262" i="146"/>
  <c r="X1262" i="146"/>
  <c r="Y1262" i="146"/>
  <c r="W1263" i="146"/>
  <c r="X1263" i="146"/>
  <c r="Y1263" i="146"/>
  <c r="W1264" i="146"/>
  <c r="X1264" i="146"/>
  <c r="Y1264" i="146"/>
  <c r="W1265" i="146"/>
  <c r="X1265" i="146"/>
  <c r="Y1265" i="146"/>
  <c r="W1266" i="146"/>
  <c r="X1266" i="146"/>
  <c r="Y1266" i="146"/>
  <c r="W1267" i="146"/>
  <c r="X1267" i="146"/>
  <c r="Y1267" i="146"/>
  <c r="W1268" i="146"/>
  <c r="X1268" i="146"/>
  <c r="Y1268" i="146"/>
  <c r="W1269" i="146"/>
  <c r="X1269" i="146"/>
  <c r="Y1269" i="146"/>
  <c r="W1270" i="146"/>
  <c r="X1270" i="146"/>
  <c r="Y1270" i="146"/>
  <c r="W1271" i="146"/>
  <c r="X1271" i="146"/>
  <c r="Y1271" i="146"/>
  <c r="W1272" i="146"/>
  <c r="X1272" i="146"/>
  <c r="Y1272" i="146"/>
  <c r="W1273" i="146"/>
  <c r="X1273" i="146"/>
  <c r="Y1273" i="146"/>
  <c r="W1274" i="146"/>
  <c r="X1274" i="146"/>
  <c r="Y1274" i="146"/>
  <c r="W1275" i="146"/>
  <c r="X1275" i="146"/>
  <c r="Y1275" i="146"/>
  <c r="W1276" i="146"/>
  <c r="X1276" i="146"/>
  <c r="Y1276" i="146"/>
  <c r="W1277" i="146"/>
  <c r="X1277" i="146"/>
  <c r="Y1277" i="146"/>
  <c r="W1278" i="146"/>
  <c r="X1278" i="146"/>
  <c r="Y1278" i="146"/>
  <c r="W1279" i="146"/>
  <c r="X1279" i="146"/>
  <c r="Y1279" i="146"/>
  <c r="W1280" i="146"/>
  <c r="X1280" i="146"/>
  <c r="Y1280" i="146"/>
  <c r="W1281" i="146"/>
  <c r="X1281" i="146"/>
  <c r="Y1281" i="146"/>
  <c r="W1282" i="146"/>
  <c r="X1282" i="146"/>
  <c r="Y1282" i="146"/>
  <c r="W1283" i="146"/>
  <c r="X1283" i="146"/>
  <c r="Y1283" i="146"/>
  <c r="W1284" i="146"/>
  <c r="X1284" i="146"/>
  <c r="Y1284" i="146"/>
  <c r="W1285" i="146"/>
  <c r="X1285" i="146"/>
  <c r="Y1285" i="146"/>
  <c r="W1286" i="146"/>
  <c r="X1286" i="146"/>
  <c r="Y1286" i="146"/>
  <c r="W1287" i="146"/>
  <c r="X1287" i="146"/>
  <c r="Y1287" i="146"/>
  <c r="W1288" i="146"/>
  <c r="X1288" i="146"/>
  <c r="Y1288" i="146"/>
  <c r="W1289" i="146"/>
  <c r="X1289" i="146"/>
  <c r="Y1289" i="146"/>
  <c r="W1290" i="146"/>
  <c r="X1290" i="146"/>
  <c r="Y1290" i="146"/>
  <c r="W1291" i="146"/>
  <c r="X1291" i="146"/>
  <c r="Y1291" i="146"/>
  <c r="W1292" i="146"/>
  <c r="X1292" i="146"/>
  <c r="Y1292" i="146"/>
  <c r="W1293" i="146"/>
  <c r="X1293" i="146"/>
  <c r="Y1293" i="146"/>
  <c r="W1294" i="146"/>
  <c r="X1294" i="146"/>
  <c r="Y1294" i="146"/>
  <c r="W1295" i="146"/>
  <c r="X1295" i="146"/>
  <c r="Y1295" i="146"/>
  <c r="W1296" i="146"/>
  <c r="X1296" i="146"/>
  <c r="Y1296" i="146"/>
  <c r="W1297" i="146"/>
  <c r="X1297" i="146"/>
  <c r="Y1297" i="146"/>
  <c r="W1298" i="146"/>
  <c r="X1298" i="146"/>
  <c r="Y1298" i="146"/>
  <c r="W1299" i="146"/>
  <c r="X1299" i="146"/>
  <c r="Y1299" i="146"/>
  <c r="W1300" i="146"/>
  <c r="X1300" i="146"/>
  <c r="Y1300" i="146"/>
  <c r="W1301" i="146"/>
  <c r="X1301" i="146"/>
  <c r="Y1301" i="146"/>
  <c r="W1302" i="146"/>
  <c r="X1302" i="146"/>
  <c r="Y1302" i="146"/>
  <c r="W1303" i="146"/>
  <c r="X1303" i="146"/>
  <c r="Y1303" i="146"/>
  <c r="W1304" i="146"/>
  <c r="X1304" i="146"/>
  <c r="Y1304" i="146"/>
  <c r="W1305" i="146"/>
  <c r="X1305" i="146"/>
  <c r="Y1305" i="146"/>
  <c r="W1306" i="146"/>
  <c r="X1306" i="146"/>
  <c r="Y1306" i="146"/>
  <c r="W1307" i="146"/>
  <c r="X1307" i="146"/>
  <c r="Y1307" i="146"/>
  <c r="W1308" i="146"/>
  <c r="X1308" i="146"/>
  <c r="Y1308" i="146"/>
  <c r="W1309" i="146"/>
  <c r="X1309" i="146"/>
  <c r="Y1309" i="146"/>
  <c r="W1310" i="146"/>
  <c r="X1310" i="146"/>
  <c r="Y1310" i="146"/>
  <c r="W1311" i="146"/>
  <c r="X1311" i="146"/>
  <c r="Y1311" i="146"/>
  <c r="W1312" i="146"/>
  <c r="X1312" i="146"/>
  <c r="Y1312" i="146"/>
  <c r="W1313" i="146"/>
  <c r="X1313" i="146"/>
  <c r="Y1313" i="146"/>
  <c r="W1314" i="146"/>
  <c r="X1314" i="146"/>
  <c r="Y1314" i="146"/>
  <c r="W1315" i="146"/>
  <c r="X1315" i="146"/>
  <c r="Y1315" i="146"/>
  <c r="W1316" i="146"/>
  <c r="X1316" i="146"/>
  <c r="Y1316" i="146"/>
  <c r="W1317" i="146"/>
  <c r="X1317" i="146"/>
  <c r="Y1317" i="146"/>
  <c r="W1318" i="146"/>
  <c r="X1318" i="146"/>
  <c r="Y1318" i="146"/>
  <c r="W1319" i="146"/>
  <c r="X1319" i="146"/>
  <c r="Y1319" i="146"/>
  <c r="W1320" i="146"/>
  <c r="X1320" i="146"/>
  <c r="Y1320" i="146"/>
  <c r="W1321" i="146"/>
  <c r="X1321" i="146"/>
  <c r="Y1321" i="146"/>
  <c r="W1322" i="146"/>
  <c r="X1322" i="146"/>
  <c r="Y1322" i="146"/>
  <c r="W1323" i="146"/>
  <c r="X1323" i="146"/>
  <c r="Y1323" i="146"/>
  <c r="W1324" i="146"/>
  <c r="X1324" i="146"/>
  <c r="Y1324" i="146"/>
  <c r="W1325" i="146"/>
  <c r="X1325" i="146"/>
  <c r="Y1325" i="146"/>
  <c r="W1326" i="146"/>
  <c r="X1326" i="146"/>
  <c r="Y1326" i="146"/>
  <c r="W1327" i="146"/>
  <c r="X1327" i="146"/>
  <c r="Y1327" i="146"/>
  <c r="W1328" i="146"/>
  <c r="X1328" i="146"/>
  <c r="Y1328" i="146"/>
  <c r="W1329" i="146"/>
  <c r="X1329" i="146"/>
  <c r="Y1329" i="146"/>
  <c r="W1330" i="146"/>
  <c r="X1330" i="146"/>
  <c r="Y1330" i="146"/>
  <c r="W1331" i="146"/>
  <c r="X1331" i="146"/>
  <c r="Y1331" i="146"/>
  <c r="W1332" i="146"/>
  <c r="X1332" i="146"/>
  <c r="Y1332" i="146"/>
  <c r="W1333" i="146"/>
  <c r="X1333" i="146"/>
  <c r="Y1333" i="146"/>
  <c r="W1334" i="146"/>
  <c r="X1334" i="146"/>
  <c r="Y1334" i="146"/>
  <c r="W1335" i="146"/>
  <c r="X1335" i="146"/>
  <c r="Y1335" i="146"/>
  <c r="W1336" i="146"/>
  <c r="X1336" i="146"/>
  <c r="Y1336" i="146"/>
  <c r="W1337" i="146"/>
  <c r="X1337" i="146"/>
  <c r="Y1337" i="146"/>
  <c r="W1338" i="146"/>
  <c r="X1338" i="146"/>
  <c r="Y1338" i="146"/>
  <c r="W1339" i="146"/>
  <c r="X1339" i="146"/>
  <c r="Y1339" i="146"/>
  <c r="W1340" i="146"/>
  <c r="X1340" i="146"/>
  <c r="Y1340" i="146"/>
  <c r="W1341" i="146"/>
  <c r="X1341" i="146"/>
  <c r="Y1341" i="146"/>
  <c r="W1342" i="146"/>
  <c r="X1342" i="146"/>
  <c r="Y1342" i="146"/>
  <c r="W1343" i="146"/>
  <c r="X1343" i="146"/>
  <c r="Y1343" i="146"/>
  <c r="W1344" i="146"/>
  <c r="X1344" i="146"/>
  <c r="Y1344" i="146"/>
  <c r="W1345" i="146"/>
  <c r="X1345" i="146"/>
  <c r="Y1345" i="146"/>
  <c r="W1346" i="146"/>
  <c r="X1346" i="146"/>
  <c r="Y1346" i="146"/>
  <c r="W1347" i="146"/>
  <c r="X1347" i="146"/>
  <c r="Y1347" i="146"/>
  <c r="W1348" i="146"/>
  <c r="X1348" i="146"/>
  <c r="Y1348" i="146"/>
  <c r="W1349" i="146"/>
  <c r="X1349" i="146"/>
  <c r="Y1349" i="146"/>
  <c r="W1350" i="146"/>
  <c r="X1350" i="146"/>
  <c r="Y1350" i="146"/>
  <c r="W1351" i="146"/>
  <c r="X1351" i="146"/>
  <c r="Y1351" i="146"/>
  <c r="W1352" i="146"/>
  <c r="X1352" i="146"/>
  <c r="Y1352" i="146"/>
  <c r="W1353" i="146"/>
  <c r="X1353" i="146"/>
  <c r="Y1353" i="146"/>
  <c r="W1354" i="146"/>
  <c r="X1354" i="146"/>
  <c r="Y1354" i="146"/>
  <c r="W1355" i="146"/>
  <c r="X1355" i="146"/>
  <c r="Y1355" i="146"/>
  <c r="W1356" i="146"/>
  <c r="X1356" i="146"/>
  <c r="Y1356" i="146"/>
  <c r="W1357" i="146"/>
  <c r="X1357" i="146"/>
  <c r="Y1357" i="146"/>
  <c r="W1358" i="146"/>
  <c r="X1358" i="146"/>
  <c r="Y1358" i="146"/>
  <c r="W1359" i="146"/>
  <c r="X1359" i="146"/>
  <c r="Y1359" i="146"/>
  <c r="W1360" i="146"/>
  <c r="X1360" i="146"/>
  <c r="Y1360" i="146"/>
  <c r="W1361" i="146"/>
  <c r="X1361" i="146"/>
  <c r="Y1361" i="146"/>
  <c r="W1362" i="146"/>
  <c r="X1362" i="146"/>
  <c r="Y1362" i="146"/>
  <c r="W1363" i="146"/>
  <c r="X1363" i="146"/>
  <c r="Y1363" i="146"/>
  <c r="W1364" i="146"/>
  <c r="X1364" i="146"/>
  <c r="Y1364" i="146"/>
  <c r="W1365" i="146"/>
  <c r="X1365" i="146"/>
  <c r="Y1365" i="146"/>
  <c r="W1366" i="146"/>
  <c r="X1366" i="146"/>
  <c r="Y1366" i="146"/>
  <c r="W1367" i="146"/>
  <c r="X1367" i="146"/>
  <c r="Y1367" i="146"/>
  <c r="W1368" i="146"/>
  <c r="X1368" i="146"/>
  <c r="Y1368" i="146"/>
  <c r="W1369" i="146"/>
  <c r="X1369" i="146"/>
  <c r="Y1369" i="146"/>
  <c r="W1370" i="146"/>
  <c r="X1370" i="146"/>
  <c r="Y1370" i="146"/>
  <c r="W1371" i="146"/>
  <c r="X1371" i="146"/>
  <c r="Y1371" i="146"/>
  <c r="W1372" i="146"/>
  <c r="X1372" i="146"/>
  <c r="Y1372" i="146"/>
  <c r="W1373" i="146"/>
  <c r="X1373" i="146"/>
  <c r="Y1373" i="146"/>
  <c r="W1374" i="146"/>
  <c r="X1374" i="146"/>
  <c r="Y1374" i="146"/>
  <c r="W1375" i="146"/>
  <c r="X1375" i="146"/>
  <c r="Y1375" i="146"/>
  <c r="W1376" i="146"/>
  <c r="X1376" i="146"/>
  <c r="Y1376" i="146"/>
  <c r="W1377" i="146"/>
  <c r="X1377" i="146"/>
  <c r="Y1377" i="146"/>
  <c r="W1378" i="146"/>
  <c r="X1378" i="146"/>
  <c r="Y1378" i="146"/>
  <c r="W1379" i="146"/>
  <c r="X1379" i="146"/>
  <c r="Y1379" i="146"/>
  <c r="W1380" i="146"/>
  <c r="X1380" i="146"/>
  <c r="Y1380" i="146"/>
  <c r="W1381" i="146"/>
  <c r="X1381" i="146"/>
  <c r="Y1381" i="146"/>
  <c r="W1382" i="146"/>
  <c r="X1382" i="146"/>
  <c r="Y1382" i="146"/>
  <c r="W1383" i="146"/>
  <c r="X1383" i="146"/>
  <c r="Y1383" i="146"/>
  <c r="W1384" i="146"/>
  <c r="X1384" i="146"/>
  <c r="Y1384" i="146"/>
  <c r="W1385" i="146"/>
  <c r="X1385" i="146"/>
  <c r="Y1385" i="146"/>
  <c r="W1386" i="146"/>
  <c r="X1386" i="146"/>
  <c r="Y1386" i="146"/>
  <c r="W1387" i="146"/>
  <c r="X1387" i="146"/>
  <c r="Y1387" i="146"/>
  <c r="W1388" i="146"/>
  <c r="X1388" i="146"/>
  <c r="Y1388" i="146"/>
  <c r="W1389" i="146"/>
  <c r="X1389" i="146"/>
  <c r="Y1389" i="146"/>
  <c r="W1390" i="146"/>
  <c r="X1390" i="146"/>
  <c r="Y1390" i="146"/>
  <c r="W1391" i="146"/>
  <c r="X1391" i="146"/>
  <c r="Y1391" i="146"/>
  <c r="W1392" i="146"/>
  <c r="X1392" i="146"/>
  <c r="Y1392" i="146"/>
  <c r="W1393" i="146"/>
  <c r="X1393" i="146"/>
  <c r="Y1393" i="146"/>
  <c r="W1394" i="146"/>
  <c r="X1394" i="146"/>
  <c r="Y1394" i="146"/>
  <c r="W1395" i="146"/>
  <c r="X1395" i="146"/>
  <c r="Y1395" i="146"/>
  <c r="W1396" i="146"/>
  <c r="X1396" i="146"/>
  <c r="Y1396" i="146"/>
  <c r="W1397" i="146"/>
  <c r="X1397" i="146"/>
  <c r="Y1397" i="146"/>
  <c r="W1398" i="146"/>
  <c r="X1398" i="146"/>
  <c r="Y1398" i="146"/>
  <c r="W1399" i="146"/>
  <c r="X1399" i="146"/>
  <c r="Y1399" i="146"/>
  <c r="W1400" i="146"/>
  <c r="X1400" i="146"/>
  <c r="Y1400" i="146"/>
  <c r="W1401" i="146"/>
  <c r="X1401" i="146"/>
  <c r="Y1401" i="146"/>
  <c r="W1402" i="146"/>
  <c r="X1402" i="146"/>
  <c r="Y1402" i="146"/>
  <c r="W1403" i="146"/>
  <c r="X1403" i="146"/>
  <c r="Y1403" i="146"/>
  <c r="W1404" i="146"/>
  <c r="X1404" i="146"/>
  <c r="Y1404" i="146"/>
  <c r="W1405" i="146"/>
  <c r="X1405" i="146"/>
  <c r="Y1405" i="146"/>
  <c r="W1406" i="146"/>
  <c r="X1406" i="146"/>
  <c r="Y1406" i="146"/>
  <c r="W1407" i="146"/>
  <c r="X1407" i="146"/>
  <c r="Y1407" i="146"/>
  <c r="W1408" i="146"/>
  <c r="X1408" i="146"/>
  <c r="Y1408" i="146"/>
  <c r="W1409" i="146"/>
  <c r="X1409" i="146"/>
  <c r="Y1409" i="146"/>
  <c r="W1410" i="146"/>
  <c r="X1410" i="146"/>
  <c r="Y1410" i="146"/>
  <c r="W1411" i="146"/>
  <c r="X1411" i="146"/>
  <c r="Y1411" i="146"/>
  <c r="W1412" i="146"/>
  <c r="X1412" i="146"/>
  <c r="Y1412" i="146"/>
  <c r="W1413" i="146"/>
  <c r="X1413" i="146"/>
  <c r="Y1413" i="146"/>
  <c r="W1414" i="146"/>
  <c r="X1414" i="146"/>
  <c r="Y1414" i="146"/>
  <c r="W1415" i="146"/>
  <c r="X1415" i="146"/>
  <c r="Y1415" i="146"/>
  <c r="W1416" i="146"/>
  <c r="X1416" i="146"/>
  <c r="Y1416" i="146"/>
  <c r="W1417" i="146"/>
  <c r="X1417" i="146"/>
  <c r="Y1417" i="146"/>
  <c r="W1418" i="146"/>
  <c r="X1418" i="146"/>
  <c r="Y1418" i="146"/>
  <c r="W1419" i="146"/>
  <c r="X1419" i="146"/>
  <c r="Y1419" i="146"/>
  <c r="W1420" i="146"/>
  <c r="X1420" i="146"/>
  <c r="Y1420" i="146"/>
  <c r="W1421" i="146"/>
  <c r="X1421" i="146"/>
  <c r="Y1421" i="146"/>
  <c r="W1422" i="146"/>
  <c r="X1422" i="146"/>
  <c r="Y1422" i="146"/>
  <c r="W1423" i="146"/>
  <c r="X1423" i="146"/>
  <c r="Y1423" i="146"/>
  <c r="W1424" i="146"/>
  <c r="X1424" i="146"/>
  <c r="Y1424" i="146"/>
  <c r="W1425" i="146"/>
  <c r="X1425" i="146"/>
  <c r="Y1425" i="146"/>
  <c r="W1426" i="146"/>
  <c r="X1426" i="146"/>
  <c r="Y1426" i="146"/>
  <c r="W1427" i="146"/>
  <c r="X1427" i="146"/>
  <c r="Y1427" i="146"/>
  <c r="W1428" i="146"/>
  <c r="X1428" i="146"/>
  <c r="Y1428" i="146"/>
  <c r="W1429" i="146"/>
  <c r="X1429" i="146"/>
  <c r="Y1429" i="146"/>
  <c r="W1430" i="146"/>
  <c r="X1430" i="146"/>
  <c r="Y1430" i="146"/>
  <c r="W1431" i="146"/>
  <c r="X1431" i="146"/>
  <c r="Y1431" i="146"/>
  <c r="W1432" i="146"/>
  <c r="X1432" i="146"/>
  <c r="Y1432" i="146"/>
  <c r="W1433" i="146"/>
  <c r="X1433" i="146"/>
  <c r="Y1433" i="146"/>
  <c r="W1434" i="146"/>
  <c r="X1434" i="146"/>
  <c r="Y1434" i="146"/>
  <c r="W1435" i="146"/>
  <c r="X1435" i="146"/>
  <c r="Y1435" i="146"/>
  <c r="W1436" i="146"/>
  <c r="X1436" i="146"/>
  <c r="Y1436" i="146"/>
  <c r="W1437" i="146"/>
  <c r="X1437" i="146"/>
  <c r="Y1437" i="146"/>
  <c r="W1438" i="146"/>
  <c r="X1438" i="146"/>
  <c r="Y1438" i="146"/>
  <c r="W1439" i="146"/>
  <c r="X1439" i="146"/>
  <c r="Y1439" i="146"/>
  <c r="W1440" i="146"/>
  <c r="X1440" i="146"/>
  <c r="Y1440" i="146"/>
  <c r="W1441" i="146"/>
  <c r="X1441" i="146"/>
  <c r="Y1441" i="146"/>
  <c r="W1442" i="146"/>
  <c r="X1442" i="146"/>
  <c r="Y1442" i="146"/>
  <c r="W1443" i="146"/>
  <c r="X1443" i="146"/>
  <c r="Y1443" i="146"/>
  <c r="W1444" i="146"/>
  <c r="X1444" i="146"/>
  <c r="Y1444" i="146"/>
  <c r="W1445" i="146"/>
  <c r="X1445" i="146"/>
  <c r="Y1445" i="146"/>
  <c r="W1446" i="146"/>
  <c r="X1446" i="146"/>
  <c r="Y1446" i="146"/>
  <c r="W1447" i="146"/>
  <c r="X1447" i="146"/>
  <c r="Y1447" i="146"/>
  <c r="W1448" i="146"/>
  <c r="X1448" i="146"/>
  <c r="Y1448" i="146"/>
  <c r="W1449" i="146"/>
  <c r="X1449" i="146"/>
  <c r="Y1449" i="146"/>
  <c r="W1450" i="146"/>
  <c r="X1450" i="146"/>
  <c r="Y1450" i="146"/>
  <c r="W1451" i="146"/>
  <c r="X1451" i="146"/>
  <c r="Y1451" i="146"/>
  <c r="W1452" i="146"/>
  <c r="X1452" i="146"/>
  <c r="Y1452" i="146"/>
  <c r="W1453" i="146"/>
  <c r="X1453" i="146"/>
  <c r="Y1453" i="146"/>
  <c r="W1454" i="146"/>
  <c r="X1454" i="146"/>
  <c r="Y1454" i="146"/>
  <c r="W1455" i="146"/>
  <c r="X1455" i="146"/>
  <c r="Y1455" i="146"/>
  <c r="W1456" i="146"/>
  <c r="X1456" i="146"/>
  <c r="Y1456" i="146"/>
  <c r="W1457" i="146"/>
  <c r="X1457" i="146"/>
  <c r="Y1457" i="146"/>
  <c r="W1458" i="146"/>
  <c r="X1458" i="146"/>
  <c r="Y1458" i="146"/>
  <c r="W1459" i="146"/>
  <c r="X1459" i="146"/>
  <c r="Y1459" i="146"/>
  <c r="W1460" i="146"/>
  <c r="X1460" i="146"/>
  <c r="Y1460" i="146"/>
  <c r="W1461" i="146"/>
  <c r="X1461" i="146"/>
  <c r="Y1461" i="146"/>
  <c r="W1462" i="146"/>
  <c r="X1462" i="146"/>
  <c r="Y1462" i="146"/>
  <c r="W1463" i="146"/>
  <c r="X1463" i="146"/>
  <c r="Y1463" i="146"/>
  <c r="W1464" i="146"/>
  <c r="X1464" i="146"/>
  <c r="Y1464" i="146"/>
  <c r="W1465" i="146"/>
  <c r="X1465" i="146"/>
  <c r="Y1465" i="146"/>
  <c r="W1466" i="146"/>
  <c r="X1466" i="146"/>
  <c r="Y1466" i="146"/>
  <c r="W1467" i="146"/>
  <c r="X1467" i="146"/>
  <c r="Y1467" i="146"/>
  <c r="W1468" i="146"/>
  <c r="X1468" i="146"/>
  <c r="Y1468" i="146"/>
  <c r="W1469" i="146"/>
  <c r="X1469" i="146"/>
  <c r="Y1469" i="146"/>
  <c r="W1470" i="146"/>
  <c r="X1470" i="146"/>
  <c r="Y1470" i="146"/>
  <c r="W1471" i="146"/>
  <c r="X1471" i="146"/>
  <c r="Y1471" i="146"/>
  <c r="W1472" i="146"/>
  <c r="X1472" i="146"/>
  <c r="Y1472" i="146"/>
  <c r="W1473" i="146"/>
  <c r="X1473" i="146"/>
  <c r="Y1473" i="146"/>
  <c r="W1474" i="146"/>
  <c r="X1474" i="146"/>
  <c r="Y1474" i="146"/>
  <c r="W1475" i="146"/>
  <c r="X1475" i="146"/>
  <c r="Y1475" i="146"/>
  <c r="W1476" i="146"/>
  <c r="X1476" i="146"/>
  <c r="Y1476" i="146"/>
  <c r="W1477" i="146"/>
  <c r="X1477" i="146"/>
  <c r="Y1477" i="146"/>
  <c r="W1478" i="146"/>
  <c r="X1478" i="146"/>
  <c r="Y1478" i="146"/>
  <c r="W1479" i="146"/>
  <c r="X1479" i="146"/>
  <c r="Y1479" i="146"/>
  <c r="W1480" i="146"/>
  <c r="X1480" i="146"/>
  <c r="Y1480" i="146"/>
  <c r="W1481" i="146"/>
  <c r="X1481" i="146"/>
  <c r="Y1481" i="146"/>
  <c r="W1482" i="146"/>
  <c r="X1482" i="146"/>
  <c r="Y1482" i="146"/>
  <c r="W1483" i="146"/>
  <c r="X1483" i="146"/>
  <c r="Y1483" i="146"/>
  <c r="W1484" i="146"/>
  <c r="X1484" i="146"/>
  <c r="Y1484" i="146"/>
  <c r="W1485" i="146"/>
  <c r="X1485" i="146"/>
  <c r="Y1485" i="146"/>
  <c r="W1486" i="146"/>
  <c r="X1486" i="146"/>
  <c r="Y1486" i="146"/>
  <c r="W1487" i="146"/>
  <c r="X1487" i="146"/>
  <c r="Y1487" i="146"/>
  <c r="W1488" i="146"/>
  <c r="X1488" i="146"/>
  <c r="Y1488" i="146"/>
  <c r="W1489" i="146"/>
  <c r="X1489" i="146"/>
  <c r="Y1489" i="146"/>
  <c r="W1490" i="146"/>
  <c r="X1490" i="146"/>
  <c r="Y1490" i="146"/>
  <c r="W1491" i="146"/>
  <c r="X1491" i="146"/>
  <c r="Y1491" i="146"/>
  <c r="W1492" i="146"/>
  <c r="X1492" i="146"/>
  <c r="Y1492" i="146"/>
  <c r="W1493" i="146"/>
  <c r="X1493" i="146"/>
  <c r="Y1493" i="146"/>
  <c r="W1494" i="146"/>
  <c r="X1494" i="146"/>
  <c r="Y1494" i="146"/>
  <c r="W1495" i="146"/>
  <c r="X1495" i="146"/>
  <c r="Y1495" i="146"/>
  <c r="W1496" i="146"/>
  <c r="X1496" i="146"/>
  <c r="Y1496" i="146"/>
  <c r="W1497" i="146"/>
  <c r="X1497" i="146"/>
  <c r="Y1497" i="146"/>
  <c r="W1498" i="146"/>
  <c r="X1498" i="146"/>
  <c r="Y1498" i="146"/>
  <c r="W1499" i="146"/>
  <c r="X1499" i="146"/>
  <c r="Y1499" i="146"/>
  <c r="W1500" i="146"/>
  <c r="X1500" i="146"/>
  <c r="Y1500" i="146"/>
  <c r="W1501" i="146"/>
  <c r="X1501" i="146"/>
  <c r="Y1501" i="146"/>
  <c r="W1502" i="146"/>
  <c r="X1502" i="146"/>
  <c r="Y1502" i="146"/>
  <c r="W1503" i="146"/>
  <c r="X1503" i="146"/>
  <c r="Y1503" i="146"/>
  <c r="W1504" i="146"/>
  <c r="X1504" i="146"/>
  <c r="Y1504" i="146"/>
  <c r="W1505" i="146"/>
  <c r="X1505" i="146"/>
  <c r="Y1505" i="146"/>
  <c r="W1506" i="146"/>
  <c r="X1506" i="146"/>
  <c r="Y1506" i="146"/>
  <c r="W1507" i="146"/>
  <c r="X1507" i="146"/>
  <c r="Y1507" i="146"/>
  <c r="W1508" i="146"/>
  <c r="X1508" i="146"/>
  <c r="Y1508" i="146"/>
  <c r="W1509" i="146"/>
  <c r="X1509" i="146"/>
  <c r="Y1509" i="146"/>
  <c r="W1510" i="146"/>
  <c r="X1510" i="146"/>
  <c r="Y1510" i="146"/>
  <c r="W1511" i="146"/>
  <c r="X1511" i="146"/>
  <c r="Y1511" i="146"/>
  <c r="W1512" i="146"/>
  <c r="X1512" i="146"/>
  <c r="Y1512" i="146"/>
  <c r="W1513" i="146"/>
  <c r="X1513" i="146"/>
  <c r="Y1513" i="146"/>
  <c r="W1514" i="146"/>
  <c r="X1514" i="146"/>
  <c r="Y1514" i="146"/>
  <c r="W1515" i="146"/>
  <c r="X1515" i="146"/>
  <c r="Y1515" i="146"/>
  <c r="W1516" i="146"/>
  <c r="X1516" i="146"/>
  <c r="Y1516" i="146"/>
  <c r="W1517" i="146"/>
  <c r="X1517" i="146"/>
  <c r="Y1517" i="146"/>
  <c r="W1518" i="146"/>
  <c r="X1518" i="146"/>
  <c r="Y1518" i="146"/>
  <c r="W1519" i="146"/>
  <c r="X1519" i="146"/>
  <c r="Y1519" i="146"/>
  <c r="W1520" i="146"/>
  <c r="X1520" i="146"/>
  <c r="Y1520" i="146"/>
  <c r="W1521" i="146"/>
  <c r="X1521" i="146"/>
  <c r="Y1521" i="146"/>
  <c r="W1522" i="146"/>
  <c r="X1522" i="146"/>
  <c r="Y1522" i="146"/>
  <c r="W1523" i="146"/>
  <c r="X1523" i="146"/>
  <c r="Y1523" i="146"/>
  <c r="W1524" i="146"/>
  <c r="X1524" i="146"/>
  <c r="Y1524" i="146"/>
  <c r="W1525" i="146"/>
  <c r="X1525" i="146"/>
  <c r="Y1525" i="146"/>
  <c r="W1526" i="146"/>
  <c r="X1526" i="146"/>
  <c r="Y1526" i="146"/>
  <c r="W1527" i="146"/>
  <c r="X1527" i="146"/>
  <c r="Y1527" i="146"/>
  <c r="W1528" i="146"/>
  <c r="X1528" i="146"/>
  <c r="Y1528" i="146"/>
  <c r="W1529" i="146"/>
  <c r="X1529" i="146"/>
  <c r="Y1529" i="146"/>
  <c r="W1530" i="146"/>
  <c r="X1530" i="146"/>
  <c r="Y1530" i="146"/>
  <c r="W1531" i="146"/>
  <c r="X1531" i="146"/>
  <c r="Y1531" i="146"/>
  <c r="W1532" i="146"/>
  <c r="X1532" i="146"/>
  <c r="Y1532" i="146"/>
  <c r="W1533" i="146"/>
  <c r="X1533" i="146"/>
  <c r="Y1533" i="146"/>
  <c r="W1534" i="146"/>
  <c r="X1534" i="146"/>
  <c r="Y1534" i="146"/>
  <c r="W1535" i="146"/>
  <c r="X1535" i="146"/>
  <c r="Y1535" i="146"/>
  <c r="W1536" i="146"/>
  <c r="X1536" i="146"/>
  <c r="Y1536" i="146"/>
  <c r="W1537" i="146"/>
  <c r="X1537" i="146"/>
  <c r="Y1537" i="146"/>
  <c r="W1538" i="146"/>
  <c r="X1538" i="146"/>
  <c r="Y1538" i="146"/>
  <c r="W1539" i="146"/>
  <c r="X1539" i="146"/>
  <c r="Y1539" i="146"/>
  <c r="W1540" i="146"/>
  <c r="X1540" i="146"/>
  <c r="Y1540" i="146"/>
  <c r="W1541" i="146"/>
  <c r="X1541" i="146"/>
  <c r="Y1541" i="146"/>
  <c r="W1542" i="146"/>
  <c r="X1542" i="146"/>
  <c r="Y1542" i="146"/>
  <c r="W1543" i="146"/>
  <c r="X1543" i="146"/>
  <c r="Y1543" i="146"/>
  <c r="W1544" i="146"/>
  <c r="X1544" i="146"/>
  <c r="Y1544" i="146"/>
  <c r="W1545" i="146"/>
  <c r="X1545" i="146"/>
  <c r="Y1545" i="146"/>
  <c r="W1546" i="146"/>
  <c r="X1546" i="146"/>
  <c r="Y1546" i="146"/>
  <c r="W1547" i="146"/>
  <c r="X1547" i="146"/>
  <c r="Y1547" i="146"/>
  <c r="W1548" i="146"/>
  <c r="X1548" i="146"/>
  <c r="Y1548" i="146"/>
  <c r="W1549" i="146"/>
  <c r="X1549" i="146"/>
  <c r="Y1549" i="146"/>
  <c r="W1550" i="146"/>
  <c r="X1550" i="146"/>
  <c r="Y1550" i="146"/>
  <c r="W1551" i="146"/>
  <c r="X1551" i="146"/>
  <c r="Y1551" i="146"/>
  <c r="W1552" i="146"/>
  <c r="X1552" i="146"/>
  <c r="Y1552" i="146"/>
  <c r="W1553" i="146"/>
  <c r="X1553" i="146"/>
  <c r="Y1553" i="146"/>
  <c r="W1554" i="146"/>
  <c r="X1554" i="146"/>
  <c r="Y1554" i="146"/>
  <c r="W1555" i="146"/>
  <c r="X1555" i="146"/>
  <c r="Y1555" i="146"/>
  <c r="W1556" i="146"/>
  <c r="X1556" i="146"/>
  <c r="Y1556" i="146"/>
  <c r="W1557" i="146"/>
  <c r="X1557" i="146"/>
  <c r="Y1557" i="146"/>
  <c r="W1558" i="146"/>
  <c r="X1558" i="146"/>
  <c r="Y1558" i="146"/>
  <c r="W1559" i="146"/>
  <c r="X1559" i="146"/>
  <c r="Y1559" i="146"/>
  <c r="W1560" i="146"/>
  <c r="X1560" i="146"/>
  <c r="Y1560" i="146"/>
  <c r="W1561" i="146"/>
  <c r="X1561" i="146"/>
  <c r="Y1561" i="146"/>
  <c r="W1562" i="146"/>
  <c r="X1562" i="146"/>
  <c r="Y1562" i="146"/>
  <c r="W1563" i="146"/>
  <c r="X1563" i="146"/>
  <c r="Y1563" i="146"/>
  <c r="W1564" i="146"/>
  <c r="X1564" i="146"/>
  <c r="Y1564" i="146"/>
  <c r="W1565" i="146"/>
  <c r="X1565" i="146"/>
  <c r="Y1565" i="146"/>
  <c r="W1566" i="146"/>
  <c r="X1566" i="146"/>
  <c r="Y1566" i="146"/>
  <c r="W1567" i="146"/>
  <c r="X1567" i="146"/>
  <c r="Y1567" i="146"/>
  <c r="W1568" i="146"/>
  <c r="X1568" i="146"/>
  <c r="Y1568" i="146"/>
  <c r="W1569" i="146"/>
  <c r="X1569" i="146"/>
  <c r="Y1569" i="146"/>
  <c r="W1570" i="146"/>
  <c r="X1570" i="146"/>
  <c r="Y1570" i="146"/>
  <c r="W1571" i="146"/>
  <c r="X1571" i="146"/>
  <c r="Y1571" i="146"/>
  <c r="W1572" i="146"/>
  <c r="X1572" i="146"/>
  <c r="Y1572" i="146"/>
  <c r="W1573" i="146"/>
  <c r="X1573" i="146"/>
  <c r="Y1573" i="146"/>
  <c r="W1574" i="146"/>
  <c r="X1574" i="146"/>
  <c r="Y1574" i="146"/>
  <c r="W1575" i="146"/>
  <c r="X1575" i="146"/>
  <c r="Y1575" i="146"/>
  <c r="W1576" i="146"/>
  <c r="X1576" i="146"/>
  <c r="Y1576" i="146"/>
  <c r="W1577" i="146"/>
  <c r="X1577" i="146"/>
  <c r="Y1577" i="146"/>
  <c r="W1578" i="146"/>
  <c r="X1578" i="146"/>
  <c r="Y1578" i="146"/>
  <c r="W1579" i="146"/>
  <c r="X1579" i="146"/>
  <c r="Y1579" i="146"/>
  <c r="W1580" i="146"/>
  <c r="X1580" i="146"/>
  <c r="Y1580" i="146"/>
  <c r="W1581" i="146"/>
  <c r="X1581" i="146"/>
  <c r="Y1581" i="146"/>
  <c r="W1582" i="146"/>
  <c r="X1582" i="146"/>
  <c r="Y1582" i="146"/>
  <c r="W1583" i="146"/>
  <c r="X1583" i="146"/>
  <c r="Y1583" i="146"/>
  <c r="W1584" i="146"/>
  <c r="X1584" i="146"/>
  <c r="Y1584" i="146"/>
  <c r="W1585" i="146"/>
  <c r="X1585" i="146"/>
  <c r="Y1585" i="146"/>
  <c r="W1586" i="146"/>
  <c r="X1586" i="146"/>
  <c r="Y1586" i="146"/>
  <c r="W1587" i="146"/>
  <c r="X1587" i="146"/>
  <c r="Y1587" i="146"/>
  <c r="W1588" i="146"/>
  <c r="X1588" i="146"/>
  <c r="Y1588" i="146"/>
  <c r="W1589" i="146"/>
  <c r="X1589" i="146"/>
  <c r="Y1589" i="146"/>
  <c r="W1590" i="146"/>
  <c r="X1590" i="146"/>
  <c r="Y1590" i="146"/>
  <c r="W1591" i="146"/>
  <c r="X1591" i="146"/>
  <c r="Y1591" i="146"/>
  <c r="W1592" i="146"/>
  <c r="X1592" i="146"/>
  <c r="Y1592" i="146"/>
  <c r="W1593" i="146"/>
  <c r="X1593" i="146"/>
  <c r="Y1593" i="146"/>
  <c r="W1594" i="146"/>
  <c r="X1594" i="146"/>
  <c r="Y1594" i="146"/>
  <c r="W1595" i="146"/>
  <c r="X1595" i="146"/>
  <c r="Y1595" i="146"/>
  <c r="W1596" i="146"/>
  <c r="X1596" i="146"/>
  <c r="Y1596" i="146"/>
  <c r="W1597" i="146"/>
  <c r="X1597" i="146"/>
  <c r="Y1597" i="146"/>
  <c r="W1598" i="146"/>
  <c r="X1598" i="146"/>
  <c r="Y1598" i="146"/>
  <c r="W1599" i="146"/>
  <c r="X1599" i="146"/>
  <c r="Y1599" i="146"/>
  <c r="W1600" i="146"/>
  <c r="X1600" i="146"/>
  <c r="Y1600" i="146"/>
  <c r="W1601" i="146"/>
  <c r="X1601" i="146"/>
  <c r="Y1601" i="146"/>
  <c r="W1602" i="146"/>
  <c r="X1602" i="146"/>
  <c r="Y1602" i="146"/>
  <c r="W1603" i="146"/>
  <c r="X1603" i="146"/>
  <c r="Y1603" i="146"/>
  <c r="W1604" i="146"/>
  <c r="X1604" i="146"/>
  <c r="Y1604" i="146"/>
  <c r="W1605" i="146"/>
  <c r="X1605" i="146"/>
  <c r="Y1605" i="146"/>
  <c r="W1606" i="146"/>
  <c r="X1606" i="146"/>
  <c r="Y1606" i="146"/>
  <c r="W1607" i="146"/>
  <c r="X1607" i="146"/>
  <c r="Y1607" i="146"/>
  <c r="W1608" i="146"/>
  <c r="X1608" i="146"/>
  <c r="Y1608" i="146"/>
  <c r="W1609" i="146"/>
  <c r="X1609" i="146"/>
  <c r="Y1609" i="146"/>
  <c r="W1610" i="146"/>
  <c r="X1610" i="146"/>
  <c r="Y1610" i="146"/>
  <c r="W1611" i="146"/>
  <c r="X1611" i="146"/>
  <c r="Y1611" i="146"/>
  <c r="W1612" i="146"/>
  <c r="X1612" i="146"/>
  <c r="Y1612" i="146"/>
  <c r="W1613" i="146"/>
  <c r="X1613" i="146"/>
  <c r="Y1613" i="146"/>
  <c r="W1614" i="146"/>
  <c r="X1614" i="146"/>
  <c r="Y1614" i="146"/>
  <c r="W1615" i="146"/>
  <c r="X1615" i="146"/>
  <c r="Y1615" i="146"/>
  <c r="W1616" i="146"/>
  <c r="X1616" i="146"/>
  <c r="Y1616" i="146"/>
  <c r="W1617" i="146"/>
  <c r="X1617" i="146"/>
  <c r="Y1617" i="146"/>
  <c r="W1618" i="146"/>
  <c r="X1618" i="146"/>
  <c r="Y1618" i="146"/>
  <c r="W1619" i="146"/>
  <c r="X1619" i="146"/>
  <c r="Y1619" i="146"/>
  <c r="W1620" i="146"/>
  <c r="X1620" i="146"/>
  <c r="Y1620" i="146"/>
  <c r="W1621" i="146"/>
  <c r="X1621" i="146"/>
  <c r="Y1621" i="146"/>
  <c r="W1622" i="146"/>
  <c r="X1622" i="146"/>
  <c r="Y1622" i="146"/>
  <c r="W1623" i="146"/>
  <c r="X1623" i="146"/>
  <c r="Y1623" i="146"/>
  <c r="W1624" i="146"/>
  <c r="X1624" i="146"/>
  <c r="Y1624" i="146"/>
  <c r="W1625" i="146"/>
  <c r="X1625" i="146"/>
  <c r="Y1625" i="146"/>
  <c r="W1626" i="146"/>
  <c r="X1626" i="146"/>
  <c r="Y1626" i="146"/>
  <c r="W1627" i="146"/>
  <c r="X1627" i="146"/>
  <c r="Y1627" i="146"/>
  <c r="W1628" i="146"/>
  <c r="X1628" i="146"/>
  <c r="Y1628" i="146"/>
  <c r="W1629" i="146"/>
  <c r="X1629" i="146"/>
  <c r="Y1629" i="146"/>
  <c r="W1630" i="146"/>
  <c r="X1630" i="146"/>
  <c r="Y1630" i="146"/>
  <c r="W1631" i="146"/>
  <c r="X1631" i="146"/>
  <c r="Y1631" i="146"/>
  <c r="W1632" i="146"/>
  <c r="X1632" i="146"/>
  <c r="Y1632" i="146"/>
  <c r="W1633" i="146"/>
  <c r="X1633" i="146"/>
  <c r="Y1633" i="146"/>
  <c r="W1634" i="146"/>
  <c r="X1634" i="146"/>
  <c r="Y1634" i="146"/>
  <c r="W1635" i="146"/>
  <c r="X1635" i="146"/>
  <c r="Y1635" i="146"/>
  <c r="W1636" i="146"/>
  <c r="X1636" i="146"/>
  <c r="Y1636" i="146"/>
  <c r="W1637" i="146"/>
  <c r="X1637" i="146"/>
  <c r="Y1637" i="146"/>
  <c r="W1638" i="146"/>
  <c r="X1638" i="146"/>
  <c r="Y1638" i="146"/>
  <c r="W1639" i="146"/>
  <c r="X1639" i="146"/>
  <c r="Y1639" i="146"/>
  <c r="W1640" i="146"/>
  <c r="X1640" i="146"/>
  <c r="Y1640" i="146"/>
  <c r="W1641" i="146"/>
  <c r="X1641" i="146"/>
  <c r="Y1641" i="146"/>
  <c r="W1642" i="146"/>
  <c r="X1642" i="146"/>
  <c r="Y1642" i="146"/>
  <c r="W1643" i="146"/>
  <c r="X1643" i="146"/>
  <c r="Y1643" i="146"/>
  <c r="W1644" i="146"/>
  <c r="X1644" i="146"/>
  <c r="Y1644" i="146"/>
  <c r="W1645" i="146"/>
  <c r="X1645" i="146"/>
  <c r="Y1645" i="146"/>
  <c r="W1646" i="146"/>
  <c r="X1646" i="146"/>
  <c r="Y1646" i="146"/>
  <c r="W1647" i="146"/>
  <c r="X1647" i="146"/>
  <c r="Y1647" i="146"/>
  <c r="W1648" i="146"/>
  <c r="X1648" i="146"/>
  <c r="Y1648" i="146"/>
  <c r="W1649" i="146"/>
  <c r="X1649" i="146"/>
  <c r="Y1649" i="146"/>
  <c r="W1650" i="146"/>
  <c r="X1650" i="146"/>
  <c r="Y1650" i="146"/>
  <c r="W1651" i="146"/>
  <c r="X1651" i="146"/>
  <c r="Y1651" i="146"/>
  <c r="W1652" i="146"/>
  <c r="X1652" i="146"/>
  <c r="Y1652" i="146"/>
  <c r="W1653" i="146"/>
  <c r="X1653" i="146"/>
  <c r="Y1653" i="146"/>
  <c r="W1654" i="146"/>
  <c r="X1654" i="146"/>
  <c r="Y1654" i="146"/>
  <c r="W1655" i="146"/>
  <c r="X1655" i="146"/>
  <c r="Y1655" i="146"/>
  <c r="W1656" i="146"/>
  <c r="X1656" i="146"/>
  <c r="Y1656" i="146"/>
  <c r="W1657" i="146"/>
  <c r="X1657" i="146"/>
  <c r="Y1657" i="146"/>
  <c r="W1658" i="146"/>
  <c r="X1658" i="146"/>
  <c r="Y1658" i="146"/>
  <c r="W1659" i="146"/>
  <c r="X1659" i="146"/>
  <c r="Y1659" i="146"/>
  <c r="W1660" i="146"/>
  <c r="X1660" i="146"/>
  <c r="Y1660" i="146"/>
  <c r="W1661" i="146"/>
  <c r="X1661" i="146"/>
  <c r="Y1661" i="146"/>
  <c r="W1662" i="146"/>
  <c r="X1662" i="146"/>
  <c r="Y1662" i="146"/>
  <c r="W1663" i="146"/>
  <c r="X1663" i="146"/>
  <c r="Y1663" i="146"/>
  <c r="W1664" i="146"/>
  <c r="X1664" i="146"/>
  <c r="Y1664" i="146"/>
  <c r="W1665" i="146"/>
  <c r="X1665" i="146"/>
  <c r="Y1665" i="146"/>
  <c r="W1666" i="146"/>
  <c r="X1666" i="146"/>
  <c r="Y1666" i="146"/>
  <c r="W1667" i="146"/>
  <c r="X1667" i="146"/>
  <c r="Y1667" i="146"/>
  <c r="W1668" i="146"/>
  <c r="X1668" i="146"/>
  <c r="Y1668" i="146"/>
  <c r="W1669" i="146"/>
  <c r="X1669" i="146"/>
  <c r="Y1669" i="146"/>
  <c r="W1670" i="146"/>
  <c r="X1670" i="146"/>
  <c r="Y1670" i="146"/>
  <c r="W1671" i="146"/>
  <c r="X1671" i="146"/>
  <c r="Y1671" i="146"/>
  <c r="W1672" i="146"/>
  <c r="X1672" i="146"/>
  <c r="Y1672" i="146"/>
  <c r="W1673" i="146"/>
  <c r="X1673" i="146"/>
  <c r="Y1673" i="146"/>
  <c r="W1674" i="146"/>
  <c r="X1674" i="146"/>
  <c r="Y1674" i="146"/>
  <c r="W1675" i="146"/>
  <c r="X1675" i="146"/>
  <c r="Y1675" i="146"/>
  <c r="W1676" i="146"/>
  <c r="X1676" i="146"/>
  <c r="Y1676" i="146"/>
  <c r="W1677" i="146"/>
  <c r="X1677" i="146"/>
  <c r="Y1677" i="146"/>
  <c r="W1678" i="146"/>
  <c r="X1678" i="146"/>
  <c r="Y1678" i="146"/>
  <c r="W1679" i="146"/>
  <c r="X1679" i="146"/>
  <c r="Y1679" i="146"/>
  <c r="W1680" i="146"/>
  <c r="X1680" i="146"/>
  <c r="Y1680" i="146"/>
  <c r="W1681" i="146"/>
  <c r="X1681" i="146"/>
  <c r="Y1681" i="146"/>
  <c r="W1682" i="146"/>
  <c r="X1682" i="146"/>
  <c r="Y1682" i="146"/>
  <c r="W1683" i="146"/>
  <c r="X1683" i="146"/>
  <c r="Y1683" i="146"/>
  <c r="W1684" i="146"/>
  <c r="X1684" i="146"/>
  <c r="Y1684" i="146"/>
  <c r="W1685" i="146"/>
  <c r="X1685" i="146"/>
  <c r="Y1685" i="146"/>
  <c r="W1686" i="146"/>
  <c r="X1686" i="146"/>
  <c r="Y1686" i="146"/>
  <c r="W1687" i="146"/>
  <c r="X1687" i="146"/>
  <c r="Y1687" i="146"/>
  <c r="W1688" i="146"/>
  <c r="X1688" i="146"/>
  <c r="Y1688" i="146"/>
  <c r="W1689" i="146"/>
  <c r="X1689" i="146"/>
  <c r="Y1689" i="146"/>
  <c r="W1690" i="146"/>
  <c r="X1690" i="146"/>
  <c r="Y1690" i="146"/>
  <c r="W1691" i="146"/>
  <c r="X1691" i="146"/>
  <c r="Y1691" i="146"/>
  <c r="W1692" i="146"/>
  <c r="X1692" i="146"/>
  <c r="Y1692" i="146"/>
  <c r="W1693" i="146"/>
  <c r="X1693" i="146"/>
  <c r="Y1693" i="146"/>
  <c r="W1694" i="146"/>
  <c r="X1694" i="146"/>
  <c r="Y1694" i="146"/>
  <c r="W1695" i="146"/>
  <c r="X1695" i="146"/>
  <c r="Y1695" i="146"/>
  <c r="W1696" i="146"/>
  <c r="X1696" i="146"/>
  <c r="Y1696" i="146"/>
  <c r="W1697" i="146"/>
  <c r="X1697" i="146"/>
  <c r="Y1697" i="146"/>
  <c r="W1698" i="146"/>
  <c r="X1698" i="146"/>
  <c r="Y1698" i="146"/>
  <c r="W1699" i="146"/>
  <c r="X1699" i="146"/>
  <c r="Y1699" i="146"/>
  <c r="W1700" i="146"/>
  <c r="X1700" i="146"/>
  <c r="Y1700" i="146"/>
  <c r="W1701" i="146"/>
  <c r="X1701" i="146"/>
  <c r="Y1701" i="146"/>
  <c r="W1702" i="146"/>
  <c r="X1702" i="146"/>
  <c r="Y1702" i="146"/>
  <c r="W1703" i="146"/>
  <c r="X1703" i="146"/>
  <c r="Y1703" i="146"/>
  <c r="W1704" i="146"/>
  <c r="X1704" i="146"/>
  <c r="Y1704" i="146"/>
  <c r="W1705" i="146"/>
  <c r="X1705" i="146"/>
  <c r="Y1705" i="146"/>
  <c r="W1706" i="146"/>
  <c r="X1706" i="146"/>
  <c r="Y1706" i="146"/>
  <c r="W1707" i="146"/>
  <c r="X1707" i="146"/>
  <c r="Y1707" i="146"/>
  <c r="W1708" i="146"/>
  <c r="X1708" i="146"/>
  <c r="Y1708" i="146"/>
  <c r="W1709" i="146"/>
  <c r="X1709" i="146"/>
  <c r="Y1709" i="146"/>
  <c r="W1710" i="146"/>
  <c r="X1710" i="146"/>
  <c r="Y1710" i="146"/>
  <c r="W1711" i="146"/>
  <c r="X1711" i="146"/>
  <c r="Y1711" i="146"/>
  <c r="W1712" i="146"/>
  <c r="X1712" i="146"/>
  <c r="Y1712" i="146"/>
  <c r="W1713" i="146"/>
  <c r="X1713" i="146"/>
  <c r="Y1713" i="146"/>
  <c r="W1714" i="146"/>
  <c r="X1714" i="146"/>
  <c r="Y1714" i="146"/>
  <c r="W1715" i="146"/>
  <c r="X1715" i="146"/>
  <c r="Y1715" i="146"/>
  <c r="W1716" i="146"/>
  <c r="X1716" i="146"/>
  <c r="Y1716" i="146"/>
  <c r="W1717" i="146"/>
  <c r="X1717" i="146"/>
  <c r="Y1717" i="146"/>
  <c r="W1718" i="146"/>
  <c r="X1718" i="146"/>
  <c r="Y1718" i="146"/>
  <c r="W1719" i="146"/>
  <c r="X1719" i="146"/>
  <c r="Y1719" i="146"/>
  <c r="W1720" i="146"/>
  <c r="X1720" i="146"/>
  <c r="Y1720" i="146"/>
  <c r="W1721" i="146"/>
  <c r="X1721" i="146"/>
  <c r="Y1721" i="146"/>
  <c r="W1722" i="146"/>
  <c r="X1722" i="146"/>
  <c r="Y1722" i="146"/>
  <c r="W1723" i="146"/>
  <c r="X1723" i="146"/>
  <c r="Y1723" i="146"/>
  <c r="W1724" i="146"/>
  <c r="X1724" i="146"/>
  <c r="Y1724" i="146"/>
  <c r="W1725" i="146"/>
  <c r="X1725" i="146"/>
  <c r="Y1725" i="146"/>
  <c r="W1726" i="146"/>
  <c r="X1726" i="146"/>
  <c r="Y1726" i="146"/>
  <c r="W1727" i="146"/>
  <c r="X1727" i="146"/>
  <c r="Y1727" i="146"/>
  <c r="W1728" i="146"/>
  <c r="X1728" i="146"/>
  <c r="Y1728" i="146"/>
  <c r="W1729" i="146"/>
  <c r="X1729" i="146"/>
  <c r="Y1729" i="146"/>
  <c r="W1730" i="146"/>
  <c r="X1730" i="146"/>
  <c r="Y1730" i="146"/>
  <c r="W1731" i="146"/>
  <c r="X1731" i="146"/>
  <c r="Y1731" i="146"/>
  <c r="W1732" i="146"/>
  <c r="X1732" i="146"/>
  <c r="Y1732" i="146"/>
  <c r="W1733" i="146"/>
  <c r="X1733" i="146"/>
  <c r="Y1733" i="146"/>
  <c r="W1734" i="146"/>
  <c r="X1734" i="146"/>
  <c r="Y1734" i="146"/>
  <c r="W1735" i="146"/>
  <c r="X1735" i="146"/>
  <c r="Y1735" i="146"/>
  <c r="W1736" i="146"/>
  <c r="X1736" i="146"/>
  <c r="Y1736" i="146"/>
  <c r="W1737" i="146"/>
  <c r="X1737" i="146"/>
  <c r="Y1737" i="146"/>
  <c r="W1738" i="146"/>
  <c r="X1738" i="146"/>
  <c r="Y1738" i="146"/>
  <c r="W1739" i="146"/>
  <c r="X1739" i="146"/>
  <c r="Y1739" i="146"/>
  <c r="W1740" i="146"/>
  <c r="X1740" i="146"/>
  <c r="Y1740" i="146"/>
  <c r="W1741" i="146"/>
  <c r="X1741" i="146"/>
  <c r="Y1741" i="146"/>
  <c r="W1742" i="146"/>
  <c r="X1742" i="146"/>
  <c r="Y1742" i="146"/>
  <c r="W1743" i="146"/>
  <c r="X1743" i="146"/>
  <c r="Y1743" i="146"/>
  <c r="W1744" i="146"/>
  <c r="X1744" i="146"/>
  <c r="Y1744" i="146"/>
  <c r="W1745" i="146"/>
  <c r="X1745" i="146"/>
  <c r="Y1745" i="146"/>
  <c r="W1746" i="146"/>
  <c r="X1746" i="146"/>
  <c r="Y1746" i="146"/>
  <c r="W1747" i="146"/>
  <c r="X1747" i="146"/>
  <c r="Y1747" i="146"/>
  <c r="W1748" i="146"/>
  <c r="X1748" i="146"/>
  <c r="Y1748" i="146"/>
  <c r="W1749" i="146"/>
  <c r="X1749" i="146"/>
  <c r="Y1749" i="146"/>
  <c r="W1750" i="146"/>
  <c r="X1750" i="146"/>
  <c r="Y1750" i="146"/>
  <c r="W1751" i="146"/>
  <c r="X1751" i="146"/>
  <c r="Y1751" i="146"/>
  <c r="W1752" i="146"/>
  <c r="X1752" i="146"/>
  <c r="Y1752" i="146"/>
  <c r="W1753" i="146"/>
  <c r="X1753" i="146"/>
  <c r="Y1753" i="146"/>
  <c r="W1754" i="146"/>
  <c r="X1754" i="146"/>
  <c r="Y1754" i="146"/>
  <c r="W1755" i="146"/>
  <c r="X1755" i="146"/>
  <c r="Y1755" i="146"/>
  <c r="W1756" i="146"/>
  <c r="X1756" i="146"/>
  <c r="Y1756" i="146"/>
  <c r="W1757" i="146"/>
  <c r="X1757" i="146"/>
  <c r="Y1757" i="146"/>
  <c r="W1758" i="146"/>
  <c r="X1758" i="146"/>
  <c r="Y1758" i="146"/>
  <c r="W1759" i="146"/>
  <c r="X1759" i="146"/>
  <c r="Y1759" i="146"/>
  <c r="W1760" i="146"/>
  <c r="X1760" i="146"/>
  <c r="Y1760" i="146"/>
  <c r="W1761" i="146"/>
  <c r="X1761" i="146"/>
  <c r="Y1761" i="146"/>
  <c r="W1762" i="146"/>
  <c r="X1762" i="146"/>
  <c r="Y1762" i="146"/>
  <c r="W1763" i="146"/>
  <c r="X1763" i="146"/>
  <c r="Y1763" i="146"/>
  <c r="W1764" i="146"/>
  <c r="X1764" i="146"/>
  <c r="Y1764" i="146"/>
  <c r="W1765" i="146"/>
  <c r="X1765" i="146"/>
  <c r="Y1765" i="146"/>
  <c r="W1766" i="146"/>
  <c r="X1766" i="146"/>
  <c r="Y1766" i="146"/>
  <c r="W1767" i="146"/>
  <c r="X1767" i="146"/>
  <c r="Y1767" i="146"/>
  <c r="W1768" i="146"/>
  <c r="X1768" i="146"/>
  <c r="Y1768" i="146"/>
  <c r="W1769" i="146"/>
  <c r="X1769" i="146"/>
  <c r="Y1769" i="146"/>
  <c r="W1770" i="146"/>
  <c r="X1770" i="146"/>
  <c r="Y1770" i="146"/>
  <c r="W1771" i="146"/>
  <c r="X1771" i="146"/>
  <c r="Y1771" i="146"/>
  <c r="W1772" i="146"/>
  <c r="X1772" i="146"/>
  <c r="Y1772" i="146"/>
  <c r="W1773" i="146"/>
  <c r="X1773" i="146"/>
  <c r="Y1773" i="146"/>
  <c r="W1774" i="146"/>
  <c r="X1774" i="146"/>
  <c r="Y1774" i="146"/>
  <c r="W1775" i="146"/>
  <c r="X1775" i="146"/>
  <c r="Y1775" i="146"/>
  <c r="W1776" i="146"/>
  <c r="X1776" i="146"/>
  <c r="Y1776" i="146"/>
  <c r="W1777" i="146"/>
  <c r="X1777" i="146"/>
  <c r="Y1777" i="146"/>
  <c r="W1778" i="146"/>
  <c r="X1778" i="146"/>
  <c r="Y1778" i="146"/>
  <c r="W1779" i="146"/>
  <c r="X1779" i="146"/>
  <c r="Y1779" i="146"/>
  <c r="W1780" i="146"/>
  <c r="X1780" i="146"/>
  <c r="Y1780" i="146"/>
  <c r="W1781" i="146"/>
  <c r="X1781" i="146"/>
  <c r="Y1781" i="146"/>
  <c r="W1782" i="146"/>
  <c r="X1782" i="146"/>
  <c r="Y1782" i="146"/>
  <c r="W1783" i="146"/>
  <c r="X1783" i="146"/>
  <c r="Y1783" i="146"/>
  <c r="W1784" i="146"/>
  <c r="X1784" i="146"/>
  <c r="Y1784" i="146"/>
  <c r="W1785" i="146"/>
  <c r="X1785" i="146"/>
  <c r="Y1785" i="146"/>
  <c r="W1786" i="146"/>
  <c r="X1786" i="146"/>
  <c r="Y1786" i="146"/>
  <c r="W1787" i="146"/>
  <c r="X1787" i="146"/>
  <c r="Y1787" i="146"/>
  <c r="W1788" i="146"/>
  <c r="X1788" i="146"/>
  <c r="Y1788" i="146"/>
  <c r="W1789" i="146"/>
  <c r="X1789" i="146"/>
  <c r="Y1789" i="146"/>
  <c r="W1790" i="146"/>
  <c r="X1790" i="146"/>
  <c r="Y1790" i="146"/>
  <c r="W1791" i="146"/>
  <c r="X1791" i="146"/>
  <c r="Y1791" i="146"/>
  <c r="W1792" i="146"/>
  <c r="X1792" i="146"/>
  <c r="Y1792" i="146"/>
  <c r="W1793" i="146"/>
  <c r="X1793" i="146"/>
  <c r="Y1793" i="146"/>
  <c r="W1794" i="146"/>
  <c r="X1794" i="146"/>
  <c r="Y1794" i="146"/>
  <c r="W1795" i="146"/>
  <c r="X1795" i="146"/>
  <c r="Y1795" i="146"/>
  <c r="W1796" i="146"/>
  <c r="X1796" i="146"/>
  <c r="Y1796" i="146"/>
  <c r="W1797" i="146"/>
  <c r="X1797" i="146"/>
  <c r="Y1797" i="146"/>
  <c r="W1798" i="146"/>
  <c r="X1798" i="146"/>
  <c r="Y1798" i="146"/>
  <c r="W1799" i="146"/>
  <c r="X1799" i="146"/>
  <c r="Y1799" i="146"/>
  <c r="W1800" i="146"/>
  <c r="X1800" i="146"/>
  <c r="Y1800" i="146"/>
  <c r="W1801" i="146"/>
  <c r="X1801" i="146"/>
  <c r="Y1801" i="146"/>
  <c r="W1802" i="146"/>
  <c r="X1802" i="146"/>
  <c r="Y1802" i="146"/>
  <c r="W1803" i="146"/>
  <c r="X1803" i="146"/>
  <c r="Y1803" i="146"/>
  <c r="W1804" i="146"/>
  <c r="X1804" i="146"/>
  <c r="Y1804" i="146"/>
  <c r="W1805" i="146"/>
  <c r="X1805" i="146"/>
  <c r="Y1805" i="146"/>
  <c r="W1806" i="146"/>
  <c r="X1806" i="146"/>
  <c r="Y1806" i="146"/>
  <c r="W1807" i="146"/>
  <c r="X1807" i="146"/>
  <c r="Y1807" i="146"/>
  <c r="W1808" i="146"/>
  <c r="X1808" i="146"/>
  <c r="Y1808" i="146"/>
  <c r="W1809" i="146"/>
  <c r="X1809" i="146"/>
  <c r="Y1809" i="146"/>
  <c r="W1810" i="146"/>
  <c r="X1810" i="146"/>
  <c r="Y1810" i="146"/>
  <c r="W1811" i="146"/>
  <c r="X1811" i="146"/>
  <c r="Y1811" i="146"/>
  <c r="W1812" i="146"/>
  <c r="X1812" i="146"/>
  <c r="Y1812" i="146"/>
  <c r="W1813" i="146"/>
  <c r="X1813" i="146"/>
  <c r="Y1813" i="146"/>
  <c r="W1814" i="146"/>
  <c r="X1814" i="146"/>
  <c r="Y1814" i="146"/>
  <c r="W1815" i="146"/>
  <c r="X1815" i="146"/>
  <c r="Y1815" i="146"/>
  <c r="W1816" i="146"/>
  <c r="X1816" i="146"/>
  <c r="Y1816" i="146"/>
  <c r="W1817" i="146"/>
  <c r="X1817" i="146"/>
  <c r="Y1817" i="146"/>
  <c r="W1818" i="146"/>
  <c r="X1818" i="146"/>
  <c r="Y1818" i="146"/>
  <c r="W1819" i="146"/>
  <c r="X1819" i="146"/>
  <c r="Y1819" i="146"/>
  <c r="W1820" i="146"/>
  <c r="X1820" i="146"/>
  <c r="Y1820" i="146"/>
  <c r="W1821" i="146"/>
  <c r="X1821" i="146"/>
  <c r="Y1821" i="146"/>
  <c r="W1822" i="146"/>
  <c r="X1822" i="146"/>
  <c r="Y1822" i="146"/>
  <c r="W1823" i="146"/>
  <c r="X1823" i="146"/>
  <c r="Y1823" i="146"/>
  <c r="W1824" i="146"/>
  <c r="X1824" i="146"/>
  <c r="Y1824" i="146"/>
  <c r="W1825" i="146"/>
  <c r="X1825" i="146"/>
  <c r="Y1825" i="146"/>
  <c r="W1826" i="146"/>
  <c r="X1826" i="146"/>
  <c r="Y1826" i="146"/>
  <c r="W1827" i="146"/>
  <c r="X1827" i="146"/>
  <c r="Y1827" i="146"/>
  <c r="W1828" i="146"/>
  <c r="X1828" i="146"/>
  <c r="Y1828" i="146"/>
  <c r="W1829" i="146"/>
  <c r="X1829" i="146"/>
  <c r="Y1829" i="146"/>
  <c r="W1830" i="146"/>
  <c r="X1830" i="146"/>
  <c r="Y1830" i="146"/>
  <c r="W1831" i="146"/>
  <c r="X1831" i="146"/>
  <c r="Y1831" i="146"/>
  <c r="W1832" i="146"/>
  <c r="X1832" i="146"/>
  <c r="Y1832" i="146"/>
  <c r="W1833" i="146"/>
  <c r="X1833" i="146"/>
  <c r="Y1833" i="146"/>
  <c r="W1834" i="146"/>
  <c r="X1834" i="146"/>
  <c r="Y1834" i="146"/>
  <c r="W1835" i="146"/>
  <c r="X1835" i="146"/>
  <c r="Y1835" i="146"/>
  <c r="W1836" i="146"/>
  <c r="X1836" i="146"/>
  <c r="Y1836" i="146"/>
  <c r="W1837" i="146"/>
  <c r="X1837" i="146"/>
  <c r="Y1837" i="146"/>
  <c r="W1838" i="146"/>
  <c r="X1838" i="146"/>
  <c r="Y1838" i="146"/>
  <c r="W1839" i="146"/>
  <c r="X1839" i="146"/>
  <c r="Y1839" i="146"/>
  <c r="W1840" i="146"/>
  <c r="X1840" i="146"/>
  <c r="Y1840" i="146"/>
  <c r="W1841" i="146"/>
  <c r="X1841" i="146"/>
  <c r="Y1841" i="146"/>
  <c r="W1842" i="146"/>
  <c r="X1842" i="146"/>
  <c r="Y1842" i="146"/>
  <c r="W1843" i="146"/>
  <c r="X1843" i="146"/>
  <c r="Y1843" i="146"/>
  <c r="W1844" i="146"/>
  <c r="X1844" i="146"/>
  <c r="Y1844" i="146"/>
  <c r="W1845" i="146"/>
  <c r="X1845" i="146"/>
  <c r="Y1845" i="146"/>
  <c r="W1846" i="146"/>
  <c r="X1846" i="146"/>
  <c r="Y1846" i="146"/>
  <c r="W1847" i="146"/>
  <c r="X1847" i="146"/>
  <c r="Y1847" i="146"/>
  <c r="W1848" i="146"/>
  <c r="X1848" i="146"/>
  <c r="Y1848" i="146"/>
  <c r="W1849" i="146"/>
  <c r="X1849" i="146"/>
  <c r="Y1849" i="146"/>
  <c r="W1850" i="146"/>
  <c r="X1850" i="146"/>
  <c r="Y1850" i="146"/>
  <c r="W1851" i="146"/>
  <c r="X1851" i="146"/>
  <c r="Y1851" i="146"/>
  <c r="W1852" i="146"/>
  <c r="X1852" i="146"/>
  <c r="Y1852" i="146"/>
  <c r="W1853" i="146"/>
  <c r="X1853" i="146"/>
  <c r="Y1853" i="146"/>
  <c r="W1854" i="146"/>
  <c r="X1854" i="146"/>
  <c r="Y1854" i="146"/>
  <c r="W1855" i="146"/>
  <c r="X1855" i="146"/>
  <c r="Y1855" i="146"/>
  <c r="W1856" i="146"/>
  <c r="X1856" i="146"/>
  <c r="Y1856" i="146"/>
  <c r="W1857" i="146"/>
  <c r="X1857" i="146"/>
  <c r="Y1857" i="146"/>
  <c r="W1858" i="146"/>
  <c r="X1858" i="146"/>
  <c r="Y1858" i="146"/>
  <c r="W1859" i="146"/>
  <c r="X1859" i="146"/>
  <c r="Y1859" i="146"/>
  <c r="W1860" i="146"/>
  <c r="X1860" i="146"/>
  <c r="Y1860" i="146"/>
  <c r="W1861" i="146"/>
  <c r="X1861" i="146"/>
  <c r="Y1861" i="146"/>
  <c r="W1862" i="146"/>
  <c r="X1862" i="146"/>
  <c r="Y1862" i="146"/>
  <c r="W1863" i="146"/>
  <c r="X1863" i="146"/>
  <c r="Y1863" i="146"/>
  <c r="W1864" i="146"/>
  <c r="X1864" i="146"/>
  <c r="Y1864" i="146"/>
  <c r="W1865" i="146"/>
  <c r="X1865" i="146"/>
  <c r="Y1865" i="146"/>
  <c r="W1866" i="146"/>
  <c r="X1866" i="146"/>
  <c r="Y1866" i="146"/>
  <c r="W1867" i="146"/>
  <c r="X1867" i="146"/>
  <c r="Y1867" i="146"/>
  <c r="W1868" i="146"/>
  <c r="X1868" i="146"/>
  <c r="Y1868" i="146"/>
  <c r="W1869" i="146"/>
  <c r="X1869" i="146"/>
  <c r="Y1869" i="146"/>
  <c r="W1870" i="146"/>
  <c r="X1870" i="146"/>
  <c r="Y1870" i="146"/>
  <c r="W1871" i="146"/>
  <c r="X1871" i="146"/>
  <c r="Y1871" i="146"/>
  <c r="W1872" i="146"/>
  <c r="X1872" i="146"/>
  <c r="Y1872" i="146"/>
  <c r="W1873" i="146"/>
  <c r="X1873" i="146"/>
  <c r="Y1873" i="146"/>
  <c r="W1874" i="146"/>
  <c r="X1874" i="146"/>
  <c r="Y1874" i="146"/>
  <c r="W1875" i="146"/>
  <c r="X1875" i="146"/>
  <c r="Y1875" i="146"/>
  <c r="W1876" i="146"/>
  <c r="X1876" i="146"/>
  <c r="Y1876" i="146"/>
  <c r="W1877" i="146"/>
  <c r="X1877" i="146"/>
  <c r="Y1877" i="146"/>
  <c r="W1878" i="146"/>
  <c r="X1878" i="146"/>
  <c r="Y1878" i="146"/>
  <c r="W1879" i="146"/>
  <c r="X1879" i="146"/>
  <c r="Y1879" i="146"/>
  <c r="W1880" i="146"/>
  <c r="X1880" i="146"/>
  <c r="Y1880" i="146"/>
  <c r="W1881" i="146"/>
  <c r="X1881" i="146"/>
  <c r="Y1881" i="146"/>
  <c r="W1882" i="146"/>
  <c r="X1882" i="146"/>
  <c r="Y1882" i="146"/>
  <c r="W1883" i="146"/>
  <c r="X1883" i="146"/>
  <c r="Y1883" i="146"/>
  <c r="W1884" i="146"/>
  <c r="X1884" i="146"/>
  <c r="Y1884" i="146"/>
  <c r="W1885" i="146"/>
  <c r="X1885" i="146"/>
  <c r="Y1885" i="146"/>
  <c r="W1886" i="146"/>
  <c r="X1886" i="146"/>
  <c r="Y1886" i="146"/>
  <c r="W1887" i="146"/>
  <c r="X1887" i="146"/>
  <c r="Y1887" i="146"/>
  <c r="W1888" i="146"/>
  <c r="X1888" i="146"/>
  <c r="Y1888" i="146"/>
  <c r="W1889" i="146"/>
  <c r="X1889" i="146"/>
  <c r="Y1889" i="146"/>
  <c r="W1890" i="146"/>
  <c r="X1890" i="146"/>
  <c r="Y1890" i="146"/>
  <c r="W1891" i="146"/>
  <c r="X1891" i="146"/>
  <c r="Y1891" i="146"/>
  <c r="W1892" i="146"/>
  <c r="X1892" i="146"/>
  <c r="Y1892" i="146"/>
  <c r="W1893" i="146"/>
  <c r="X1893" i="146"/>
  <c r="Y1893" i="146"/>
  <c r="W1894" i="146"/>
  <c r="X1894" i="146"/>
  <c r="Y1894" i="146"/>
  <c r="W1895" i="146"/>
  <c r="X1895" i="146"/>
  <c r="Y1895" i="146"/>
  <c r="W1896" i="146"/>
  <c r="X1896" i="146"/>
  <c r="Y1896" i="146"/>
  <c r="W1897" i="146"/>
  <c r="X1897" i="146"/>
  <c r="Y1897" i="146"/>
  <c r="W1898" i="146"/>
  <c r="X1898" i="146"/>
  <c r="Y1898" i="146"/>
  <c r="W1899" i="146"/>
  <c r="X1899" i="146"/>
  <c r="Y1899" i="146"/>
  <c r="W1900" i="146"/>
  <c r="X1900" i="146"/>
  <c r="Y1900" i="146"/>
  <c r="W1901" i="146"/>
  <c r="X1901" i="146"/>
  <c r="Y1901" i="146"/>
  <c r="W1902" i="146"/>
  <c r="X1902" i="146"/>
  <c r="Y1902" i="146"/>
  <c r="W1903" i="146"/>
  <c r="X1903" i="146"/>
  <c r="Y1903" i="146"/>
  <c r="W1904" i="146"/>
  <c r="X1904" i="146"/>
  <c r="Y1904" i="146"/>
  <c r="W1905" i="146"/>
  <c r="X1905" i="146"/>
  <c r="Y1905" i="146"/>
  <c r="W1906" i="146"/>
  <c r="X1906" i="146"/>
  <c r="Y1906" i="146"/>
  <c r="W1907" i="146"/>
  <c r="X1907" i="146"/>
  <c r="Y1907" i="146"/>
  <c r="W1908" i="146"/>
  <c r="X1908" i="146"/>
  <c r="Y1908" i="146"/>
  <c r="W1909" i="146"/>
  <c r="X1909" i="146"/>
  <c r="Y1909" i="146"/>
  <c r="W1910" i="146"/>
  <c r="X1910" i="146"/>
  <c r="Y1910" i="146"/>
  <c r="W1911" i="146"/>
  <c r="X1911" i="146"/>
  <c r="Y1911" i="146"/>
  <c r="W1912" i="146"/>
  <c r="X1912" i="146"/>
  <c r="Y1912" i="146"/>
  <c r="W1913" i="146"/>
  <c r="X1913" i="146"/>
  <c r="Y1913" i="146"/>
  <c r="W1914" i="146"/>
  <c r="X1914" i="146"/>
  <c r="Y1914" i="146"/>
  <c r="W1915" i="146"/>
  <c r="X1915" i="146"/>
  <c r="Y1915" i="146"/>
  <c r="W1916" i="146"/>
  <c r="X1916" i="146"/>
  <c r="Y1916" i="146"/>
  <c r="W1917" i="146"/>
  <c r="X1917" i="146"/>
  <c r="Y1917" i="146"/>
  <c r="W1918" i="146"/>
  <c r="X1918" i="146"/>
  <c r="Y1918" i="146"/>
  <c r="W1919" i="146"/>
  <c r="X1919" i="146"/>
  <c r="Y1919" i="146"/>
  <c r="W1920" i="146"/>
  <c r="X1920" i="146"/>
  <c r="Y1920" i="146"/>
  <c r="W1921" i="146"/>
  <c r="X1921" i="146"/>
  <c r="Y1921" i="146"/>
  <c r="W1922" i="146"/>
  <c r="X1922" i="146"/>
  <c r="Y1922" i="146"/>
  <c r="W1923" i="146"/>
  <c r="X1923" i="146"/>
  <c r="Y1923" i="146"/>
  <c r="W1924" i="146"/>
  <c r="X1924" i="146"/>
  <c r="Y1924" i="146"/>
  <c r="W1925" i="146"/>
  <c r="X1925" i="146"/>
  <c r="Y1925" i="146"/>
  <c r="W1926" i="146"/>
  <c r="X1926" i="146"/>
  <c r="Y1926" i="146"/>
  <c r="W1927" i="146"/>
  <c r="X1927" i="146"/>
  <c r="Y1927" i="146"/>
  <c r="W1928" i="146"/>
  <c r="X1928" i="146"/>
  <c r="Y1928" i="146"/>
  <c r="W1929" i="146"/>
  <c r="X1929" i="146"/>
  <c r="Y1929" i="146"/>
  <c r="W1930" i="146"/>
  <c r="X1930" i="146"/>
  <c r="Y1930" i="146"/>
  <c r="W1931" i="146"/>
  <c r="X1931" i="146"/>
  <c r="Y1931" i="146"/>
  <c r="W1932" i="146"/>
  <c r="X1932" i="146"/>
  <c r="Y1932" i="146"/>
  <c r="W1933" i="146"/>
  <c r="X1933" i="146"/>
  <c r="Y1933" i="146"/>
  <c r="W1934" i="146"/>
  <c r="X1934" i="146"/>
  <c r="Y1934" i="146"/>
  <c r="W1935" i="146"/>
  <c r="X1935" i="146"/>
  <c r="Y1935" i="146"/>
  <c r="W1936" i="146"/>
  <c r="X1936" i="146"/>
  <c r="Y1936" i="146"/>
  <c r="W1937" i="146"/>
  <c r="X1937" i="146"/>
  <c r="Y1937" i="146"/>
  <c r="W1938" i="146"/>
  <c r="X1938" i="146"/>
  <c r="Y1938" i="146"/>
  <c r="W1939" i="146"/>
  <c r="X1939" i="146"/>
  <c r="Y1939" i="146"/>
  <c r="W1940" i="146"/>
  <c r="X1940" i="146"/>
  <c r="Y1940" i="146"/>
  <c r="W1941" i="146"/>
  <c r="X1941" i="146"/>
  <c r="Y1941" i="146"/>
  <c r="W1942" i="146"/>
  <c r="X1942" i="146"/>
  <c r="Y1942" i="146"/>
  <c r="W1943" i="146"/>
  <c r="X1943" i="146"/>
  <c r="Y1943" i="146"/>
  <c r="W1944" i="146"/>
  <c r="X1944" i="146"/>
  <c r="Y1944" i="146"/>
  <c r="W1945" i="146"/>
  <c r="X1945" i="146"/>
  <c r="Y1945" i="146"/>
  <c r="W1946" i="146"/>
  <c r="X1946" i="146"/>
  <c r="Y1946" i="146"/>
  <c r="W1947" i="146"/>
  <c r="X1947" i="146"/>
  <c r="Y1947" i="146"/>
  <c r="W1948" i="146"/>
  <c r="X1948" i="146"/>
  <c r="Y1948" i="146"/>
  <c r="W1949" i="146"/>
  <c r="X1949" i="146"/>
  <c r="Y1949" i="146"/>
  <c r="W1950" i="146"/>
  <c r="X1950" i="146"/>
  <c r="Y1950" i="146"/>
  <c r="W1951" i="146"/>
  <c r="X1951" i="146"/>
  <c r="Y1951" i="146"/>
  <c r="W1952" i="146"/>
  <c r="X1952" i="146"/>
  <c r="Y1952" i="146"/>
  <c r="W1953" i="146"/>
  <c r="X1953" i="146"/>
  <c r="Y1953" i="146"/>
  <c r="W1954" i="146"/>
  <c r="X1954" i="146"/>
  <c r="Y1954" i="146"/>
  <c r="W1955" i="146"/>
  <c r="X1955" i="146"/>
  <c r="Y1955" i="146"/>
  <c r="W1956" i="146"/>
  <c r="X1956" i="146"/>
  <c r="Y1956" i="146"/>
  <c r="W1957" i="146"/>
  <c r="X1957" i="146"/>
  <c r="Y1957" i="146"/>
  <c r="W1958" i="146"/>
  <c r="X1958" i="146"/>
  <c r="Y1958" i="146"/>
  <c r="W1959" i="146"/>
  <c r="X1959" i="146"/>
  <c r="Y1959" i="146"/>
  <c r="W1960" i="146"/>
  <c r="X1960" i="146"/>
  <c r="Y1960" i="146"/>
  <c r="W1961" i="146"/>
  <c r="X1961" i="146"/>
  <c r="Y1961" i="146"/>
  <c r="W1962" i="146"/>
  <c r="X1962" i="146"/>
  <c r="Y1962" i="146"/>
  <c r="W1963" i="146"/>
  <c r="X1963" i="146"/>
  <c r="Y1963" i="146"/>
  <c r="W1964" i="146"/>
  <c r="X1964" i="146"/>
  <c r="Y1964" i="146"/>
  <c r="W1965" i="146"/>
  <c r="X1965" i="146"/>
  <c r="Y1965" i="146"/>
  <c r="W1966" i="146"/>
  <c r="X1966" i="146"/>
  <c r="Y1966" i="146"/>
  <c r="W1967" i="146"/>
  <c r="X1967" i="146"/>
  <c r="Y1967" i="146"/>
  <c r="W1968" i="146"/>
  <c r="X1968" i="146"/>
  <c r="Y1968" i="146"/>
  <c r="W1969" i="146"/>
  <c r="X1969" i="146"/>
  <c r="Y1969" i="146"/>
  <c r="W1970" i="146"/>
  <c r="X1970" i="146"/>
  <c r="Y1970" i="146"/>
  <c r="W1971" i="146"/>
  <c r="X1971" i="146"/>
  <c r="Y1971" i="146"/>
  <c r="W1972" i="146"/>
  <c r="X1972" i="146"/>
  <c r="Y1972" i="146"/>
  <c r="W1973" i="146"/>
  <c r="X1973" i="146"/>
  <c r="Y1973" i="146"/>
  <c r="W1974" i="146"/>
  <c r="X1974" i="146"/>
  <c r="Y1974" i="146"/>
  <c r="W1975" i="146"/>
  <c r="X1975" i="146"/>
  <c r="Y1975" i="146"/>
  <c r="W1976" i="146"/>
  <c r="X1976" i="146"/>
  <c r="Y1976" i="146"/>
  <c r="W1977" i="146"/>
  <c r="X1977" i="146"/>
  <c r="Y1977" i="146"/>
  <c r="W1978" i="146"/>
  <c r="X1978" i="146"/>
  <c r="Y1978" i="146"/>
  <c r="W1979" i="146"/>
  <c r="X1979" i="146"/>
  <c r="Y1979" i="146"/>
  <c r="W1980" i="146"/>
  <c r="X1980" i="146"/>
  <c r="Y1980" i="146"/>
  <c r="W1981" i="146"/>
  <c r="X1981" i="146"/>
  <c r="Y1981" i="146"/>
  <c r="W1982" i="146"/>
  <c r="X1982" i="146"/>
  <c r="Y1982" i="146"/>
  <c r="W1983" i="146"/>
  <c r="X1983" i="146"/>
  <c r="Y1983" i="146"/>
  <c r="W1984" i="146"/>
  <c r="X1984" i="146"/>
  <c r="Y1984" i="146"/>
  <c r="W1985" i="146"/>
  <c r="X1985" i="146"/>
  <c r="Y1985" i="146"/>
  <c r="W1986" i="146"/>
  <c r="X1986" i="146"/>
  <c r="Y1986" i="146"/>
  <c r="W1987" i="146"/>
  <c r="X1987" i="146"/>
  <c r="Y1987" i="146"/>
  <c r="W1988" i="146"/>
  <c r="X1988" i="146"/>
  <c r="Y1988" i="146"/>
  <c r="W1989" i="146"/>
  <c r="X1989" i="146"/>
  <c r="Y1989" i="146"/>
  <c r="W1990" i="146"/>
  <c r="X1990" i="146"/>
  <c r="Y1990" i="146"/>
  <c r="W1991" i="146"/>
  <c r="X1991" i="146"/>
  <c r="Y1991" i="146"/>
  <c r="W1992" i="146"/>
  <c r="X1992" i="146"/>
  <c r="Y1992" i="146"/>
  <c r="W1993" i="146"/>
  <c r="X1993" i="146"/>
  <c r="Y1993" i="146"/>
  <c r="W1994" i="146"/>
  <c r="X1994" i="146"/>
  <c r="Y1994" i="146"/>
  <c r="W1995" i="146"/>
  <c r="X1995" i="146"/>
  <c r="Y1995" i="146"/>
  <c r="W1996" i="146"/>
  <c r="X1996" i="146"/>
  <c r="Y1996" i="146"/>
  <c r="W1997" i="146"/>
  <c r="X1997" i="146"/>
  <c r="Y1997" i="146"/>
  <c r="W1998" i="146"/>
  <c r="X1998" i="146"/>
  <c r="Y1998" i="146"/>
  <c r="W1999" i="146"/>
  <c r="X1999" i="146"/>
  <c r="Y1999" i="146"/>
  <c r="W2000" i="146"/>
  <c r="X2000" i="146"/>
  <c r="Y2000" i="146"/>
  <c r="W2001" i="146"/>
  <c r="X2001" i="146"/>
  <c r="Y2001" i="146"/>
  <c r="W2002" i="146"/>
  <c r="X2002" i="146"/>
  <c r="Y2002" i="146"/>
  <c r="W2003" i="146"/>
  <c r="X2003" i="146"/>
  <c r="Y2003" i="146"/>
  <c r="W2004" i="146"/>
  <c r="X2004" i="146"/>
  <c r="Y2004" i="146"/>
  <c r="W2005" i="146"/>
  <c r="X2005" i="146"/>
  <c r="Y2005" i="146"/>
  <c r="W2006" i="146"/>
  <c r="X2006" i="146"/>
  <c r="Y2006" i="146"/>
  <c r="W2007" i="146"/>
  <c r="X2007" i="146"/>
  <c r="Y2007" i="146"/>
  <c r="W2008" i="146"/>
  <c r="X2008" i="146"/>
  <c r="Y2008" i="146"/>
  <c r="W2009" i="146"/>
  <c r="X2009" i="146"/>
  <c r="Y2009" i="146"/>
  <c r="W2010" i="146"/>
  <c r="X2010" i="146"/>
  <c r="Y2010" i="146"/>
  <c r="W2011" i="146"/>
  <c r="X2011" i="146"/>
  <c r="Y2011" i="146"/>
  <c r="W2012" i="146"/>
  <c r="X2012" i="146"/>
  <c r="Y2012" i="146"/>
  <c r="W2013" i="146"/>
  <c r="X2013" i="146"/>
  <c r="Y2013" i="146"/>
  <c r="W2014" i="146"/>
  <c r="X2014" i="146"/>
  <c r="Y2014" i="146"/>
  <c r="W2015" i="146"/>
  <c r="X2015" i="146"/>
  <c r="Y2015" i="146"/>
  <c r="W2016" i="146"/>
  <c r="X2016" i="146"/>
  <c r="Y2016" i="146"/>
  <c r="W2017" i="146"/>
  <c r="X2017" i="146"/>
  <c r="Y2017" i="146"/>
  <c r="W2018" i="146"/>
  <c r="X2018" i="146"/>
  <c r="Y2018" i="146"/>
  <c r="W2019" i="146"/>
  <c r="X2019" i="146"/>
  <c r="Y2019" i="146"/>
  <c r="W2020" i="146"/>
  <c r="X2020" i="146"/>
  <c r="Y2020" i="146"/>
  <c r="W2021" i="146"/>
  <c r="X2021" i="146"/>
  <c r="Y2021" i="146"/>
  <c r="W2022" i="146"/>
  <c r="X2022" i="146"/>
  <c r="Y2022" i="146"/>
  <c r="W2023" i="146"/>
  <c r="X2023" i="146"/>
  <c r="Y2023" i="146"/>
  <c r="W2024" i="146"/>
  <c r="X2024" i="146"/>
  <c r="Y2024" i="146"/>
  <c r="W2025" i="146"/>
  <c r="X2025" i="146"/>
  <c r="Y2025" i="146"/>
  <c r="W2026" i="146"/>
  <c r="X2026" i="146"/>
  <c r="Y2026" i="146"/>
  <c r="W2027" i="146"/>
  <c r="X2027" i="146"/>
  <c r="Y2027" i="146"/>
  <c r="W2028" i="146"/>
  <c r="X2028" i="146"/>
  <c r="Y2028" i="146"/>
  <c r="W2029" i="146"/>
  <c r="X2029" i="146"/>
  <c r="Y2029" i="146"/>
  <c r="W2030" i="146"/>
  <c r="X2030" i="146"/>
  <c r="Y2030" i="146"/>
  <c r="W2031" i="146"/>
  <c r="X2031" i="146"/>
  <c r="Y2031" i="146"/>
  <c r="W2032" i="146"/>
  <c r="X2032" i="146"/>
  <c r="Y2032" i="146"/>
  <c r="W2033" i="146"/>
  <c r="X2033" i="146"/>
  <c r="Y2033" i="146"/>
  <c r="W2034" i="146"/>
  <c r="X2034" i="146"/>
  <c r="Y2034" i="146"/>
  <c r="W2035" i="146"/>
  <c r="X2035" i="146"/>
  <c r="Y2035" i="146"/>
  <c r="W2036" i="146"/>
  <c r="X2036" i="146"/>
  <c r="Y2036" i="146"/>
  <c r="W2037" i="146"/>
  <c r="X2037" i="146"/>
  <c r="Y2037" i="146"/>
  <c r="W2038" i="146"/>
  <c r="X2038" i="146"/>
  <c r="Y2038" i="146"/>
  <c r="W2039" i="146"/>
  <c r="X2039" i="146"/>
  <c r="Y2039" i="146"/>
  <c r="W2040" i="146"/>
  <c r="X2040" i="146"/>
  <c r="Y2040" i="146"/>
  <c r="W2041" i="146"/>
  <c r="X2041" i="146"/>
  <c r="Y2041" i="146"/>
  <c r="W2042" i="146"/>
  <c r="X2042" i="146"/>
  <c r="Y2042" i="146"/>
  <c r="W2043" i="146"/>
  <c r="X2043" i="146"/>
  <c r="Y2043" i="146"/>
  <c r="W2044" i="146"/>
  <c r="X2044" i="146"/>
  <c r="Y2044" i="146"/>
  <c r="W2045" i="146"/>
  <c r="X2045" i="146"/>
  <c r="Y2045" i="146"/>
  <c r="W2046" i="146"/>
  <c r="X2046" i="146"/>
  <c r="Y2046" i="146"/>
  <c r="W2047" i="146"/>
  <c r="X2047" i="146"/>
  <c r="Y2047" i="146"/>
  <c r="W2048" i="146"/>
  <c r="X2048" i="146"/>
  <c r="Y2048" i="146"/>
  <c r="W2049" i="146"/>
  <c r="X2049" i="146"/>
  <c r="Y2049" i="146"/>
  <c r="W2050" i="146"/>
  <c r="X2050" i="146"/>
  <c r="Y2050" i="146"/>
  <c r="W2051" i="146"/>
  <c r="X2051" i="146"/>
  <c r="Y2051" i="146"/>
  <c r="W2052" i="146"/>
  <c r="X2052" i="146"/>
  <c r="Y2052" i="146"/>
  <c r="W2053" i="146"/>
  <c r="X2053" i="146"/>
  <c r="Y2053" i="146"/>
  <c r="W2054" i="146"/>
  <c r="X2054" i="146"/>
  <c r="Y2054" i="146"/>
  <c r="W2055" i="146"/>
  <c r="X2055" i="146"/>
  <c r="Y2055" i="146"/>
  <c r="W2056" i="146"/>
  <c r="X2056" i="146"/>
  <c r="Y2056" i="146"/>
  <c r="W2057" i="146"/>
  <c r="X2057" i="146"/>
  <c r="Y2057" i="146"/>
  <c r="W2058" i="146"/>
  <c r="X2058" i="146"/>
  <c r="Y2058" i="146"/>
  <c r="W2059" i="146"/>
  <c r="X2059" i="146"/>
  <c r="Y2059" i="146"/>
  <c r="W2060" i="146"/>
  <c r="X2060" i="146"/>
  <c r="Y2060" i="146"/>
  <c r="W2061" i="146"/>
  <c r="X2061" i="146"/>
  <c r="Y2061" i="146"/>
  <c r="W2062" i="146"/>
  <c r="X2062" i="146"/>
  <c r="Y2062" i="146"/>
  <c r="W2063" i="146"/>
  <c r="X2063" i="146"/>
  <c r="Y2063" i="146"/>
  <c r="W2064" i="146"/>
  <c r="X2064" i="146"/>
  <c r="Y2064" i="146"/>
  <c r="W2065" i="146"/>
  <c r="X2065" i="146"/>
  <c r="Y2065" i="146"/>
  <c r="W2066" i="146"/>
  <c r="X2066" i="146"/>
  <c r="Y2066" i="146"/>
  <c r="W2067" i="146"/>
  <c r="X2067" i="146"/>
  <c r="Y2067" i="146"/>
  <c r="W2068" i="146"/>
  <c r="X2068" i="146"/>
  <c r="Y2068" i="146"/>
  <c r="W2069" i="146"/>
  <c r="X2069" i="146"/>
  <c r="Y2069" i="146"/>
  <c r="W2070" i="146"/>
  <c r="X2070" i="146"/>
  <c r="Y2070" i="146"/>
  <c r="W2071" i="146"/>
  <c r="X2071" i="146"/>
  <c r="Y2071" i="146"/>
  <c r="W2072" i="146"/>
  <c r="X2072" i="146"/>
  <c r="Y2072" i="146"/>
  <c r="W2073" i="146"/>
  <c r="X2073" i="146"/>
  <c r="Y2073" i="146"/>
  <c r="W2074" i="146"/>
  <c r="X2074" i="146"/>
  <c r="Y2074" i="146"/>
  <c r="W2075" i="146"/>
  <c r="X2075" i="146"/>
  <c r="Y2075" i="146"/>
  <c r="W2076" i="146"/>
  <c r="X2076" i="146"/>
  <c r="Y2076" i="146"/>
  <c r="W2077" i="146"/>
  <c r="X2077" i="146"/>
  <c r="Y2077" i="146"/>
  <c r="W2078" i="146"/>
  <c r="X2078" i="146"/>
  <c r="Y2078" i="146"/>
  <c r="W2079" i="146"/>
  <c r="X2079" i="146"/>
  <c r="Y2079" i="146"/>
  <c r="W2080" i="146"/>
  <c r="X2080" i="146"/>
  <c r="Y2080" i="146"/>
  <c r="W2081" i="146"/>
  <c r="X2081" i="146"/>
  <c r="Y2081" i="146"/>
  <c r="W2082" i="146"/>
  <c r="X2082" i="146"/>
  <c r="Y2082" i="146"/>
  <c r="W2083" i="146"/>
  <c r="X2083" i="146"/>
  <c r="Y2083" i="146"/>
  <c r="W2084" i="146"/>
  <c r="X2084" i="146"/>
  <c r="Y2084" i="146"/>
  <c r="W2085" i="146"/>
  <c r="X2085" i="146"/>
  <c r="Y2085" i="146"/>
  <c r="W2086" i="146"/>
  <c r="X2086" i="146"/>
  <c r="Y2086" i="146"/>
  <c r="W2087" i="146"/>
  <c r="X2087" i="146"/>
  <c r="Y2087" i="146"/>
  <c r="W2088" i="146"/>
  <c r="X2088" i="146"/>
  <c r="Y2088" i="146"/>
  <c r="W2089" i="146"/>
  <c r="X2089" i="146"/>
  <c r="Y2089" i="146"/>
  <c r="W2090" i="146"/>
  <c r="X2090" i="146"/>
  <c r="Y2090" i="146"/>
  <c r="W2091" i="146"/>
  <c r="X2091" i="146"/>
  <c r="Y2091" i="146"/>
  <c r="W2092" i="146"/>
  <c r="X2092" i="146"/>
  <c r="Y2092" i="146"/>
  <c r="W2093" i="146"/>
  <c r="X2093" i="146"/>
  <c r="Y2093" i="146"/>
  <c r="W2094" i="146"/>
  <c r="X2094" i="146"/>
  <c r="Y2094" i="146"/>
  <c r="W2095" i="146"/>
  <c r="X2095" i="146"/>
  <c r="Y2095" i="146"/>
  <c r="W2096" i="146"/>
  <c r="X2096" i="146"/>
  <c r="Y2096" i="146"/>
  <c r="W2097" i="146"/>
  <c r="X2097" i="146"/>
  <c r="Y2097" i="146"/>
  <c r="W2098" i="146"/>
  <c r="X2098" i="146"/>
  <c r="Y2098" i="146"/>
  <c r="W2099" i="146"/>
  <c r="X2099" i="146"/>
  <c r="Y2099" i="146"/>
  <c r="W2100" i="146"/>
  <c r="X2100" i="146"/>
  <c r="Y2100" i="146"/>
  <c r="W2101" i="146"/>
  <c r="X2101" i="146"/>
  <c r="Y2101" i="146"/>
  <c r="W2102" i="146"/>
  <c r="X2102" i="146"/>
  <c r="Y2102" i="146"/>
  <c r="W2103" i="146"/>
  <c r="X2103" i="146"/>
  <c r="Y2103" i="146"/>
  <c r="W2104" i="146"/>
  <c r="X2104" i="146"/>
  <c r="Y2104" i="146"/>
  <c r="W2105" i="146"/>
  <c r="X2105" i="146"/>
  <c r="Y2105" i="146"/>
  <c r="W2106" i="146"/>
  <c r="X2106" i="146"/>
  <c r="Y2106" i="146"/>
  <c r="W2107" i="146"/>
  <c r="X2107" i="146"/>
  <c r="Y2107" i="146"/>
  <c r="W2108" i="146"/>
  <c r="X2108" i="146"/>
  <c r="Y2108" i="146"/>
  <c r="W2109" i="146"/>
  <c r="X2109" i="146"/>
  <c r="Y2109" i="146"/>
  <c r="W2110" i="146"/>
  <c r="X2110" i="146"/>
  <c r="Y2110" i="146"/>
  <c r="W2111" i="146"/>
  <c r="X2111" i="146"/>
  <c r="Y2111" i="146"/>
  <c r="W2112" i="146"/>
  <c r="X2112" i="146"/>
  <c r="Y2112" i="146"/>
  <c r="W2113" i="146"/>
  <c r="X2113" i="146"/>
  <c r="Y2113" i="146"/>
  <c r="W2114" i="146"/>
  <c r="X2114" i="146"/>
  <c r="Y2114" i="146"/>
  <c r="W2115" i="146"/>
  <c r="X2115" i="146"/>
  <c r="Y2115" i="146"/>
  <c r="W2116" i="146"/>
  <c r="X2116" i="146"/>
  <c r="Y2116" i="146"/>
  <c r="W2117" i="146"/>
  <c r="X2117" i="146"/>
  <c r="Y2117" i="146"/>
  <c r="W2118" i="146"/>
  <c r="X2118" i="146"/>
  <c r="Y2118" i="146"/>
  <c r="W2119" i="146"/>
  <c r="X2119" i="146"/>
  <c r="Y2119" i="146"/>
  <c r="W2120" i="146"/>
  <c r="X2120" i="146"/>
  <c r="Y2120" i="146"/>
  <c r="W2121" i="146"/>
  <c r="X2121" i="146"/>
  <c r="Y2121" i="146"/>
  <c r="W2122" i="146"/>
  <c r="X2122" i="146"/>
  <c r="Y2122" i="146"/>
  <c r="W2123" i="146"/>
  <c r="X2123" i="146"/>
  <c r="Y2123" i="146"/>
  <c r="W2124" i="146"/>
  <c r="X2124" i="146"/>
  <c r="Y2124" i="146"/>
  <c r="W2125" i="146"/>
  <c r="X2125" i="146"/>
  <c r="Y2125" i="146"/>
  <c r="W2126" i="146"/>
  <c r="X2126" i="146"/>
  <c r="Y2126" i="146"/>
  <c r="W2127" i="146"/>
  <c r="X2127" i="146"/>
  <c r="Y2127" i="146"/>
  <c r="W2128" i="146"/>
  <c r="X2128" i="146"/>
  <c r="Y2128" i="146"/>
  <c r="W2129" i="146"/>
  <c r="X2129" i="146"/>
  <c r="Y2129" i="146"/>
  <c r="W2130" i="146"/>
  <c r="X2130" i="146"/>
  <c r="Y2130" i="146"/>
  <c r="W2131" i="146"/>
  <c r="X2131" i="146"/>
  <c r="Y2131" i="146"/>
  <c r="W2132" i="146"/>
  <c r="X2132" i="146"/>
  <c r="Y2132" i="146"/>
  <c r="W2133" i="146"/>
  <c r="X2133" i="146"/>
  <c r="Y2133" i="146"/>
  <c r="W2134" i="146"/>
  <c r="X2134" i="146"/>
  <c r="Y2134" i="146"/>
  <c r="W2135" i="146"/>
  <c r="X2135" i="146"/>
  <c r="Y2135" i="146"/>
  <c r="W2136" i="146"/>
  <c r="X2136" i="146"/>
  <c r="Y2136" i="146"/>
  <c r="W2137" i="146"/>
  <c r="X2137" i="146"/>
  <c r="Y2137" i="146"/>
  <c r="W2138" i="146"/>
  <c r="X2138" i="146"/>
  <c r="Y2138" i="146"/>
  <c r="W2139" i="146"/>
  <c r="X2139" i="146"/>
  <c r="Y2139" i="146"/>
  <c r="W2140" i="146"/>
  <c r="X2140" i="146"/>
  <c r="Y2140" i="146"/>
  <c r="W2141" i="146"/>
  <c r="X2141" i="146"/>
  <c r="Y2141" i="146"/>
  <c r="W2142" i="146"/>
  <c r="X2142" i="146"/>
  <c r="Y2142" i="146"/>
  <c r="W2143" i="146"/>
  <c r="X2143" i="146"/>
  <c r="Y2143" i="146"/>
  <c r="W2144" i="146"/>
  <c r="X2144" i="146"/>
  <c r="Y2144" i="146"/>
  <c r="W2145" i="146"/>
  <c r="X2145" i="146"/>
  <c r="Y2145" i="146"/>
  <c r="W2146" i="146"/>
  <c r="X2146" i="146"/>
  <c r="Y2146" i="146"/>
  <c r="W2147" i="146"/>
  <c r="X2147" i="146"/>
  <c r="Y2147" i="146"/>
  <c r="W2148" i="146"/>
  <c r="X2148" i="146"/>
  <c r="Y2148" i="146"/>
  <c r="W2149" i="146"/>
  <c r="X2149" i="146"/>
  <c r="Y2149" i="146"/>
  <c r="W2150" i="146"/>
  <c r="X2150" i="146"/>
  <c r="Y2150" i="146"/>
  <c r="W2151" i="146"/>
  <c r="X2151" i="146"/>
  <c r="Y2151" i="146"/>
  <c r="W2152" i="146"/>
  <c r="X2152" i="146"/>
  <c r="Y2152" i="146"/>
  <c r="W2153" i="146"/>
  <c r="X2153" i="146"/>
  <c r="Y2153" i="146"/>
  <c r="W2154" i="146"/>
  <c r="X2154" i="146"/>
  <c r="Y2154" i="146"/>
  <c r="W2155" i="146"/>
  <c r="X2155" i="146"/>
  <c r="Y2155" i="146"/>
  <c r="W2156" i="146"/>
  <c r="X2156" i="146"/>
  <c r="Y2156" i="146"/>
  <c r="W2157" i="146"/>
  <c r="X2157" i="146"/>
  <c r="Y2157" i="146"/>
  <c r="W2158" i="146"/>
  <c r="X2158" i="146"/>
  <c r="Y2158" i="146"/>
  <c r="W2159" i="146"/>
  <c r="X2159" i="146"/>
  <c r="Y2159" i="146"/>
  <c r="W2160" i="146"/>
  <c r="X2160" i="146"/>
  <c r="Y2160" i="146"/>
  <c r="W2161" i="146"/>
  <c r="X2161" i="146"/>
  <c r="Y2161" i="146"/>
  <c r="W2162" i="146"/>
  <c r="X2162" i="146"/>
  <c r="Y2162" i="146"/>
  <c r="W2163" i="146"/>
  <c r="X2163" i="146"/>
  <c r="Y2163" i="146"/>
  <c r="W2164" i="146"/>
  <c r="X2164" i="146"/>
  <c r="Y2164" i="146"/>
  <c r="W2165" i="146"/>
  <c r="X2165" i="146"/>
  <c r="Y2165" i="146"/>
  <c r="W2166" i="146"/>
  <c r="X2166" i="146"/>
  <c r="Y2166" i="146"/>
  <c r="W2167" i="146"/>
  <c r="X2167" i="146"/>
  <c r="Y2167" i="146"/>
  <c r="W2168" i="146"/>
  <c r="X2168" i="146"/>
  <c r="Y2168" i="146"/>
  <c r="W2169" i="146"/>
  <c r="X2169" i="146"/>
  <c r="Y2169" i="146"/>
  <c r="W2170" i="146"/>
  <c r="X2170" i="146"/>
  <c r="Y2170" i="146"/>
  <c r="W2171" i="146"/>
  <c r="X2171" i="146"/>
  <c r="Y2171" i="146"/>
  <c r="W2172" i="146"/>
  <c r="X2172" i="146"/>
  <c r="Y2172" i="146"/>
  <c r="W2173" i="146"/>
  <c r="X2173" i="146"/>
  <c r="Y2173" i="146"/>
  <c r="W2174" i="146"/>
  <c r="X2174" i="146"/>
  <c r="Y2174" i="146"/>
  <c r="W2175" i="146"/>
  <c r="X2175" i="146"/>
  <c r="Y2175" i="146"/>
  <c r="W2176" i="146"/>
  <c r="X2176" i="146"/>
  <c r="Y2176" i="146"/>
  <c r="W2177" i="146"/>
  <c r="X2177" i="146"/>
  <c r="Y2177" i="146"/>
  <c r="W2178" i="146"/>
  <c r="X2178" i="146"/>
  <c r="Y2178" i="146"/>
  <c r="W2179" i="146"/>
  <c r="X2179" i="146"/>
  <c r="Y2179" i="146"/>
  <c r="W2180" i="146"/>
  <c r="X2180" i="146"/>
  <c r="Y2180" i="146"/>
  <c r="W2181" i="146"/>
  <c r="X2181" i="146"/>
  <c r="Y2181" i="146"/>
  <c r="W2182" i="146"/>
  <c r="X2182" i="146"/>
  <c r="Y2182" i="146"/>
  <c r="W2183" i="146"/>
  <c r="X2183" i="146"/>
  <c r="Y2183" i="146"/>
  <c r="W2184" i="146"/>
  <c r="X2184" i="146"/>
  <c r="Y2184" i="146"/>
  <c r="W2185" i="146"/>
  <c r="X2185" i="146"/>
  <c r="Y2185" i="146"/>
  <c r="W2186" i="146"/>
  <c r="X2186" i="146"/>
  <c r="Y2186" i="146"/>
  <c r="W2187" i="146"/>
  <c r="X2187" i="146"/>
  <c r="Y2187" i="146"/>
  <c r="W2188" i="146"/>
  <c r="X2188" i="146"/>
  <c r="Y2188" i="146"/>
  <c r="W2189" i="146"/>
  <c r="X2189" i="146"/>
  <c r="Y2189" i="146"/>
  <c r="W2190" i="146"/>
  <c r="X2190" i="146"/>
  <c r="Y2190" i="146"/>
  <c r="W2191" i="146"/>
  <c r="X2191" i="146"/>
  <c r="Y2191" i="146"/>
  <c r="W2192" i="146"/>
  <c r="X2192" i="146"/>
  <c r="Y2192" i="146"/>
  <c r="W2193" i="146"/>
  <c r="X2193" i="146"/>
  <c r="Y2193" i="146"/>
  <c r="W2194" i="146"/>
  <c r="X2194" i="146"/>
  <c r="Y2194" i="146"/>
  <c r="W2195" i="146"/>
  <c r="X2195" i="146"/>
  <c r="Y2195" i="146"/>
  <c r="W2196" i="146"/>
  <c r="X2196" i="146"/>
  <c r="Y2196" i="146"/>
  <c r="W2197" i="146"/>
  <c r="X2197" i="146"/>
  <c r="Y2197" i="146"/>
  <c r="W2198" i="146"/>
  <c r="X2198" i="146"/>
  <c r="Y2198" i="146"/>
  <c r="W2199" i="146"/>
  <c r="X2199" i="146"/>
  <c r="Y2199" i="146"/>
  <c r="W2200" i="146"/>
  <c r="X2200" i="146"/>
  <c r="Y2200" i="146"/>
  <c r="W2201" i="146"/>
  <c r="X2201" i="146"/>
  <c r="Y2201" i="146"/>
  <c r="W2202" i="146"/>
  <c r="X2202" i="146"/>
  <c r="Y2202" i="146"/>
  <c r="W2203" i="146"/>
  <c r="X2203" i="146"/>
  <c r="Y2203" i="146"/>
  <c r="W2204" i="146"/>
  <c r="X2204" i="146"/>
  <c r="Y2204" i="146"/>
  <c r="W2205" i="146"/>
  <c r="X2205" i="146"/>
  <c r="Y2205" i="146"/>
  <c r="W2206" i="146"/>
  <c r="X2206" i="146"/>
  <c r="Y2206" i="146"/>
  <c r="W2207" i="146"/>
  <c r="X2207" i="146"/>
  <c r="Y2207" i="146"/>
  <c r="W2208" i="146"/>
  <c r="X2208" i="146"/>
  <c r="Y2208" i="146"/>
  <c r="W2209" i="146"/>
  <c r="X2209" i="146"/>
  <c r="Y2209" i="146"/>
  <c r="W2210" i="146"/>
  <c r="X2210" i="146"/>
  <c r="Y2210" i="146"/>
  <c r="W2211" i="146"/>
  <c r="X2211" i="146"/>
  <c r="Y2211" i="146"/>
  <c r="W2212" i="146"/>
  <c r="X2212" i="146"/>
  <c r="Y2212" i="146"/>
  <c r="W2213" i="146"/>
  <c r="X2213" i="146"/>
  <c r="Y2213" i="146"/>
  <c r="W2214" i="146"/>
  <c r="X2214" i="146"/>
  <c r="Y2214" i="146"/>
  <c r="W2215" i="146"/>
  <c r="X2215" i="146"/>
  <c r="Y2215" i="146"/>
  <c r="W2216" i="146"/>
  <c r="X2216" i="146"/>
  <c r="Y2216" i="146"/>
  <c r="W2217" i="146"/>
  <c r="X2217" i="146"/>
  <c r="Y2217" i="146"/>
  <c r="W2218" i="146"/>
  <c r="X2218" i="146"/>
  <c r="Y2218" i="146"/>
  <c r="W2219" i="146"/>
  <c r="X2219" i="146"/>
  <c r="Y2219" i="146"/>
  <c r="W2220" i="146"/>
  <c r="X2220" i="146"/>
  <c r="Y2220" i="146"/>
  <c r="W2221" i="146"/>
  <c r="X2221" i="146"/>
  <c r="Y2221" i="146"/>
  <c r="W2222" i="146"/>
  <c r="X2222" i="146"/>
  <c r="Y2222" i="146"/>
  <c r="W2223" i="146"/>
  <c r="X2223" i="146"/>
  <c r="Y2223" i="146"/>
  <c r="W2224" i="146"/>
  <c r="X2224" i="146"/>
  <c r="Y2224" i="146"/>
  <c r="W2225" i="146"/>
  <c r="X2225" i="146"/>
  <c r="Y2225" i="146"/>
  <c r="W2226" i="146"/>
  <c r="X2226" i="146"/>
  <c r="Y2226" i="146"/>
  <c r="W2227" i="146"/>
  <c r="X2227" i="146"/>
  <c r="Y2227" i="146"/>
  <c r="W2228" i="146"/>
  <c r="X2228" i="146"/>
  <c r="Y2228" i="146"/>
  <c r="W2229" i="146"/>
  <c r="X2229" i="146"/>
  <c r="Y2229" i="146"/>
  <c r="W2230" i="146"/>
  <c r="X2230" i="146"/>
  <c r="Y2230" i="146"/>
  <c r="W2231" i="146"/>
  <c r="X2231" i="146"/>
  <c r="Y2231" i="146"/>
  <c r="W2232" i="146"/>
  <c r="X2232" i="146"/>
  <c r="Y2232" i="146"/>
  <c r="W2233" i="146"/>
  <c r="X2233" i="146"/>
  <c r="Y2233" i="146"/>
  <c r="W2234" i="146"/>
  <c r="X2234" i="146"/>
  <c r="Y2234" i="146"/>
  <c r="W2235" i="146"/>
  <c r="X2235" i="146"/>
  <c r="Y2235" i="146"/>
  <c r="W2236" i="146"/>
  <c r="X2236" i="146"/>
  <c r="Y2236" i="146"/>
  <c r="W2237" i="146"/>
  <c r="X2237" i="146"/>
  <c r="Y2237" i="146"/>
  <c r="W2238" i="146"/>
  <c r="X2238" i="146"/>
  <c r="Y2238" i="146"/>
  <c r="W2239" i="146"/>
  <c r="X2239" i="146"/>
  <c r="Y2239" i="146"/>
  <c r="W2240" i="146"/>
  <c r="X2240" i="146"/>
  <c r="Y2240" i="146"/>
  <c r="W2241" i="146"/>
  <c r="X2241" i="146"/>
  <c r="Y2241" i="146"/>
  <c r="W2242" i="146"/>
  <c r="X2242" i="146"/>
  <c r="Y2242" i="146"/>
  <c r="W2243" i="146"/>
  <c r="X2243" i="146"/>
  <c r="Y2243" i="146"/>
  <c r="W2244" i="146"/>
  <c r="X2244" i="146"/>
  <c r="Y2244" i="146"/>
  <c r="W2245" i="146"/>
  <c r="X2245" i="146"/>
  <c r="Y2245" i="146"/>
  <c r="W2246" i="146"/>
  <c r="X2246" i="146"/>
  <c r="Y2246" i="146"/>
  <c r="W2247" i="146"/>
  <c r="X2247" i="146"/>
  <c r="Y2247" i="146"/>
  <c r="W2248" i="146"/>
  <c r="X2248" i="146"/>
  <c r="Y2248" i="146"/>
  <c r="W2249" i="146"/>
  <c r="X2249" i="146"/>
  <c r="Y2249" i="146"/>
  <c r="W2250" i="146"/>
  <c r="X2250" i="146"/>
  <c r="Y2250" i="146"/>
  <c r="W2251" i="146"/>
  <c r="X2251" i="146"/>
  <c r="Y2251" i="146"/>
  <c r="W2252" i="146"/>
  <c r="X2252" i="146"/>
  <c r="Y2252" i="146"/>
  <c r="W2253" i="146"/>
  <c r="X2253" i="146"/>
  <c r="Y2253" i="146"/>
  <c r="W2254" i="146"/>
  <c r="X2254" i="146"/>
  <c r="Y2254" i="146"/>
  <c r="W2255" i="146"/>
  <c r="X2255" i="146"/>
  <c r="Y2255" i="146"/>
  <c r="W2256" i="146"/>
  <c r="X2256" i="146"/>
  <c r="Y2256" i="146"/>
  <c r="W2257" i="146"/>
  <c r="X2257" i="146"/>
  <c r="Y2257" i="146"/>
  <c r="W2258" i="146"/>
  <c r="X2258" i="146"/>
  <c r="Y2258" i="146"/>
  <c r="W2259" i="146"/>
  <c r="X2259" i="146"/>
  <c r="Y2259" i="146"/>
  <c r="W2260" i="146"/>
  <c r="X2260" i="146"/>
  <c r="Y2260" i="146"/>
  <c r="W2261" i="146"/>
  <c r="X2261" i="146"/>
  <c r="Y2261" i="146"/>
  <c r="W2262" i="146"/>
  <c r="X2262" i="146"/>
  <c r="Y2262" i="146"/>
  <c r="W2263" i="146"/>
  <c r="X2263" i="146"/>
  <c r="Y2263" i="146"/>
  <c r="W2264" i="146"/>
  <c r="X2264" i="146"/>
  <c r="Y2264" i="146"/>
  <c r="W2265" i="146"/>
  <c r="X2265" i="146"/>
  <c r="Y2265" i="146"/>
  <c r="W2266" i="146"/>
  <c r="X2266" i="146"/>
  <c r="Y2266" i="146"/>
  <c r="W2267" i="146"/>
  <c r="X2267" i="146"/>
  <c r="Y2267" i="146"/>
  <c r="W2268" i="146"/>
  <c r="X2268" i="146"/>
  <c r="Y2268" i="146"/>
  <c r="W2269" i="146"/>
  <c r="X2269" i="146"/>
  <c r="Y2269" i="146"/>
  <c r="W2270" i="146"/>
  <c r="X2270" i="146"/>
  <c r="Y2270" i="146"/>
  <c r="W2271" i="146"/>
  <c r="X2271" i="146"/>
  <c r="Y2271" i="146"/>
  <c r="W2272" i="146"/>
  <c r="X2272" i="146"/>
  <c r="Y2272" i="146"/>
  <c r="W2273" i="146"/>
  <c r="X2273" i="146"/>
  <c r="Y2273" i="146"/>
  <c r="W2274" i="146"/>
  <c r="X2274" i="146"/>
  <c r="Y2274" i="146"/>
  <c r="W2275" i="146"/>
  <c r="X2275" i="146"/>
  <c r="Y2275" i="146"/>
  <c r="W2276" i="146"/>
  <c r="X2276" i="146"/>
  <c r="Y2276" i="146"/>
  <c r="W2277" i="146"/>
  <c r="X2277" i="146"/>
  <c r="Y2277" i="146"/>
  <c r="W2278" i="146"/>
  <c r="X2278" i="146"/>
  <c r="Y2278" i="146"/>
  <c r="W2279" i="146"/>
  <c r="X2279" i="146"/>
  <c r="Y2279" i="146"/>
  <c r="W2280" i="146"/>
  <c r="X2280" i="146"/>
  <c r="Y2280" i="146"/>
  <c r="W2281" i="146"/>
  <c r="X2281" i="146"/>
  <c r="Y2281" i="146"/>
  <c r="W2282" i="146"/>
  <c r="X2282" i="146"/>
  <c r="Y2282" i="146"/>
  <c r="W2283" i="146"/>
  <c r="X2283" i="146"/>
  <c r="Y2283" i="146"/>
  <c r="W2284" i="146"/>
  <c r="X2284" i="146"/>
  <c r="Y2284" i="146"/>
  <c r="W2285" i="146"/>
  <c r="X2285" i="146"/>
  <c r="Y2285" i="146"/>
  <c r="W2286" i="146"/>
  <c r="X2286" i="146"/>
  <c r="Y2286" i="146"/>
  <c r="W2287" i="146"/>
  <c r="X2287" i="146"/>
  <c r="Y2287" i="146"/>
  <c r="W2288" i="146"/>
  <c r="X2288" i="146"/>
  <c r="Y2288" i="146"/>
  <c r="W2289" i="146"/>
  <c r="X2289" i="146"/>
  <c r="Y2289" i="146"/>
  <c r="W2290" i="146"/>
  <c r="X2290" i="146"/>
  <c r="Y2290" i="146"/>
  <c r="W2291" i="146"/>
  <c r="X2291" i="146"/>
  <c r="Y2291" i="146"/>
  <c r="W2292" i="146"/>
  <c r="X2292" i="146"/>
  <c r="Y2292" i="146"/>
  <c r="W2293" i="146"/>
  <c r="X2293" i="146"/>
  <c r="Y2293" i="146"/>
  <c r="W2294" i="146"/>
  <c r="X2294" i="146"/>
  <c r="Y2294" i="146"/>
  <c r="W2295" i="146"/>
  <c r="X2295" i="146"/>
  <c r="Y2295" i="146"/>
  <c r="W2296" i="146"/>
  <c r="X2296" i="146"/>
  <c r="Y2296" i="146"/>
  <c r="W2297" i="146"/>
  <c r="X2297" i="146"/>
  <c r="Y2297" i="146"/>
  <c r="W2298" i="146"/>
  <c r="X2298" i="146"/>
  <c r="Y2298" i="146"/>
  <c r="W2299" i="146"/>
  <c r="X2299" i="146"/>
  <c r="Y2299" i="146"/>
  <c r="W2300" i="146"/>
  <c r="X2300" i="146"/>
  <c r="Y2300" i="146"/>
  <c r="W2301" i="146"/>
  <c r="X2301" i="146"/>
  <c r="Y2301" i="146"/>
  <c r="W2302" i="146"/>
  <c r="X2302" i="146"/>
  <c r="Y2302" i="146"/>
  <c r="W2303" i="146"/>
  <c r="X2303" i="146"/>
  <c r="Y2303" i="146"/>
  <c r="W2304" i="146"/>
  <c r="X2304" i="146"/>
  <c r="Y2304" i="146"/>
  <c r="W2305" i="146"/>
  <c r="X2305" i="146"/>
  <c r="Y2305" i="146"/>
  <c r="W2306" i="146"/>
  <c r="X2306" i="146"/>
  <c r="Y2306" i="146"/>
  <c r="W2307" i="146"/>
  <c r="X2307" i="146"/>
  <c r="Y2307" i="146"/>
  <c r="W2308" i="146"/>
  <c r="X2308" i="146"/>
  <c r="Y2308" i="146"/>
  <c r="W2309" i="146"/>
  <c r="X2309" i="146"/>
  <c r="Y2309" i="146"/>
  <c r="W2310" i="146"/>
  <c r="X2310" i="146"/>
  <c r="Y2310" i="146"/>
  <c r="W2311" i="146"/>
  <c r="X2311" i="146"/>
  <c r="Y2311" i="146"/>
  <c r="W2312" i="146"/>
  <c r="X2312" i="146"/>
  <c r="Y2312" i="146"/>
  <c r="W2313" i="146"/>
  <c r="X2313" i="146"/>
  <c r="Y2313" i="146"/>
  <c r="W2314" i="146"/>
  <c r="X2314" i="146"/>
  <c r="Y2314" i="146"/>
  <c r="W2315" i="146"/>
  <c r="X2315" i="146"/>
  <c r="Y2315" i="146"/>
  <c r="W2316" i="146"/>
  <c r="X2316" i="146"/>
  <c r="Y2316" i="146"/>
  <c r="W2317" i="146"/>
  <c r="X2317" i="146"/>
  <c r="Y2317" i="146"/>
  <c r="W2318" i="146"/>
  <c r="X2318" i="146"/>
  <c r="Y2318" i="146"/>
  <c r="W2319" i="146"/>
  <c r="X2319" i="146"/>
  <c r="Y2319" i="146"/>
  <c r="W2320" i="146"/>
  <c r="X2320" i="146"/>
  <c r="Y2320" i="146"/>
  <c r="W2321" i="146"/>
  <c r="X2321" i="146"/>
  <c r="Y2321" i="146"/>
  <c r="W2322" i="146"/>
  <c r="X2322" i="146"/>
  <c r="Y2322" i="146"/>
  <c r="W2323" i="146"/>
  <c r="X2323" i="146"/>
  <c r="Y2323" i="146"/>
  <c r="W2324" i="146"/>
  <c r="X2324" i="146"/>
  <c r="Y2324" i="146"/>
  <c r="W2325" i="146"/>
  <c r="X2325" i="146"/>
  <c r="Y2325" i="146"/>
  <c r="W2326" i="146"/>
  <c r="X2326" i="146"/>
  <c r="Y2326" i="146"/>
  <c r="W2327" i="146"/>
  <c r="X2327" i="146"/>
  <c r="Y2327" i="146"/>
  <c r="W2328" i="146"/>
  <c r="X2328" i="146"/>
  <c r="Y2328" i="146"/>
  <c r="W2329" i="146"/>
  <c r="X2329" i="146"/>
  <c r="Y2329" i="146"/>
  <c r="W2330" i="146"/>
  <c r="X2330" i="146"/>
  <c r="Y2330" i="146"/>
  <c r="W2331" i="146"/>
  <c r="X2331" i="146"/>
  <c r="Y2331" i="146"/>
  <c r="W2332" i="146"/>
  <c r="X2332" i="146"/>
  <c r="Y2332" i="146"/>
  <c r="W2333" i="146"/>
  <c r="X2333" i="146"/>
  <c r="Y2333" i="146"/>
  <c r="W2334" i="146"/>
  <c r="X2334" i="146"/>
  <c r="Y2334" i="146"/>
  <c r="W2335" i="146"/>
  <c r="X2335" i="146"/>
  <c r="Y2335" i="146"/>
  <c r="W2336" i="146"/>
  <c r="X2336" i="146"/>
  <c r="Y2336" i="146"/>
  <c r="W2337" i="146"/>
  <c r="X2337" i="146"/>
  <c r="Y2337" i="146"/>
  <c r="W2338" i="146"/>
  <c r="X2338" i="146"/>
  <c r="Y2338" i="146"/>
  <c r="W2339" i="146"/>
  <c r="X2339" i="146"/>
  <c r="Y2339" i="146"/>
  <c r="W2340" i="146"/>
  <c r="X2340" i="146"/>
  <c r="Y2340" i="146"/>
  <c r="W2341" i="146"/>
  <c r="X2341" i="146"/>
  <c r="Y2341" i="146"/>
  <c r="W2342" i="146"/>
  <c r="X2342" i="146"/>
  <c r="Y2342" i="146"/>
  <c r="W2343" i="146"/>
  <c r="X2343" i="146"/>
  <c r="Y2343" i="146"/>
  <c r="W2344" i="146"/>
  <c r="X2344" i="146"/>
  <c r="Y2344" i="146"/>
  <c r="W2345" i="146"/>
  <c r="X2345" i="146"/>
  <c r="Y2345" i="146"/>
  <c r="W2346" i="146"/>
  <c r="X2346" i="146"/>
  <c r="Y2346" i="146"/>
  <c r="W2347" i="146"/>
  <c r="X2347" i="146"/>
  <c r="Y2347" i="146"/>
  <c r="W2348" i="146"/>
  <c r="X2348" i="146"/>
  <c r="Y2348" i="146"/>
  <c r="W2349" i="146"/>
  <c r="X2349" i="146"/>
  <c r="Y2349" i="146"/>
  <c r="W2350" i="146"/>
  <c r="X2350" i="146"/>
  <c r="Y2350" i="146"/>
  <c r="W2351" i="146"/>
  <c r="X2351" i="146"/>
  <c r="Y2351" i="146"/>
  <c r="W2352" i="146"/>
  <c r="X2352" i="146"/>
  <c r="Y2352" i="146"/>
  <c r="W2353" i="146"/>
  <c r="X2353" i="146"/>
  <c r="Y2353" i="146"/>
  <c r="W2354" i="146"/>
  <c r="X2354" i="146"/>
  <c r="Y2354" i="146"/>
  <c r="W2355" i="146"/>
  <c r="X2355" i="146"/>
  <c r="Y2355" i="146"/>
  <c r="W2356" i="146"/>
  <c r="X2356" i="146"/>
  <c r="Y2356" i="146"/>
  <c r="W2357" i="146"/>
  <c r="X2357" i="146"/>
  <c r="Y2357" i="146"/>
  <c r="W2358" i="146"/>
  <c r="X2358" i="146"/>
  <c r="Y2358" i="146"/>
  <c r="W2359" i="146"/>
  <c r="X2359" i="146"/>
  <c r="Y2359" i="146"/>
  <c r="W2360" i="146"/>
  <c r="X2360" i="146"/>
  <c r="Y2360" i="146"/>
  <c r="W2361" i="146"/>
  <c r="X2361" i="146"/>
  <c r="Y2361" i="146"/>
  <c r="W2362" i="146"/>
  <c r="X2362" i="146"/>
  <c r="Y2362" i="146"/>
  <c r="W2363" i="146"/>
  <c r="X2363" i="146"/>
  <c r="Y2363" i="146"/>
  <c r="W2364" i="146"/>
  <c r="X2364" i="146"/>
  <c r="Y2364" i="146"/>
  <c r="W2365" i="146"/>
  <c r="X2365" i="146"/>
  <c r="Y2365" i="146"/>
  <c r="W2366" i="146"/>
  <c r="X2366" i="146"/>
  <c r="Y2366" i="146"/>
  <c r="W2367" i="146"/>
  <c r="X2367" i="146"/>
  <c r="Y2367" i="146"/>
  <c r="W2368" i="146"/>
  <c r="X2368" i="146"/>
  <c r="Y2368" i="146"/>
  <c r="W2369" i="146"/>
  <c r="X2369" i="146"/>
  <c r="Y2369" i="146"/>
  <c r="W2370" i="146"/>
  <c r="X2370" i="146"/>
  <c r="Y2370" i="146"/>
  <c r="W2371" i="146"/>
  <c r="X2371" i="146"/>
  <c r="Y2371" i="146"/>
  <c r="W2372" i="146"/>
  <c r="X2372" i="146"/>
  <c r="Y2372" i="146"/>
  <c r="W2373" i="146"/>
  <c r="X2373" i="146"/>
  <c r="Y2373" i="146"/>
  <c r="W2374" i="146"/>
  <c r="X2374" i="146"/>
  <c r="Y2374" i="146"/>
  <c r="W2375" i="146"/>
  <c r="X2375" i="146"/>
  <c r="Y2375" i="146"/>
  <c r="W2376" i="146"/>
  <c r="X2376" i="146"/>
  <c r="Y2376" i="146"/>
  <c r="W2377" i="146"/>
  <c r="X2377" i="146"/>
  <c r="Y2377" i="146"/>
  <c r="W2378" i="146"/>
  <c r="X2378" i="146"/>
  <c r="Y2378" i="146"/>
  <c r="W2379" i="146"/>
  <c r="X2379" i="146"/>
  <c r="Y2379" i="146"/>
  <c r="W2380" i="146"/>
  <c r="X2380" i="146"/>
  <c r="Y2380" i="146"/>
  <c r="W2381" i="146"/>
  <c r="X2381" i="146"/>
  <c r="Y2381" i="146"/>
  <c r="W2382" i="146"/>
  <c r="X2382" i="146"/>
  <c r="Y2382" i="146"/>
  <c r="W2383" i="146"/>
  <c r="X2383" i="146"/>
  <c r="Y2383" i="146"/>
  <c r="W2384" i="146"/>
  <c r="X2384" i="146"/>
  <c r="Y2384" i="146"/>
  <c r="W2385" i="146"/>
  <c r="X2385" i="146"/>
  <c r="Y2385" i="146"/>
  <c r="W2386" i="146"/>
  <c r="X2386" i="146"/>
  <c r="Y2386" i="146"/>
  <c r="W2387" i="146"/>
  <c r="X2387" i="146"/>
  <c r="Y2387" i="146"/>
  <c r="W2388" i="146"/>
  <c r="X2388" i="146"/>
  <c r="Y2388" i="146"/>
  <c r="W2389" i="146"/>
  <c r="X2389" i="146"/>
  <c r="Y2389" i="146"/>
  <c r="W2390" i="146"/>
  <c r="X2390" i="146"/>
  <c r="Y2390" i="146"/>
  <c r="W2391" i="146"/>
  <c r="X2391" i="146"/>
  <c r="Y2391" i="146"/>
  <c r="W2392" i="146"/>
  <c r="X2392" i="146"/>
  <c r="Y2392" i="146"/>
  <c r="W2393" i="146"/>
  <c r="X2393" i="146"/>
  <c r="Y2393" i="146"/>
  <c r="W2394" i="146"/>
  <c r="X2394" i="146"/>
  <c r="Y2394" i="146"/>
  <c r="W2395" i="146"/>
  <c r="X2395" i="146"/>
  <c r="Y2395" i="146"/>
  <c r="W2396" i="146"/>
  <c r="X2396" i="146"/>
  <c r="Y2396" i="146"/>
  <c r="W2397" i="146"/>
  <c r="X2397" i="146"/>
  <c r="Y2397" i="146"/>
  <c r="W2398" i="146"/>
  <c r="X2398" i="146"/>
  <c r="Y2398" i="146"/>
  <c r="W2399" i="146"/>
  <c r="X2399" i="146"/>
  <c r="Y2399" i="146"/>
  <c r="W2400" i="146"/>
  <c r="X2400" i="146"/>
  <c r="Y2400" i="146"/>
  <c r="W2401" i="146"/>
  <c r="X2401" i="146"/>
  <c r="Y2401" i="146"/>
  <c r="W2402" i="146"/>
  <c r="X2402" i="146"/>
  <c r="Y2402" i="146"/>
  <c r="W2403" i="146"/>
  <c r="X2403" i="146"/>
  <c r="Y2403" i="146"/>
  <c r="W2404" i="146"/>
  <c r="X2404" i="146"/>
  <c r="Y2404" i="146"/>
  <c r="W2405" i="146"/>
  <c r="X2405" i="146"/>
  <c r="Y2405" i="146"/>
  <c r="W2406" i="146"/>
  <c r="X2406" i="146"/>
  <c r="Y2406" i="146"/>
  <c r="W2407" i="146"/>
  <c r="X2407" i="146"/>
  <c r="Y2407" i="146"/>
  <c r="W2408" i="146"/>
  <c r="X2408" i="146"/>
  <c r="Y2408" i="146"/>
  <c r="W2409" i="146"/>
  <c r="X2409" i="146"/>
  <c r="Y2409" i="146"/>
  <c r="W2410" i="146"/>
  <c r="X2410" i="146"/>
  <c r="Y2410" i="146"/>
  <c r="W2411" i="146"/>
  <c r="X2411" i="146"/>
  <c r="Y2411" i="146"/>
  <c r="W2412" i="146"/>
  <c r="X2412" i="146"/>
  <c r="Y2412" i="146"/>
  <c r="W2413" i="146"/>
  <c r="X2413" i="146"/>
  <c r="Y2413" i="146"/>
  <c r="W2414" i="146"/>
  <c r="X2414" i="146"/>
  <c r="Y2414" i="146"/>
  <c r="W2415" i="146"/>
  <c r="X2415" i="146"/>
  <c r="Y2415" i="146"/>
  <c r="W2416" i="146"/>
  <c r="X2416" i="146"/>
  <c r="Y2416" i="146"/>
  <c r="W2417" i="146"/>
  <c r="X2417" i="146"/>
  <c r="Y2417" i="146"/>
  <c r="W2418" i="146"/>
  <c r="X2418" i="146"/>
  <c r="Y2418" i="146"/>
  <c r="W2419" i="146"/>
  <c r="X2419" i="146"/>
  <c r="Y2419" i="146"/>
  <c r="W2420" i="146"/>
  <c r="X2420" i="146"/>
  <c r="Y2420" i="146"/>
  <c r="W2421" i="146"/>
  <c r="X2421" i="146"/>
  <c r="Y2421" i="146"/>
  <c r="W2422" i="146"/>
  <c r="X2422" i="146"/>
  <c r="Y2422" i="146"/>
  <c r="W2423" i="146"/>
  <c r="X2423" i="146"/>
  <c r="Y2423" i="146"/>
  <c r="W2424" i="146"/>
  <c r="X2424" i="146"/>
  <c r="Y2424" i="146"/>
  <c r="W2425" i="146"/>
  <c r="X2425" i="146"/>
  <c r="Y2425" i="146"/>
  <c r="W2426" i="146"/>
  <c r="X2426" i="146"/>
  <c r="Y2426" i="146"/>
  <c r="W2427" i="146"/>
  <c r="X2427" i="146"/>
  <c r="Y2427" i="146"/>
  <c r="W2428" i="146"/>
  <c r="X2428" i="146"/>
  <c r="Y2428" i="146"/>
  <c r="W2429" i="146"/>
  <c r="X2429" i="146"/>
  <c r="Y2429" i="146"/>
  <c r="W2430" i="146"/>
  <c r="X2430" i="146"/>
  <c r="Y2430" i="146"/>
  <c r="W2431" i="146"/>
  <c r="X2431" i="146"/>
  <c r="Y2431" i="146"/>
  <c r="W2432" i="146"/>
  <c r="X2432" i="146"/>
  <c r="Y2432" i="146"/>
  <c r="W2433" i="146"/>
  <c r="X2433" i="146"/>
  <c r="Y2433" i="146"/>
  <c r="W2434" i="146"/>
  <c r="X2434" i="146"/>
  <c r="Y2434" i="146"/>
  <c r="W2435" i="146"/>
  <c r="X2435" i="146"/>
  <c r="Y2435" i="146"/>
  <c r="W2436" i="146"/>
  <c r="X2436" i="146"/>
  <c r="Y2436" i="146"/>
  <c r="W2437" i="146"/>
  <c r="X2437" i="146"/>
  <c r="Y2437" i="146"/>
  <c r="W2438" i="146"/>
  <c r="X2438" i="146"/>
  <c r="Y2438" i="146"/>
  <c r="W2439" i="146"/>
  <c r="X2439" i="146"/>
  <c r="Y2439" i="146"/>
  <c r="W2440" i="146"/>
  <c r="X2440" i="146"/>
  <c r="Y2440" i="146"/>
  <c r="W2441" i="146"/>
  <c r="X2441" i="146"/>
  <c r="Y2441" i="146"/>
  <c r="W2442" i="146"/>
  <c r="X2442" i="146"/>
  <c r="Y2442" i="146"/>
  <c r="W2443" i="146"/>
  <c r="X2443" i="146"/>
  <c r="Y2443" i="146"/>
  <c r="W2444" i="146"/>
  <c r="X2444" i="146"/>
  <c r="Y2444" i="146"/>
  <c r="W2445" i="146"/>
  <c r="X2445" i="146"/>
  <c r="Y2445" i="146"/>
  <c r="W2446" i="146"/>
  <c r="X2446" i="146"/>
  <c r="Y2446" i="146"/>
  <c r="W2447" i="146"/>
  <c r="X2447" i="146"/>
  <c r="Y2447" i="146"/>
  <c r="W2448" i="146"/>
  <c r="X2448" i="146"/>
  <c r="Y2448" i="146"/>
  <c r="W2449" i="146"/>
  <c r="X2449" i="146"/>
  <c r="Y2449" i="146"/>
  <c r="W2450" i="146"/>
  <c r="X2450" i="146"/>
  <c r="Y2450" i="146"/>
  <c r="W2451" i="146"/>
  <c r="X2451" i="146"/>
  <c r="Y2451" i="146"/>
  <c r="W2452" i="146"/>
  <c r="X2452" i="146"/>
  <c r="Y2452" i="146"/>
  <c r="W2453" i="146"/>
  <c r="X2453" i="146"/>
  <c r="Y2453" i="146"/>
  <c r="W2454" i="146"/>
  <c r="X2454" i="146"/>
  <c r="Y2454" i="146"/>
  <c r="W2455" i="146"/>
  <c r="X2455" i="146"/>
  <c r="Y2455" i="146"/>
  <c r="W2456" i="146"/>
  <c r="X2456" i="146"/>
  <c r="Y2456" i="146"/>
  <c r="W2457" i="146"/>
  <c r="X2457" i="146"/>
  <c r="Y2457" i="146"/>
  <c r="W2458" i="146"/>
  <c r="X2458" i="146"/>
  <c r="Y2458" i="146"/>
  <c r="W2459" i="146"/>
  <c r="X2459" i="146"/>
  <c r="Y2459" i="146"/>
  <c r="W2460" i="146"/>
  <c r="X2460" i="146"/>
  <c r="Y2460" i="146"/>
  <c r="W2461" i="146"/>
  <c r="X2461" i="146"/>
  <c r="Y2461" i="146"/>
  <c r="W2462" i="146"/>
  <c r="X2462" i="146"/>
  <c r="Y2462" i="146"/>
  <c r="W2463" i="146"/>
  <c r="X2463" i="146"/>
  <c r="Y2463" i="146"/>
  <c r="W2464" i="146"/>
  <c r="X2464" i="146"/>
  <c r="Y2464" i="146"/>
  <c r="W2465" i="146"/>
  <c r="X2465" i="146"/>
  <c r="Y2465" i="146"/>
  <c r="W2466" i="146"/>
  <c r="X2466" i="146"/>
  <c r="Y2466" i="146"/>
  <c r="W2467" i="146"/>
  <c r="X2467" i="146"/>
  <c r="Y2467" i="146"/>
  <c r="W2468" i="146"/>
  <c r="X2468" i="146"/>
  <c r="Y2468" i="146"/>
  <c r="W2469" i="146"/>
  <c r="X2469" i="146"/>
  <c r="Y2469" i="146"/>
  <c r="W2470" i="146"/>
  <c r="X2470" i="146"/>
  <c r="Y2470" i="146"/>
  <c r="W2471" i="146"/>
  <c r="X2471" i="146"/>
  <c r="Y2471" i="146"/>
  <c r="W2472" i="146"/>
  <c r="X2472" i="146"/>
  <c r="Y2472" i="146"/>
  <c r="W2473" i="146"/>
  <c r="X2473" i="146"/>
  <c r="Y2473" i="146"/>
  <c r="W2474" i="146"/>
  <c r="X2474" i="146"/>
  <c r="Y2474" i="146"/>
  <c r="W2475" i="146"/>
  <c r="X2475" i="146"/>
  <c r="Y2475" i="146"/>
  <c r="W2476" i="146"/>
  <c r="X2476" i="146"/>
  <c r="Y2476" i="146"/>
  <c r="W2477" i="146"/>
  <c r="X2477" i="146"/>
  <c r="Y2477" i="146"/>
  <c r="W2478" i="146"/>
  <c r="X2478" i="146"/>
  <c r="Y2478" i="146"/>
  <c r="W2479" i="146"/>
  <c r="X2479" i="146"/>
  <c r="Y2479" i="146"/>
  <c r="W2480" i="146"/>
  <c r="X2480" i="146"/>
  <c r="Y2480" i="146"/>
  <c r="W2481" i="146"/>
  <c r="X2481" i="146"/>
  <c r="Y2481" i="146"/>
  <c r="W2482" i="146"/>
  <c r="X2482" i="146"/>
  <c r="Y2482" i="146"/>
  <c r="W2483" i="146"/>
  <c r="X2483" i="146"/>
  <c r="Y2483" i="146"/>
  <c r="W2484" i="146"/>
  <c r="X2484" i="146"/>
  <c r="Y2484" i="146"/>
  <c r="W2485" i="146"/>
  <c r="X2485" i="146"/>
  <c r="Y2485" i="146"/>
  <c r="W2486" i="146"/>
  <c r="X2486" i="146"/>
  <c r="Y2486" i="146"/>
  <c r="W2487" i="146"/>
  <c r="X2487" i="146"/>
  <c r="Y2487" i="146"/>
  <c r="W2488" i="146"/>
  <c r="X2488" i="146"/>
  <c r="Y2488" i="146"/>
  <c r="W2489" i="146"/>
  <c r="X2489" i="146"/>
  <c r="Y2489" i="146"/>
  <c r="W2490" i="146"/>
  <c r="X2490" i="146"/>
  <c r="Y2490" i="146"/>
  <c r="W2491" i="146"/>
  <c r="X2491" i="146"/>
  <c r="Y2491" i="146"/>
  <c r="W2492" i="146"/>
  <c r="X2492" i="146"/>
  <c r="Y2492" i="146"/>
  <c r="W2493" i="146"/>
  <c r="X2493" i="146"/>
  <c r="Y2493" i="146"/>
  <c r="W2494" i="146"/>
  <c r="X2494" i="146"/>
  <c r="Y2494" i="146"/>
  <c r="W2495" i="146"/>
  <c r="X2495" i="146"/>
  <c r="Y2495" i="146"/>
  <c r="W2496" i="146"/>
  <c r="X2496" i="146"/>
  <c r="Y2496" i="146"/>
  <c r="W2497" i="146"/>
  <c r="X2497" i="146"/>
  <c r="Y2497" i="146"/>
  <c r="W2498" i="146"/>
  <c r="X2498" i="146"/>
  <c r="Y2498" i="146"/>
  <c r="W2499" i="146"/>
  <c r="X2499" i="146"/>
  <c r="Y2499" i="146"/>
  <c r="W2500" i="146"/>
  <c r="X2500" i="146"/>
  <c r="Y2500" i="146"/>
  <c r="W2501" i="146"/>
  <c r="X2501" i="146"/>
  <c r="Y2501" i="146"/>
  <c r="W2502" i="146"/>
  <c r="X2502" i="146"/>
  <c r="Y2502" i="146"/>
  <c r="W2503" i="146"/>
  <c r="X2503" i="146"/>
  <c r="Y2503" i="146"/>
  <c r="W2504" i="146"/>
  <c r="X2504" i="146"/>
  <c r="Y2504" i="146"/>
  <c r="W2505" i="146"/>
  <c r="X2505" i="146"/>
  <c r="Y2505" i="146"/>
  <c r="W2506" i="146"/>
  <c r="X2506" i="146"/>
  <c r="Y2506" i="146"/>
  <c r="W2507" i="146"/>
  <c r="X2507" i="146"/>
  <c r="Y2507" i="146"/>
  <c r="W2508" i="146"/>
  <c r="X2508" i="146"/>
  <c r="Y2508" i="146"/>
  <c r="W2509" i="146"/>
  <c r="X2509" i="146"/>
  <c r="Y2509" i="146"/>
  <c r="W2510" i="146"/>
  <c r="X2510" i="146"/>
  <c r="Y2510" i="146"/>
  <c r="W2511" i="146"/>
  <c r="X2511" i="146"/>
  <c r="Y2511" i="146"/>
  <c r="W2512" i="146"/>
  <c r="X2512" i="146"/>
  <c r="Y2512" i="146"/>
  <c r="W2513" i="146"/>
  <c r="X2513" i="146"/>
  <c r="Y2513" i="146"/>
  <c r="W2514" i="146"/>
  <c r="X2514" i="146"/>
  <c r="Y2514" i="146"/>
  <c r="W2515" i="146"/>
  <c r="X2515" i="146"/>
  <c r="Y2515" i="146"/>
  <c r="W2516" i="146"/>
  <c r="X2516" i="146"/>
  <c r="Y2516" i="146"/>
  <c r="W2517" i="146"/>
  <c r="X2517" i="146"/>
  <c r="Y2517" i="146"/>
  <c r="W2518" i="146"/>
  <c r="X2518" i="146"/>
  <c r="Y2518" i="146"/>
  <c r="W2519" i="146"/>
  <c r="X2519" i="146"/>
  <c r="Y2519" i="146"/>
  <c r="W2520" i="146"/>
  <c r="X2520" i="146"/>
  <c r="Y2520" i="146"/>
  <c r="W2521" i="146"/>
  <c r="X2521" i="146"/>
  <c r="Y2521" i="146"/>
  <c r="W2522" i="146"/>
  <c r="X2522" i="146"/>
  <c r="Y2522" i="146"/>
  <c r="W2523" i="146"/>
  <c r="X2523" i="146"/>
  <c r="Y2523" i="146"/>
  <c r="W2524" i="146"/>
  <c r="X2524" i="146"/>
  <c r="Y2524" i="146"/>
  <c r="W2525" i="146"/>
  <c r="X2525" i="146"/>
  <c r="Y2525" i="146"/>
  <c r="W2526" i="146"/>
  <c r="X2526" i="146"/>
  <c r="Y2526" i="146"/>
  <c r="W2527" i="146"/>
  <c r="X2527" i="146"/>
  <c r="Y2527" i="146"/>
  <c r="W2528" i="146"/>
  <c r="X2528" i="146"/>
  <c r="Y2528" i="146"/>
  <c r="W2529" i="146"/>
  <c r="X2529" i="146"/>
  <c r="Y2529" i="146"/>
  <c r="W2530" i="146"/>
  <c r="X2530" i="146"/>
  <c r="Y2530" i="146"/>
  <c r="W2531" i="146"/>
  <c r="X2531" i="146"/>
  <c r="Y2531" i="146"/>
  <c r="W2532" i="146"/>
  <c r="X2532" i="146"/>
  <c r="Y2532" i="146"/>
  <c r="W2533" i="146"/>
  <c r="X2533" i="146"/>
  <c r="Y2533" i="146"/>
  <c r="W2534" i="146"/>
  <c r="X2534" i="146"/>
  <c r="Y2534" i="146"/>
  <c r="W2535" i="146"/>
  <c r="X2535" i="146"/>
  <c r="Y2535" i="146"/>
  <c r="W2536" i="146"/>
  <c r="X2536" i="146"/>
  <c r="Y2536" i="146"/>
  <c r="W2537" i="146"/>
  <c r="X2537" i="146"/>
  <c r="Y2537" i="146"/>
  <c r="W2538" i="146"/>
  <c r="X2538" i="146"/>
  <c r="Y2538" i="146"/>
  <c r="W2539" i="146"/>
  <c r="X2539" i="146"/>
  <c r="Y2539" i="146"/>
  <c r="W2540" i="146"/>
  <c r="X2540" i="146"/>
  <c r="Y2540" i="146"/>
  <c r="W2541" i="146"/>
  <c r="X2541" i="146"/>
  <c r="Y2541" i="146"/>
  <c r="W2542" i="146"/>
  <c r="X2542" i="146"/>
  <c r="Y2542" i="146"/>
  <c r="W2543" i="146"/>
  <c r="X2543" i="146"/>
  <c r="Y2543" i="146"/>
  <c r="W2544" i="146"/>
  <c r="X2544" i="146"/>
  <c r="Y2544" i="146"/>
  <c r="W2545" i="146"/>
  <c r="X2545" i="146"/>
  <c r="Y2545" i="146"/>
  <c r="W2546" i="146"/>
  <c r="X2546" i="146"/>
  <c r="Y2546" i="146"/>
  <c r="W2547" i="146"/>
  <c r="X2547" i="146"/>
  <c r="Y2547" i="146"/>
  <c r="W2548" i="146"/>
  <c r="X2548" i="146"/>
  <c r="Y2548" i="146"/>
  <c r="W2549" i="146"/>
  <c r="X2549" i="146"/>
  <c r="Y2549" i="146"/>
  <c r="W2550" i="146"/>
  <c r="X2550" i="146"/>
  <c r="Y2550" i="146"/>
  <c r="W2551" i="146"/>
  <c r="X2551" i="146"/>
  <c r="Y2551" i="146"/>
  <c r="W2552" i="146"/>
  <c r="X2552" i="146"/>
  <c r="Y2552" i="146"/>
  <c r="W2553" i="146"/>
  <c r="X2553" i="146"/>
  <c r="Y2553" i="146"/>
  <c r="W2554" i="146"/>
  <c r="X2554" i="146"/>
  <c r="Y2554" i="146"/>
  <c r="W2555" i="146"/>
  <c r="X2555" i="146"/>
  <c r="Y2555" i="146"/>
  <c r="W2556" i="146"/>
  <c r="X2556" i="146"/>
  <c r="Y2556" i="146"/>
  <c r="W2557" i="146"/>
  <c r="X2557" i="146"/>
  <c r="Y2557" i="146"/>
  <c r="W2558" i="146"/>
  <c r="X2558" i="146"/>
  <c r="Y2558" i="146"/>
  <c r="W2559" i="146"/>
  <c r="X2559" i="146"/>
  <c r="Y2559" i="146"/>
  <c r="W2560" i="146"/>
  <c r="X2560" i="146"/>
  <c r="Y2560" i="146"/>
  <c r="W2561" i="146"/>
  <c r="X2561" i="146"/>
  <c r="Y2561" i="146"/>
  <c r="W2562" i="146"/>
  <c r="X2562" i="146"/>
  <c r="Y2562" i="146"/>
  <c r="W2563" i="146"/>
  <c r="X2563" i="146"/>
  <c r="Y2563" i="146"/>
  <c r="W2564" i="146"/>
  <c r="X2564" i="146"/>
  <c r="Y2564" i="146"/>
  <c r="W2565" i="146"/>
  <c r="X2565" i="146"/>
  <c r="Y2565" i="146"/>
  <c r="W2566" i="146"/>
  <c r="X2566" i="146"/>
  <c r="Y2566" i="146"/>
  <c r="W2567" i="146"/>
  <c r="X2567" i="146"/>
  <c r="Y2567" i="146"/>
  <c r="W2568" i="146"/>
  <c r="X2568" i="146"/>
  <c r="Y2568" i="146"/>
  <c r="W2569" i="146"/>
  <c r="X2569" i="146"/>
  <c r="Y2569" i="146"/>
  <c r="W2570" i="146"/>
  <c r="X2570" i="146"/>
  <c r="Y2570" i="146"/>
  <c r="W2571" i="146"/>
  <c r="X2571" i="146"/>
  <c r="Y2571" i="146"/>
  <c r="W2572" i="146"/>
  <c r="X2572" i="146"/>
  <c r="Y2572" i="146"/>
  <c r="W2573" i="146"/>
  <c r="X2573" i="146"/>
  <c r="Y2573" i="146"/>
  <c r="W2574" i="146"/>
  <c r="X2574" i="146"/>
  <c r="Y2574" i="146"/>
  <c r="W2575" i="146"/>
  <c r="X2575" i="146"/>
  <c r="Y2575" i="146"/>
  <c r="W2576" i="146"/>
  <c r="X2576" i="146"/>
  <c r="Y2576" i="146"/>
  <c r="W2577" i="146"/>
  <c r="X2577" i="146"/>
  <c r="Y2577" i="146"/>
  <c r="W2578" i="146"/>
  <c r="X2578" i="146"/>
  <c r="Y2578" i="146"/>
  <c r="W2579" i="146"/>
  <c r="X2579" i="146"/>
  <c r="Y2579" i="146"/>
  <c r="W2580" i="146"/>
  <c r="X2580" i="146"/>
  <c r="Y2580" i="146"/>
  <c r="W2581" i="146"/>
  <c r="X2581" i="146"/>
  <c r="Y2581" i="146"/>
  <c r="W2582" i="146"/>
  <c r="X2582" i="146"/>
  <c r="Y2582" i="146"/>
  <c r="W2583" i="146"/>
  <c r="X2583" i="146"/>
  <c r="Y2583" i="146"/>
  <c r="W2584" i="146"/>
  <c r="X2584" i="146"/>
  <c r="Y2584" i="146"/>
  <c r="W2585" i="146"/>
  <c r="X2585" i="146"/>
  <c r="Y2585" i="146"/>
  <c r="W2586" i="146"/>
  <c r="X2586" i="146"/>
  <c r="Y2586" i="146"/>
  <c r="W2587" i="146"/>
  <c r="X2587" i="146"/>
  <c r="Y2587" i="146"/>
  <c r="W2588" i="146"/>
  <c r="X2588" i="146"/>
  <c r="Y2588" i="146"/>
  <c r="W2589" i="146"/>
  <c r="X2589" i="146"/>
  <c r="Y2589" i="146"/>
  <c r="W2590" i="146"/>
  <c r="X2590" i="146"/>
  <c r="Y2590" i="146"/>
  <c r="W2591" i="146"/>
  <c r="X2591" i="146"/>
  <c r="Y2591" i="146"/>
  <c r="W2592" i="146"/>
  <c r="X2592" i="146"/>
  <c r="Y2592" i="146"/>
  <c r="W2593" i="146"/>
  <c r="X2593" i="146"/>
  <c r="Y2593" i="146"/>
  <c r="W2594" i="146"/>
  <c r="X2594" i="146"/>
  <c r="Y2594" i="146"/>
  <c r="W2595" i="146"/>
  <c r="X2595" i="146"/>
  <c r="Y2595" i="146"/>
  <c r="W2596" i="146"/>
  <c r="X2596" i="146"/>
  <c r="Y2596" i="146"/>
  <c r="W2597" i="146"/>
  <c r="X2597" i="146"/>
  <c r="Y2597" i="146"/>
  <c r="W2598" i="146"/>
  <c r="X2598" i="146"/>
  <c r="Y2598" i="146"/>
  <c r="W2599" i="146"/>
  <c r="X2599" i="146"/>
  <c r="Y2599" i="146"/>
  <c r="W2600" i="146"/>
  <c r="X2600" i="146"/>
  <c r="Y2600" i="146"/>
  <c r="W2601" i="146"/>
  <c r="X2601" i="146"/>
  <c r="Y2601" i="146"/>
  <c r="W2602" i="146"/>
  <c r="X2602" i="146"/>
  <c r="Y2602" i="146"/>
  <c r="W2603" i="146"/>
  <c r="X2603" i="146"/>
  <c r="Y2603" i="146"/>
  <c r="W2604" i="146"/>
  <c r="X2604" i="146"/>
  <c r="Y2604" i="146"/>
  <c r="W2605" i="146"/>
  <c r="X2605" i="146"/>
  <c r="Y2605" i="146"/>
  <c r="W2606" i="146"/>
  <c r="X2606" i="146"/>
  <c r="Y2606" i="146"/>
  <c r="W2607" i="146"/>
  <c r="X2607" i="146"/>
  <c r="Y2607" i="146"/>
  <c r="W2608" i="146"/>
  <c r="X2608" i="146"/>
  <c r="Y2608" i="146"/>
  <c r="W2609" i="146"/>
  <c r="X2609" i="146"/>
  <c r="Y2609" i="146"/>
  <c r="W2610" i="146"/>
  <c r="X2610" i="146"/>
  <c r="Y2610" i="146"/>
  <c r="W2611" i="146"/>
  <c r="X2611" i="146"/>
  <c r="Y2611" i="146"/>
  <c r="W2612" i="146"/>
  <c r="X2612" i="146"/>
  <c r="Y2612" i="146"/>
  <c r="W2613" i="146"/>
  <c r="X2613" i="146"/>
  <c r="Y2613" i="146"/>
  <c r="W2614" i="146"/>
  <c r="X2614" i="146"/>
  <c r="Y2614" i="146"/>
  <c r="W2615" i="146"/>
  <c r="X2615" i="146"/>
  <c r="Y2615" i="146"/>
  <c r="W2616" i="146"/>
  <c r="X2616" i="146"/>
  <c r="Y2616" i="146"/>
  <c r="W2617" i="146"/>
  <c r="X2617" i="146"/>
  <c r="Y2617" i="146"/>
  <c r="W2618" i="146"/>
  <c r="X2618" i="146"/>
  <c r="Y2618" i="146"/>
  <c r="W2619" i="146"/>
  <c r="X2619" i="146"/>
  <c r="Y2619" i="146"/>
  <c r="W2620" i="146"/>
  <c r="X2620" i="146"/>
  <c r="Y2620" i="146"/>
  <c r="W2621" i="146"/>
  <c r="X2621" i="146"/>
  <c r="Y2621" i="146"/>
  <c r="W2622" i="146"/>
  <c r="X2622" i="146"/>
  <c r="Y2622" i="146"/>
  <c r="W2623" i="146"/>
  <c r="X2623" i="146"/>
  <c r="Y2623" i="146"/>
  <c r="W2624" i="146"/>
  <c r="X2624" i="146"/>
  <c r="Y2624" i="146"/>
  <c r="W2625" i="146"/>
  <c r="X2625" i="146"/>
  <c r="Y2625" i="146"/>
  <c r="W2626" i="146"/>
  <c r="X2626" i="146"/>
  <c r="Y2626" i="146"/>
  <c r="W2627" i="146"/>
  <c r="X2627" i="146"/>
  <c r="Y2627" i="146"/>
  <c r="W2628" i="146"/>
  <c r="X2628" i="146"/>
  <c r="Y2628" i="146"/>
  <c r="W2629" i="146"/>
  <c r="X2629" i="146"/>
  <c r="Y2629" i="146"/>
  <c r="W2630" i="146"/>
  <c r="X2630" i="146"/>
  <c r="Y2630" i="146"/>
  <c r="W2631" i="146"/>
  <c r="X2631" i="146"/>
  <c r="Y2631" i="146"/>
  <c r="W2632" i="146"/>
  <c r="X2632" i="146"/>
  <c r="Y2632" i="146"/>
  <c r="W2633" i="146"/>
  <c r="X2633" i="146"/>
  <c r="Y2633" i="146"/>
  <c r="W2634" i="146"/>
  <c r="X2634" i="146"/>
  <c r="Y2634" i="146"/>
  <c r="W2635" i="146"/>
  <c r="X2635" i="146"/>
  <c r="Y2635" i="146"/>
  <c r="W2636" i="146"/>
  <c r="X2636" i="146"/>
  <c r="Y2636" i="146"/>
  <c r="W2637" i="146"/>
  <c r="X2637" i="146"/>
  <c r="Y2637" i="146"/>
  <c r="W2638" i="146"/>
  <c r="X2638" i="146"/>
  <c r="Y2638" i="146"/>
  <c r="W2639" i="146"/>
  <c r="X2639" i="146"/>
  <c r="Y2639" i="146"/>
  <c r="W2640" i="146"/>
  <c r="X2640" i="146"/>
  <c r="Y2640" i="146"/>
  <c r="W2641" i="146"/>
  <c r="X2641" i="146"/>
  <c r="Y2641" i="146"/>
  <c r="W2642" i="146"/>
  <c r="X2642" i="146"/>
  <c r="Y2642" i="146"/>
  <c r="W2643" i="146"/>
  <c r="X2643" i="146"/>
  <c r="Y2643" i="146"/>
  <c r="W2644" i="146"/>
  <c r="X2644" i="146"/>
  <c r="Y2644" i="146"/>
  <c r="W2645" i="146"/>
  <c r="X2645" i="146"/>
  <c r="Y2645" i="146"/>
  <c r="W2646" i="146"/>
  <c r="X2646" i="146"/>
  <c r="Y2646" i="146"/>
  <c r="W2647" i="146"/>
  <c r="X2647" i="146"/>
  <c r="Y2647" i="146"/>
  <c r="W2648" i="146"/>
  <c r="X2648" i="146"/>
  <c r="Y2648" i="146"/>
  <c r="W2649" i="146"/>
  <c r="X2649" i="146"/>
  <c r="Y2649" i="146"/>
  <c r="W2650" i="146"/>
  <c r="X2650" i="146"/>
  <c r="Y2650" i="146"/>
  <c r="W2651" i="146"/>
  <c r="X2651" i="146"/>
  <c r="Y2651" i="146"/>
  <c r="W2652" i="146"/>
  <c r="X2652" i="146"/>
  <c r="Y2652" i="146"/>
  <c r="W2653" i="146"/>
  <c r="X2653" i="146"/>
  <c r="Y2653" i="146"/>
  <c r="W2654" i="146"/>
  <c r="X2654" i="146"/>
  <c r="Y2654" i="146"/>
  <c r="W2655" i="146"/>
  <c r="X2655" i="146"/>
  <c r="Y2655" i="146"/>
  <c r="W2656" i="146"/>
  <c r="X2656" i="146"/>
  <c r="Y2656" i="146"/>
  <c r="W2657" i="146"/>
  <c r="X2657" i="146"/>
  <c r="Y2657" i="146"/>
  <c r="W2658" i="146"/>
  <c r="X2658" i="146"/>
  <c r="Y2658" i="146"/>
  <c r="W2659" i="146"/>
  <c r="X2659" i="146"/>
  <c r="Y2659" i="146"/>
  <c r="W2660" i="146"/>
  <c r="X2660" i="146"/>
  <c r="Y2660" i="146"/>
  <c r="W2661" i="146"/>
  <c r="X2661" i="146"/>
  <c r="Y2661" i="146"/>
  <c r="W2662" i="146"/>
  <c r="X2662" i="146"/>
  <c r="Y2662" i="146"/>
  <c r="W2663" i="146"/>
  <c r="X2663" i="146"/>
  <c r="Y2663" i="146"/>
  <c r="W2664" i="146"/>
  <c r="X2664" i="146"/>
  <c r="Y2664" i="146"/>
  <c r="W2665" i="146"/>
  <c r="X2665" i="146"/>
  <c r="Y2665" i="146"/>
  <c r="W2666" i="146"/>
  <c r="X2666" i="146"/>
  <c r="Y2666" i="146"/>
  <c r="W2667" i="146"/>
  <c r="X2667" i="146"/>
  <c r="Y2667" i="146"/>
  <c r="W2668" i="146"/>
  <c r="X2668" i="146"/>
  <c r="Y2668" i="146"/>
  <c r="W2669" i="146"/>
  <c r="X2669" i="146"/>
  <c r="Y2669" i="146"/>
  <c r="W2670" i="146"/>
  <c r="X2670" i="146"/>
  <c r="Y2670" i="146"/>
  <c r="W2671" i="146"/>
  <c r="X2671" i="146"/>
  <c r="Y2671" i="146"/>
  <c r="W2672" i="146"/>
  <c r="X2672" i="146"/>
  <c r="Y2672" i="146"/>
  <c r="W2673" i="146"/>
  <c r="X2673" i="146"/>
  <c r="Y2673" i="146"/>
  <c r="W2674" i="146"/>
  <c r="X2674" i="146"/>
  <c r="Y2674" i="146"/>
  <c r="W2675" i="146"/>
  <c r="X2675" i="146"/>
  <c r="Y2675" i="146"/>
  <c r="W2676" i="146"/>
  <c r="X2676" i="146"/>
  <c r="Y2676" i="146"/>
  <c r="W2677" i="146"/>
  <c r="X2677" i="146"/>
  <c r="Y2677" i="146"/>
  <c r="W2678" i="146"/>
  <c r="X2678" i="146"/>
  <c r="Y2678" i="146"/>
  <c r="W2679" i="146"/>
  <c r="X2679" i="146"/>
  <c r="Y2679" i="146"/>
  <c r="W2680" i="146"/>
  <c r="X2680" i="146"/>
  <c r="Y2680" i="146"/>
  <c r="W2681" i="146"/>
  <c r="X2681" i="146"/>
  <c r="Y2681" i="146"/>
  <c r="W2682" i="146"/>
  <c r="X2682" i="146"/>
  <c r="Y2682" i="146"/>
  <c r="W2683" i="146"/>
  <c r="X2683" i="146"/>
  <c r="Y2683" i="146"/>
  <c r="W2684" i="146"/>
  <c r="X2684" i="146"/>
  <c r="Y2684" i="146"/>
  <c r="W2685" i="146"/>
  <c r="X2685" i="146"/>
  <c r="Y2685" i="146"/>
  <c r="W2686" i="146"/>
  <c r="X2686" i="146"/>
  <c r="Y2686" i="146"/>
  <c r="W2687" i="146"/>
  <c r="X2687" i="146"/>
  <c r="Y2687" i="146"/>
  <c r="W2688" i="146"/>
  <c r="X2688" i="146"/>
  <c r="Y2688" i="146"/>
  <c r="W2689" i="146"/>
  <c r="X2689" i="146"/>
  <c r="Y2689" i="146"/>
  <c r="W2690" i="146"/>
  <c r="X2690" i="146"/>
  <c r="Y2690" i="146"/>
  <c r="W2691" i="146"/>
  <c r="X2691" i="146"/>
  <c r="Y2691" i="146"/>
  <c r="W2692" i="146"/>
  <c r="X2692" i="146"/>
  <c r="Y2692" i="146"/>
  <c r="W2693" i="146"/>
  <c r="X2693" i="146"/>
  <c r="Y2693" i="146"/>
  <c r="W2694" i="146"/>
  <c r="X2694" i="146"/>
  <c r="Y2694" i="146"/>
  <c r="W2695" i="146"/>
  <c r="X2695" i="146"/>
  <c r="Y2695" i="146"/>
  <c r="W2696" i="146"/>
  <c r="X2696" i="146"/>
  <c r="Y2696" i="146"/>
  <c r="W2697" i="146"/>
  <c r="X2697" i="146"/>
  <c r="Y2697" i="146"/>
  <c r="W2698" i="146"/>
  <c r="X2698" i="146"/>
  <c r="Y2698" i="146"/>
  <c r="W2699" i="146"/>
  <c r="X2699" i="146"/>
  <c r="Y2699" i="146"/>
  <c r="W2700" i="146"/>
  <c r="X2700" i="146"/>
  <c r="Y2700" i="146"/>
  <c r="W2701" i="146"/>
  <c r="X2701" i="146"/>
  <c r="Y2701" i="146"/>
  <c r="W2702" i="146"/>
  <c r="X2702" i="146"/>
  <c r="Y2702" i="146"/>
  <c r="W2703" i="146"/>
  <c r="X2703" i="146"/>
  <c r="Y2703" i="146"/>
  <c r="W2704" i="146"/>
  <c r="X2704" i="146"/>
  <c r="Y2704" i="146"/>
  <c r="W2705" i="146"/>
  <c r="X2705" i="146"/>
  <c r="Y2705" i="146"/>
  <c r="W2706" i="146"/>
  <c r="X2706" i="146"/>
  <c r="Y2706" i="146"/>
  <c r="W2707" i="146"/>
  <c r="X2707" i="146"/>
  <c r="Y2707" i="146"/>
  <c r="W2708" i="146"/>
  <c r="X2708" i="146"/>
  <c r="Y2708" i="146"/>
  <c r="W2709" i="146"/>
  <c r="X2709" i="146"/>
  <c r="Y2709" i="146"/>
  <c r="W2710" i="146"/>
  <c r="X2710" i="146"/>
  <c r="Y2710" i="146"/>
  <c r="W2711" i="146"/>
  <c r="X2711" i="146"/>
  <c r="Y2711" i="146"/>
  <c r="W2712" i="146"/>
  <c r="X2712" i="146"/>
  <c r="Y2712" i="146"/>
  <c r="W2713" i="146"/>
  <c r="X2713" i="146"/>
  <c r="Y2713" i="146"/>
  <c r="W2714" i="146"/>
  <c r="X2714" i="146"/>
  <c r="Y2714" i="146"/>
  <c r="W2715" i="146"/>
  <c r="X2715" i="146"/>
  <c r="Y2715" i="146"/>
  <c r="W2716" i="146"/>
  <c r="X2716" i="146"/>
  <c r="Y2716" i="146"/>
  <c r="W2717" i="146"/>
  <c r="X2717" i="146"/>
  <c r="Y2717" i="146"/>
  <c r="W2718" i="146"/>
  <c r="X2718" i="146"/>
  <c r="Y2718" i="146"/>
  <c r="W2719" i="146"/>
  <c r="X2719" i="146"/>
  <c r="Y2719" i="146"/>
  <c r="W2720" i="146"/>
  <c r="X2720" i="146"/>
  <c r="Y2720" i="146"/>
  <c r="W2721" i="146"/>
  <c r="X2721" i="146"/>
  <c r="Y2721" i="146"/>
  <c r="W2722" i="146"/>
  <c r="X2722" i="146"/>
  <c r="Y2722" i="146"/>
  <c r="W2723" i="146"/>
  <c r="X2723" i="146"/>
  <c r="Y2723" i="146"/>
  <c r="W2724" i="146"/>
  <c r="X2724" i="146"/>
  <c r="Y2724" i="146"/>
  <c r="W2725" i="146"/>
  <c r="X2725" i="146"/>
  <c r="Y2725" i="146"/>
  <c r="W2726" i="146"/>
  <c r="X2726" i="146"/>
  <c r="Y2726" i="146"/>
  <c r="W2727" i="146"/>
  <c r="X2727" i="146"/>
  <c r="Y2727" i="146"/>
  <c r="W2728" i="146"/>
  <c r="X2728" i="146"/>
  <c r="Y2728" i="146"/>
  <c r="W2729" i="146"/>
  <c r="X2729" i="146"/>
  <c r="Y2729" i="146"/>
  <c r="W2730" i="146"/>
  <c r="X2730" i="146"/>
  <c r="Y2730" i="146"/>
  <c r="W2731" i="146"/>
  <c r="X2731" i="146"/>
  <c r="Y2731" i="146"/>
  <c r="W2732" i="146"/>
  <c r="X2732" i="146"/>
  <c r="Y2732" i="146"/>
  <c r="W2733" i="146"/>
  <c r="X2733" i="146"/>
  <c r="Y2733" i="146"/>
  <c r="W2734" i="146"/>
  <c r="X2734" i="146"/>
  <c r="Y2734" i="146"/>
  <c r="W2735" i="146"/>
  <c r="X2735" i="146"/>
  <c r="Y2735" i="146"/>
  <c r="W2736" i="146"/>
  <c r="X2736" i="146"/>
  <c r="Y2736" i="146"/>
  <c r="W2737" i="146"/>
  <c r="X2737" i="146"/>
  <c r="Y2737" i="146"/>
  <c r="W2738" i="146"/>
  <c r="X2738" i="146"/>
  <c r="Y2738" i="146"/>
  <c r="W2739" i="146"/>
  <c r="X2739" i="146"/>
  <c r="Y2739" i="146"/>
  <c r="W2740" i="146"/>
  <c r="X2740" i="146"/>
  <c r="Y2740" i="146"/>
  <c r="W2741" i="146"/>
  <c r="X2741" i="146"/>
  <c r="Y2741" i="146"/>
  <c r="W2742" i="146"/>
  <c r="X2742" i="146"/>
  <c r="Y2742" i="146"/>
  <c r="W2743" i="146"/>
  <c r="X2743" i="146"/>
  <c r="Y2743" i="146"/>
  <c r="W2744" i="146"/>
  <c r="X2744" i="146"/>
  <c r="Y2744" i="146"/>
  <c r="W2745" i="146"/>
  <c r="X2745" i="146"/>
  <c r="Y2745" i="146"/>
  <c r="W2746" i="146"/>
  <c r="X2746" i="146"/>
  <c r="Y2746" i="146"/>
  <c r="W2747" i="146"/>
  <c r="X2747" i="146"/>
  <c r="Y2747" i="146"/>
  <c r="W2748" i="146"/>
  <c r="X2748" i="146"/>
  <c r="Y2748" i="146"/>
  <c r="W2749" i="146"/>
  <c r="X2749" i="146"/>
  <c r="Y2749" i="146"/>
  <c r="W2750" i="146"/>
  <c r="X2750" i="146"/>
  <c r="Y2750" i="146"/>
  <c r="W2751" i="146"/>
  <c r="X2751" i="146"/>
  <c r="Y2751" i="146"/>
  <c r="W2752" i="146"/>
  <c r="X2752" i="146"/>
  <c r="Y2752" i="146"/>
  <c r="W2753" i="146"/>
  <c r="X2753" i="146"/>
  <c r="Y2753" i="146"/>
  <c r="W2754" i="146"/>
  <c r="X2754" i="146"/>
  <c r="Y2754" i="146"/>
  <c r="W2755" i="146"/>
  <c r="X2755" i="146"/>
  <c r="Y2755" i="146"/>
  <c r="W2756" i="146"/>
  <c r="X2756" i="146"/>
  <c r="Y2756" i="146"/>
  <c r="W2757" i="146"/>
  <c r="X2757" i="146"/>
  <c r="Y2757" i="146"/>
  <c r="W2758" i="146"/>
  <c r="X2758" i="146"/>
  <c r="Y2758" i="146"/>
  <c r="W2759" i="146"/>
  <c r="X2759" i="146"/>
  <c r="Y2759" i="146"/>
  <c r="W2760" i="146"/>
  <c r="X2760" i="146"/>
  <c r="Y2760" i="146"/>
  <c r="W2761" i="146"/>
  <c r="X2761" i="146"/>
  <c r="Y2761" i="146"/>
  <c r="W2762" i="146"/>
  <c r="X2762" i="146"/>
  <c r="Y2762" i="146"/>
  <c r="W2763" i="146"/>
  <c r="X2763" i="146"/>
  <c r="Y2763" i="146"/>
  <c r="W2764" i="146"/>
  <c r="X2764" i="146"/>
  <c r="Y2764" i="146"/>
  <c r="W2765" i="146"/>
  <c r="X2765" i="146"/>
  <c r="Y2765" i="146"/>
  <c r="W2766" i="146"/>
  <c r="X2766" i="146"/>
  <c r="Y2766" i="146"/>
  <c r="W2767" i="146"/>
  <c r="X2767" i="146"/>
  <c r="Y2767" i="146"/>
  <c r="W2768" i="146"/>
  <c r="X2768" i="146"/>
  <c r="Y2768" i="146"/>
  <c r="W2769" i="146"/>
  <c r="X2769" i="146"/>
  <c r="Y2769" i="146"/>
  <c r="W2770" i="146"/>
  <c r="X2770" i="146"/>
  <c r="Y2770" i="146"/>
  <c r="W2771" i="146"/>
  <c r="X2771" i="146"/>
  <c r="Y2771" i="146"/>
  <c r="W2772" i="146"/>
  <c r="X2772" i="146"/>
  <c r="Y2772" i="146"/>
  <c r="W2773" i="146"/>
  <c r="X2773" i="146"/>
  <c r="Y2773" i="146"/>
  <c r="W2774" i="146"/>
  <c r="X2774" i="146"/>
  <c r="Y2774" i="146"/>
  <c r="W2775" i="146"/>
  <c r="X2775" i="146"/>
  <c r="Y2775" i="146"/>
  <c r="W2776" i="146"/>
  <c r="X2776" i="146"/>
  <c r="Y2776" i="146"/>
  <c r="W2777" i="146"/>
  <c r="X2777" i="146"/>
  <c r="Y2777" i="146"/>
  <c r="W2778" i="146"/>
  <c r="X2778" i="146"/>
  <c r="Y2778" i="146"/>
  <c r="W2779" i="146"/>
  <c r="X2779" i="146"/>
  <c r="Y2779" i="146"/>
  <c r="W2780" i="146"/>
  <c r="X2780" i="146"/>
  <c r="Y2780" i="146"/>
  <c r="W2781" i="146"/>
  <c r="X2781" i="146"/>
  <c r="Y2781" i="146"/>
  <c r="W2782" i="146"/>
  <c r="X2782" i="146"/>
  <c r="Y2782" i="146"/>
  <c r="W2783" i="146"/>
  <c r="X2783" i="146"/>
  <c r="Y2783" i="146"/>
  <c r="W2784" i="146"/>
  <c r="X2784" i="146"/>
  <c r="Y2784" i="146"/>
  <c r="W2785" i="146"/>
  <c r="X2785" i="146"/>
  <c r="Y2785" i="146"/>
  <c r="W2786" i="146"/>
  <c r="X2786" i="146"/>
  <c r="Y2786" i="146"/>
  <c r="W2787" i="146"/>
  <c r="X2787" i="146"/>
  <c r="Y2787" i="146"/>
  <c r="W2788" i="146"/>
  <c r="X2788" i="146"/>
  <c r="Y2788" i="146"/>
  <c r="W2789" i="146"/>
  <c r="X2789" i="146"/>
  <c r="Y2789" i="146"/>
  <c r="W2790" i="146"/>
  <c r="X2790" i="146"/>
  <c r="Y2790" i="146"/>
  <c r="W2791" i="146"/>
  <c r="X2791" i="146"/>
  <c r="Y2791" i="146"/>
  <c r="W2792" i="146"/>
  <c r="X2792" i="146"/>
  <c r="Y2792" i="146"/>
  <c r="W2793" i="146"/>
  <c r="X2793" i="146"/>
  <c r="Y2793" i="146"/>
  <c r="W2794" i="146"/>
  <c r="X2794" i="146"/>
  <c r="Y2794" i="146"/>
  <c r="W2795" i="146"/>
  <c r="X2795" i="146"/>
  <c r="Y2795" i="146"/>
  <c r="W2796" i="146"/>
  <c r="X2796" i="146"/>
  <c r="Y2796" i="146"/>
  <c r="W2797" i="146"/>
  <c r="X2797" i="146"/>
  <c r="Y2797" i="146"/>
  <c r="W2798" i="146"/>
  <c r="X2798" i="146"/>
  <c r="Y2798" i="146"/>
  <c r="W2799" i="146"/>
  <c r="X2799" i="146"/>
  <c r="Y2799" i="146"/>
  <c r="W2800" i="146"/>
  <c r="X2800" i="146"/>
  <c r="Y2800" i="146"/>
  <c r="W2801" i="146"/>
  <c r="X2801" i="146"/>
  <c r="Y2801" i="146"/>
  <c r="W2802" i="146"/>
  <c r="X2802" i="146"/>
  <c r="Y2802" i="146"/>
  <c r="W2803" i="146"/>
  <c r="X2803" i="146"/>
  <c r="Y2803" i="146"/>
  <c r="W2804" i="146"/>
  <c r="X2804" i="146"/>
  <c r="Y2804" i="146"/>
  <c r="W2805" i="146"/>
  <c r="X2805" i="146"/>
  <c r="Y2805" i="146"/>
  <c r="W2806" i="146"/>
  <c r="X2806" i="146"/>
  <c r="Y2806" i="146"/>
  <c r="W2807" i="146"/>
  <c r="X2807" i="146"/>
  <c r="Y2807" i="146"/>
  <c r="W2808" i="146"/>
  <c r="X2808" i="146"/>
  <c r="Y2808" i="146"/>
  <c r="W2809" i="146"/>
  <c r="X2809" i="146"/>
  <c r="Y2809" i="146"/>
  <c r="W2810" i="146"/>
  <c r="X2810" i="146"/>
  <c r="Y2810" i="146"/>
  <c r="W2811" i="146"/>
  <c r="X2811" i="146"/>
  <c r="Y2811" i="146"/>
  <c r="W2812" i="146"/>
  <c r="X2812" i="146"/>
  <c r="Y2812" i="146"/>
  <c r="W2813" i="146"/>
  <c r="X2813" i="146"/>
  <c r="Y2813" i="146"/>
  <c r="W2814" i="146"/>
  <c r="X2814" i="146"/>
  <c r="Y2814" i="146"/>
  <c r="W2815" i="146"/>
  <c r="X2815" i="146"/>
  <c r="Y2815" i="146"/>
  <c r="W2816" i="146"/>
  <c r="X2816" i="146"/>
  <c r="Y2816" i="146"/>
  <c r="W2817" i="146"/>
  <c r="X2817" i="146"/>
  <c r="Y2817" i="146"/>
  <c r="W2818" i="146"/>
  <c r="X2818" i="146"/>
  <c r="Y2818" i="146"/>
  <c r="W2819" i="146"/>
  <c r="X2819" i="146"/>
  <c r="Y2819" i="146"/>
  <c r="W2820" i="146"/>
  <c r="X2820" i="146"/>
  <c r="Y2820" i="146"/>
  <c r="W2821" i="146"/>
  <c r="X2821" i="146"/>
  <c r="Y2821" i="146"/>
  <c r="W2822" i="146"/>
  <c r="X2822" i="146"/>
  <c r="Y2822" i="146"/>
  <c r="W2823" i="146"/>
  <c r="X2823" i="146"/>
  <c r="Y2823" i="146"/>
  <c r="W2824" i="146"/>
  <c r="X2824" i="146"/>
  <c r="Y2824" i="146"/>
  <c r="W2825" i="146"/>
  <c r="X2825" i="146"/>
  <c r="Y2825" i="146"/>
  <c r="W2826" i="146"/>
  <c r="X2826" i="146"/>
  <c r="Y2826" i="146"/>
  <c r="W2827" i="146"/>
  <c r="X2827" i="146"/>
  <c r="Y2827" i="146"/>
  <c r="W2828" i="146"/>
  <c r="X2828" i="146"/>
  <c r="Y2828" i="146"/>
  <c r="W2829" i="146"/>
  <c r="X2829" i="146"/>
  <c r="Y2829" i="146"/>
  <c r="W2830" i="146"/>
  <c r="X2830" i="146"/>
  <c r="Y2830" i="146"/>
  <c r="W2831" i="146"/>
  <c r="X2831" i="146"/>
  <c r="Y2831" i="146"/>
  <c r="W2832" i="146"/>
  <c r="X2832" i="146"/>
  <c r="Y2832" i="146"/>
  <c r="W2833" i="146"/>
  <c r="X2833" i="146"/>
  <c r="Y2833" i="146"/>
  <c r="W2834" i="146"/>
  <c r="X2834" i="146"/>
  <c r="Y2834" i="146"/>
  <c r="W2835" i="146"/>
  <c r="X2835" i="146"/>
  <c r="Y2835" i="146"/>
  <c r="W2836" i="146"/>
  <c r="X2836" i="146"/>
  <c r="Y2836" i="146"/>
  <c r="W2837" i="146"/>
  <c r="X2837" i="146"/>
  <c r="Y2837" i="146"/>
  <c r="W2838" i="146"/>
  <c r="X2838" i="146"/>
  <c r="Y2838" i="146"/>
  <c r="W2839" i="146"/>
  <c r="X2839" i="146"/>
  <c r="Y2839" i="146"/>
  <c r="W2840" i="146"/>
  <c r="X2840" i="146"/>
  <c r="Y2840" i="146"/>
  <c r="W2841" i="146"/>
  <c r="X2841" i="146"/>
  <c r="Y2841" i="146"/>
  <c r="W2842" i="146"/>
  <c r="X2842" i="146"/>
  <c r="Y2842" i="146"/>
  <c r="W2843" i="146"/>
  <c r="X2843" i="146"/>
  <c r="Y2843" i="146"/>
  <c r="W2844" i="146"/>
  <c r="X2844" i="146"/>
  <c r="Y2844" i="146"/>
  <c r="W2845" i="146"/>
  <c r="X2845" i="146"/>
  <c r="Y2845" i="146"/>
  <c r="W2846" i="146"/>
  <c r="X2846" i="146"/>
  <c r="Y2846" i="146"/>
  <c r="W2847" i="146"/>
  <c r="X2847" i="146"/>
  <c r="Y2847" i="146"/>
  <c r="W2848" i="146"/>
  <c r="X2848" i="146"/>
  <c r="Y2848" i="146"/>
  <c r="W2849" i="146"/>
  <c r="X2849" i="146"/>
  <c r="Y2849" i="146"/>
  <c r="W2850" i="146"/>
  <c r="X2850" i="146"/>
  <c r="Y2850" i="146"/>
  <c r="W2851" i="146"/>
  <c r="X2851" i="146"/>
  <c r="Y2851" i="146"/>
  <c r="W2852" i="146"/>
  <c r="X2852" i="146"/>
  <c r="Y2852" i="146"/>
  <c r="W2853" i="146"/>
  <c r="X2853" i="146"/>
  <c r="Y2853" i="146"/>
  <c r="W2854" i="146"/>
  <c r="X2854" i="146"/>
  <c r="Y2854" i="146"/>
  <c r="W2855" i="146"/>
  <c r="X2855" i="146"/>
  <c r="Y2855" i="146"/>
  <c r="W2856" i="146"/>
  <c r="X2856" i="146"/>
  <c r="Y2856" i="146"/>
  <c r="W2857" i="146"/>
  <c r="X2857" i="146"/>
  <c r="Y2857" i="146"/>
  <c r="W2858" i="146"/>
  <c r="X2858" i="146"/>
  <c r="Y2858" i="146"/>
  <c r="W2859" i="146"/>
  <c r="X2859" i="146"/>
  <c r="Y2859" i="146"/>
  <c r="W2860" i="146"/>
  <c r="X2860" i="146"/>
  <c r="Y2860" i="146"/>
  <c r="W2861" i="146"/>
  <c r="X2861" i="146"/>
  <c r="Y2861" i="146"/>
  <c r="W2862" i="146"/>
  <c r="X2862" i="146"/>
  <c r="Y2862" i="146"/>
  <c r="W2863" i="146"/>
  <c r="X2863" i="146"/>
  <c r="Y2863" i="146"/>
  <c r="W2864" i="146"/>
  <c r="X2864" i="146"/>
  <c r="Y2864" i="146"/>
  <c r="W2865" i="146"/>
  <c r="X2865" i="146"/>
  <c r="Y2865" i="146"/>
  <c r="W2866" i="146"/>
  <c r="X2866" i="146"/>
  <c r="Y2866" i="146"/>
  <c r="W2867" i="146"/>
  <c r="X2867" i="146"/>
  <c r="Y2867" i="146"/>
  <c r="W2868" i="146"/>
  <c r="X2868" i="146"/>
  <c r="Y2868" i="146"/>
  <c r="W2869" i="146"/>
  <c r="X2869" i="146"/>
  <c r="Y2869" i="146"/>
  <c r="W2870" i="146"/>
  <c r="X2870" i="146"/>
  <c r="Y2870" i="146"/>
  <c r="W2871" i="146"/>
  <c r="X2871" i="146"/>
  <c r="Y2871" i="146"/>
  <c r="W2872" i="146"/>
  <c r="X2872" i="146"/>
  <c r="Y2872" i="146"/>
  <c r="W2873" i="146"/>
  <c r="X2873" i="146"/>
  <c r="Y2873" i="146"/>
  <c r="W2874" i="146"/>
  <c r="X2874" i="146"/>
  <c r="Y2874" i="146"/>
  <c r="W2875" i="146"/>
  <c r="X2875" i="146"/>
  <c r="Y2875" i="146"/>
  <c r="W2876" i="146"/>
  <c r="X2876" i="146"/>
  <c r="Y2876" i="146"/>
  <c r="W2877" i="146"/>
  <c r="X2877" i="146"/>
  <c r="Y2877" i="146"/>
  <c r="W2878" i="146"/>
  <c r="X2878" i="146"/>
  <c r="Y2878" i="146"/>
  <c r="W2879" i="146"/>
  <c r="X2879" i="146"/>
  <c r="Y2879" i="146"/>
  <c r="W2880" i="146"/>
  <c r="X2880" i="146"/>
  <c r="Y2880" i="146"/>
  <c r="W2881" i="146"/>
  <c r="X2881" i="146"/>
  <c r="Y2881" i="146"/>
  <c r="W2882" i="146"/>
  <c r="X2882" i="146"/>
  <c r="Y2882" i="146"/>
  <c r="W2883" i="146"/>
  <c r="X2883" i="146"/>
  <c r="Y2883" i="146"/>
  <c r="W2884" i="146"/>
  <c r="X2884" i="146"/>
  <c r="Y2884" i="146"/>
  <c r="W2885" i="146"/>
  <c r="X2885" i="146"/>
  <c r="Y2885" i="146"/>
  <c r="W2886" i="146"/>
  <c r="X2886" i="146"/>
  <c r="Y2886" i="146"/>
  <c r="W2887" i="146"/>
  <c r="X2887" i="146"/>
  <c r="Y2887" i="146"/>
  <c r="W2888" i="146"/>
  <c r="X2888" i="146"/>
  <c r="Y2888" i="146"/>
  <c r="W2889" i="146"/>
  <c r="X2889" i="146"/>
  <c r="Y2889" i="146"/>
  <c r="W2890" i="146"/>
  <c r="X2890" i="146"/>
  <c r="Y2890" i="146"/>
  <c r="W2891" i="146"/>
  <c r="X2891" i="146"/>
  <c r="Y2891" i="146"/>
  <c r="W2892" i="146"/>
  <c r="X2892" i="146"/>
  <c r="Y2892" i="146"/>
  <c r="W2893" i="146"/>
  <c r="X2893" i="146"/>
  <c r="Y2893" i="146"/>
  <c r="W2894" i="146"/>
  <c r="X2894" i="146"/>
  <c r="Y2894" i="146"/>
  <c r="W2895" i="146"/>
  <c r="X2895" i="146"/>
  <c r="Y2895" i="146"/>
  <c r="W2896" i="146"/>
  <c r="X2896" i="146"/>
  <c r="Y2896" i="146"/>
  <c r="W2897" i="146"/>
  <c r="X2897" i="146"/>
  <c r="Y2897" i="146"/>
  <c r="W2898" i="146"/>
  <c r="X2898" i="146"/>
  <c r="Y2898" i="146"/>
  <c r="W2899" i="146"/>
  <c r="X2899" i="146"/>
  <c r="Y2899" i="146"/>
  <c r="W2900" i="146"/>
  <c r="X2900" i="146"/>
  <c r="Y2900" i="146"/>
  <c r="W2901" i="146"/>
  <c r="X2901" i="146"/>
  <c r="Y2901" i="146"/>
  <c r="W2902" i="146"/>
  <c r="X2902" i="146"/>
  <c r="Y2902" i="146"/>
  <c r="W2903" i="146"/>
  <c r="X2903" i="146"/>
  <c r="Y2903" i="146"/>
  <c r="W2904" i="146"/>
  <c r="X2904" i="146"/>
  <c r="Y2904" i="146"/>
  <c r="W2905" i="146"/>
  <c r="X2905" i="146"/>
  <c r="Y2905" i="146"/>
  <c r="W2906" i="146"/>
  <c r="X2906" i="146"/>
  <c r="Y2906" i="146"/>
  <c r="W2907" i="146"/>
  <c r="X2907" i="146"/>
  <c r="Y2907" i="146"/>
  <c r="W2908" i="146"/>
  <c r="X2908" i="146"/>
  <c r="Y2908" i="146"/>
  <c r="W2909" i="146"/>
  <c r="X2909" i="146"/>
  <c r="Y2909" i="146"/>
  <c r="W2910" i="146"/>
  <c r="X2910" i="146"/>
  <c r="Y2910" i="146"/>
  <c r="W2911" i="146"/>
  <c r="X2911" i="146"/>
  <c r="Y2911" i="146"/>
  <c r="W2912" i="146"/>
  <c r="X2912" i="146"/>
  <c r="Y2912" i="146"/>
  <c r="W2913" i="146"/>
  <c r="X2913" i="146"/>
  <c r="Y2913" i="146"/>
  <c r="W2914" i="146"/>
  <c r="X2914" i="146"/>
  <c r="Y2914" i="146"/>
  <c r="W2915" i="146"/>
  <c r="X2915" i="146"/>
  <c r="Y2915" i="146"/>
  <c r="W2916" i="146"/>
  <c r="X2916" i="146"/>
  <c r="Y2916" i="146"/>
  <c r="W2917" i="146"/>
  <c r="X2917" i="146"/>
  <c r="Y2917" i="146"/>
  <c r="W2918" i="146"/>
  <c r="X2918" i="146"/>
  <c r="Y2918" i="146"/>
  <c r="W2919" i="146"/>
  <c r="X2919" i="146"/>
  <c r="Y2919" i="146"/>
  <c r="W2920" i="146"/>
  <c r="X2920" i="146"/>
  <c r="Y2920" i="146"/>
  <c r="W2921" i="146"/>
  <c r="X2921" i="146"/>
  <c r="Y2921" i="146"/>
  <c r="W2922" i="146"/>
  <c r="X2922" i="146"/>
  <c r="Y2922" i="146"/>
  <c r="W2923" i="146"/>
  <c r="X2923" i="146"/>
  <c r="Y2923" i="146"/>
  <c r="W2924" i="146"/>
  <c r="X2924" i="146"/>
  <c r="Y2924" i="146"/>
  <c r="W2925" i="146"/>
  <c r="X2925" i="146"/>
  <c r="Y2925" i="146"/>
  <c r="W2926" i="146"/>
  <c r="X2926" i="146"/>
  <c r="Y2926" i="146"/>
  <c r="W2927" i="146"/>
  <c r="X2927" i="146"/>
  <c r="Y2927" i="146"/>
  <c r="W2928" i="146"/>
  <c r="X2928" i="146"/>
  <c r="Y2928" i="146"/>
  <c r="W2929" i="146"/>
  <c r="X2929" i="146"/>
  <c r="Y2929" i="146"/>
  <c r="W2930" i="146"/>
  <c r="X2930" i="146"/>
  <c r="Y2930" i="146"/>
  <c r="W2931" i="146"/>
  <c r="X2931" i="146"/>
  <c r="Y2931" i="146"/>
  <c r="W2932" i="146"/>
  <c r="X2932" i="146"/>
  <c r="Y2932" i="146"/>
  <c r="W2933" i="146"/>
  <c r="X2933" i="146"/>
  <c r="Y2933" i="146"/>
  <c r="W2934" i="146"/>
  <c r="X2934" i="146"/>
  <c r="Y2934" i="146"/>
  <c r="W2935" i="146"/>
  <c r="X2935" i="146"/>
  <c r="Y2935" i="146"/>
  <c r="W2936" i="146"/>
  <c r="X2936" i="146"/>
  <c r="Y2936" i="146"/>
  <c r="W2937" i="146"/>
  <c r="X2937" i="146"/>
  <c r="Y2937" i="146"/>
  <c r="W2938" i="146"/>
  <c r="X2938" i="146"/>
  <c r="Y2938" i="146"/>
  <c r="W2939" i="146"/>
  <c r="X2939" i="146"/>
  <c r="Y2939" i="146"/>
  <c r="W2940" i="146"/>
  <c r="X2940" i="146"/>
  <c r="Y2940" i="146"/>
  <c r="W2941" i="146"/>
  <c r="X2941" i="146"/>
  <c r="Y2941" i="146"/>
  <c r="W2942" i="146"/>
  <c r="X2942" i="146"/>
  <c r="Y2942" i="146"/>
  <c r="W2943" i="146"/>
  <c r="X2943" i="146"/>
  <c r="Y2943" i="146"/>
  <c r="W2944" i="146"/>
  <c r="X2944" i="146"/>
  <c r="Y2944" i="146"/>
  <c r="W2945" i="146"/>
  <c r="X2945" i="146"/>
  <c r="Y2945" i="146"/>
  <c r="W2946" i="146"/>
  <c r="X2946" i="146"/>
  <c r="Y2946" i="146"/>
  <c r="W2947" i="146"/>
  <c r="X2947" i="146"/>
  <c r="Y2947" i="146"/>
  <c r="W2948" i="146"/>
  <c r="X2948" i="146"/>
  <c r="Y2948" i="146"/>
  <c r="W2949" i="146"/>
  <c r="X2949" i="146"/>
  <c r="Y2949" i="146"/>
  <c r="W2950" i="146"/>
  <c r="X2950" i="146"/>
  <c r="Y2950" i="146"/>
  <c r="W2951" i="146"/>
  <c r="X2951" i="146"/>
  <c r="Y2951" i="146"/>
  <c r="W2952" i="146"/>
  <c r="X2952" i="146"/>
  <c r="Y2952" i="146"/>
  <c r="W2953" i="146"/>
  <c r="X2953" i="146"/>
  <c r="Y2953" i="146"/>
  <c r="W2954" i="146"/>
  <c r="X2954" i="146"/>
  <c r="Y2954" i="146"/>
  <c r="W2955" i="146"/>
  <c r="X2955" i="146"/>
  <c r="Y2955" i="146"/>
  <c r="W2956" i="146"/>
  <c r="X2956" i="146"/>
  <c r="Y2956" i="146"/>
  <c r="W2957" i="146"/>
  <c r="X2957" i="146"/>
  <c r="Y2957" i="146"/>
  <c r="W2958" i="146"/>
  <c r="X2958" i="146"/>
  <c r="Y2958" i="146"/>
  <c r="W2959" i="146"/>
  <c r="X2959" i="146"/>
  <c r="Y2959" i="146"/>
  <c r="W2960" i="146"/>
  <c r="X2960" i="146"/>
  <c r="Y2960" i="146"/>
  <c r="W2961" i="146"/>
  <c r="X2961" i="146"/>
  <c r="Y2961" i="146"/>
  <c r="W2962" i="146"/>
  <c r="X2962" i="146"/>
  <c r="Y2962" i="146"/>
  <c r="W2963" i="146"/>
  <c r="X2963" i="146"/>
  <c r="Y2963" i="146"/>
  <c r="W2964" i="146"/>
  <c r="X2964" i="146"/>
  <c r="Y2964" i="146"/>
  <c r="W2965" i="146"/>
  <c r="X2965" i="146"/>
  <c r="Y2965" i="146"/>
  <c r="W2966" i="146"/>
  <c r="X2966" i="146"/>
  <c r="Y2966" i="146"/>
  <c r="W2967" i="146"/>
  <c r="X2967" i="146"/>
  <c r="Y2967" i="146"/>
  <c r="W2968" i="146"/>
  <c r="X2968" i="146"/>
  <c r="Y2968" i="146"/>
  <c r="W2969" i="146"/>
  <c r="X2969" i="146"/>
  <c r="Y2969" i="146"/>
  <c r="W2970" i="146"/>
  <c r="X2970" i="146"/>
  <c r="Y2970" i="146"/>
  <c r="W2971" i="146"/>
  <c r="X2971" i="146"/>
  <c r="Y2971" i="146"/>
  <c r="W2972" i="146"/>
  <c r="X2972" i="146"/>
  <c r="Y2972" i="146"/>
  <c r="W2973" i="146"/>
  <c r="X2973" i="146"/>
  <c r="Y2973" i="146"/>
  <c r="W2974" i="146"/>
  <c r="X2974" i="146"/>
  <c r="Y2974" i="146"/>
  <c r="W2975" i="146"/>
  <c r="X2975" i="146"/>
  <c r="Y2975" i="146"/>
  <c r="W2976" i="146"/>
  <c r="X2976" i="146"/>
  <c r="Y2976" i="146"/>
  <c r="W2977" i="146"/>
  <c r="X2977" i="146"/>
  <c r="Y2977" i="146"/>
  <c r="W2978" i="146"/>
  <c r="X2978" i="146"/>
  <c r="Y2978" i="146"/>
  <c r="W2979" i="146"/>
  <c r="X2979" i="146"/>
  <c r="Y2979" i="146"/>
  <c r="W2980" i="146"/>
  <c r="X2980" i="146"/>
  <c r="Y2980" i="146"/>
  <c r="W2981" i="146"/>
  <c r="X2981" i="146"/>
  <c r="Y2981" i="146"/>
  <c r="W2982" i="146"/>
  <c r="X2982" i="146"/>
  <c r="Y2982" i="146"/>
  <c r="W2983" i="146"/>
  <c r="X2983" i="146"/>
  <c r="Y2983" i="146"/>
  <c r="W2984" i="146"/>
  <c r="X2984" i="146"/>
  <c r="Y2984" i="146"/>
  <c r="W2985" i="146"/>
  <c r="X2985" i="146"/>
  <c r="Y2985" i="146"/>
  <c r="W2986" i="146"/>
  <c r="X2986" i="146"/>
  <c r="Y2986" i="146"/>
  <c r="W2987" i="146"/>
  <c r="X2987" i="146"/>
  <c r="Y2987" i="146"/>
  <c r="W2988" i="146"/>
  <c r="X2988" i="146"/>
  <c r="Y2988" i="146"/>
  <c r="W2989" i="146"/>
  <c r="X2989" i="146"/>
  <c r="Y2989" i="146"/>
  <c r="W2990" i="146"/>
  <c r="X2990" i="146"/>
  <c r="Y2990" i="146"/>
  <c r="W2991" i="146"/>
  <c r="X2991" i="146"/>
  <c r="Y2991" i="146"/>
  <c r="W2992" i="146"/>
  <c r="X2992" i="146"/>
  <c r="Y2992" i="146"/>
  <c r="W2993" i="146"/>
  <c r="X2993" i="146"/>
  <c r="Y2993" i="146"/>
  <c r="W2994" i="146"/>
  <c r="X2994" i="146"/>
  <c r="Y2994" i="146"/>
  <c r="W2995" i="146"/>
  <c r="X2995" i="146"/>
  <c r="Y2995" i="146"/>
  <c r="W2996" i="146"/>
  <c r="X2996" i="146"/>
  <c r="Y2996" i="146"/>
  <c r="W2997" i="146"/>
  <c r="X2997" i="146"/>
  <c r="Y2997" i="146"/>
  <c r="W2998" i="146"/>
  <c r="X2998" i="146"/>
  <c r="Y2998" i="146"/>
  <c r="W2999" i="146"/>
  <c r="X2999" i="146"/>
  <c r="Y2999" i="146"/>
  <c r="W3000" i="146"/>
  <c r="X3000" i="146"/>
  <c r="Y3000" i="146"/>
  <c r="W3001" i="146"/>
  <c r="X3001" i="146"/>
  <c r="Y3001" i="146"/>
  <c r="W3002" i="146"/>
  <c r="X3002" i="146"/>
  <c r="Y3002" i="146"/>
  <c r="W3003" i="146"/>
  <c r="X3003" i="146"/>
  <c r="Y3003" i="146"/>
  <c r="W3004" i="146"/>
  <c r="X3004" i="146"/>
  <c r="Y3004" i="146"/>
  <c r="W3005" i="146"/>
  <c r="X3005" i="146"/>
  <c r="Y3005" i="146"/>
  <c r="W3006" i="146"/>
  <c r="X3006" i="146"/>
  <c r="Y3006" i="146"/>
  <c r="W3007" i="146"/>
  <c r="X3007" i="146"/>
  <c r="Y3007" i="146"/>
  <c r="W3008" i="146"/>
  <c r="X3008" i="146"/>
  <c r="Y3008" i="146"/>
  <c r="W3009" i="146"/>
  <c r="X3009" i="146"/>
  <c r="Y3009" i="146"/>
  <c r="W3010" i="146"/>
  <c r="X3010" i="146"/>
  <c r="Y3010" i="146"/>
  <c r="W3011" i="146"/>
  <c r="X3011" i="146"/>
  <c r="Y3011" i="146"/>
  <c r="W3012" i="146"/>
  <c r="X3012" i="146"/>
  <c r="Y3012" i="146"/>
  <c r="W3013" i="146"/>
  <c r="X3013" i="146"/>
  <c r="Y3013" i="146"/>
  <c r="W3014" i="146"/>
  <c r="X3014" i="146"/>
  <c r="Y3014" i="146"/>
  <c r="W3015" i="146"/>
  <c r="X3015" i="146"/>
  <c r="Y3015" i="146"/>
  <c r="W3016" i="146"/>
  <c r="X3016" i="146"/>
  <c r="Y3016" i="146"/>
  <c r="W3017" i="146"/>
  <c r="X3017" i="146"/>
  <c r="Y3017" i="146"/>
  <c r="W3018" i="146"/>
  <c r="X3018" i="146"/>
  <c r="Y3018" i="146"/>
  <c r="W3019" i="146"/>
  <c r="X3019" i="146"/>
  <c r="Y3019" i="146"/>
  <c r="W3020" i="146"/>
  <c r="X3020" i="146"/>
  <c r="Y3020" i="146"/>
  <c r="W3021" i="146"/>
  <c r="X3021" i="146"/>
  <c r="Y3021" i="146"/>
  <c r="W3022" i="146"/>
  <c r="X3022" i="146"/>
  <c r="Y3022" i="146"/>
  <c r="W3023" i="146"/>
  <c r="X3023" i="146"/>
  <c r="Y3023" i="146"/>
  <c r="W3024" i="146"/>
  <c r="X3024" i="146"/>
  <c r="Y3024" i="146"/>
  <c r="W3025" i="146"/>
  <c r="X3025" i="146"/>
  <c r="Y3025" i="146"/>
  <c r="Y9" i="146"/>
  <c r="X9" i="146"/>
  <c r="W9" i="146"/>
  <c r="B1507" i="146"/>
  <c r="B1508" i="146"/>
  <c r="B1509" i="146"/>
  <c r="B1510" i="146"/>
  <c r="B1511" i="146"/>
  <c r="B1512" i="146"/>
  <c r="B1513" i="146"/>
  <c r="B1514" i="146"/>
  <c r="B1515" i="146"/>
  <c r="B1516" i="146"/>
  <c r="B1517" i="146"/>
  <c r="B1518" i="146"/>
  <c r="B1519" i="146"/>
  <c r="B1520" i="146"/>
  <c r="B1521" i="146"/>
  <c r="B1522" i="146"/>
  <c r="B1523" i="146"/>
  <c r="B1524" i="146"/>
  <c r="B1525" i="146"/>
  <c r="B1526" i="146"/>
  <c r="B1527" i="146"/>
  <c r="B1528" i="146"/>
  <c r="B1529" i="146"/>
  <c r="B1530" i="146"/>
  <c r="B1531" i="146"/>
  <c r="F85" i="162"/>
  <c r="F86" i="162"/>
  <c r="F87" i="162"/>
  <c r="F88" i="162"/>
  <c r="F89" i="162"/>
  <c r="F84" i="162"/>
  <c r="F83" i="162"/>
  <c r="F80" i="162"/>
  <c r="F81" i="162"/>
  <c r="F79" i="162"/>
  <c r="F78" i="162"/>
  <c r="F74" i="162"/>
  <c r="F75" i="162"/>
  <c r="F76" i="162"/>
  <c r="F73" i="162"/>
  <c r="F72" i="162"/>
  <c r="F68" i="162"/>
  <c r="F69" i="162"/>
  <c r="F70" i="162"/>
  <c r="F67" i="162"/>
  <c r="F66" i="162"/>
  <c r="F115" i="162"/>
  <c r="F114" i="162"/>
  <c r="F113" i="162"/>
  <c r="F112" i="162"/>
  <c r="F111" i="162"/>
  <c r="F110" i="162"/>
  <c r="F109" i="162"/>
  <c r="F150" i="162"/>
  <c r="F149" i="162"/>
  <c r="F148" i="162"/>
  <c r="F147" i="162"/>
  <c r="F146" i="162"/>
  <c r="F145" i="162"/>
  <c r="F143" i="162"/>
  <c r="F142" i="162"/>
  <c r="F141" i="162"/>
  <c r="F140" i="162"/>
  <c r="V1891" i="146"/>
  <c r="V1892" i="146"/>
  <c r="V1893" i="146"/>
  <c r="V1894" i="146"/>
  <c r="V1895" i="146"/>
  <c r="V1896" i="146"/>
  <c r="V1897" i="146"/>
  <c r="V1898" i="146"/>
  <c r="V1899" i="146"/>
  <c r="V1900" i="146"/>
  <c r="V1901" i="146"/>
  <c r="V1902" i="146"/>
  <c r="V1903" i="146"/>
  <c r="V1904" i="146"/>
  <c r="V1905" i="146"/>
  <c r="V1906" i="146"/>
  <c r="V1907" i="146"/>
  <c r="V1908" i="146"/>
  <c r="V1909" i="146"/>
  <c r="V1910" i="146"/>
  <c r="V1911" i="146"/>
  <c r="V1912" i="146"/>
  <c r="V1913" i="146"/>
  <c r="V1914" i="146"/>
  <c r="V1915" i="146"/>
  <c r="V1916" i="146"/>
  <c r="V1917" i="146"/>
  <c r="V1918" i="146"/>
  <c r="V1919" i="146"/>
  <c r="V1920" i="146"/>
  <c r="V1921" i="146"/>
  <c r="V1922" i="146"/>
  <c r="V1923" i="146"/>
  <c r="V1924" i="146"/>
  <c r="V1925" i="146"/>
  <c r="V1926" i="146"/>
  <c r="V1927" i="146"/>
  <c r="V1928" i="146"/>
  <c r="V1929" i="146"/>
  <c r="V1930" i="146"/>
  <c r="V1931" i="146"/>
  <c r="V1932" i="146"/>
  <c r="V1933" i="146"/>
  <c r="V1934" i="146"/>
  <c r="V1935" i="146"/>
  <c r="V1936" i="146"/>
  <c r="V1937" i="146"/>
  <c r="V1938" i="146"/>
  <c r="V1939" i="146"/>
  <c r="V1940" i="146"/>
  <c r="V1941" i="146"/>
  <c r="V1942" i="146"/>
  <c r="V1943" i="146"/>
  <c r="V1944" i="146"/>
  <c r="V1945" i="146"/>
  <c r="V1946" i="146"/>
  <c r="V1947" i="146"/>
  <c r="V1948" i="146"/>
  <c r="V1949" i="146"/>
  <c r="V1950" i="146"/>
  <c r="V1951" i="146"/>
  <c r="V1952" i="146"/>
  <c r="V1953" i="146"/>
  <c r="V1954" i="146"/>
  <c r="V1955" i="146"/>
  <c r="V1956" i="146"/>
  <c r="V1957" i="146"/>
  <c r="V1958" i="146"/>
  <c r="V1959" i="146"/>
  <c r="V1960" i="146"/>
  <c r="V1961" i="146"/>
  <c r="V1962" i="146"/>
  <c r="V1963" i="146"/>
  <c r="V1964" i="146"/>
  <c r="V1965" i="146"/>
  <c r="V1966" i="146"/>
  <c r="V1967" i="146"/>
  <c r="V1968" i="146"/>
  <c r="V1969" i="146"/>
  <c r="V1970" i="146"/>
  <c r="V1971" i="146"/>
  <c r="V1972" i="146"/>
  <c r="V1973" i="146"/>
  <c r="V1974" i="146"/>
  <c r="V1975" i="146"/>
  <c r="V1976" i="146"/>
  <c r="V1977" i="146"/>
  <c r="V1978" i="146"/>
  <c r="V1979" i="146"/>
  <c r="V1980" i="146"/>
  <c r="V1981" i="146"/>
  <c r="V1982" i="146"/>
  <c r="V1983" i="146"/>
  <c r="V1984" i="146"/>
  <c r="V1985" i="146"/>
  <c r="V1986" i="146"/>
  <c r="V1987" i="146"/>
  <c r="V1988" i="146"/>
  <c r="V1989" i="146"/>
  <c r="V1990" i="146"/>
  <c r="V1991" i="146"/>
  <c r="V1992" i="146"/>
  <c r="V1993" i="146"/>
  <c r="V1994" i="146"/>
  <c r="V1995" i="146"/>
  <c r="V1996" i="146"/>
  <c r="V1997" i="146"/>
  <c r="V1998" i="146"/>
  <c r="V1999" i="146"/>
  <c r="V2000" i="146"/>
  <c r="V2001" i="146"/>
  <c r="V2002" i="146"/>
  <c r="V2003" i="146"/>
  <c r="V2004" i="146"/>
  <c r="V2005" i="146"/>
  <c r="V2006" i="146"/>
  <c r="V2007" i="146"/>
  <c r="V2008" i="146"/>
  <c r="V2009" i="146"/>
  <c r="V2010" i="146"/>
  <c r="V2011" i="146"/>
  <c r="V2012" i="146"/>
  <c r="V2013" i="146"/>
  <c r="V2014" i="146"/>
  <c r="V2015" i="146"/>
  <c r="V2016" i="146"/>
  <c r="V2017" i="146"/>
  <c r="V2018" i="146"/>
  <c r="V2019" i="146"/>
  <c r="V2020" i="146"/>
  <c r="V2021" i="146"/>
  <c r="V2022" i="146"/>
  <c r="V2023" i="146"/>
  <c r="V2024" i="146"/>
  <c r="V2025" i="146"/>
  <c r="V2026" i="146"/>
  <c r="V2027" i="146"/>
  <c r="V2028" i="146"/>
  <c r="V2029" i="146"/>
  <c r="V2030" i="146"/>
  <c r="V2031" i="146"/>
  <c r="V2032" i="146"/>
  <c r="V2033" i="146"/>
  <c r="V2034" i="146"/>
  <c r="V2035" i="146"/>
  <c r="V2036" i="146"/>
  <c r="V2037" i="146"/>
  <c r="V2038" i="146"/>
  <c r="V2039" i="146"/>
  <c r="V2040" i="146"/>
  <c r="V2041" i="146"/>
  <c r="V2042" i="146"/>
  <c r="V2043" i="146"/>
  <c r="V2044" i="146"/>
  <c r="V2045" i="146"/>
  <c r="V2046" i="146"/>
  <c r="V2047" i="146"/>
  <c r="V2048" i="146"/>
  <c r="V2049" i="146"/>
  <c r="V2050" i="146"/>
  <c r="V2051" i="146"/>
  <c r="V2052" i="146"/>
  <c r="V2053" i="146"/>
  <c r="V2054" i="146"/>
  <c r="V2055" i="146"/>
  <c r="V2056" i="146"/>
  <c r="V2057" i="146"/>
  <c r="V2058" i="146"/>
  <c r="V2059" i="146"/>
  <c r="V2060" i="146"/>
  <c r="V2061" i="146"/>
  <c r="V2062" i="146"/>
  <c r="V2063" i="146"/>
  <c r="V2064" i="146"/>
  <c r="V2065" i="146"/>
  <c r="V2066" i="146"/>
  <c r="V2067" i="146"/>
  <c r="V2068" i="146"/>
  <c r="V2069" i="146"/>
  <c r="V2070" i="146"/>
  <c r="V2071" i="146"/>
  <c r="V2072" i="146"/>
  <c r="V2073" i="146"/>
  <c r="V2074" i="146"/>
  <c r="V2075" i="146"/>
  <c r="V2076" i="146"/>
  <c r="V2077" i="146"/>
  <c r="V2078" i="146"/>
  <c r="V2079" i="146"/>
  <c r="V2080" i="146"/>
  <c r="V2081" i="146"/>
  <c r="V2082" i="146"/>
  <c r="V2083" i="146"/>
  <c r="V2084" i="146"/>
  <c r="V2085" i="146"/>
  <c r="V2086" i="146"/>
  <c r="V2087" i="146"/>
  <c r="V2088" i="146"/>
  <c r="V2089" i="146"/>
  <c r="V2090" i="146"/>
  <c r="V2091" i="146"/>
  <c r="V2092" i="146"/>
  <c r="V2093" i="146"/>
  <c r="V2094" i="146"/>
  <c r="V2095" i="146"/>
  <c r="V2096" i="146"/>
  <c r="V2097" i="146"/>
  <c r="V2098" i="146"/>
  <c r="V2099" i="146"/>
  <c r="V2100" i="146"/>
  <c r="V2101" i="146"/>
  <c r="V2102" i="146"/>
  <c r="V2103" i="146"/>
  <c r="V2104" i="146"/>
  <c r="V2105" i="146"/>
  <c r="V2106" i="146"/>
  <c r="V2107" i="146"/>
  <c r="V2108" i="146"/>
  <c r="V2109" i="146"/>
  <c r="V2110" i="146"/>
  <c r="V2111" i="146"/>
  <c r="V2112" i="146"/>
  <c r="V2113" i="146"/>
  <c r="V2114" i="146"/>
  <c r="V2115" i="146"/>
  <c r="V2116" i="146"/>
  <c r="V2117" i="146"/>
  <c r="V2118" i="146"/>
  <c r="V2119" i="146"/>
  <c r="V2120" i="146"/>
  <c r="V2121" i="146"/>
  <c r="V2122" i="146"/>
  <c r="V2123" i="146"/>
  <c r="V2124" i="146"/>
  <c r="V2125" i="146"/>
  <c r="V2126" i="146"/>
  <c r="V2127" i="146"/>
  <c r="V2128" i="146"/>
  <c r="V2129" i="146"/>
  <c r="V2130" i="146"/>
  <c r="V2131" i="146"/>
  <c r="V2132" i="146"/>
  <c r="V2133" i="146"/>
  <c r="V2134" i="146"/>
  <c r="V2135" i="146"/>
  <c r="V2136" i="146"/>
  <c r="V2137" i="146"/>
  <c r="V2138" i="146"/>
  <c r="V2139" i="146"/>
  <c r="V2140" i="146"/>
  <c r="V2141" i="146"/>
  <c r="V2142" i="146"/>
  <c r="V2143" i="146"/>
  <c r="V2144" i="146"/>
  <c r="V2145" i="146"/>
  <c r="V2146" i="146"/>
  <c r="V2147" i="146"/>
  <c r="V2148" i="146"/>
  <c r="V1890" i="146"/>
  <c r="H69" i="192"/>
  <c r="T10" i="146"/>
  <c r="T11" i="146"/>
  <c r="V11" i="146"/>
  <c r="T12" i="146"/>
  <c r="T13" i="146"/>
  <c r="V13" i="146"/>
  <c r="T14" i="146"/>
  <c r="V14" i="146"/>
  <c r="T15" i="146"/>
  <c r="U15" i="146" a="1"/>
  <c r="U15" i="146"/>
  <c r="Q15" i="146"/>
  <c r="T16" i="146"/>
  <c r="U16" i="146" a="1"/>
  <c r="U16" i="146"/>
  <c r="Q16" i="146"/>
  <c r="T17" i="146"/>
  <c r="T18" i="146"/>
  <c r="U18" i="146" a="1"/>
  <c r="U18" i="146"/>
  <c r="Q18" i="146"/>
  <c r="T19" i="146"/>
  <c r="T20" i="146"/>
  <c r="U20" i="146" a="1"/>
  <c r="U20" i="146"/>
  <c r="Q20" i="146"/>
  <c r="T21" i="146"/>
  <c r="U21" i="146" a="1"/>
  <c r="U21" i="146"/>
  <c r="Q21" i="146"/>
  <c r="T22" i="146"/>
  <c r="V22" i="146"/>
  <c r="T23" i="146"/>
  <c r="V23" i="146"/>
  <c r="T24" i="146"/>
  <c r="V24" i="146"/>
  <c r="T25" i="146"/>
  <c r="V25" i="146"/>
  <c r="T26" i="146"/>
  <c r="V26" i="146"/>
  <c r="T27" i="146"/>
  <c r="U27" i="146" a="1"/>
  <c r="U27" i="146"/>
  <c r="Q27" i="146"/>
  <c r="T28" i="146"/>
  <c r="U28" i="146" a="1"/>
  <c r="U28" i="146"/>
  <c r="Q28" i="146"/>
  <c r="T29" i="146"/>
  <c r="U29" i="146" a="1"/>
  <c r="U29" i="146"/>
  <c r="Q29" i="146"/>
  <c r="T30" i="146"/>
  <c r="T31" i="146"/>
  <c r="U31" i="146" a="1"/>
  <c r="U31" i="146"/>
  <c r="Q31" i="146"/>
  <c r="T32" i="146"/>
  <c r="V32" i="146"/>
  <c r="T33" i="146"/>
  <c r="U33" i="146" a="1"/>
  <c r="U33" i="146"/>
  <c r="Q33" i="146"/>
  <c r="T34" i="146"/>
  <c r="U34" i="146" a="1"/>
  <c r="U34" i="146"/>
  <c r="Q34" i="146"/>
  <c r="T35" i="146"/>
  <c r="T36" i="146"/>
  <c r="T37" i="146"/>
  <c r="U37" i="146" a="1"/>
  <c r="U37" i="146"/>
  <c r="Q37" i="146"/>
  <c r="T38" i="146"/>
  <c r="U38" i="146" a="1"/>
  <c r="U38" i="146"/>
  <c r="Q38" i="146"/>
  <c r="T39" i="146"/>
  <c r="U39" i="146" a="1"/>
  <c r="U39" i="146"/>
  <c r="Q39" i="146"/>
  <c r="T40" i="146"/>
  <c r="U40" i="146" a="1"/>
  <c r="U40" i="146"/>
  <c r="Q40" i="146"/>
  <c r="T41" i="146"/>
  <c r="U41" i="146" a="1"/>
  <c r="U41" i="146"/>
  <c r="Q41" i="146"/>
  <c r="T42" i="146"/>
  <c r="U42" i="146" a="1"/>
  <c r="U42" i="146"/>
  <c r="Q42" i="146"/>
  <c r="T43" i="146"/>
  <c r="V43" i="146"/>
  <c r="T44" i="146"/>
  <c r="U44" i="146" a="1"/>
  <c r="U44" i="146"/>
  <c r="Q44" i="146"/>
  <c r="T45" i="146"/>
  <c r="U45" i="146" a="1"/>
  <c r="U45" i="146"/>
  <c r="Q45" i="146"/>
  <c r="T46" i="146"/>
  <c r="U46" i="146" a="1"/>
  <c r="U46" i="146"/>
  <c r="Q46" i="146"/>
  <c r="T47" i="146"/>
  <c r="T48" i="146"/>
  <c r="T49" i="146"/>
  <c r="V49" i="146"/>
  <c r="T50" i="146"/>
  <c r="V50" i="146"/>
  <c r="T51" i="146"/>
  <c r="U51" i="146" a="1"/>
  <c r="U51" i="146"/>
  <c r="Q51" i="146"/>
  <c r="T52" i="146"/>
  <c r="U52" i="146" a="1"/>
  <c r="U52" i="146"/>
  <c r="Q52" i="146"/>
  <c r="T53" i="146"/>
  <c r="T54" i="146"/>
  <c r="U54" i="146" a="1"/>
  <c r="U54" i="146"/>
  <c r="Q54" i="146"/>
  <c r="T55" i="146"/>
  <c r="V55" i="146"/>
  <c r="T56" i="146"/>
  <c r="T57" i="146"/>
  <c r="V57" i="146"/>
  <c r="T58" i="146"/>
  <c r="U58" i="146" a="1"/>
  <c r="U58" i="146"/>
  <c r="Q58" i="146"/>
  <c r="T59" i="146"/>
  <c r="T60" i="146"/>
  <c r="T61" i="146"/>
  <c r="V61" i="146"/>
  <c r="T62" i="146"/>
  <c r="U62" i="146" a="1"/>
  <c r="U62" i="146"/>
  <c r="Q62" i="146"/>
  <c r="T63" i="146"/>
  <c r="V63" i="146"/>
  <c r="T64" i="146"/>
  <c r="U64" i="146" a="1"/>
  <c r="U64" i="146"/>
  <c r="Q64" i="146"/>
  <c r="T65" i="146"/>
  <c r="V65" i="146"/>
  <c r="T66" i="146"/>
  <c r="T67" i="146"/>
  <c r="U67" i="146" a="1"/>
  <c r="U67" i="146"/>
  <c r="Q67" i="146"/>
  <c r="T68" i="146"/>
  <c r="T69" i="146"/>
  <c r="U69" i="146" a="1"/>
  <c r="U69" i="146"/>
  <c r="Q69" i="146"/>
  <c r="T70" i="146"/>
  <c r="U70" i="146" a="1"/>
  <c r="U70" i="146"/>
  <c r="Q70" i="146"/>
  <c r="T71" i="146"/>
  <c r="U71" i="146" a="1"/>
  <c r="U71" i="146"/>
  <c r="Q71" i="146"/>
  <c r="T72" i="146"/>
  <c r="T73" i="146"/>
  <c r="U73" i="146" a="1"/>
  <c r="U73" i="146"/>
  <c r="Q73" i="146"/>
  <c r="T74" i="146"/>
  <c r="V74" i="146"/>
  <c r="T75" i="146"/>
  <c r="V75" i="146"/>
  <c r="T76" i="146"/>
  <c r="V76" i="146"/>
  <c r="T77" i="146"/>
  <c r="V77" i="146"/>
  <c r="T78" i="146"/>
  <c r="T79" i="146"/>
  <c r="U79" i="146" a="1"/>
  <c r="U79" i="146"/>
  <c r="Q79" i="146"/>
  <c r="T80" i="146"/>
  <c r="T81" i="146"/>
  <c r="V81" i="146"/>
  <c r="T82" i="146"/>
  <c r="U82" i="146" a="1"/>
  <c r="U82" i="146"/>
  <c r="Q82" i="146"/>
  <c r="T83" i="146"/>
  <c r="T84" i="146"/>
  <c r="T85" i="146"/>
  <c r="V85" i="146"/>
  <c r="T86" i="146"/>
  <c r="U86" i="146" a="1"/>
  <c r="U86" i="146"/>
  <c r="Q86" i="146"/>
  <c r="T87" i="146"/>
  <c r="V87" i="146"/>
  <c r="T88" i="146"/>
  <c r="U88" i="146" a="1"/>
  <c r="U88" i="146"/>
  <c r="Q88" i="146"/>
  <c r="T89" i="146"/>
  <c r="U89" i="146" a="1"/>
  <c r="U89" i="146"/>
  <c r="Q89" i="146"/>
  <c r="T90" i="146"/>
  <c r="T91" i="146"/>
  <c r="U91" i="146" a="1"/>
  <c r="U91" i="146"/>
  <c r="Q91" i="146"/>
  <c r="T92" i="146"/>
  <c r="U92" i="146" a="1"/>
  <c r="U92" i="146"/>
  <c r="Q92" i="146"/>
  <c r="T93" i="146"/>
  <c r="V93" i="146"/>
  <c r="T94" i="146"/>
  <c r="V94" i="146"/>
  <c r="T95" i="146"/>
  <c r="T96" i="146"/>
  <c r="U96" i="146" a="1"/>
  <c r="U96" i="146"/>
  <c r="Q96" i="146"/>
  <c r="T97" i="146"/>
  <c r="U97" i="146" a="1"/>
  <c r="U97" i="146"/>
  <c r="Q97" i="146"/>
  <c r="T98" i="146"/>
  <c r="V98" i="146"/>
  <c r="T99" i="146"/>
  <c r="V99" i="146"/>
  <c r="T100" i="146"/>
  <c r="V100" i="146"/>
  <c r="T101" i="146"/>
  <c r="V101" i="146"/>
  <c r="T102" i="146"/>
  <c r="U102" i="146" a="1"/>
  <c r="U102" i="146"/>
  <c r="Q102" i="146"/>
  <c r="T103" i="146"/>
  <c r="U103" i="146" a="1"/>
  <c r="U103" i="146"/>
  <c r="Q103" i="146"/>
  <c r="T104" i="146"/>
  <c r="U104" i="146" a="1"/>
  <c r="U104" i="146"/>
  <c r="Q104" i="146"/>
  <c r="T105" i="146"/>
  <c r="V105" i="146"/>
  <c r="T106" i="146"/>
  <c r="U106" i="146" a="1"/>
  <c r="U106" i="146"/>
  <c r="Q106" i="146"/>
  <c r="T107" i="146"/>
  <c r="V107" i="146"/>
  <c r="T108" i="146"/>
  <c r="V108" i="146"/>
  <c r="T109" i="146"/>
  <c r="V109" i="146"/>
  <c r="T110" i="146"/>
  <c r="V110" i="146"/>
  <c r="T111" i="146"/>
  <c r="U111" i="146" a="1"/>
  <c r="U111" i="146"/>
  <c r="Q111" i="146"/>
  <c r="T112" i="146"/>
  <c r="U112" i="146" a="1"/>
  <c r="U112" i="146"/>
  <c r="Q112" i="146"/>
  <c r="T113" i="146"/>
  <c r="T114" i="146"/>
  <c r="U114" i="146" a="1"/>
  <c r="U114" i="146"/>
  <c r="Q114" i="146"/>
  <c r="T115" i="146"/>
  <c r="T116" i="146"/>
  <c r="T117" i="146"/>
  <c r="U117" i="146" a="1"/>
  <c r="U117" i="146"/>
  <c r="Q117" i="146"/>
  <c r="T118" i="146"/>
  <c r="U118" i="146" a="1"/>
  <c r="U118" i="146"/>
  <c r="Q118" i="146"/>
  <c r="T119" i="146"/>
  <c r="U119" i="146" a="1"/>
  <c r="U119" i="146"/>
  <c r="Q119" i="146"/>
  <c r="T120" i="146"/>
  <c r="U120" i="146" a="1"/>
  <c r="U120" i="146"/>
  <c r="Q120" i="146"/>
  <c r="T121" i="146"/>
  <c r="U121" i="146" a="1"/>
  <c r="U121" i="146"/>
  <c r="Q121" i="146"/>
  <c r="T122" i="146"/>
  <c r="U122" i="146" a="1"/>
  <c r="U122" i="146"/>
  <c r="Q122" i="146"/>
  <c r="T123" i="146"/>
  <c r="V123" i="146"/>
  <c r="T124" i="146"/>
  <c r="T125" i="146"/>
  <c r="T126" i="146"/>
  <c r="T127" i="146"/>
  <c r="V127" i="146"/>
  <c r="T128" i="146"/>
  <c r="V128" i="146"/>
  <c r="T129" i="146"/>
  <c r="V129" i="146"/>
  <c r="T130" i="146"/>
  <c r="U130" i="146" a="1"/>
  <c r="U130" i="146"/>
  <c r="Q130" i="146"/>
  <c r="T131" i="146"/>
  <c r="T132" i="146"/>
  <c r="U132" i="146" a="1"/>
  <c r="U132" i="146"/>
  <c r="Q132" i="146"/>
  <c r="T133" i="146"/>
  <c r="U133" i="146" a="1"/>
  <c r="U133" i="146"/>
  <c r="Q133" i="146"/>
  <c r="T134" i="146"/>
  <c r="U134" i="146" a="1"/>
  <c r="U134" i="146"/>
  <c r="Q134" i="146"/>
  <c r="T135" i="146"/>
  <c r="U135" i="146" a="1"/>
  <c r="U135" i="146"/>
  <c r="Q135" i="146"/>
  <c r="T136" i="146"/>
  <c r="V136" i="146"/>
  <c r="T137" i="146"/>
  <c r="T138" i="146"/>
  <c r="T139" i="146"/>
  <c r="V139" i="146"/>
  <c r="T140" i="146"/>
  <c r="T141" i="146"/>
  <c r="U141" i="146" a="1"/>
  <c r="U141" i="146"/>
  <c r="Q141" i="146"/>
  <c r="T142" i="146"/>
  <c r="U142" i="146" a="1"/>
  <c r="U142" i="146"/>
  <c r="Q142" i="146"/>
  <c r="T143" i="146"/>
  <c r="U143" i="146" a="1"/>
  <c r="U143" i="146"/>
  <c r="Q143" i="146"/>
  <c r="T144" i="146"/>
  <c r="U144" i="146" a="1"/>
  <c r="U144" i="146"/>
  <c r="Q144" i="146"/>
  <c r="T145" i="146"/>
  <c r="U145" i="146" a="1"/>
  <c r="U145" i="146"/>
  <c r="Q145" i="146"/>
  <c r="T146" i="146"/>
  <c r="V146" i="146"/>
  <c r="T147" i="146"/>
  <c r="V147" i="146"/>
  <c r="T148" i="146"/>
  <c r="U148" i="146" a="1"/>
  <c r="U148" i="146"/>
  <c r="Q148" i="146"/>
  <c r="T149" i="146"/>
  <c r="U149" i="146" a="1"/>
  <c r="U149" i="146"/>
  <c r="Q149" i="146"/>
  <c r="T150" i="146"/>
  <c r="U150" i="146" a="1"/>
  <c r="U150" i="146"/>
  <c r="Q150" i="146"/>
  <c r="T151" i="146"/>
  <c r="V151" i="146"/>
  <c r="T152" i="146"/>
  <c r="U152" i="146" a="1"/>
  <c r="U152" i="146"/>
  <c r="Q152" i="146"/>
  <c r="T153" i="146"/>
  <c r="U153" i="146" a="1"/>
  <c r="U153" i="146"/>
  <c r="Q153" i="146"/>
  <c r="T154" i="146"/>
  <c r="U154" i="146" a="1"/>
  <c r="U154" i="146"/>
  <c r="Q154" i="146"/>
  <c r="T155" i="146"/>
  <c r="U155" i="146" a="1"/>
  <c r="U155" i="146"/>
  <c r="Q155" i="146"/>
  <c r="T156" i="146"/>
  <c r="U156" i="146" a="1"/>
  <c r="U156" i="146"/>
  <c r="Q156" i="146"/>
  <c r="T157" i="146"/>
  <c r="V157" i="146"/>
  <c r="T158" i="146"/>
  <c r="U158" i="146" a="1"/>
  <c r="U158" i="146"/>
  <c r="Q158" i="146"/>
  <c r="T159" i="146"/>
  <c r="T160" i="146"/>
  <c r="U160" i="146" a="1"/>
  <c r="U160" i="146"/>
  <c r="Q160" i="146"/>
  <c r="T161" i="146"/>
  <c r="V161" i="146"/>
  <c r="T162" i="146"/>
  <c r="V162" i="146"/>
  <c r="T163" i="146"/>
  <c r="U163" i="146" a="1"/>
  <c r="U163" i="146"/>
  <c r="Q163" i="146"/>
  <c r="T164" i="146"/>
  <c r="T165" i="146"/>
  <c r="U165" i="146" a="1"/>
  <c r="U165" i="146"/>
  <c r="Q165" i="146"/>
  <c r="T166" i="146"/>
  <c r="V166" i="146"/>
  <c r="T167" i="146"/>
  <c r="V167" i="146"/>
  <c r="T168" i="146"/>
  <c r="U168" i="146" a="1"/>
  <c r="U168" i="146"/>
  <c r="Q168" i="146"/>
  <c r="T169" i="146"/>
  <c r="U169" i="146" a="1"/>
  <c r="U169" i="146"/>
  <c r="Q169" i="146"/>
  <c r="T170" i="146"/>
  <c r="U170" i="146" a="1"/>
  <c r="U170" i="146"/>
  <c r="Q170" i="146"/>
  <c r="T171" i="146"/>
  <c r="U171" i="146" a="1"/>
  <c r="U171" i="146"/>
  <c r="Q171" i="146"/>
  <c r="T172" i="146"/>
  <c r="T173" i="146"/>
  <c r="U173" i="146" a="1"/>
  <c r="U173" i="146"/>
  <c r="Q173" i="146"/>
  <c r="T174" i="146"/>
  <c r="U174" i="146" a="1"/>
  <c r="U174" i="146"/>
  <c r="Q174" i="146"/>
  <c r="T175" i="146"/>
  <c r="U175" i="146" a="1"/>
  <c r="U175" i="146"/>
  <c r="Q175" i="146"/>
  <c r="T176" i="146"/>
  <c r="V176" i="146"/>
  <c r="T177" i="146"/>
  <c r="U177" i="146" a="1"/>
  <c r="U177" i="146"/>
  <c r="Q177" i="146"/>
  <c r="T178" i="146"/>
  <c r="U178" i="146" a="1"/>
  <c r="U178" i="146"/>
  <c r="Q178" i="146"/>
  <c r="T179" i="146"/>
  <c r="U179" i="146" a="1"/>
  <c r="U179" i="146"/>
  <c r="Q179" i="146"/>
  <c r="T180" i="146"/>
  <c r="U180" i="146" a="1"/>
  <c r="U180" i="146"/>
  <c r="Q180" i="146"/>
  <c r="T181" i="146"/>
  <c r="V181" i="146"/>
  <c r="T182" i="146"/>
  <c r="U182" i="146" a="1"/>
  <c r="U182" i="146"/>
  <c r="Q182" i="146"/>
  <c r="T183" i="146"/>
  <c r="T184" i="146"/>
  <c r="T185" i="146"/>
  <c r="U185" i="146" a="1"/>
  <c r="U185" i="146"/>
  <c r="Q185" i="146"/>
  <c r="T186" i="146"/>
  <c r="U186" i="146" a="1"/>
  <c r="U186" i="146"/>
  <c r="Q186" i="146"/>
  <c r="T187" i="146"/>
  <c r="V187" i="146"/>
  <c r="T188" i="146"/>
  <c r="V188" i="146"/>
  <c r="T189" i="146"/>
  <c r="U189" i="146" a="1"/>
  <c r="U189" i="146"/>
  <c r="Q189" i="146"/>
  <c r="T190" i="146"/>
  <c r="U190" i="146" a="1"/>
  <c r="U190" i="146"/>
  <c r="Q190" i="146"/>
  <c r="T191" i="146"/>
  <c r="V191" i="146"/>
  <c r="T192" i="146"/>
  <c r="U192" i="146" a="1"/>
  <c r="U192" i="146"/>
  <c r="Q192" i="146"/>
  <c r="T193" i="146"/>
  <c r="U193" i="146" a="1"/>
  <c r="U193" i="146"/>
  <c r="Q193" i="146"/>
  <c r="T194" i="146"/>
  <c r="U194" i="146" a="1"/>
  <c r="U194" i="146"/>
  <c r="Q194" i="146"/>
  <c r="T195" i="146"/>
  <c r="U195" i="146" a="1"/>
  <c r="U195" i="146"/>
  <c r="Q195" i="146"/>
  <c r="T196" i="146"/>
  <c r="V196" i="146"/>
  <c r="T197" i="146"/>
  <c r="V197" i="146"/>
  <c r="T198" i="146"/>
  <c r="V198" i="146"/>
  <c r="T199" i="146"/>
  <c r="U199" i="146" a="1"/>
  <c r="U199" i="146"/>
  <c r="Q199" i="146"/>
  <c r="T200" i="146"/>
  <c r="U200" i="146" a="1"/>
  <c r="U200" i="146"/>
  <c r="Q200" i="146"/>
  <c r="T201" i="146"/>
  <c r="U201" i="146" a="1"/>
  <c r="U201" i="146"/>
  <c r="Q201" i="146"/>
  <c r="T202" i="146"/>
  <c r="U202" i="146" a="1"/>
  <c r="U202" i="146"/>
  <c r="Q202" i="146"/>
  <c r="T203" i="146"/>
  <c r="U203" i="146" a="1"/>
  <c r="U203" i="146"/>
  <c r="Q203" i="146"/>
  <c r="T204" i="146"/>
  <c r="U204" i="146" a="1"/>
  <c r="U204" i="146"/>
  <c r="Q204" i="146"/>
  <c r="T205" i="146"/>
  <c r="U205" i="146" a="1"/>
  <c r="U205" i="146"/>
  <c r="Q205" i="146"/>
  <c r="T206" i="146"/>
  <c r="U206" i="146" a="1"/>
  <c r="U206" i="146"/>
  <c r="Q206" i="146"/>
  <c r="T207" i="146"/>
  <c r="U207" i="146" a="1"/>
  <c r="U207" i="146"/>
  <c r="Q207" i="146"/>
  <c r="T208" i="146"/>
  <c r="T209" i="146"/>
  <c r="V209" i="146"/>
  <c r="T210" i="146"/>
  <c r="V210" i="146"/>
  <c r="T211" i="146"/>
  <c r="V211" i="146"/>
  <c r="T212" i="146"/>
  <c r="T213" i="146"/>
  <c r="U213" i="146" a="1"/>
  <c r="U213" i="146"/>
  <c r="Q213" i="146"/>
  <c r="T214" i="146"/>
  <c r="U214" i="146" a="1"/>
  <c r="U214" i="146"/>
  <c r="Q214" i="146"/>
  <c r="T215" i="146"/>
  <c r="V215" i="146"/>
  <c r="T216" i="146"/>
  <c r="U216" i="146" a="1"/>
  <c r="U216" i="146"/>
  <c r="Q216" i="146"/>
  <c r="T217" i="146"/>
  <c r="U217" i="146" a="1"/>
  <c r="U217" i="146"/>
  <c r="Q217" i="146"/>
  <c r="T218" i="146"/>
  <c r="U218" i="146" a="1"/>
  <c r="U218" i="146"/>
  <c r="Q218" i="146"/>
  <c r="T219" i="146"/>
  <c r="T220" i="146"/>
  <c r="V220" i="146"/>
  <c r="T221" i="146"/>
  <c r="U221" i="146" a="1"/>
  <c r="U221" i="146"/>
  <c r="Q221" i="146"/>
  <c r="T222" i="146"/>
  <c r="U222" i="146" a="1"/>
  <c r="U222" i="146"/>
  <c r="Q222" i="146"/>
  <c r="T223" i="146"/>
  <c r="U223" i="146" a="1"/>
  <c r="U223" i="146"/>
  <c r="Q223" i="146"/>
  <c r="T224" i="146"/>
  <c r="V224" i="146"/>
  <c r="T225" i="146"/>
  <c r="U225" i="146" a="1"/>
  <c r="U225" i="146"/>
  <c r="Q225" i="146"/>
  <c r="T226" i="146"/>
  <c r="U226" i="146" a="1"/>
  <c r="U226" i="146"/>
  <c r="Q226" i="146"/>
  <c r="T227" i="146"/>
  <c r="U227" i="146" a="1"/>
  <c r="U227" i="146"/>
  <c r="Q227" i="146"/>
  <c r="T228" i="146"/>
  <c r="U228" i="146" a="1"/>
  <c r="U228" i="146"/>
  <c r="Q228" i="146"/>
  <c r="T229" i="146"/>
  <c r="V229" i="146"/>
  <c r="T230" i="146"/>
  <c r="U230" i="146" a="1"/>
  <c r="U230" i="146"/>
  <c r="Q230" i="146"/>
  <c r="T231" i="146"/>
  <c r="V231" i="146"/>
  <c r="T232" i="146"/>
  <c r="U232" i="146" a="1"/>
  <c r="U232" i="146"/>
  <c r="Q232" i="146"/>
  <c r="T233" i="146"/>
  <c r="T234" i="146"/>
  <c r="V234" i="146"/>
  <c r="T235" i="146"/>
  <c r="U235" i="146" a="1"/>
  <c r="U235" i="146"/>
  <c r="Q235" i="146"/>
  <c r="T236" i="146"/>
  <c r="U236" i="146" a="1"/>
  <c r="U236" i="146"/>
  <c r="Q236" i="146"/>
  <c r="T237" i="146"/>
  <c r="V237" i="146"/>
  <c r="T238" i="146"/>
  <c r="U238" i="146" a="1"/>
  <c r="U238" i="146"/>
  <c r="Q238" i="146"/>
  <c r="T239" i="146"/>
  <c r="V239" i="146"/>
  <c r="T240" i="146"/>
  <c r="U240" i="146" a="1"/>
  <c r="U240" i="146"/>
  <c r="Q240" i="146"/>
  <c r="T241" i="146"/>
  <c r="U241" i="146" a="1"/>
  <c r="U241" i="146"/>
  <c r="Q241" i="146"/>
  <c r="T242" i="146"/>
  <c r="T243" i="146"/>
  <c r="V243" i="146"/>
  <c r="T244" i="146"/>
  <c r="V244" i="146"/>
  <c r="T245" i="146"/>
  <c r="U245" i="146" a="1"/>
  <c r="U245" i="146"/>
  <c r="Q245" i="146"/>
  <c r="T246" i="146"/>
  <c r="U246" i="146" a="1"/>
  <c r="U246" i="146"/>
  <c r="Q246" i="146"/>
  <c r="T247" i="146"/>
  <c r="U247" i="146" a="1"/>
  <c r="U247" i="146"/>
  <c r="Q247" i="146"/>
  <c r="T248" i="146"/>
  <c r="V248" i="146"/>
  <c r="T249" i="146"/>
  <c r="U249" i="146" a="1"/>
  <c r="U249" i="146"/>
  <c r="Q249" i="146"/>
  <c r="T250" i="146"/>
  <c r="V250" i="146"/>
  <c r="T251" i="146"/>
  <c r="U251" i="146" a="1"/>
  <c r="U251" i="146"/>
  <c r="Q251" i="146"/>
  <c r="T252" i="146"/>
  <c r="T253" i="146"/>
  <c r="T254" i="146"/>
  <c r="U254" i="146" a="1"/>
  <c r="U254" i="146"/>
  <c r="Q254" i="146"/>
  <c r="T255" i="146"/>
  <c r="T256" i="146"/>
  <c r="V256" i="146"/>
  <c r="T257" i="146"/>
  <c r="V257" i="146"/>
  <c r="T258" i="146"/>
  <c r="U258" i="146" a="1"/>
  <c r="U258" i="146"/>
  <c r="Q258" i="146"/>
  <c r="T259" i="146"/>
  <c r="U259" i="146" a="1"/>
  <c r="U259" i="146"/>
  <c r="Q259" i="146"/>
  <c r="T260" i="146"/>
  <c r="V260" i="146"/>
  <c r="T261" i="146"/>
  <c r="V261" i="146"/>
  <c r="T262" i="146"/>
  <c r="U262" i="146" a="1"/>
  <c r="U262" i="146"/>
  <c r="Q262" i="146"/>
  <c r="T263" i="146"/>
  <c r="T264" i="146"/>
  <c r="T265" i="146"/>
  <c r="T266" i="146"/>
  <c r="V266" i="146"/>
  <c r="T267" i="146"/>
  <c r="V267" i="146"/>
  <c r="T268" i="146"/>
  <c r="V268" i="146"/>
  <c r="T269" i="146"/>
  <c r="U269" i="146" a="1"/>
  <c r="U269" i="146"/>
  <c r="Q269" i="146"/>
  <c r="T270" i="146"/>
  <c r="U270" i="146" a="1"/>
  <c r="U270" i="146"/>
  <c r="Q270" i="146"/>
  <c r="T271" i="146"/>
  <c r="V271" i="146"/>
  <c r="T272" i="146"/>
  <c r="V272" i="146"/>
  <c r="T273" i="146"/>
  <c r="V273" i="146"/>
  <c r="T274" i="146"/>
  <c r="U274" i="146" a="1"/>
  <c r="U274" i="146"/>
  <c r="Q274" i="146"/>
  <c r="T275" i="146"/>
  <c r="U275" i="146" a="1"/>
  <c r="U275" i="146"/>
  <c r="Q275" i="146"/>
  <c r="T276" i="146"/>
  <c r="T277" i="146"/>
  <c r="T278" i="146"/>
  <c r="U278" i="146" a="1"/>
  <c r="U278" i="146"/>
  <c r="Q278" i="146"/>
  <c r="T279" i="146"/>
  <c r="T280" i="146"/>
  <c r="U280" i="146" a="1"/>
  <c r="U280" i="146"/>
  <c r="Q280" i="146"/>
  <c r="T281" i="146"/>
  <c r="V281" i="146"/>
  <c r="T282" i="146"/>
  <c r="V282" i="146"/>
  <c r="T283" i="146"/>
  <c r="U283" i="146" a="1"/>
  <c r="U283" i="146"/>
  <c r="Q283" i="146"/>
  <c r="T284" i="146"/>
  <c r="V284" i="146"/>
  <c r="T285" i="146"/>
  <c r="U285" i="146" a="1"/>
  <c r="U285" i="146"/>
  <c r="Q285" i="146"/>
  <c r="T286" i="146"/>
  <c r="V286" i="146"/>
  <c r="T287" i="146"/>
  <c r="T288" i="146"/>
  <c r="T289" i="146"/>
  <c r="U289" i="146" a="1"/>
  <c r="U289" i="146"/>
  <c r="Q289" i="146"/>
  <c r="T290" i="146"/>
  <c r="V290" i="146"/>
  <c r="T291" i="146"/>
  <c r="U291" i="146" a="1"/>
  <c r="U291" i="146"/>
  <c r="Q291" i="146"/>
  <c r="T292" i="146"/>
  <c r="V292" i="146"/>
  <c r="T293" i="146"/>
  <c r="V293" i="146"/>
  <c r="T294" i="146"/>
  <c r="U294" i="146" a="1"/>
  <c r="U294" i="146"/>
  <c r="Q294" i="146"/>
  <c r="T295" i="146"/>
  <c r="U295" i="146" a="1"/>
  <c r="U295" i="146"/>
  <c r="Q295" i="146"/>
  <c r="T296" i="146"/>
  <c r="U296" i="146" a="1"/>
  <c r="U296" i="146"/>
  <c r="Q296" i="146"/>
  <c r="T297" i="146"/>
  <c r="U297" i="146" a="1"/>
  <c r="U297" i="146"/>
  <c r="Q297" i="146"/>
  <c r="T298" i="146"/>
  <c r="U298" i="146" a="1"/>
  <c r="U298" i="146"/>
  <c r="Q298" i="146"/>
  <c r="T299" i="146"/>
  <c r="T300" i="146"/>
  <c r="T301" i="146"/>
  <c r="V301" i="146"/>
  <c r="T302" i="146"/>
  <c r="U302" i="146" a="1"/>
  <c r="U302" i="146"/>
  <c r="Q302" i="146"/>
  <c r="T303" i="146"/>
  <c r="T304" i="146"/>
  <c r="T305" i="146"/>
  <c r="T306" i="146"/>
  <c r="T307" i="146"/>
  <c r="U307" i="146" a="1"/>
  <c r="U307" i="146"/>
  <c r="Q307" i="146"/>
  <c r="T308" i="146"/>
  <c r="U308" i="146" a="1"/>
  <c r="U308" i="146"/>
  <c r="Q308" i="146"/>
  <c r="T309" i="146"/>
  <c r="U309" i="146" a="1"/>
  <c r="U309" i="146"/>
  <c r="Q309" i="146"/>
  <c r="T310" i="146"/>
  <c r="V310" i="146"/>
  <c r="T311" i="146"/>
  <c r="U311" i="146" a="1"/>
  <c r="U311" i="146"/>
  <c r="Q311" i="146"/>
  <c r="T312" i="146"/>
  <c r="T313" i="146"/>
  <c r="T314" i="146"/>
  <c r="V314" i="146"/>
  <c r="T315" i="146"/>
  <c r="T316" i="146"/>
  <c r="T317" i="146"/>
  <c r="V317" i="146"/>
  <c r="T318" i="146"/>
  <c r="U318" i="146" a="1"/>
  <c r="U318" i="146"/>
  <c r="Q318" i="146"/>
  <c r="T319" i="146"/>
  <c r="U319" i="146" a="1"/>
  <c r="U319" i="146"/>
  <c r="Q319" i="146"/>
  <c r="T320" i="146"/>
  <c r="U320" i="146" a="1"/>
  <c r="U320" i="146"/>
  <c r="Q320" i="146"/>
  <c r="T321" i="146"/>
  <c r="U321" i="146" a="1"/>
  <c r="U321" i="146"/>
  <c r="Q321" i="146"/>
  <c r="T322" i="146"/>
  <c r="T323" i="146"/>
  <c r="U323" i="146" a="1"/>
  <c r="U323" i="146"/>
  <c r="Q323" i="146"/>
  <c r="T324" i="146"/>
  <c r="V324" i="146"/>
  <c r="T325" i="146"/>
  <c r="V325" i="146"/>
  <c r="T326" i="146"/>
  <c r="T327" i="146"/>
  <c r="U327" i="146" a="1"/>
  <c r="U327" i="146"/>
  <c r="Q327" i="146"/>
  <c r="T328" i="146"/>
  <c r="U328" i="146" a="1"/>
  <c r="U328" i="146"/>
  <c r="Q328" i="146"/>
  <c r="T329" i="146"/>
  <c r="U329" i="146" a="1"/>
  <c r="U329" i="146"/>
  <c r="Q329" i="146"/>
  <c r="T330" i="146"/>
  <c r="V330" i="146"/>
  <c r="T331" i="146"/>
  <c r="U331" i="146" a="1"/>
  <c r="U331" i="146"/>
  <c r="Q331" i="146"/>
  <c r="T332" i="146"/>
  <c r="V332" i="146"/>
  <c r="T333" i="146"/>
  <c r="U333" i="146" a="1"/>
  <c r="U333" i="146"/>
  <c r="Q333" i="146"/>
  <c r="T334" i="146"/>
  <c r="U334" i="146" a="1"/>
  <c r="U334" i="146"/>
  <c r="Q334" i="146"/>
  <c r="T335" i="146"/>
  <c r="U335" i="146" a="1"/>
  <c r="U335" i="146"/>
  <c r="Q335" i="146"/>
  <c r="T336" i="146"/>
  <c r="T337" i="146"/>
  <c r="U337" i="146" a="1"/>
  <c r="U337" i="146"/>
  <c r="Q337" i="146"/>
  <c r="T338" i="146"/>
  <c r="U338" i="146" a="1"/>
  <c r="U338" i="146"/>
  <c r="Q338" i="146"/>
  <c r="T339" i="146"/>
  <c r="T340" i="146"/>
  <c r="U340" i="146" a="1"/>
  <c r="U340" i="146"/>
  <c r="Q340" i="146"/>
  <c r="T341" i="146"/>
  <c r="V341" i="146"/>
  <c r="T342" i="146"/>
  <c r="V342" i="146"/>
  <c r="T343" i="146"/>
  <c r="V343" i="146"/>
  <c r="T344" i="146"/>
  <c r="V344" i="146"/>
  <c r="T345" i="146"/>
  <c r="V345" i="146"/>
  <c r="T346" i="146"/>
  <c r="U346" i="146" a="1"/>
  <c r="U346" i="146"/>
  <c r="Q346" i="146"/>
  <c r="T347" i="146"/>
  <c r="U347" i="146" a="1"/>
  <c r="U347" i="146"/>
  <c r="Q347" i="146"/>
  <c r="T348" i="146"/>
  <c r="U348" i="146" a="1"/>
  <c r="U348" i="146"/>
  <c r="Q348" i="146"/>
  <c r="T349" i="146"/>
  <c r="U349" i="146" a="1"/>
  <c r="U349" i="146"/>
  <c r="Q349" i="146"/>
  <c r="T350" i="146"/>
  <c r="U350" i="146" a="1"/>
  <c r="U350" i="146"/>
  <c r="Q350" i="146"/>
  <c r="T351" i="146"/>
  <c r="U351" i="146" a="1"/>
  <c r="U351" i="146"/>
  <c r="Q351" i="146"/>
  <c r="T352" i="146"/>
  <c r="U352" i="146" a="1"/>
  <c r="U352" i="146"/>
  <c r="Q352" i="146"/>
  <c r="T353" i="146"/>
  <c r="U353" i="146" a="1"/>
  <c r="U353" i="146"/>
  <c r="Q353" i="146"/>
  <c r="T354" i="146"/>
  <c r="U354" i="146" a="1"/>
  <c r="U354" i="146"/>
  <c r="Q354" i="146"/>
  <c r="T355" i="146"/>
  <c r="V355" i="146"/>
  <c r="T356" i="146"/>
  <c r="U356" i="146" a="1"/>
  <c r="U356" i="146"/>
  <c r="Q356" i="146"/>
  <c r="T357" i="146"/>
  <c r="U357" i="146" a="1"/>
  <c r="U357" i="146"/>
  <c r="Q357" i="146"/>
  <c r="T358" i="146"/>
  <c r="U358" i="146" a="1"/>
  <c r="U358" i="146"/>
  <c r="Q358" i="146"/>
  <c r="T359" i="146"/>
  <c r="V359" i="146"/>
  <c r="T360" i="146"/>
  <c r="V360" i="146"/>
  <c r="T361" i="146"/>
  <c r="U361" i="146" a="1"/>
  <c r="U361" i="146"/>
  <c r="Q361" i="146"/>
  <c r="T362" i="146"/>
  <c r="V362" i="146"/>
  <c r="T363" i="146"/>
  <c r="T364" i="146"/>
  <c r="U364" i="146" a="1"/>
  <c r="U364" i="146"/>
  <c r="Q364" i="146"/>
  <c r="T365" i="146"/>
  <c r="V365" i="146"/>
  <c r="T366" i="146"/>
  <c r="U366" i="146" a="1"/>
  <c r="U366" i="146"/>
  <c r="Q366" i="146"/>
  <c r="T367" i="146"/>
  <c r="U367" i="146" a="1"/>
  <c r="U367" i="146"/>
  <c r="Q367" i="146"/>
  <c r="T368" i="146"/>
  <c r="V368" i="146"/>
  <c r="T369" i="146"/>
  <c r="U369" i="146" a="1"/>
  <c r="U369" i="146"/>
  <c r="Q369" i="146"/>
  <c r="T370" i="146"/>
  <c r="V370" i="146"/>
  <c r="T371" i="146"/>
  <c r="V371" i="146"/>
  <c r="T372" i="146"/>
  <c r="U372" i="146" a="1"/>
  <c r="U372" i="146"/>
  <c r="Q372" i="146"/>
  <c r="T373" i="146"/>
  <c r="U373" i="146" a="1"/>
  <c r="T374" i="146"/>
  <c r="T375" i="146"/>
  <c r="T376" i="146"/>
  <c r="U376" i="146" a="1"/>
  <c r="U376" i="146"/>
  <c r="Q376" i="146"/>
  <c r="T377" i="146"/>
  <c r="U377" i="146" a="1"/>
  <c r="U377" i="146"/>
  <c r="Q377" i="146"/>
  <c r="T378" i="146"/>
  <c r="V378" i="146"/>
  <c r="T379" i="146"/>
  <c r="V379" i="146"/>
  <c r="T380" i="146"/>
  <c r="V380" i="146"/>
  <c r="T381" i="146"/>
  <c r="T382" i="146"/>
  <c r="U382" i="146" a="1"/>
  <c r="U382" i="146"/>
  <c r="Q382" i="146"/>
  <c r="T383" i="146"/>
  <c r="V383" i="146"/>
  <c r="T384" i="146"/>
  <c r="T385" i="146"/>
  <c r="T386" i="146"/>
  <c r="U386" i="146" a="1"/>
  <c r="U386" i="146"/>
  <c r="Q386" i="146"/>
  <c r="T387" i="146"/>
  <c r="T388" i="146"/>
  <c r="V388" i="146"/>
  <c r="T389" i="146"/>
  <c r="U389" i="146" a="1"/>
  <c r="U389" i="146"/>
  <c r="Q389" i="146"/>
  <c r="T390" i="146"/>
  <c r="U390" i="146" a="1"/>
  <c r="U390" i="146"/>
  <c r="Q390" i="146"/>
  <c r="T391" i="146"/>
  <c r="V391" i="146"/>
  <c r="T392" i="146"/>
  <c r="V392" i="146"/>
  <c r="T393" i="146"/>
  <c r="V393" i="146"/>
  <c r="T394" i="146"/>
  <c r="U394" i="146" a="1"/>
  <c r="U394" i="146"/>
  <c r="Q394" i="146"/>
  <c r="T395" i="146"/>
  <c r="T396" i="146"/>
  <c r="T397" i="146"/>
  <c r="T398" i="146"/>
  <c r="U398" i="146" a="1"/>
  <c r="U398" i="146"/>
  <c r="Q398" i="146"/>
  <c r="T399" i="146"/>
  <c r="U399" i="146" a="1"/>
  <c r="U399" i="146"/>
  <c r="Q399" i="146"/>
  <c r="T400" i="146"/>
  <c r="U400" i="146" a="1"/>
  <c r="U400" i="146"/>
  <c r="Q400" i="146"/>
  <c r="T401" i="146"/>
  <c r="U401" i="146" a="1"/>
  <c r="U401" i="146"/>
  <c r="Q401" i="146"/>
  <c r="T402" i="146"/>
  <c r="U402" i="146" a="1"/>
  <c r="U402" i="146"/>
  <c r="Q402" i="146"/>
  <c r="T403" i="146"/>
  <c r="U403" i="146" a="1"/>
  <c r="U403" i="146"/>
  <c r="Q403" i="146"/>
  <c r="T404" i="146"/>
  <c r="U404" i="146" a="1"/>
  <c r="U404" i="146"/>
  <c r="Q404" i="146"/>
  <c r="T405" i="146"/>
  <c r="V405" i="146"/>
  <c r="T406" i="146"/>
  <c r="V406" i="146"/>
  <c r="T407" i="146"/>
  <c r="U407" i="146" a="1"/>
  <c r="U407" i="146"/>
  <c r="Q407" i="146"/>
  <c r="T408" i="146"/>
  <c r="U408" i="146" a="1"/>
  <c r="U408" i="146"/>
  <c r="Q408" i="146"/>
  <c r="T409" i="146"/>
  <c r="U409" i="146" a="1"/>
  <c r="U409" i="146"/>
  <c r="Q409" i="146"/>
  <c r="T410" i="146"/>
  <c r="U410" i="146" a="1"/>
  <c r="U410" i="146"/>
  <c r="Q410" i="146"/>
  <c r="T411" i="146"/>
  <c r="U411" i="146" a="1"/>
  <c r="U411" i="146"/>
  <c r="Q411" i="146"/>
  <c r="T412" i="146"/>
  <c r="V412" i="146"/>
  <c r="T413" i="146"/>
  <c r="V413" i="146"/>
  <c r="T414" i="146"/>
  <c r="T415" i="146"/>
  <c r="U415" i="146" a="1"/>
  <c r="U415" i="146"/>
  <c r="Q415" i="146"/>
  <c r="T416" i="146"/>
  <c r="V416" i="146"/>
  <c r="T417" i="146"/>
  <c r="U417" i="146" a="1"/>
  <c r="U417" i="146"/>
  <c r="Q417" i="146"/>
  <c r="T418" i="146"/>
  <c r="U418" i="146" a="1"/>
  <c r="U418" i="146"/>
  <c r="Q418" i="146"/>
  <c r="T419" i="146"/>
  <c r="U419" i="146" a="1"/>
  <c r="U419" i="146"/>
  <c r="Q419" i="146"/>
  <c r="T420" i="146"/>
  <c r="U420" i="146" a="1"/>
  <c r="U420" i="146"/>
  <c r="Q420" i="146"/>
  <c r="T421" i="146"/>
  <c r="V421" i="146"/>
  <c r="T422" i="146"/>
  <c r="V422" i="146"/>
  <c r="T423" i="146"/>
  <c r="U423" i="146" a="1"/>
  <c r="U423" i="146"/>
  <c r="Q423" i="146"/>
  <c r="T424" i="146"/>
  <c r="V424" i="146"/>
  <c r="T425" i="146"/>
  <c r="V425" i="146"/>
  <c r="T426" i="146"/>
  <c r="U426" i="146" a="1"/>
  <c r="U426" i="146"/>
  <c r="Q426" i="146"/>
  <c r="T427" i="146"/>
  <c r="U427" i="146" a="1"/>
  <c r="U427" i="146"/>
  <c r="Q427" i="146"/>
  <c r="T428" i="146"/>
  <c r="U428" i="146" a="1"/>
  <c r="U428" i="146"/>
  <c r="Q428" i="146"/>
  <c r="T429" i="146"/>
  <c r="U429" i="146" a="1"/>
  <c r="U429" i="146"/>
  <c r="Q429" i="146"/>
  <c r="T430" i="146"/>
  <c r="U430" i="146" a="1"/>
  <c r="U430" i="146"/>
  <c r="Q430" i="146"/>
  <c r="T431" i="146"/>
  <c r="T432" i="146"/>
  <c r="T433" i="146"/>
  <c r="U433" i="146" a="1"/>
  <c r="U433" i="146"/>
  <c r="Q433" i="146"/>
  <c r="T434" i="146"/>
  <c r="U434" i="146" a="1"/>
  <c r="U434" i="146"/>
  <c r="Q434" i="146"/>
  <c r="T435" i="146"/>
  <c r="V435" i="146"/>
  <c r="T436" i="146"/>
  <c r="U436" i="146" a="1"/>
  <c r="U436" i="146"/>
  <c r="Q436" i="146"/>
  <c r="T437" i="146"/>
  <c r="V437" i="146"/>
  <c r="T438" i="146"/>
  <c r="U438" i="146" a="1"/>
  <c r="U438" i="146"/>
  <c r="Q438" i="146"/>
  <c r="T439" i="146"/>
  <c r="V439" i="146"/>
  <c r="T440" i="146"/>
  <c r="U440" i="146" a="1"/>
  <c r="U440" i="146"/>
  <c r="Q440" i="146"/>
  <c r="T441" i="146"/>
  <c r="U441" i="146" a="1"/>
  <c r="U441" i="146"/>
  <c r="Q441" i="146"/>
  <c r="T442" i="146"/>
  <c r="U442" i="146" a="1"/>
  <c r="U442" i="146"/>
  <c r="Q442" i="146"/>
  <c r="T443" i="146"/>
  <c r="T444" i="146"/>
  <c r="U444" i="146" a="1"/>
  <c r="U444" i="146"/>
  <c r="Q444" i="146"/>
  <c r="T445" i="146"/>
  <c r="V445" i="146"/>
  <c r="T446" i="146"/>
  <c r="V446" i="146"/>
  <c r="T447" i="146"/>
  <c r="V447" i="146"/>
  <c r="T448" i="146"/>
  <c r="U448" i="146" a="1"/>
  <c r="U448" i="146"/>
  <c r="Q448" i="146"/>
  <c r="T449" i="146"/>
  <c r="V449" i="146"/>
  <c r="T450" i="146"/>
  <c r="U450" i="146" a="1"/>
  <c r="U450" i="146"/>
  <c r="Q450" i="146"/>
  <c r="T451" i="146"/>
  <c r="U451" i="146" a="1"/>
  <c r="U451" i="146"/>
  <c r="Q451" i="146"/>
  <c r="T452" i="146"/>
  <c r="V452" i="146"/>
  <c r="T453" i="146"/>
  <c r="U453" i="146" a="1"/>
  <c r="U453" i="146"/>
  <c r="Q453" i="146"/>
  <c r="T454" i="146"/>
  <c r="U454" i="146" a="1"/>
  <c r="U454" i="146"/>
  <c r="Q454" i="146"/>
  <c r="T455" i="146"/>
  <c r="T456" i="146"/>
  <c r="U456" i="146" a="1"/>
  <c r="U456" i="146"/>
  <c r="Q456" i="146"/>
  <c r="T457" i="146"/>
  <c r="V457" i="146"/>
  <c r="T458" i="146"/>
  <c r="U458" i="146" a="1"/>
  <c r="U458" i="146"/>
  <c r="Q458" i="146"/>
  <c r="T459" i="146"/>
  <c r="V459" i="146"/>
  <c r="T460" i="146"/>
  <c r="V460" i="146"/>
  <c r="T461" i="146"/>
  <c r="U461" i="146" a="1"/>
  <c r="U461" i="146"/>
  <c r="Q461" i="146"/>
  <c r="T462" i="146"/>
  <c r="U462" i="146" a="1"/>
  <c r="U462" i="146"/>
  <c r="Q462" i="146"/>
  <c r="T463" i="146"/>
  <c r="U463" i="146" a="1"/>
  <c r="U463" i="146"/>
  <c r="Q463" i="146"/>
  <c r="T464" i="146"/>
  <c r="V464" i="146"/>
  <c r="T465" i="146"/>
  <c r="U465" i="146" a="1"/>
  <c r="U465" i="146"/>
  <c r="Q465" i="146"/>
  <c r="T466" i="146"/>
  <c r="U466" i="146" a="1"/>
  <c r="U466" i="146"/>
  <c r="Q466" i="146"/>
  <c r="T467" i="146"/>
  <c r="V467" i="146"/>
  <c r="T468" i="146"/>
  <c r="U468" i="146" a="1"/>
  <c r="U468" i="146"/>
  <c r="Q468" i="146"/>
  <c r="T469" i="146"/>
  <c r="U469" i="146" a="1"/>
  <c r="U469" i="146"/>
  <c r="Q469" i="146"/>
  <c r="T470" i="146"/>
  <c r="T471" i="146"/>
  <c r="U471" i="146" a="1"/>
  <c r="U471" i="146"/>
  <c r="Q471" i="146"/>
  <c r="T472" i="146"/>
  <c r="V472" i="146"/>
  <c r="T473" i="146"/>
  <c r="U473" i="146" a="1"/>
  <c r="U473" i="146"/>
  <c r="Q473" i="146"/>
  <c r="T474" i="146"/>
  <c r="V474" i="146"/>
  <c r="T475" i="146"/>
  <c r="U475" i="146" a="1"/>
  <c r="U475" i="146"/>
  <c r="Q475" i="146"/>
  <c r="T476" i="146"/>
  <c r="V476" i="146"/>
  <c r="T477" i="146"/>
  <c r="V477" i="146"/>
  <c r="T478" i="146"/>
  <c r="U478" i="146" a="1"/>
  <c r="U478" i="146"/>
  <c r="Q478" i="146"/>
  <c r="T479" i="146"/>
  <c r="V479" i="146"/>
  <c r="T480" i="146"/>
  <c r="U480" i="146" a="1"/>
  <c r="U480" i="146"/>
  <c r="Q480" i="146"/>
  <c r="T481" i="146"/>
  <c r="U481" i="146" a="1"/>
  <c r="U481" i="146"/>
  <c r="Q481" i="146"/>
  <c r="T482" i="146"/>
  <c r="V482" i="146"/>
  <c r="T483" i="146"/>
  <c r="V483" i="146"/>
  <c r="T484" i="146"/>
  <c r="V484" i="146"/>
  <c r="T485" i="146"/>
  <c r="U485" i="146" a="1"/>
  <c r="U485" i="146"/>
  <c r="Q485" i="146"/>
  <c r="T486" i="146"/>
  <c r="U486" i="146" a="1"/>
  <c r="U486" i="146"/>
  <c r="Q486" i="146"/>
  <c r="T487" i="146"/>
  <c r="U487" i="146" a="1"/>
  <c r="U487" i="146"/>
  <c r="Q487" i="146"/>
  <c r="T488" i="146"/>
  <c r="U488" i="146" a="1"/>
  <c r="U488" i="146"/>
  <c r="Q488" i="146"/>
  <c r="T489" i="146"/>
  <c r="U489" i="146" a="1"/>
  <c r="U489" i="146"/>
  <c r="Q489" i="146"/>
  <c r="T490" i="146"/>
  <c r="U490" i="146" a="1"/>
  <c r="U490" i="146"/>
  <c r="Q490" i="146"/>
  <c r="T491" i="146"/>
  <c r="T492" i="146"/>
  <c r="T493" i="146"/>
  <c r="U493" i="146" a="1"/>
  <c r="U493" i="146"/>
  <c r="Q493" i="146"/>
  <c r="T494" i="146"/>
  <c r="U494" i="146" a="1"/>
  <c r="U494" i="146"/>
  <c r="Q494" i="146"/>
  <c r="T495" i="146"/>
  <c r="V495" i="146"/>
  <c r="T496" i="146"/>
  <c r="U496" i="146" a="1"/>
  <c r="U496" i="146"/>
  <c r="Q496" i="146"/>
  <c r="T497" i="146"/>
  <c r="V497" i="146"/>
  <c r="T498" i="146"/>
  <c r="U498" i="146" a="1"/>
  <c r="U498" i="146"/>
  <c r="Q498" i="146"/>
  <c r="T499" i="146"/>
  <c r="U499" i="146" a="1"/>
  <c r="U499" i="146"/>
  <c r="Q499" i="146"/>
  <c r="T500" i="146"/>
  <c r="U500" i="146" a="1"/>
  <c r="U500" i="146"/>
  <c r="Q500" i="146"/>
  <c r="T501" i="146"/>
  <c r="U501" i="146" a="1"/>
  <c r="T502" i="146"/>
  <c r="U502" i="146" a="1"/>
  <c r="U502" i="146"/>
  <c r="Q502" i="146"/>
  <c r="T503" i="146"/>
  <c r="U503" i="146" a="1"/>
  <c r="U503" i="146"/>
  <c r="Q503" i="146"/>
  <c r="T504" i="146"/>
  <c r="U504" i="146" a="1"/>
  <c r="U504" i="146"/>
  <c r="Q504" i="146"/>
  <c r="T505" i="146"/>
  <c r="U505" i="146" a="1"/>
  <c r="U505" i="146"/>
  <c r="Q505" i="146"/>
  <c r="T506" i="146"/>
  <c r="V506" i="146"/>
  <c r="T507" i="146"/>
  <c r="V507" i="146"/>
  <c r="T508" i="146"/>
  <c r="U508" i="146" a="1"/>
  <c r="U508" i="146"/>
  <c r="Q508" i="146"/>
  <c r="T509" i="146"/>
  <c r="V509" i="146"/>
  <c r="T510" i="146"/>
  <c r="U510" i="146" a="1"/>
  <c r="U510" i="146"/>
  <c r="Q510" i="146"/>
  <c r="T511" i="146"/>
  <c r="U511" i="146" a="1"/>
  <c r="U511" i="146"/>
  <c r="Q511" i="146"/>
  <c r="T512" i="146"/>
  <c r="V512" i="146"/>
  <c r="T513" i="146"/>
  <c r="T514" i="146"/>
  <c r="U514" i="146" a="1"/>
  <c r="U514" i="146"/>
  <c r="Q514" i="146"/>
  <c r="T515" i="146"/>
  <c r="U515" i="146" a="1"/>
  <c r="U515" i="146"/>
  <c r="Q515" i="146"/>
  <c r="T516" i="146"/>
  <c r="T517" i="146"/>
  <c r="U517" i="146" a="1"/>
  <c r="U517" i="146"/>
  <c r="Q517" i="146"/>
  <c r="T518" i="146"/>
  <c r="V518" i="146"/>
  <c r="T519" i="146"/>
  <c r="V519" i="146"/>
  <c r="T520" i="146"/>
  <c r="V520" i="146"/>
  <c r="T521" i="146"/>
  <c r="U521" i="146" a="1"/>
  <c r="U521" i="146"/>
  <c r="Q521" i="146"/>
  <c r="T522" i="146"/>
  <c r="V522" i="146"/>
  <c r="T523" i="146"/>
  <c r="U523" i="146" a="1"/>
  <c r="U523" i="146"/>
  <c r="Q523" i="146"/>
  <c r="T524" i="146"/>
  <c r="V524" i="146"/>
  <c r="T525" i="146"/>
  <c r="U525" i="146" a="1"/>
  <c r="U525" i="146"/>
  <c r="Q525" i="146"/>
  <c r="T526" i="146"/>
  <c r="V526" i="146"/>
  <c r="T527" i="146"/>
  <c r="V527" i="146"/>
  <c r="T528" i="146"/>
  <c r="U528" i="146" a="1"/>
  <c r="U528" i="146"/>
  <c r="Q528" i="146"/>
  <c r="T529" i="146"/>
  <c r="U529" i="146" a="1"/>
  <c r="U529" i="146"/>
  <c r="Q529" i="146"/>
  <c r="T530" i="146"/>
  <c r="U530" i="146" a="1"/>
  <c r="U530" i="146"/>
  <c r="Q530" i="146"/>
  <c r="T531" i="146"/>
  <c r="V531" i="146"/>
  <c r="T532" i="146"/>
  <c r="V532" i="146"/>
  <c r="T533" i="146"/>
  <c r="U533" i="146" a="1"/>
  <c r="U533" i="146"/>
  <c r="Q533" i="146"/>
  <c r="T534" i="146"/>
  <c r="U534" i="146" a="1"/>
  <c r="U534" i="146"/>
  <c r="Q534" i="146"/>
  <c r="T535" i="146"/>
  <c r="U535" i="146" a="1"/>
  <c r="U535" i="146"/>
  <c r="Q535" i="146"/>
  <c r="T536" i="146"/>
  <c r="U536" i="146" a="1"/>
  <c r="U536" i="146"/>
  <c r="Q536" i="146"/>
  <c r="T537" i="146"/>
  <c r="V537" i="146"/>
  <c r="T538" i="146"/>
  <c r="U538" i="146" a="1"/>
  <c r="U538" i="146"/>
  <c r="Q538" i="146"/>
  <c r="T539" i="146"/>
  <c r="V539" i="146"/>
  <c r="T540" i="146"/>
  <c r="U540" i="146" a="1"/>
  <c r="U540" i="146"/>
  <c r="Q540" i="146"/>
  <c r="T541" i="146"/>
  <c r="V541" i="146"/>
  <c r="T542" i="146"/>
  <c r="U542" i="146" a="1"/>
  <c r="U542" i="146"/>
  <c r="Q542" i="146"/>
  <c r="T543" i="146"/>
  <c r="U543" i="146" a="1"/>
  <c r="U543" i="146"/>
  <c r="Q543" i="146"/>
  <c r="T544" i="146"/>
  <c r="U544" i="146" a="1"/>
  <c r="U544" i="146"/>
  <c r="Q544" i="146"/>
  <c r="T545" i="146"/>
  <c r="V545" i="146"/>
  <c r="T546" i="146"/>
  <c r="V546" i="146"/>
  <c r="T547" i="146"/>
  <c r="U547" i="146" a="1"/>
  <c r="U547" i="146"/>
  <c r="Q547" i="146"/>
  <c r="T548" i="146"/>
  <c r="U548" i="146" a="1"/>
  <c r="U548" i="146"/>
  <c r="Q548" i="146"/>
  <c r="T549" i="146"/>
  <c r="U549" i="146" a="1"/>
  <c r="U549" i="146"/>
  <c r="Q549" i="146"/>
  <c r="T550" i="146"/>
  <c r="U550" i="146" a="1"/>
  <c r="U550" i="146"/>
  <c r="Q550" i="146"/>
  <c r="T551" i="146"/>
  <c r="V551" i="146"/>
  <c r="T552" i="146"/>
  <c r="U552" i="146" a="1"/>
  <c r="U552" i="146"/>
  <c r="Q552" i="146"/>
  <c r="T553" i="146"/>
  <c r="U553" i="146" a="1"/>
  <c r="U553" i="146"/>
  <c r="Q553" i="146"/>
  <c r="T554" i="146"/>
  <c r="T555" i="146"/>
  <c r="T556" i="146"/>
  <c r="U556" i="146" a="1"/>
  <c r="U556" i="146"/>
  <c r="Q556" i="146"/>
  <c r="T557" i="146"/>
  <c r="U557" i="146" a="1"/>
  <c r="U557" i="146"/>
  <c r="Q557" i="146"/>
  <c r="T558" i="146"/>
  <c r="V558" i="146"/>
  <c r="T559" i="146"/>
  <c r="U559" i="146" a="1"/>
  <c r="U559" i="146"/>
  <c r="Q559" i="146"/>
  <c r="T560" i="146"/>
  <c r="U560" i="146" a="1"/>
  <c r="U560" i="146"/>
  <c r="Q560" i="146"/>
  <c r="T561" i="146"/>
  <c r="U561" i="146" a="1"/>
  <c r="U561" i="146"/>
  <c r="Q561" i="146"/>
  <c r="T562" i="146"/>
  <c r="U562" i="146" a="1"/>
  <c r="U562" i="146"/>
  <c r="Q562" i="146"/>
  <c r="T563" i="146"/>
  <c r="V563" i="146"/>
  <c r="T564" i="146"/>
  <c r="U564" i="146" a="1"/>
  <c r="U564" i="146"/>
  <c r="Q564" i="146"/>
  <c r="T565" i="146"/>
  <c r="U565" i="146" a="1"/>
  <c r="U565" i="146"/>
  <c r="Q565" i="146"/>
  <c r="T566" i="146"/>
  <c r="T567" i="146"/>
  <c r="V567" i="146"/>
  <c r="T568" i="146"/>
  <c r="V568" i="146"/>
  <c r="T569" i="146"/>
  <c r="V569" i="146"/>
  <c r="T570" i="146"/>
  <c r="V570" i="146"/>
  <c r="T571" i="146"/>
  <c r="V571" i="146"/>
  <c r="T572" i="146"/>
  <c r="U572" i="146" a="1"/>
  <c r="U572" i="146"/>
  <c r="Q572" i="146"/>
  <c r="T573" i="146"/>
  <c r="U573" i="146" a="1"/>
  <c r="U573" i="146"/>
  <c r="Q573" i="146"/>
  <c r="T574" i="146"/>
  <c r="U574" i="146" a="1"/>
  <c r="U574" i="146"/>
  <c r="Q574" i="146"/>
  <c r="T575" i="146"/>
  <c r="V575" i="146"/>
  <c r="T576" i="146"/>
  <c r="V576" i="146"/>
  <c r="T577" i="146"/>
  <c r="V577" i="146"/>
  <c r="T578" i="146"/>
  <c r="V578" i="146"/>
  <c r="T579" i="146"/>
  <c r="U579" i="146" a="1"/>
  <c r="U579" i="146"/>
  <c r="Q579" i="146"/>
  <c r="T580" i="146"/>
  <c r="U580" i="146" a="1"/>
  <c r="U580" i="146"/>
  <c r="Q580" i="146"/>
  <c r="T581" i="146"/>
  <c r="U581" i="146" a="1"/>
  <c r="U581" i="146"/>
  <c r="Q581" i="146"/>
  <c r="T582" i="146"/>
  <c r="U582" i="146" a="1"/>
  <c r="U582" i="146"/>
  <c r="Q582" i="146"/>
  <c r="T583" i="146"/>
  <c r="U583" i="146" a="1"/>
  <c r="U583" i="146"/>
  <c r="Q583" i="146"/>
  <c r="T584" i="146"/>
  <c r="T585" i="146"/>
  <c r="V585" i="146"/>
  <c r="T586" i="146"/>
  <c r="U586" i="146" a="1"/>
  <c r="U586" i="146"/>
  <c r="Q586" i="146"/>
  <c r="T587" i="146"/>
  <c r="V587" i="146"/>
  <c r="T588" i="146"/>
  <c r="U588" i="146" a="1"/>
  <c r="U588" i="146"/>
  <c r="Q588" i="146"/>
  <c r="T589" i="146"/>
  <c r="U589" i="146" a="1"/>
  <c r="U589" i="146"/>
  <c r="Q589" i="146"/>
  <c r="T590" i="146"/>
  <c r="U590" i="146" a="1"/>
  <c r="U590" i="146"/>
  <c r="Q590" i="146"/>
  <c r="T591" i="146"/>
  <c r="U591" i="146" a="1"/>
  <c r="U591" i="146"/>
  <c r="Q591" i="146"/>
  <c r="T592" i="146"/>
  <c r="U592" i="146" a="1"/>
  <c r="U592" i="146"/>
  <c r="Q592" i="146"/>
  <c r="T593" i="146"/>
  <c r="U593" i="146" a="1"/>
  <c r="U593" i="146"/>
  <c r="Q593" i="146"/>
  <c r="T594" i="146"/>
  <c r="U594" i="146" a="1"/>
  <c r="U594" i="146"/>
  <c r="Q594" i="146"/>
  <c r="T595" i="146"/>
  <c r="U595" i="146" a="1"/>
  <c r="U595" i="146"/>
  <c r="Q595" i="146"/>
  <c r="T596" i="146"/>
  <c r="U596" i="146" a="1"/>
  <c r="U596" i="146"/>
  <c r="Q596" i="146"/>
  <c r="T597" i="146"/>
  <c r="V597" i="146"/>
  <c r="T598" i="146"/>
  <c r="U598" i="146" a="1"/>
  <c r="U598" i="146"/>
  <c r="Q598" i="146"/>
  <c r="T599" i="146"/>
  <c r="U599" i="146" a="1"/>
  <c r="U599" i="146"/>
  <c r="Q599" i="146"/>
  <c r="T600" i="146"/>
  <c r="U600" i="146" a="1"/>
  <c r="U600" i="146"/>
  <c r="Q600" i="146"/>
  <c r="T601" i="146"/>
  <c r="U601" i="146" a="1"/>
  <c r="U601" i="146"/>
  <c r="Q601" i="146"/>
  <c r="T602" i="146"/>
  <c r="V602" i="146"/>
  <c r="T603" i="146"/>
  <c r="V603" i="146"/>
  <c r="T604" i="146"/>
  <c r="U604" i="146" a="1"/>
  <c r="U604" i="146"/>
  <c r="Q604" i="146"/>
  <c r="T605" i="146"/>
  <c r="V605" i="146"/>
  <c r="T606" i="146"/>
  <c r="V606" i="146"/>
  <c r="T607" i="146"/>
  <c r="V607" i="146"/>
  <c r="T608" i="146"/>
  <c r="V608" i="146"/>
  <c r="T609" i="146"/>
  <c r="V609" i="146"/>
  <c r="T610" i="146"/>
  <c r="U610" i="146" a="1"/>
  <c r="U610" i="146"/>
  <c r="Q610" i="146"/>
  <c r="T611" i="146"/>
  <c r="T612" i="146"/>
  <c r="U612" i="146" a="1"/>
  <c r="U612" i="146"/>
  <c r="Q612" i="146"/>
  <c r="T613" i="146"/>
  <c r="U613" i="146" a="1"/>
  <c r="U613" i="146"/>
  <c r="Q613" i="146"/>
  <c r="T614" i="146"/>
  <c r="T615" i="146"/>
  <c r="T616" i="146"/>
  <c r="V616" i="146"/>
  <c r="T617" i="146"/>
  <c r="U617" i="146" a="1"/>
  <c r="U617" i="146"/>
  <c r="Q617" i="146"/>
  <c r="T618" i="146"/>
  <c r="U618" i="146" a="1"/>
  <c r="U618" i="146"/>
  <c r="Q618" i="146"/>
  <c r="T619" i="146"/>
  <c r="V619" i="146"/>
  <c r="T620" i="146"/>
  <c r="U620" i="146" a="1"/>
  <c r="U620" i="146"/>
  <c r="Q620" i="146"/>
  <c r="T621" i="146"/>
  <c r="U621" i="146" a="1"/>
  <c r="U621" i="146"/>
  <c r="Q621" i="146"/>
  <c r="T622" i="146"/>
  <c r="T623" i="146"/>
  <c r="U623" i="146" a="1"/>
  <c r="U623" i="146"/>
  <c r="Q623" i="146"/>
  <c r="T624" i="146"/>
  <c r="U624" i="146" a="1"/>
  <c r="U624" i="146"/>
  <c r="Q624" i="146"/>
  <c r="T625" i="146"/>
  <c r="V625" i="146"/>
  <c r="T626" i="146"/>
  <c r="V626" i="146"/>
  <c r="T627" i="146"/>
  <c r="U627" i="146" a="1"/>
  <c r="U627" i="146"/>
  <c r="Q627" i="146"/>
  <c r="T628" i="146"/>
  <c r="U628" i="146" a="1"/>
  <c r="U628" i="146"/>
  <c r="Q628" i="146"/>
  <c r="T629" i="146"/>
  <c r="U629" i="146" a="1"/>
  <c r="U629" i="146"/>
  <c r="Q629" i="146"/>
  <c r="T630" i="146"/>
  <c r="U630" i="146" a="1"/>
  <c r="U630" i="146"/>
  <c r="Q630" i="146"/>
  <c r="T631" i="146"/>
  <c r="U631" i="146" a="1"/>
  <c r="U631" i="146"/>
  <c r="Q631" i="146"/>
  <c r="T632" i="146"/>
  <c r="U632" i="146" a="1"/>
  <c r="U632" i="146"/>
  <c r="Q632" i="146"/>
  <c r="T633" i="146"/>
  <c r="U633" i="146" a="1"/>
  <c r="U633" i="146"/>
  <c r="Q633" i="146"/>
  <c r="T634" i="146"/>
  <c r="U634" i="146" a="1"/>
  <c r="U634" i="146"/>
  <c r="Q634" i="146"/>
  <c r="T635" i="146"/>
  <c r="U635" i="146" a="1"/>
  <c r="U635" i="146"/>
  <c r="Q635" i="146"/>
  <c r="T636" i="146"/>
  <c r="U636" i="146" a="1"/>
  <c r="U636" i="146"/>
  <c r="Q636" i="146"/>
  <c r="T637" i="146"/>
  <c r="V637" i="146"/>
  <c r="T638" i="146"/>
  <c r="V638" i="146"/>
  <c r="T639" i="146"/>
  <c r="T640" i="146"/>
  <c r="V640" i="146"/>
  <c r="T641" i="146"/>
  <c r="U641" i="146" a="1"/>
  <c r="U641" i="146"/>
  <c r="Q641" i="146"/>
  <c r="T642" i="146"/>
  <c r="U642" i="146" a="1"/>
  <c r="U642" i="146"/>
  <c r="Q642" i="146"/>
  <c r="T643" i="146"/>
  <c r="T644" i="146"/>
  <c r="V644" i="146"/>
  <c r="T645" i="146"/>
  <c r="U645" i="146" a="1"/>
  <c r="U645" i="146"/>
  <c r="Q645" i="146"/>
  <c r="T646" i="146"/>
  <c r="U646" i="146" a="1"/>
  <c r="U646" i="146"/>
  <c r="Q646" i="146"/>
  <c r="T647" i="146"/>
  <c r="U647" i="146" a="1"/>
  <c r="U647" i="146"/>
  <c r="Q647" i="146"/>
  <c r="T648" i="146"/>
  <c r="U648" i="146" a="1"/>
  <c r="U648" i="146"/>
  <c r="Q648" i="146"/>
  <c r="T649" i="146"/>
  <c r="U649" i="146" a="1"/>
  <c r="U649" i="146"/>
  <c r="Q649" i="146"/>
  <c r="T650" i="146"/>
  <c r="U650" i="146" a="1"/>
  <c r="U650" i="146"/>
  <c r="Q650" i="146"/>
  <c r="T651" i="146"/>
  <c r="T652" i="146"/>
  <c r="U652" i="146" a="1"/>
  <c r="U652" i="146"/>
  <c r="Q652" i="146"/>
  <c r="T653" i="146"/>
  <c r="V653" i="146"/>
  <c r="T654" i="146"/>
  <c r="U654" i="146" a="1"/>
  <c r="U654" i="146"/>
  <c r="Q654" i="146"/>
  <c r="T655" i="146"/>
  <c r="U655" i="146" a="1"/>
  <c r="U655" i="146"/>
  <c r="Q655" i="146"/>
  <c r="T656" i="146"/>
  <c r="U656" i="146" a="1"/>
  <c r="U656" i="146"/>
  <c r="Q656" i="146"/>
  <c r="T657" i="146"/>
  <c r="V657" i="146"/>
  <c r="T658" i="146"/>
  <c r="U658" i="146" a="1"/>
  <c r="U658" i="146"/>
  <c r="Q658" i="146"/>
  <c r="T659" i="146"/>
  <c r="V659" i="146"/>
  <c r="T660" i="146"/>
  <c r="U660" i="146" a="1"/>
  <c r="U660" i="146"/>
  <c r="Q660" i="146"/>
  <c r="T661" i="146"/>
  <c r="V661" i="146"/>
  <c r="T662" i="146"/>
  <c r="V662" i="146"/>
  <c r="T663" i="146"/>
  <c r="U663" i="146" a="1"/>
  <c r="U663" i="146"/>
  <c r="Q663" i="146"/>
  <c r="T664" i="146"/>
  <c r="V664" i="146"/>
  <c r="T665" i="146"/>
  <c r="V665" i="146"/>
  <c r="T666" i="146"/>
  <c r="T667" i="146"/>
  <c r="V667" i="146"/>
  <c r="T668" i="146"/>
  <c r="U668" i="146" a="1"/>
  <c r="U668" i="146"/>
  <c r="Q668" i="146"/>
  <c r="T669" i="146"/>
  <c r="U669" i="146" a="1"/>
  <c r="U669" i="146"/>
  <c r="Q669" i="146"/>
  <c r="T670" i="146"/>
  <c r="U670" i="146" a="1"/>
  <c r="U670" i="146"/>
  <c r="Q670" i="146"/>
  <c r="T671" i="146"/>
  <c r="U671" i="146" a="1"/>
  <c r="U671" i="146"/>
  <c r="Q671" i="146"/>
  <c r="T672" i="146"/>
  <c r="U672" i="146" a="1"/>
  <c r="U672" i="146"/>
  <c r="Q672" i="146"/>
  <c r="T673" i="146"/>
  <c r="T674" i="146"/>
  <c r="V674" i="146"/>
  <c r="T675" i="146"/>
  <c r="V675" i="146"/>
  <c r="T676" i="146"/>
  <c r="U676" i="146" a="1"/>
  <c r="U676" i="146"/>
  <c r="Q676" i="146"/>
  <c r="T677" i="146"/>
  <c r="U677" i="146" a="1"/>
  <c r="U677" i="146"/>
  <c r="Q677" i="146"/>
  <c r="T678" i="146"/>
  <c r="V678" i="146"/>
  <c r="T679" i="146"/>
  <c r="V679" i="146"/>
  <c r="T680" i="146"/>
  <c r="V680" i="146"/>
  <c r="T681" i="146"/>
  <c r="V681" i="146"/>
  <c r="T682" i="146"/>
  <c r="V682" i="146"/>
  <c r="T683" i="146"/>
  <c r="V683" i="146"/>
  <c r="T684" i="146"/>
  <c r="U684" i="146" a="1"/>
  <c r="U684" i="146"/>
  <c r="Q684" i="146"/>
  <c r="T685" i="146"/>
  <c r="U685" i="146" a="1"/>
  <c r="U685" i="146"/>
  <c r="Q685" i="146"/>
  <c r="T686" i="146"/>
  <c r="U686" i="146" a="1"/>
  <c r="U686" i="146"/>
  <c r="Q686" i="146"/>
  <c r="T687" i="146"/>
  <c r="V687" i="146"/>
  <c r="T688" i="146"/>
  <c r="U688" i="146" a="1"/>
  <c r="U688" i="146"/>
  <c r="Q688" i="146"/>
  <c r="T689" i="146"/>
  <c r="U689" i="146" a="1"/>
  <c r="U689" i="146"/>
  <c r="Q689" i="146"/>
  <c r="T690" i="146"/>
  <c r="U690" i="146" a="1"/>
  <c r="U690" i="146"/>
  <c r="Q690" i="146"/>
  <c r="T691" i="146"/>
  <c r="V691" i="146"/>
  <c r="T692" i="146"/>
  <c r="U692" i="146" a="1"/>
  <c r="U692" i="146"/>
  <c r="Q692" i="146"/>
  <c r="T693" i="146"/>
  <c r="V693" i="146"/>
  <c r="T694" i="146"/>
  <c r="T695" i="146"/>
  <c r="U695" i="146" a="1"/>
  <c r="U695" i="146"/>
  <c r="Q695" i="146"/>
  <c r="T696" i="146"/>
  <c r="U696" i="146" a="1"/>
  <c r="U696" i="146"/>
  <c r="Q696" i="146"/>
  <c r="T697" i="146"/>
  <c r="T698" i="146"/>
  <c r="T699" i="146"/>
  <c r="T700" i="146"/>
  <c r="U700" i="146" a="1"/>
  <c r="U700" i="146"/>
  <c r="Q700" i="146"/>
  <c r="T701" i="146"/>
  <c r="U701" i="146" a="1"/>
  <c r="U701" i="146"/>
  <c r="Q701" i="146"/>
  <c r="T702" i="146"/>
  <c r="V702" i="146"/>
  <c r="T703" i="146"/>
  <c r="U703" i="146" a="1"/>
  <c r="U703" i="146"/>
  <c r="Q703" i="146"/>
  <c r="T704" i="146"/>
  <c r="U704" i="146" a="1"/>
  <c r="U704" i="146"/>
  <c r="Q704" i="146"/>
  <c r="T705" i="146"/>
  <c r="U705" i="146" a="1"/>
  <c r="U705" i="146"/>
  <c r="Q705" i="146"/>
  <c r="T706" i="146"/>
  <c r="U706" i="146" a="1"/>
  <c r="U706" i="146"/>
  <c r="Q706" i="146"/>
  <c r="T707" i="146"/>
  <c r="U707" i="146" a="1"/>
  <c r="U707" i="146"/>
  <c r="Q707" i="146"/>
  <c r="T708" i="146"/>
  <c r="U708" i="146" a="1"/>
  <c r="U708" i="146"/>
  <c r="Q708" i="146"/>
  <c r="T709" i="146"/>
  <c r="V709" i="146"/>
  <c r="T710" i="146"/>
  <c r="T711" i="146"/>
  <c r="U711" i="146" a="1"/>
  <c r="U711" i="146"/>
  <c r="Q711" i="146"/>
  <c r="T712" i="146"/>
  <c r="U712" i="146" a="1"/>
  <c r="U712" i="146"/>
  <c r="Q712" i="146"/>
  <c r="T713" i="146"/>
  <c r="V713" i="146"/>
  <c r="T714" i="146"/>
  <c r="U714" i="146" a="1"/>
  <c r="U714" i="146"/>
  <c r="Q714" i="146"/>
  <c r="T715" i="146"/>
  <c r="U715" i="146" a="1"/>
  <c r="U715" i="146"/>
  <c r="Q715" i="146"/>
  <c r="T716" i="146"/>
  <c r="V716" i="146"/>
  <c r="T717" i="146"/>
  <c r="V717" i="146"/>
  <c r="T718" i="146"/>
  <c r="U718" i="146" a="1"/>
  <c r="U718" i="146"/>
  <c r="Q718" i="146"/>
  <c r="T719" i="146"/>
  <c r="U719" i="146" a="1"/>
  <c r="U719" i="146"/>
  <c r="Q719" i="146"/>
  <c r="T720" i="146"/>
  <c r="V720" i="146"/>
  <c r="T721" i="146"/>
  <c r="V721" i="146"/>
  <c r="T722" i="146"/>
  <c r="U722" i="146" a="1"/>
  <c r="U722" i="146"/>
  <c r="Q722" i="146"/>
  <c r="T723" i="146"/>
  <c r="U723" i="146" a="1"/>
  <c r="U723" i="146"/>
  <c r="Q723" i="146"/>
  <c r="T724" i="146"/>
  <c r="U724" i="146" a="1"/>
  <c r="U724" i="146"/>
  <c r="Q724" i="146"/>
  <c r="T725" i="146"/>
  <c r="V725" i="146"/>
  <c r="T726" i="146"/>
  <c r="U726" i="146" a="1"/>
  <c r="U726" i="146"/>
  <c r="Q726" i="146"/>
  <c r="T727" i="146"/>
  <c r="U727" i="146" a="1"/>
  <c r="U727" i="146"/>
  <c r="Q727" i="146"/>
  <c r="T728" i="146"/>
  <c r="T729" i="146"/>
  <c r="V729" i="146"/>
  <c r="T730" i="146"/>
  <c r="U730" i="146" a="1"/>
  <c r="U730" i="146"/>
  <c r="Q730" i="146"/>
  <c r="T731" i="146"/>
  <c r="T732" i="146"/>
  <c r="V732" i="146"/>
  <c r="T733" i="146"/>
  <c r="U733" i="146" a="1"/>
  <c r="U733" i="146"/>
  <c r="Q733" i="146"/>
  <c r="T734" i="146"/>
  <c r="U734" i="146" a="1"/>
  <c r="U734" i="146"/>
  <c r="Q734" i="146"/>
  <c r="T735" i="146"/>
  <c r="U735" i="146" a="1"/>
  <c r="U735" i="146"/>
  <c r="Q735" i="146"/>
  <c r="T736" i="146"/>
  <c r="V736" i="146"/>
  <c r="T737" i="146"/>
  <c r="V737" i="146"/>
  <c r="T738" i="146"/>
  <c r="U738" i="146" a="1"/>
  <c r="U738" i="146"/>
  <c r="Q738" i="146"/>
  <c r="T739" i="146"/>
  <c r="T740" i="146"/>
  <c r="U740" i="146" a="1"/>
  <c r="U740" i="146"/>
  <c r="Q740" i="146"/>
  <c r="T741" i="146"/>
  <c r="V741" i="146"/>
  <c r="T742" i="146"/>
  <c r="U742" i="146" a="1"/>
  <c r="U742" i="146"/>
  <c r="Q742" i="146"/>
  <c r="T743" i="146"/>
  <c r="U743" i="146" a="1"/>
  <c r="U743" i="146"/>
  <c r="Q743" i="146"/>
  <c r="T744" i="146"/>
  <c r="V744" i="146"/>
  <c r="Q744" i="146"/>
  <c r="T745" i="146"/>
  <c r="U745" i="146" a="1"/>
  <c r="U745" i="146"/>
  <c r="Q745" i="146"/>
  <c r="T746" i="146"/>
  <c r="V746" i="146"/>
  <c r="T747" i="146"/>
  <c r="U747" i="146" a="1"/>
  <c r="U747" i="146"/>
  <c r="Q747" i="146"/>
  <c r="T748" i="146"/>
  <c r="U748" i="146" a="1"/>
  <c r="U748" i="146"/>
  <c r="Q748" i="146"/>
  <c r="T749" i="146"/>
  <c r="V749" i="146"/>
  <c r="T750" i="146"/>
  <c r="T751" i="146"/>
  <c r="U751" i="146" a="1"/>
  <c r="U751" i="146"/>
  <c r="Q751" i="146"/>
  <c r="T752" i="146"/>
  <c r="U752" i="146" a="1"/>
  <c r="U752" i="146"/>
  <c r="Q752" i="146"/>
  <c r="T753" i="146"/>
  <c r="V753" i="146"/>
  <c r="T754" i="146"/>
  <c r="U754" i="146" a="1"/>
  <c r="U754" i="146"/>
  <c r="Q754" i="146"/>
  <c r="T755" i="146"/>
  <c r="T756" i="146"/>
  <c r="T757" i="146"/>
  <c r="V757" i="146"/>
  <c r="T758" i="146"/>
  <c r="U758" i="146" a="1"/>
  <c r="U758" i="146"/>
  <c r="Q758" i="146"/>
  <c r="T759" i="146"/>
  <c r="V759" i="146"/>
  <c r="T760" i="146"/>
  <c r="U760" i="146" a="1"/>
  <c r="U760" i="146"/>
  <c r="Q760" i="146"/>
  <c r="T761" i="146"/>
  <c r="V761" i="146"/>
  <c r="T762" i="146"/>
  <c r="U762" i="146" a="1"/>
  <c r="U762" i="146"/>
  <c r="Q762" i="146"/>
  <c r="T763" i="146"/>
  <c r="V763" i="146"/>
  <c r="T764" i="146"/>
  <c r="U764" i="146" a="1"/>
  <c r="U764" i="146"/>
  <c r="Q764" i="146"/>
  <c r="T765" i="146"/>
  <c r="T766" i="146"/>
  <c r="V766" i="146"/>
  <c r="T767" i="146"/>
  <c r="V767" i="146"/>
  <c r="T768" i="146"/>
  <c r="V768" i="146"/>
  <c r="T769" i="146"/>
  <c r="U769" i="146" a="1"/>
  <c r="U769" i="146"/>
  <c r="Q769" i="146"/>
  <c r="T770" i="146"/>
  <c r="T771" i="146"/>
  <c r="T772" i="146"/>
  <c r="U772" i="146" a="1"/>
  <c r="U772" i="146"/>
  <c r="Q772" i="146"/>
  <c r="T773" i="146"/>
  <c r="U773" i="146" a="1"/>
  <c r="U773" i="146"/>
  <c r="Q773" i="146"/>
  <c r="T774" i="146"/>
  <c r="U774" i="146" a="1"/>
  <c r="U774" i="146"/>
  <c r="Q774" i="146"/>
  <c r="T775" i="146"/>
  <c r="U775" i="146" a="1"/>
  <c r="U775" i="146"/>
  <c r="Q775" i="146"/>
  <c r="T776" i="146"/>
  <c r="U776" i="146" a="1"/>
  <c r="U776" i="146"/>
  <c r="Q776" i="146"/>
  <c r="T777" i="146"/>
  <c r="U777" i="146" a="1"/>
  <c r="U777" i="146"/>
  <c r="Q777" i="146"/>
  <c r="T778" i="146"/>
  <c r="V778" i="146"/>
  <c r="T779" i="146"/>
  <c r="T780" i="146"/>
  <c r="U780" i="146" a="1"/>
  <c r="U780" i="146"/>
  <c r="Q780" i="146"/>
  <c r="T781" i="146"/>
  <c r="V781" i="146"/>
  <c r="T782" i="146"/>
  <c r="T783" i="146"/>
  <c r="V783" i="146"/>
  <c r="T784" i="146"/>
  <c r="V784" i="146"/>
  <c r="T785" i="146"/>
  <c r="V785" i="146"/>
  <c r="T786" i="146"/>
  <c r="V786" i="146"/>
  <c r="T787" i="146"/>
  <c r="U787" i="146" a="1"/>
  <c r="U787" i="146"/>
  <c r="Q787" i="146"/>
  <c r="T788" i="146"/>
  <c r="U788" i="146" a="1"/>
  <c r="U788" i="146"/>
  <c r="Q788" i="146"/>
  <c r="T789" i="146"/>
  <c r="U789" i="146" a="1"/>
  <c r="U789" i="146"/>
  <c r="Q789" i="146"/>
  <c r="T790" i="146"/>
  <c r="V790" i="146"/>
  <c r="T791" i="146"/>
  <c r="T792" i="146"/>
  <c r="V792" i="146"/>
  <c r="T793" i="146"/>
  <c r="U793" i="146" a="1"/>
  <c r="U793" i="146"/>
  <c r="Q793" i="146"/>
  <c r="T794" i="146"/>
  <c r="V794" i="146"/>
  <c r="T795" i="146"/>
  <c r="V795" i="146"/>
  <c r="T796" i="146"/>
  <c r="V796" i="146"/>
  <c r="T797" i="146"/>
  <c r="U797" i="146" a="1"/>
  <c r="U797" i="146"/>
  <c r="Q797" i="146"/>
  <c r="T798" i="146"/>
  <c r="U798" i="146" a="1"/>
  <c r="U798" i="146"/>
  <c r="Q798" i="146"/>
  <c r="T799" i="146"/>
  <c r="U799" i="146" a="1"/>
  <c r="U799" i="146"/>
  <c r="Q799" i="146"/>
  <c r="T800" i="146"/>
  <c r="U800" i="146" a="1"/>
  <c r="U800" i="146"/>
  <c r="Q800" i="146"/>
  <c r="T801" i="146"/>
  <c r="U801" i="146" a="1"/>
  <c r="U801" i="146"/>
  <c r="Q801" i="146"/>
  <c r="T802" i="146"/>
  <c r="U802" i="146" a="1"/>
  <c r="U802" i="146"/>
  <c r="Q802" i="146"/>
  <c r="T803" i="146"/>
  <c r="U803" i="146" a="1"/>
  <c r="U803" i="146"/>
  <c r="Q803" i="146"/>
  <c r="T804" i="146"/>
  <c r="U804" i="146" a="1"/>
  <c r="U804" i="146"/>
  <c r="Q804" i="146"/>
  <c r="T805" i="146"/>
  <c r="U805" i="146" a="1"/>
  <c r="U805" i="146"/>
  <c r="Q805" i="146"/>
  <c r="T806" i="146"/>
  <c r="U806" i="146" a="1"/>
  <c r="U806" i="146"/>
  <c r="Q806" i="146"/>
  <c r="T807" i="146"/>
  <c r="V807" i="146"/>
  <c r="T808" i="146"/>
  <c r="U808" i="146" a="1"/>
  <c r="U808" i="146"/>
  <c r="Q808" i="146"/>
  <c r="T809" i="146"/>
  <c r="U809" i="146" a="1"/>
  <c r="U809" i="146"/>
  <c r="Q809" i="146"/>
  <c r="T810" i="146"/>
  <c r="U810" i="146" a="1"/>
  <c r="U810" i="146"/>
  <c r="Q810" i="146"/>
  <c r="T811" i="146"/>
  <c r="U811" i="146" a="1"/>
  <c r="U811" i="146"/>
  <c r="Q811" i="146"/>
  <c r="T812" i="146"/>
  <c r="U812" i="146" a="1"/>
  <c r="U812" i="146"/>
  <c r="Q812" i="146"/>
  <c r="T813" i="146"/>
  <c r="T814" i="146"/>
  <c r="U814" i="146" a="1"/>
  <c r="U814" i="146"/>
  <c r="Q814" i="146"/>
  <c r="T815" i="146"/>
  <c r="U815" i="146" a="1"/>
  <c r="U815" i="146"/>
  <c r="Q815" i="146"/>
  <c r="T816" i="146"/>
  <c r="U816" i="146" a="1"/>
  <c r="U816" i="146"/>
  <c r="Q816" i="146"/>
  <c r="T817" i="146"/>
  <c r="V817" i="146"/>
  <c r="T818" i="146"/>
  <c r="U818" i="146" a="1"/>
  <c r="U818" i="146"/>
  <c r="Q818" i="146"/>
  <c r="T819" i="146"/>
  <c r="U819" i="146" a="1"/>
  <c r="U819" i="146"/>
  <c r="Q819" i="146"/>
  <c r="T820" i="146"/>
  <c r="U820" i="146" a="1"/>
  <c r="U820" i="146"/>
  <c r="Q820" i="146"/>
  <c r="T821" i="146"/>
  <c r="U821" i="146" a="1"/>
  <c r="U821" i="146"/>
  <c r="Q821" i="146"/>
  <c r="T822" i="146"/>
  <c r="V822" i="146"/>
  <c r="T823" i="146"/>
  <c r="V823" i="146"/>
  <c r="T824" i="146"/>
  <c r="V824" i="146"/>
  <c r="T825" i="146"/>
  <c r="T826" i="146"/>
  <c r="U826" i="146" a="1"/>
  <c r="U826" i="146"/>
  <c r="Q826" i="146"/>
  <c r="T827" i="146"/>
  <c r="T828" i="146"/>
  <c r="U828" i="146" a="1"/>
  <c r="U828" i="146"/>
  <c r="Q828" i="146"/>
  <c r="T829" i="146"/>
  <c r="V829" i="146"/>
  <c r="T830" i="146"/>
  <c r="V830" i="146"/>
  <c r="T831" i="146"/>
  <c r="U831" i="146" a="1"/>
  <c r="U831" i="146"/>
  <c r="Q831" i="146"/>
  <c r="T832" i="146"/>
  <c r="U832" i="146" a="1"/>
  <c r="U832" i="146"/>
  <c r="Q832" i="146"/>
  <c r="T833" i="146"/>
  <c r="V833" i="146"/>
  <c r="T834" i="146"/>
  <c r="U834" i="146" a="1"/>
  <c r="U834" i="146"/>
  <c r="Q834" i="146"/>
  <c r="T835" i="146"/>
  <c r="V835" i="146"/>
  <c r="T836" i="146"/>
  <c r="T837" i="146"/>
  <c r="U837" i="146" a="1"/>
  <c r="U837" i="146"/>
  <c r="Q837" i="146"/>
  <c r="T838" i="146"/>
  <c r="T839" i="146"/>
  <c r="V839" i="146"/>
  <c r="T840" i="146"/>
  <c r="U840" i="146" a="1"/>
  <c r="U840" i="146"/>
  <c r="Q840" i="146"/>
  <c r="T841" i="146"/>
  <c r="V841" i="146"/>
  <c r="T842" i="146"/>
  <c r="U842" i="146" a="1"/>
  <c r="U842" i="146"/>
  <c r="Q842" i="146"/>
  <c r="T843" i="146"/>
  <c r="V843" i="146"/>
  <c r="T844" i="146"/>
  <c r="V844" i="146"/>
  <c r="T845" i="146"/>
  <c r="T846" i="146"/>
  <c r="U846" i="146" a="1"/>
  <c r="U846" i="146"/>
  <c r="Q846" i="146"/>
  <c r="T847" i="146"/>
  <c r="U847" i="146" a="1"/>
  <c r="U847" i="146"/>
  <c r="Q847" i="146"/>
  <c r="T848" i="146"/>
  <c r="U848" i="146" a="1"/>
  <c r="U848" i="146"/>
  <c r="Q848" i="146"/>
  <c r="T849" i="146"/>
  <c r="U849" i="146" a="1"/>
  <c r="U849" i="146"/>
  <c r="Q849" i="146"/>
  <c r="T850" i="146"/>
  <c r="U850" i="146" a="1"/>
  <c r="U850" i="146"/>
  <c r="Q850" i="146"/>
  <c r="T851" i="146"/>
  <c r="U851" i="146" a="1"/>
  <c r="U851" i="146"/>
  <c r="Q851" i="146"/>
  <c r="T852" i="146"/>
  <c r="V852" i="146"/>
  <c r="T853" i="146"/>
  <c r="U853" i="146" a="1"/>
  <c r="U853" i="146"/>
  <c r="T854" i="146"/>
  <c r="V854" i="146"/>
  <c r="T855" i="146"/>
  <c r="V855" i="146"/>
  <c r="T856" i="146"/>
  <c r="V856" i="146"/>
  <c r="T857" i="146"/>
  <c r="T858" i="146"/>
  <c r="V858" i="146"/>
  <c r="T859" i="146"/>
  <c r="U859" i="146" a="1"/>
  <c r="U859" i="146"/>
  <c r="T860" i="146"/>
  <c r="U860" i="146" a="1"/>
  <c r="U860" i="146"/>
  <c r="T861" i="146"/>
  <c r="U861" i="146" a="1"/>
  <c r="U861" i="146"/>
  <c r="T862" i="146"/>
  <c r="U862" i="146" a="1"/>
  <c r="U862" i="146"/>
  <c r="T863" i="146"/>
  <c r="T864" i="146"/>
  <c r="U864" i="146" a="1"/>
  <c r="U864" i="146"/>
  <c r="T865" i="146"/>
  <c r="V865" i="146"/>
  <c r="T866" i="146"/>
  <c r="U866" i="146" a="1"/>
  <c r="U866" i="146"/>
  <c r="T867" i="146"/>
  <c r="U867" i="146" a="1"/>
  <c r="U867" i="146"/>
  <c r="T868" i="146"/>
  <c r="T869" i="146"/>
  <c r="T870" i="146"/>
  <c r="U870" i="146" a="1"/>
  <c r="U870" i="146"/>
  <c r="T871" i="146"/>
  <c r="U871" i="146" a="1"/>
  <c r="U871" i="146"/>
  <c r="T872" i="146"/>
  <c r="V872" i="146"/>
  <c r="T873" i="146"/>
  <c r="U873" i="146" a="1"/>
  <c r="U873" i="146"/>
  <c r="T874" i="146"/>
  <c r="U874" i="146" a="1"/>
  <c r="U874" i="146"/>
  <c r="T875" i="146"/>
  <c r="T876" i="146"/>
  <c r="U876" i="146" a="1"/>
  <c r="U876" i="146"/>
  <c r="T877" i="146"/>
  <c r="V877" i="146"/>
  <c r="T878" i="146"/>
  <c r="T879" i="146"/>
  <c r="U879" i="146" a="1"/>
  <c r="U879" i="146"/>
  <c r="T880" i="146"/>
  <c r="U880" i="146" a="1"/>
  <c r="U880" i="146"/>
  <c r="T881" i="146"/>
  <c r="U881" i="146" a="1"/>
  <c r="U881" i="146"/>
  <c r="T882" i="146"/>
  <c r="U882" i="146" a="1"/>
  <c r="U882" i="146"/>
  <c r="T883" i="146"/>
  <c r="U883" i="146" a="1"/>
  <c r="U883" i="146"/>
  <c r="T884" i="146"/>
  <c r="U884" i="146" a="1"/>
  <c r="U884" i="146"/>
  <c r="T885" i="146"/>
  <c r="U885" i="146" a="1"/>
  <c r="U885" i="146"/>
  <c r="T886" i="146"/>
  <c r="U886" i="146" a="1"/>
  <c r="U886" i="146"/>
  <c r="T887" i="146"/>
  <c r="T888" i="146"/>
  <c r="U888" i="146" a="1"/>
  <c r="U888" i="146"/>
  <c r="T889" i="146"/>
  <c r="U889" i="146" a="1"/>
  <c r="U889" i="146"/>
  <c r="T890" i="146"/>
  <c r="U890" i="146" a="1"/>
  <c r="U890" i="146"/>
  <c r="T891" i="146"/>
  <c r="U891" i="146" a="1"/>
  <c r="U891" i="146"/>
  <c r="T892" i="146"/>
  <c r="V892" i="146"/>
  <c r="T893" i="146"/>
  <c r="V893" i="146"/>
  <c r="T894" i="146"/>
  <c r="V894" i="146"/>
  <c r="T895" i="146"/>
  <c r="U895" i="146" a="1"/>
  <c r="U895" i="146"/>
  <c r="T896" i="146"/>
  <c r="U896" i="146" a="1"/>
  <c r="U896" i="146"/>
  <c r="T897" i="146"/>
  <c r="V897" i="146"/>
  <c r="T898" i="146"/>
  <c r="V898" i="146"/>
  <c r="T899" i="146"/>
  <c r="V899" i="146"/>
  <c r="T900" i="146"/>
  <c r="U900" i="146" a="1"/>
  <c r="U900" i="146"/>
  <c r="T901" i="146"/>
  <c r="U901" i="146" a="1"/>
  <c r="U901" i="146"/>
  <c r="T902" i="146"/>
  <c r="U902" i="146" a="1"/>
  <c r="U902" i="146"/>
  <c r="T903" i="146"/>
  <c r="U903" i="146" a="1"/>
  <c r="U903" i="146"/>
  <c r="T904" i="146"/>
  <c r="U904" i="146" a="1"/>
  <c r="U904" i="146"/>
  <c r="T905" i="146"/>
  <c r="U905" i="146" a="1"/>
  <c r="U905" i="146"/>
  <c r="T906" i="146"/>
  <c r="V906" i="146"/>
  <c r="T907" i="146"/>
  <c r="V907" i="146"/>
  <c r="T908" i="146"/>
  <c r="U908" i="146" a="1"/>
  <c r="U908" i="146"/>
  <c r="T909" i="146"/>
  <c r="U909" i="146" a="1"/>
  <c r="U909" i="146"/>
  <c r="T910" i="146"/>
  <c r="U910" i="146" a="1"/>
  <c r="U910" i="146"/>
  <c r="T911" i="146"/>
  <c r="V911" i="146"/>
  <c r="T912" i="146"/>
  <c r="U912" i="146" a="1"/>
  <c r="U912" i="146"/>
  <c r="T913" i="146"/>
  <c r="T914" i="146"/>
  <c r="V914" i="146"/>
  <c r="T915" i="146"/>
  <c r="U915" i="146" a="1"/>
  <c r="U915" i="146"/>
  <c r="T916" i="146"/>
  <c r="V916" i="146"/>
  <c r="T917" i="146"/>
  <c r="V917" i="146"/>
  <c r="T918" i="146"/>
  <c r="U918" i="146" a="1"/>
  <c r="U918" i="146"/>
  <c r="T919" i="146"/>
  <c r="V919" i="146"/>
  <c r="T920" i="146"/>
  <c r="U920" i="146" a="1"/>
  <c r="U920" i="146"/>
  <c r="T921" i="146"/>
  <c r="U921" i="146" a="1"/>
  <c r="U921" i="146"/>
  <c r="T922" i="146"/>
  <c r="U922" i="146" a="1"/>
  <c r="U922" i="146"/>
  <c r="T923" i="146"/>
  <c r="V923" i="146"/>
  <c r="T924" i="146"/>
  <c r="T925" i="146"/>
  <c r="U925" i="146" a="1"/>
  <c r="U925" i="146"/>
  <c r="T926" i="146"/>
  <c r="U926" i="146" a="1"/>
  <c r="U926" i="146"/>
  <c r="T927" i="146"/>
  <c r="U927" i="146" a="1"/>
  <c r="U927" i="146"/>
  <c r="T928" i="146"/>
  <c r="V928" i="146"/>
  <c r="T929" i="146"/>
  <c r="V929" i="146"/>
  <c r="T930" i="146"/>
  <c r="U930" i="146" a="1"/>
  <c r="U930" i="146"/>
  <c r="T931" i="146"/>
  <c r="U931" i="146" a="1"/>
  <c r="U931" i="146"/>
  <c r="T932" i="146"/>
  <c r="U932" i="146" a="1"/>
  <c r="U932" i="146"/>
  <c r="T933" i="146"/>
  <c r="V933" i="146"/>
  <c r="T934" i="146"/>
  <c r="V934" i="146"/>
  <c r="T935" i="146"/>
  <c r="V935" i="146"/>
  <c r="T936" i="146"/>
  <c r="T937" i="146"/>
  <c r="U937" i="146" a="1"/>
  <c r="U937" i="146"/>
  <c r="T938" i="146"/>
  <c r="U938" i="146" a="1"/>
  <c r="U938" i="146"/>
  <c r="T939" i="146"/>
  <c r="V939" i="146"/>
  <c r="T940" i="146"/>
  <c r="U940" i="146" a="1"/>
  <c r="U940" i="146"/>
  <c r="T941" i="146"/>
  <c r="U941" i="146" a="1"/>
  <c r="U941" i="146"/>
  <c r="T942" i="146"/>
  <c r="T943" i="146"/>
  <c r="V943" i="146"/>
  <c r="T944" i="146"/>
  <c r="U944" i="146" a="1"/>
  <c r="U944" i="146"/>
  <c r="T945" i="146"/>
  <c r="U945" i="146" a="1"/>
  <c r="U945" i="146"/>
  <c r="T946" i="146"/>
  <c r="U946" i="146" a="1"/>
  <c r="U946" i="146"/>
  <c r="T947" i="146"/>
  <c r="V947" i="146"/>
  <c r="T948" i="146"/>
  <c r="U948" i="146" a="1"/>
  <c r="U948" i="146"/>
  <c r="T949" i="146"/>
  <c r="U949" i="146" a="1"/>
  <c r="U949" i="146"/>
  <c r="T950" i="146"/>
  <c r="U950" i="146" a="1"/>
  <c r="U950" i="146"/>
  <c r="T951" i="146"/>
  <c r="U951" i="146" a="1"/>
  <c r="U951" i="146"/>
  <c r="T952" i="146"/>
  <c r="T953" i="146"/>
  <c r="U953" i="146" a="1"/>
  <c r="U953" i="146"/>
  <c r="T954" i="146"/>
  <c r="V954" i="146"/>
  <c r="T955" i="146"/>
  <c r="U955" i="146" a="1"/>
  <c r="U955" i="146"/>
  <c r="T956" i="146"/>
  <c r="U956" i="146" a="1"/>
  <c r="U956" i="146"/>
  <c r="T957" i="146"/>
  <c r="V957" i="146"/>
  <c r="T958" i="146"/>
  <c r="V958" i="146"/>
  <c r="T959" i="146"/>
  <c r="U959" i="146" a="1"/>
  <c r="U959" i="146"/>
  <c r="T960" i="146"/>
  <c r="T961" i="146"/>
  <c r="U961" i="146" a="1"/>
  <c r="U961" i="146"/>
  <c r="T962" i="146"/>
  <c r="U962" i="146" a="1"/>
  <c r="U962" i="146"/>
  <c r="T963" i="146"/>
  <c r="U963" i="146" a="1"/>
  <c r="U963" i="146"/>
  <c r="T964" i="146"/>
  <c r="U964" i="146" a="1"/>
  <c r="U964" i="146"/>
  <c r="T965" i="146"/>
  <c r="U965" i="146" a="1"/>
  <c r="U965" i="146"/>
  <c r="T966" i="146"/>
  <c r="U966" i="146" a="1"/>
  <c r="U966" i="146"/>
  <c r="T967" i="146"/>
  <c r="V967" i="146"/>
  <c r="T968" i="146"/>
  <c r="T969" i="146"/>
  <c r="U969" i="146" a="1"/>
  <c r="U969" i="146"/>
  <c r="T970" i="146"/>
  <c r="U970" i="146" a="1"/>
  <c r="U970" i="146"/>
  <c r="T971" i="146"/>
  <c r="V971" i="146"/>
  <c r="T972" i="146"/>
  <c r="U972" i="146" a="1"/>
  <c r="U972" i="146"/>
  <c r="T973" i="146"/>
  <c r="T974" i="146"/>
  <c r="U974" i="146" a="1"/>
  <c r="U974" i="146"/>
  <c r="T975" i="146"/>
  <c r="T976" i="146"/>
  <c r="U976" i="146" a="1"/>
  <c r="U976" i="146"/>
  <c r="T977" i="146"/>
  <c r="U977" i="146" a="1"/>
  <c r="U977" i="146"/>
  <c r="T978" i="146"/>
  <c r="V978" i="146"/>
  <c r="T979" i="146"/>
  <c r="V979" i="146"/>
  <c r="T980" i="146"/>
  <c r="U980" i="146" a="1"/>
  <c r="U980" i="146"/>
  <c r="T981" i="146"/>
  <c r="U981" i="146" a="1"/>
  <c r="U981" i="146"/>
  <c r="T982" i="146"/>
  <c r="U982" i="146" a="1"/>
  <c r="U982" i="146"/>
  <c r="T983" i="146"/>
  <c r="U983" i="146" a="1"/>
  <c r="U983" i="146"/>
  <c r="T984" i="146"/>
  <c r="T985" i="146"/>
  <c r="U985" i="146" a="1"/>
  <c r="U985" i="146"/>
  <c r="T986" i="146"/>
  <c r="U986" i="146" a="1"/>
  <c r="U986" i="146"/>
  <c r="T987" i="146"/>
  <c r="V987" i="146"/>
  <c r="T988" i="146"/>
  <c r="V988" i="146"/>
  <c r="T989" i="146"/>
  <c r="V989" i="146"/>
  <c r="T990" i="146"/>
  <c r="U990" i="146" a="1"/>
  <c r="U990" i="146"/>
  <c r="T991" i="146"/>
  <c r="U991" i="146" a="1"/>
  <c r="U991" i="146"/>
  <c r="T992" i="146"/>
  <c r="V992" i="146"/>
  <c r="T993" i="146"/>
  <c r="T994" i="146"/>
  <c r="T995" i="146"/>
  <c r="V995" i="146"/>
  <c r="T996" i="146"/>
  <c r="U996" i="146" a="1"/>
  <c r="U996" i="146"/>
  <c r="T997" i="146"/>
  <c r="V997" i="146"/>
  <c r="T998" i="146"/>
  <c r="U998" i="146" a="1"/>
  <c r="U998" i="146"/>
  <c r="T999" i="146"/>
  <c r="V999" i="146"/>
  <c r="T1000" i="146"/>
  <c r="U1000" i="146" a="1"/>
  <c r="U1000" i="146"/>
  <c r="T1001" i="146"/>
  <c r="V1001" i="146"/>
  <c r="T1002" i="146"/>
  <c r="U1002" i="146" a="1"/>
  <c r="U1002" i="146"/>
  <c r="T1003" i="146"/>
  <c r="V1003" i="146"/>
  <c r="T1004" i="146"/>
  <c r="U1004" i="146" a="1"/>
  <c r="U1004" i="146"/>
  <c r="T1005" i="146"/>
  <c r="U1005" i="146" a="1"/>
  <c r="U1005" i="146"/>
  <c r="T1006" i="146"/>
  <c r="T1007" i="146"/>
  <c r="T1008" i="146"/>
  <c r="U1008" i="146" a="1"/>
  <c r="U1008" i="146"/>
  <c r="T1009" i="146"/>
  <c r="T1010" i="146"/>
  <c r="U1010" i="146" a="1"/>
  <c r="U1010" i="146"/>
  <c r="T1011" i="146"/>
  <c r="U1011" i="146" a="1"/>
  <c r="U1011" i="146"/>
  <c r="T1012" i="146"/>
  <c r="U1012" i="146" a="1"/>
  <c r="U1012" i="146"/>
  <c r="T1013" i="146"/>
  <c r="V1013" i="146"/>
  <c r="T1014" i="146"/>
  <c r="U1014" i="146" a="1"/>
  <c r="U1014" i="146"/>
  <c r="T1015" i="146"/>
  <c r="U1015" i="146" a="1"/>
  <c r="U1015" i="146"/>
  <c r="T1016" i="146"/>
  <c r="U1016" i="146" a="1"/>
  <c r="U1016" i="146"/>
  <c r="T1017" i="146"/>
  <c r="U1017" i="146" a="1"/>
  <c r="U1017" i="146"/>
  <c r="T1018" i="146"/>
  <c r="V1018" i="146"/>
  <c r="T1019" i="146"/>
  <c r="V1019" i="146"/>
  <c r="T1020" i="146"/>
  <c r="V1020" i="146"/>
  <c r="T1021" i="146"/>
  <c r="V1021" i="146"/>
  <c r="T1022" i="146"/>
  <c r="V1022" i="146"/>
  <c r="T1023" i="146"/>
  <c r="U1023" i="146" a="1"/>
  <c r="U1023" i="146"/>
  <c r="T1024" i="146"/>
  <c r="U1024" i="146" a="1"/>
  <c r="U1024" i="146"/>
  <c r="T1025" i="146"/>
  <c r="T1026" i="146"/>
  <c r="V1026" i="146"/>
  <c r="T1027" i="146"/>
  <c r="U1027" i="146" a="1"/>
  <c r="U1027" i="146"/>
  <c r="T1028" i="146"/>
  <c r="U1028" i="146" a="1"/>
  <c r="U1028" i="146"/>
  <c r="T1029" i="146"/>
  <c r="U1029" i="146" a="1"/>
  <c r="U1029" i="146"/>
  <c r="T1030" i="146"/>
  <c r="U1030" i="146" a="1"/>
  <c r="U1030" i="146"/>
  <c r="T1031" i="146"/>
  <c r="U1031" i="146" a="1"/>
  <c r="U1031" i="146"/>
  <c r="T1032" i="146"/>
  <c r="U1032" i="146" a="1"/>
  <c r="U1032" i="146"/>
  <c r="T1033" i="146"/>
  <c r="U1033" i="146" a="1"/>
  <c r="U1033" i="146"/>
  <c r="T1034" i="146"/>
  <c r="V1034" i="146"/>
  <c r="T1035" i="146"/>
  <c r="T1036" i="146"/>
  <c r="V1036" i="146"/>
  <c r="T1037" i="146"/>
  <c r="V1037" i="146"/>
  <c r="T1038" i="146"/>
  <c r="U1038" i="146" a="1"/>
  <c r="U1038" i="146"/>
  <c r="T1039" i="146"/>
  <c r="V1039" i="146"/>
  <c r="T1040" i="146"/>
  <c r="U1040" i="146" a="1"/>
  <c r="U1040" i="146"/>
  <c r="T1041" i="146"/>
  <c r="U1041" i="146" a="1"/>
  <c r="U1041" i="146"/>
  <c r="T1042" i="146"/>
  <c r="U1042" i="146" a="1"/>
  <c r="U1042" i="146"/>
  <c r="T1043" i="146"/>
  <c r="V1043" i="146"/>
  <c r="T1044" i="146"/>
  <c r="U1044" i="146" a="1"/>
  <c r="U1044" i="146"/>
  <c r="T1045" i="146"/>
  <c r="T1046" i="146"/>
  <c r="T1047" i="146"/>
  <c r="U1047" i="146" a="1"/>
  <c r="U1047" i="146"/>
  <c r="T1048" i="146"/>
  <c r="V1048" i="146"/>
  <c r="T1049" i="146"/>
  <c r="V1049" i="146"/>
  <c r="T1050" i="146"/>
  <c r="V1050" i="146"/>
  <c r="T1051" i="146"/>
  <c r="U1051" i="146" a="1"/>
  <c r="U1051" i="146"/>
  <c r="T1052" i="146"/>
  <c r="U1052" i="146" a="1"/>
  <c r="U1052" i="146"/>
  <c r="T1053" i="146"/>
  <c r="U1053" i="146" a="1"/>
  <c r="U1053" i="146"/>
  <c r="T1054" i="146"/>
  <c r="T1055" i="146"/>
  <c r="U1055" i="146" a="1"/>
  <c r="U1055" i="146"/>
  <c r="T1056" i="146"/>
  <c r="V1056" i="146"/>
  <c r="T1057" i="146"/>
  <c r="V1057" i="146"/>
  <c r="T1058" i="146"/>
  <c r="U1058" i="146" a="1"/>
  <c r="U1058" i="146"/>
  <c r="T1059" i="146"/>
  <c r="U1059" i="146" a="1"/>
  <c r="U1059" i="146"/>
  <c r="T1060" i="146"/>
  <c r="U1060" i="146" a="1"/>
  <c r="U1060" i="146"/>
  <c r="T1061" i="146"/>
  <c r="U1061" i="146" a="1"/>
  <c r="U1061" i="146"/>
  <c r="T1062" i="146"/>
  <c r="V1062" i="146"/>
  <c r="T1063" i="146"/>
  <c r="U1063" i="146" a="1"/>
  <c r="U1063" i="146"/>
  <c r="T1064" i="146"/>
  <c r="V1064" i="146"/>
  <c r="T1065" i="146"/>
  <c r="T1066" i="146"/>
  <c r="U1066" i="146" a="1"/>
  <c r="U1066" i="146"/>
  <c r="T1067" i="146"/>
  <c r="U1067" i="146" a="1"/>
  <c r="U1067" i="146"/>
  <c r="T1068" i="146"/>
  <c r="U1068" i="146" a="1"/>
  <c r="U1068" i="146"/>
  <c r="T1069" i="146"/>
  <c r="U1069" i="146" a="1"/>
  <c r="U1069" i="146"/>
  <c r="T1070" i="146"/>
  <c r="U1070" i="146" a="1"/>
  <c r="U1070" i="146"/>
  <c r="T1071" i="146"/>
  <c r="U1071" i="146" a="1"/>
  <c r="U1071" i="146"/>
  <c r="T1072" i="146"/>
  <c r="T1073" i="146"/>
  <c r="U1073" i="146" a="1"/>
  <c r="U1073" i="146"/>
  <c r="T1074" i="146"/>
  <c r="T1075" i="146"/>
  <c r="U1075" i="146" a="1"/>
  <c r="U1075" i="146"/>
  <c r="T1076" i="146"/>
  <c r="T1077" i="146"/>
  <c r="U1077" i="146" a="1"/>
  <c r="U1077" i="146"/>
  <c r="T1078" i="146"/>
  <c r="U1078" i="146" a="1"/>
  <c r="U1078" i="146"/>
  <c r="T1079" i="146"/>
  <c r="V1079" i="146"/>
  <c r="T1080" i="146"/>
  <c r="U1080" i="146" a="1"/>
  <c r="U1080" i="146"/>
  <c r="T1081" i="146"/>
  <c r="U1081" i="146" a="1"/>
  <c r="U1081" i="146"/>
  <c r="T1082" i="146"/>
  <c r="V1082" i="146"/>
  <c r="T1083" i="146"/>
  <c r="U1083" i="146" a="1"/>
  <c r="U1083" i="146"/>
  <c r="T1084" i="146"/>
  <c r="U1084" i="146" a="1"/>
  <c r="U1084" i="146"/>
  <c r="T1085" i="146"/>
  <c r="U1085" i="146" a="1"/>
  <c r="U1085" i="146"/>
  <c r="T1086" i="146"/>
  <c r="T1087" i="146"/>
  <c r="U1087" i="146" a="1"/>
  <c r="U1087" i="146"/>
  <c r="T1088" i="146"/>
  <c r="V1088" i="146"/>
  <c r="T1089" i="146"/>
  <c r="V1089" i="146"/>
  <c r="T1090" i="146"/>
  <c r="U1090" i="146" a="1"/>
  <c r="U1090" i="146"/>
  <c r="T1091" i="146"/>
  <c r="U1091" i="146" a="1"/>
  <c r="U1091" i="146"/>
  <c r="T1092" i="146"/>
  <c r="U1092" i="146" a="1"/>
  <c r="U1092" i="146"/>
  <c r="T1093" i="146"/>
  <c r="U1093" i="146" a="1"/>
  <c r="U1093" i="146"/>
  <c r="T1094" i="146"/>
  <c r="T1095" i="146"/>
  <c r="U1095" i="146" a="1"/>
  <c r="U1095" i="146"/>
  <c r="T1096" i="146"/>
  <c r="U1096" i="146" a="1"/>
  <c r="U1096" i="146"/>
  <c r="T1097" i="146"/>
  <c r="U1097" i="146" a="1"/>
  <c r="U1097" i="146"/>
  <c r="T1098" i="146"/>
  <c r="V1098" i="146"/>
  <c r="T1099" i="146"/>
  <c r="V1099" i="146"/>
  <c r="T1100" i="146"/>
  <c r="U1100" i="146" a="1"/>
  <c r="U1100" i="146"/>
  <c r="T1101" i="146"/>
  <c r="U1101" i="146" a="1"/>
  <c r="U1101" i="146"/>
  <c r="T1102" i="146"/>
  <c r="U1102" i="146" a="1"/>
  <c r="U1102" i="146"/>
  <c r="T1103" i="146"/>
  <c r="V1103" i="146"/>
  <c r="T1104" i="146"/>
  <c r="U1104" i="146" a="1"/>
  <c r="U1104" i="146"/>
  <c r="T1105" i="146"/>
  <c r="T1106" i="146"/>
  <c r="V1106" i="146"/>
  <c r="T1107" i="146"/>
  <c r="T1108" i="146"/>
  <c r="U1108" i="146" a="1"/>
  <c r="U1108" i="146"/>
  <c r="T1109" i="146"/>
  <c r="U1109" i="146" a="1"/>
  <c r="U1109" i="146"/>
  <c r="T1110" i="146"/>
  <c r="U1110" i="146" a="1"/>
  <c r="U1110" i="146"/>
  <c r="T1111" i="146"/>
  <c r="U1111" i="146" a="1"/>
  <c r="U1111" i="146"/>
  <c r="T1112" i="146"/>
  <c r="U1112" i="146" a="1"/>
  <c r="U1112" i="146"/>
  <c r="T1113" i="146"/>
  <c r="U1113" i="146" a="1"/>
  <c r="U1113" i="146"/>
  <c r="T1114" i="146"/>
  <c r="U1114" i="146" a="1"/>
  <c r="U1114" i="146"/>
  <c r="T1115" i="146"/>
  <c r="U1115" i="146" a="1"/>
  <c r="U1115" i="146"/>
  <c r="T1116" i="146"/>
  <c r="T1117" i="146"/>
  <c r="U1117" i="146" a="1"/>
  <c r="U1117" i="146"/>
  <c r="T1118" i="146"/>
  <c r="T1119" i="146"/>
  <c r="U1119" i="146" a="1"/>
  <c r="U1119" i="146"/>
  <c r="T1120" i="146"/>
  <c r="V1120" i="146"/>
  <c r="T1121" i="146"/>
  <c r="U1121" i="146" a="1"/>
  <c r="U1121" i="146"/>
  <c r="T1122" i="146"/>
  <c r="V1122" i="146"/>
  <c r="T1123" i="146"/>
  <c r="V1123" i="146"/>
  <c r="T1124" i="146"/>
  <c r="U1124" i="146" a="1"/>
  <c r="U1124" i="146"/>
  <c r="T1125" i="146"/>
  <c r="U1125" i="146" a="1"/>
  <c r="U1125" i="146"/>
  <c r="T1126" i="146"/>
  <c r="U1126" i="146" a="1"/>
  <c r="U1126" i="146"/>
  <c r="T1127" i="146"/>
  <c r="U1127" i="146" a="1"/>
  <c r="U1127" i="146"/>
  <c r="T1128" i="146"/>
  <c r="T1129" i="146"/>
  <c r="U1129" i="146" a="1"/>
  <c r="U1129" i="146"/>
  <c r="T1130" i="146"/>
  <c r="V1130" i="146"/>
  <c r="T1131" i="146"/>
  <c r="V1131" i="146"/>
  <c r="T1132" i="146"/>
  <c r="V1132" i="146"/>
  <c r="T1133" i="146"/>
  <c r="U1133" i="146" a="1"/>
  <c r="U1133" i="146"/>
  <c r="T1134" i="146"/>
  <c r="U1134" i="146" a="1"/>
  <c r="U1134" i="146"/>
  <c r="T1135" i="146"/>
  <c r="U1135" i="146" a="1"/>
  <c r="U1135" i="146"/>
  <c r="T1136" i="146"/>
  <c r="V1136" i="146"/>
  <c r="T1137" i="146"/>
  <c r="T1138" i="146"/>
  <c r="U1138" i="146" a="1"/>
  <c r="U1138" i="146"/>
  <c r="T1139" i="146"/>
  <c r="T1140" i="146"/>
  <c r="U1140" i="146" a="1"/>
  <c r="U1140" i="146"/>
  <c r="T1141" i="146"/>
  <c r="U1141" i="146" a="1"/>
  <c r="U1141" i="146"/>
  <c r="T1142" i="146"/>
  <c r="V1142" i="146"/>
  <c r="T1143" i="146"/>
  <c r="U1143" i="146" a="1"/>
  <c r="U1143" i="146"/>
  <c r="T1144" i="146"/>
  <c r="U1144" i="146" a="1"/>
  <c r="U1144" i="146"/>
  <c r="T1145" i="146"/>
  <c r="U1145" i="146" a="1"/>
  <c r="U1145" i="146"/>
  <c r="T1146" i="146"/>
  <c r="U1146" i="146" a="1"/>
  <c r="U1146" i="146"/>
  <c r="T1147" i="146"/>
  <c r="T1148" i="146"/>
  <c r="U1148" i="146" a="1"/>
  <c r="U1148" i="146"/>
  <c r="T1149" i="146"/>
  <c r="U1149" i="146" a="1"/>
  <c r="U1149" i="146"/>
  <c r="T1150" i="146"/>
  <c r="T1151" i="146"/>
  <c r="V1151" i="146"/>
  <c r="T1152" i="146"/>
  <c r="U1152" i="146" a="1"/>
  <c r="U1152" i="146"/>
  <c r="T1153" i="146"/>
  <c r="U1153" i="146" a="1"/>
  <c r="U1153" i="146"/>
  <c r="T1154" i="146"/>
  <c r="U1154" i="146" a="1"/>
  <c r="U1154" i="146"/>
  <c r="T1155" i="146"/>
  <c r="U1155" i="146" a="1"/>
  <c r="U1155" i="146"/>
  <c r="T1156" i="146"/>
  <c r="U1156" i="146" a="1"/>
  <c r="U1156" i="146"/>
  <c r="T1157" i="146"/>
  <c r="U1157" i="146" a="1"/>
  <c r="U1157" i="146"/>
  <c r="T1158" i="146"/>
  <c r="T1159" i="146"/>
  <c r="U1159" i="146" a="1"/>
  <c r="U1159" i="146"/>
  <c r="T1160" i="146"/>
  <c r="T1161" i="146"/>
  <c r="U1161" i="146" a="1"/>
  <c r="U1161" i="146"/>
  <c r="T1162" i="146"/>
  <c r="T1163" i="146"/>
  <c r="U1163" i="146" a="1"/>
  <c r="U1163" i="146"/>
  <c r="T1164" i="146"/>
  <c r="V1164" i="146"/>
  <c r="T1165" i="146"/>
  <c r="U1165" i="146" a="1"/>
  <c r="U1165" i="146"/>
  <c r="T1166" i="146"/>
  <c r="U1166" i="146" a="1"/>
  <c r="U1166" i="146"/>
  <c r="T1167" i="146"/>
  <c r="U1167" i="146" a="1"/>
  <c r="U1167" i="146"/>
  <c r="T1168" i="146"/>
  <c r="U1168" i="146" a="1"/>
  <c r="U1168" i="146"/>
  <c r="T1169" i="146"/>
  <c r="T1170" i="146"/>
  <c r="U1170" i="146" a="1"/>
  <c r="U1170" i="146"/>
  <c r="T1171" i="146"/>
  <c r="U1171" i="146" a="1"/>
  <c r="U1171" i="146"/>
  <c r="T1172" i="146"/>
  <c r="U1172" i="146" a="1"/>
  <c r="U1172" i="146"/>
  <c r="T1173" i="146"/>
  <c r="U1173" i="146" a="1"/>
  <c r="U1173" i="146"/>
  <c r="T1174" i="146"/>
  <c r="U1174" i="146" a="1"/>
  <c r="U1174" i="146"/>
  <c r="T1175" i="146"/>
  <c r="V1175" i="146"/>
  <c r="T1176" i="146"/>
  <c r="V1176" i="146"/>
  <c r="T1177" i="146"/>
  <c r="U1177" i="146" a="1"/>
  <c r="U1177" i="146"/>
  <c r="T1178" i="146"/>
  <c r="T1179" i="146"/>
  <c r="T1180" i="146"/>
  <c r="V1180" i="146"/>
  <c r="T1181" i="146"/>
  <c r="U1181" i="146" a="1"/>
  <c r="U1181" i="146"/>
  <c r="T1182" i="146"/>
  <c r="U1182" i="146" a="1"/>
  <c r="U1182" i="146"/>
  <c r="T1183" i="146"/>
  <c r="U1183" i="146" a="1"/>
  <c r="U1183" i="146"/>
  <c r="T1184" i="146"/>
  <c r="U1184" i="146" a="1"/>
  <c r="U1184" i="146"/>
  <c r="T1185" i="146"/>
  <c r="U1185" i="146" a="1"/>
  <c r="U1185" i="146"/>
  <c r="T1186" i="146"/>
  <c r="T1187" i="146"/>
  <c r="V1187" i="146"/>
  <c r="T1188" i="146"/>
  <c r="U1188" i="146" a="1"/>
  <c r="U1188" i="146"/>
  <c r="T1189" i="146"/>
  <c r="V1189" i="146"/>
  <c r="T1190" i="146"/>
  <c r="V1190" i="146"/>
  <c r="T1191" i="146"/>
  <c r="U1191" i="146" a="1"/>
  <c r="U1191" i="146"/>
  <c r="T1192" i="146"/>
  <c r="U1192" i="146" a="1"/>
  <c r="U1192" i="146"/>
  <c r="T1193" i="146"/>
  <c r="U1193" i="146" a="1"/>
  <c r="U1193" i="146"/>
  <c r="T1194" i="146"/>
  <c r="U1194" i="146" a="1"/>
  <c r="U1194" i="146"/>
  <c r="T1195" i="146"/>
  <c r="V1195" i="146"/>
  <c r="T1196" i="146"/>
  <c r="U1196" i="146" a="1"/>
  <c r="U1196" i="146"/>
  <c r="T1197" i="146"/>
  <c r="U1197" i="146" a="1"/>
  <c r="U1197" i="146"/>
  <c r="T1198" i="146"/>
  <c r="U1198" i="146" a="1"/>
  <c r="U1198" i="146"/>
  <c r="T1199" i="146"/>
  <c r="T1200" i="146"/>
  <c r="T1201" i="146"/>
  <c r="U1201" i="146" a="1"/>
  <c r="U1201" i="146"/>
  <c r="T1202" i="146"/>
  <c r="U1202" i="146" a="1"/>
  <c r="U1202" i="146"/>
  <c r="T1203" i="146"/>
  <c r="V1203" i="146"/>
  <c r="T1204" i="146"/>
  <c r="V1204" i="146"/>
  <c r="T1205" i="146"/>
  <c r="V1205" i="146"/>
  <c r="T1206" i="146"/>
  <c r="U1206" i="146" a="1"/>
  <c r="U1206" i="146"/>
  <c r="T1207" i="146"/>
  <c r="U1207" i="146" a="1"/>
  <c r="U1207" i="146"/>
  <c r="T1208" i="146"/>
  <c r="U1208" i="146" a="1"/>
  <c r="U1208" i="146"/>
  <c r="T1209" i="146"/>
  <c r="U1209" i="146" a="1"/>
  <c r="U1209" i="146"/>
  <c r="T1210" i="146"/>
  <c r="T1211" i="146"/>
  <c r="U1211" i="146" a="1"/>
  <c r="U1211" i="146"/>
  <c r="T1212" i="146"/>
  <c r="T1213" i="146"/>
  <c r="V1213" i="146"/>
  <c r="T1214" i="146"/>
  <c r="V1214" i="146"/>
  <c r="T1215" i="146"/>
  <c r="U1215" i="146" a="1"/>
  <c r="U1215" i="146"/>
  <c r="T1216" i="146"/>
  <c r="V1216" i="146"/>
  <c r="T1217" i="146"/>
  <c r="V1217" i="146"/>
  <c r="T1218" i="146"/>
  <c r="U1218" i="146" a="1"/>
  <c r="U1218" i="146"/>
  <c r="T1219" i="146"/>
  <c r="U1219" i="146" a="1"/>
  <c r="U1219" i="146"/>
  <c r="T1220" i="146"/>
  <c r="T1221" i="146"/>
  <c r="V1221" i="146"/>
  <c r="T1222" i="146"/>
  <c r="V1222" i="146"/>
  <c r="T1223" i="146"/>
  <c r="T1224" i="146"/>
  <c r="U1224" i="146" a="1"/>
  <c r="U1224" i="146"/>
  <c r="T1225" i="146"/>
  <c r="U1225" i="146" a="1"/>
  <c r="U1225" i="146"/>
  <c r="T1226" i="146"/>
  <c r="V1226" i="146"/>
  <c r="T1227" i="146"/>
  <c r="V1227" i="146"/>
  <c r="T1228" i="146"/>
  <c r="U1228" i="146" a="1"/>
  <c r="U1228" i="146"/>
  <c r="T1229" i="146"/>
  <c r="T1230" i="146"/>
  <c r="U1230" i="146" a="1"/>
  <c r="U1230" i="146"/>
  <c r="T1231" i="146"/>
  <c r="V1231" i="146"/>
  <c r="T1232" i="146"/>
  <c r="V1232" i="146"/>
  <c r="T1233" i="146"/>
  <c r="U1233" i="146" a="1"/>
  <c r="U1233" i="146"/>
  <c r="T1234" i="146"/>
  <c r="U1234" i="146" a="1"/>
  <c r="U1234" i="146"/>
  <c r="T1235" i="146"/>
  <c r="T1236" i="146"/>
  <c r="V1236" i="146"/>
  <c r="T1237" i="146"/>
  <c r="U1237" i="146" a="1"/>
  <c r="U1237" i="146"/>
  <c r="T1238" i="146"/>
  <c r="U1238" i="146" a="1"/>
  <c r="U1238" i="146"/>
  <c r="T1239" i="146"/>
  <c r="U1239" i="146" a="1"/>
  <c r="U1239" i="146"/>
  <c r="T1240" i="146"/>
  <c r="U1240" i="146" a="1"/>
  <c r="U1240" i="146"/>
  <c r="T1241" i="146"/>
  <c r="U1241" i="146" a="1"/>
  <c r="U1241" i="146"/>
  <c r="T1242" i="146"/>
  <c r="U1242" i="146" a="1"/>
  <c r="U1242" i="146"/>
  <c r="T1243" i="146"/>
  <c r="T1244" i="146"/>
  <c r="U1244" i="146" a="1"/>
  <c r="U1244" i="146"/>
  <c r="T1245" i="146"/>
  <c r="V1245" i="146"/>
  <c r="T1246" i="146"/>
  <c r="T1247" i="146"/>
  <c r="U1247" i="146" a="1"/>
  <c r="U1247" i="146"/>
  <c r="T1248" i="146"/>
  <c r="V1248" i="146"/>
  <c r="T1249" i="146"/>
  <c r="U1249" i="146" a="1"/>
  <c r="U1249" i="146"/>
  <c r="T1250" i="146"/>
  <c r="U1250" i="146" a="1"/>
  <c r="U1250" i="146"/>
  <c r="T1251" i="146"/>
  <c r="U1251" i="146" a="1"/>
  <c r="U1251" i="146"/>
  <c r="T1252" i="146"/>
  <c r="T1253" i="146"/>
  <c r="V1253" i="146"/>
  <c r="T1254" i="146"/>
  <c r="T1255" i="146"/>
  <c r="V1255" i="146"/>
  <c r="T1256" i="146"/>
  <c r="U1256" i="146" a="1"/>
  <c r="U1256" i="146"/>
  <c r="T1257" i="146"/>
  <c r="V1257" i="146"/>
  <c r="T1258" i="146"/>
  <c r="U1258" i="146" a="1"/>
  <c r="U1258" i="146"/>
  <c r="T1259" i="146"/>
  <c r="U1259" i="146" a="1"/>
  <c r="U1259" i="146"/>
  <c r="T1260" i="146"/>
  <c r="V1260" i="146"/>
  <c r="T1261" i="146"/>
  <c r="T1262" i="146"/>
  <c r="U1262" i="146" a="1"/>
  <c r="U1262" i="146"/>
  <c r="T1263" i="146"/>
  <c r="V1263" i="146"/>
  <c r="T1264" i="146"/>
  <c r="V1264" i="146"/>
  <c r="T1265" i="146"/>
  <c r="U1265" i="146" a="1"/>
  <c r="U1265" i="146"/>
  <c r="T1266" i="146"/>
  <c r="U1266" i="146" a="1"/>
  <c r="U1266" i="146"/>
  <c r="T1267" i="146"/>
  <c r="V1267" i="146"/>
  <c r="T1268" i="146"/>
  <c r="U1268" i="146" a="1"/>
  <c r="U1268" i="146"/>
  <c r="T1269" i="146"/>
  <c r="V1269" i="146"/>
  <c r="T1270" i="146"/>
  <c r="U1270" i="146" a="1"/>
  <c r="U1270" i="146"/>
  <c r="T1271" i="146"/>
  <c r="U1271" i="146" a="1"/>
  <c r="U1271" i="146"/>
  <c r="T1272" i="146"/>
  <c r="U1272" i="146" a="1"/>
  <c r="U1272" i="146"/>
  <c r="T1273" i="146"/>
  <c r="V1273" i="146"/>
  <c r="T1274" i="146"/>
  <c r="V1274" i="146"/>
  <c r="T1275" i="146"/>
  <c r="U1275" i="146" a="1"/>
  <c r="U1275" i="146"/>
  <c r="T1276" i="146"/>
  <c r="U1276" i="146" a="1"/>
  <c r="U1276" i="146"/>
  <c r="T1277" i="146"/>
  <c r="V1277" i="146"/>
  <c r="T1278" i="146"/>
  <c r="V1278" i="146"/>
  <c r="T1279" i="146"/>
  <c r="U1279" i="146" a="1"/>
  <c r="U1279" i="146"/>
  <c r="T1280" i="146"/>
  <c r="U1280" i="146" a="1"/>
  <c r="U1280" i="146"/>
  <c r="T1281" i="146"/>
  <c r="U1281" i="146" a="1"/>
  <c r="U1281" i="146"/>
  <c r="T1282" i="146"/>
  <c r="U1282" i="146" a="1"/>
  <c r="U1282" i="146"/>
  <c r="T1283" i="146"/>
  <c r="U1283" i="146" a="1"/>
  <c r="U1283" i="146"/>
  <c r="T1284" i="146"/>
  <c r="U1284" i="146" a="1"/>
  <c r="U1284" i="146"/>
  <c r="T1285" i="146"/>
  <c r="U1285" i="146" a="1"/>
  <c r="U1285" i="146"/>
  <c r="T1286" i="146"/>
  <c r="U1286" i="146" a="1"/>
  <c r="U1286" i="146"/>
  <c r="T1287" i="146"/>
  <c r="U1287" i="146" a="1"/>
  <c r="U1287" i="146"/>
  <c r="T1288" i="146"/>
  <c r="U1288" i="146" a="1"/>
  <c r="U1288" i="146"/>
  <c r="T1289" i="146"/>
  <c r="U1289" i="146" a="1"/>
  <c r="U1289" i="146"/>
  <c r="T1290" i="146"/>
  <c r="U1290" i="146" a="1"/>
  <c r="U1290" i="146"/>
  <c r="T1291" i="146"/>
  <c r="U1291" i="146" a="1"/>
  <c r="U1291" i="146"/>
  <c r="T1292" i="146"/>
  <c r="U1292" i="146" a="1"/>
  <c r="U1292" i="146"/>
  <c r="T1293" i="146"/>
  <c r="U1293" i="146" a="1"/>
  <c r="U1293" i="146"/>
  <c r="T1294" i="146"/>
  <c r="U1294" i="146" a="1"/>
  <c r="U1294" i="146"/>
  <c r="T1295" i="146"/>
  <c r="U1295" i="146" a="1"/>
  <c r="U1295" i="146"/>
  <c r="T1296" i="146"/>
  <c r="U1296" i="146" a="1"/>
  <c r="U1296" i="146"/>
  <c r="T1297" i="146"/>
  <c r="U1297" i="146" a="1"/>
  <c r="U1297" i="146"/>
  <c r="T1298" i="146"/>
  <c r="U1298" i="146" a="1"/>
  <c r="U1298" i="146"/>
  <c r="T1299" i="146"/>
  <c r="U1299" i="146" a="1"/>
  <c r="U1299" i="146"/>
  <c r="T1300" i="146"/>
  <c r="U1300" i="146" a="1"/>
  <c r="U1300" i="146"/>
  <c r="T1301" i="146"/>
  <c r="U1301" i="146" a="1"/>
  <c r="U1301" i="146"/>
  <c r="T1302" i="146"/>
  <c r="U1302" i="146" a="1"/>
  <c r="U1302" i="146"/>
  <c r="T1303" i="146"/>
  <c r="U1303" i="146" a="1"/>
  <c r="U1303" i="146"/>
  <c r="T1304" i="146"/>
  <c r="U1304" i="146" a="1"/>
  <c r="U1304" i="146"/>
  <c r="T1305" i="146"/>
  <c r="U1305" i="146" a="1"/>
  <c r="U1305" i="146"/>
  <c r="T1306" i="146"/>
  <c r="U1306" i="146" a="1"/>
  <c r="U1306" i="146"/>
  <c r="T1307" i="146"/>
  <c r="U1307" i="146" a="1"/>
  <c r="U1307" i="146"/>
  <c r="T1308" i="146"/>
  <c r="U1308" i="146" a="1"/>
  <c r="U1308" i="146"/>
  <c r="T1309" i="146"/>
  <c r="U1309" i="146" a="1"/>
  <c r="U1309" i="146"/>
  <c r="T1310" i="146"/>
  <c r="U1310" i="146" a="1"/>
  <c r="U1310" i="146"/>
  <c r="T1311" i="146"/>
  <c r="U1311" i="146" a="1"/>
  <c r="U1311" i="146"/>
  <c r="T1312" i="146"/>
  <c r="U1312" i="146" a="1"/>
  <c r="U1312" i="146"/>
  <c r="T1313" i="146"/>
  <c r="U1313" i="146" a="1"/>
  <c r="U1313" i="146"/>
  <c r="T1314" i="146"/>
  <c r="U1314" i="146" a="1"/>
  <c r="U1314" i="146"/>
  <c r="T1315" i="146"/>
  <c r="U1315" i="146" a="1"/>
  <c r="U1315" i="146"/>
  <c r="T1316" i="146"/>
  <c r="U1316" i="146" a="1"/>
  <c r="U1316" i="146"/>
  <c r="T1317" i="146"/>
  <c r="U1317" i="146" a="1"/>
  <c r="U1317" i="146"/>
  <c r="T1318" i="146"/>
  <c r="U1318" i="146" a="1"/>
  <c r="U1318" i="146"/>
  <c r="T1319" i="146"/>
  <c r="U1319" i="146" a="1"/>
  <c r="U1319" i="146"/>
  <c r="T1320" i="146"/>
  <c r="U1320" i="146" a="1"/>
  <c r="U1320" i="146"/>
  <c r="T1321" i="146"/>
  <c r="U1321" i="146" a="1"/>
  <c r="U1321" i="146"/>
  <c r="T1322" i="146"/>
  <c r="U1322" i="146" a="1"/>
  <c r="U1322" i="146"/>
  <c r="T1323" i="146"/>
  <c r="U1323" i="146" a="1"/>
  <c r="U1323" i="146"/>
  <c r="T1324" i="146"/>
  <c r="U1324" i="146" a="1"/>
  <c r="U1324" i="146"/>
  <c r="T1325" i="146"/>
  <c r="U1325" i="146" a="1"/>
  <c r="U1325" i="146"/>
  <c r="T1326" i="146"/>
  <c r="U1326" i="146" a="1"/>
  <c r="U1326" i="146"/>
  <c r="T1327" i="146"/>
  <c r="U1327" i="146" a="1"/>
  <c r="U1327" i="146"/>
  <c r="T1328" i="146"/>
  <c r="U1328" i="146" a="1"/>
  <c r="U1328" i="146"/>
  <c r="T1329" i="146"/>
  <c r="U1329" i="146" a="1"/>
  <c r="U1329" i="146"/>
  <c r="T1330" i="146"/>
  <c r="U1330" i="146" a="1"/>
  <c r="U1330" i="146"/>
  <c r="T1331" i="146"/>
  <c r="U1331" i="146" a="1"/>
  <c r="U1331" i="146"/>
  <c r="T1332" i="146"/>
  <c r="U1332" i="146" a="1"/>
  <c r="U1332" i="146"/>
  <c r="T1333" i="146"/>
  <c r="U1333" i="146" a="1"/>
  <c r="U1333" i="146"/>
  <c r="T1334" i="146"/>
  <c r="U1334" i="146" a="1"/>
  <c r="U1334" i="146"/>
  <c r="T1335" i="146"/>
  <c r="U1335" i="146" a="1"/>
  <c r="U1335" i="146"/>
  <c r="T1336" i="146"/>
  <c r="U1336" i="146" a="1"/>
  <c r="U1336" i="146"/>
  <c r="T1337" i="146"/>
  <c r="U1337" i="146" a="1"/>
  <c r="U1337" i="146"/>
  <c r="T1338" i="146"/>
  <c r="U1338" i="146" a="1"/>
  <c r="U1338" i="146"/>
  <c r="T1339" i="146"/>
  <c r="U1339" i="146" a="1"/>
  <c r="U1339" i="146"/>
  <c r="T1340" i="146"/>
  <c r="U1340" i="146" a="1"/>
  <c r="U1340" i="146"/>
  <c r="T1341" i="146"/>
  <c r="U1341" i="146" a="1"/>
  <c r="U1341" i="146"/>
  <c r="T1342" i="146"/>
  <c r="U1342" i="146" a="1"/>
  <c r="U1342" i="146"/>
  <c r="T1343" i="146"/>
  <c r="U1343" i="146" a="1"/>
  <c r="U1343" i="146"/>
  <c r="T1344" i="146"/>
  <c r="U1344" i="146" a="1"/>
  <c r="U1344" i="146"/>
  <c r="T1345" i="146"/>
  <c r="U1345" i="146" a="1"/>
  <c r="U1345" i="146"/>
  <c r="T1346" i="146"/>
  <c r="U1346" i="146" a="1"/>
  <c r="U1346" i="146"/>
  <c r="T1347" i="146"/>
  <c r="U1347" i="146" a="1"/>
  <c r="U1347" i="146"/>
  <c r="T1348" i="146"/>
  <c r="U1348" i="146" a="1"/>
  <c r="U1348" i="146"/>
  <c r="T1349" i="146"/>
  <c r="U1349" i="146" a="1"/>
  <c r="U1349" i="146"/>
  <c r="T1350" i="146"/>
  <c r="U1350" i="146" a="1"/>
  <c r="U1350" i="146"/>
  <c r="T1351" i="146"/>
  <c r="U1351" i="146" a="1"/>
  <c r="U1351" i="146"/>
  <c r="T1352" i="146"/>
  <c r="U1352" i="146" a="1"/>
  <c r="U1352" i="146"/>
  <c r="T1353" i="146"/>
  <c r="U1353" i="146" a="1"/>
  <c r="U1353" i="146"/>
  <c r="T1354" i="146"/>
  <c r="U1354" i="146" a="1"/>
  <c r="U1354" i="146"/>
  <c r="T1355" i="146"/>
  <c r="U1355" i="146" a="1"/>
  <c r="U1355" i="146"/>
  <c r="T1356" i="146"/>
  <c r="U1356" i="146" a="1"/>
  <c r="U1356" i="146"/>
  <c r="T1357" i="146"/>
  <c r="U1357" i="146" a="1"/>
  <c r="U1357" i="146"/>
  <c r="T1358" i="146"/>
  <c r="U1358" i="146" a="1"/>
  <c r="U1358" i="146"/>
  <c r="T1359" i="146"/>
  <c r="U1359" i="146" a="1"/>
  <c r="U1359" i="146"/>
  <c r="T1360" i="146"/>
  <c r="U1360" i="146" a="1"/>
  <c r="U1360" i="146"/>
  <c r="T1361" i="146"/>
  <c r="U1361" i="146" a="1"/>
  <c r="U1361" i="146"/>
  <c r="T1362" i="146"/>
  <c r="U1362" i="146" a="1"/>
  <c r="U1362" i="146"/>
  <c r="T1363" i="146"/>
  <c r="U1363" i="146" a="1"/>
  <c r="U1363" i="146"/>
  <c r="T1364" i="146"/>
  <c r="U1364" i="146" a="1"/>
  <c r="U1364" i="146"/>
  <c r="T1365" i="146"/>
  <c r="U1365" i="146" a="1"/>
  <c r="U1365" i="146"/>
  <c r="T1366" i="146"/>
  <c r="U1366" i="146" a="1"/>
  <c r="U1366" i="146"/>
  <c r="T1367" i="146"/>
  <c r="U1367" i="146" a="1"/>
  <c r="U1367" i="146"/>
  <c r="T1368" i="146"/>
  <c r="U1368" i="146" a="1"/>
  <c r="U1368" i="146"/>
  <c r="T1369" i="146"/>
  <c r="U1369" i="146" a="1"/>
  <c r="U1369" i="146"/>
  <c r="T1370" i="146"/>
  <c r="U1370" i="146" a="1"/>
  <c r="U1370" i="146"/>
  <c r="T1371" i="146"/>
  <c r="U1371" i="146" a="1"/>
  <c r="U1371" i="146"/>
  <c r="T1372" i="146"/>
  <c r="U1372" i="146" a="1"/>
  <c r="U1372" i="146"/>
  <c r="T1373" i="146"/>
  <c r="U1373" i="146" a="1"/>
  <c r="U1373" i="146"/>
  <c r="T1374" i="146"/>
  <c r="U1374" i="146" a="1"/>
  <c r="U1374" i="146"/>
  <c r="T1375" i="146"/>
  <c r="U1375" i="146" a="1"/>
  <c r="U1375" i="146"/>
  <c r="T1376" i="146"/>
  <c r="U1376" i="146" a="1"/>
  <c r="U1376" i="146"/>
  <c r="T1377" i="146"/>
  <c r="U1377" i="146" a="1"/>
  <c r="U1377" i="146"/>
  <c r="T1378" i="146"/>
  <c r="U1378" i="146" a="1"/>
  <c r="U1378" i="146"/>
  <c r="T1379" i="146"/>
  <c r="U1379" i="146" a="1"/>
  <c r="U1379" i="146"/>
  <c r="T1380" i="146"/>
  <c r="U1380" i="146" a="1"/>
  <c r="U1380" i="146"/>
  <c r="T1381" i="146"/>
  <c r="U1381" i="146" a="1"/>
  <c r="U1381" i="146"/>
  <c r="T1382" i="146"/>
  <c r="U1382" i="146" a="1"/>
  <c r="U1382" i="146"/>
  <c r="T1383" i="146"/>
  <c r="U1383" i="146" a="1"/>
  <c r="U1383" i="146"/>
  <c r="T1384" i="146"/>
  <c r="U1384" i="146" a="1"/>
  <c r="U1384" i="146"/>
  <c r="T1385" i="146"/>
  <c r="U1385" i="146" a="1"/>
  <c r="U1385" i="146"/>
  <c r="T1386" i="146"/>
  <c r="U1386" i="146" a="1"/>
  <c r="U1386" i="146"/>
  <c r="T1387" i="146"/>
  <c r="U1387" i="146" a="1"/>
  <c r="U1387" i="146"/>
  <c r="T1388" i="146"/>
  <c r="U1388" i="146" a="1"/>
  <c r="U1388" i="146"/>
  <c r="T1389" i="146"/>
  <c r="U1389" i="146" a="1"/>
  <c r="U1389" i="146"/>
  <c r="T1390" i="146"/>
  <c r="U1390" i="146" a="1"/>
  <c r="U1390" i="146"/>
  <c r="T1391" i="146"/>
  <c r="U1391" i="146" a="1"/>
  <c r="U1391" i="146"/>
  <c r="T1392" i="146"/>
  <c r="U1392" i="146" a="1"/>
  <c r="U1392" i="146"/>
  <c r="T1393" i="146"/>
  <c r="U1393" i="146" a="1"/>
  <c r="U1393" i="146"/>
  <c r="T1394" i="146"/>
  <c r="U1394" i="146" a="1"/>
  <c r="U1394" i="146"/>
  <c r="T1395" i="146"/>
  <c r="U1395" i="146" a="1"/>
  <c r="U1395" i="146"/>
  <c r="T1396" i="146"/>
  <c r="U1396" i="146" a="1"/>
  <c r="U1396" i="146"/>
  <c r="T1397" i="146"/>
  <c r="U1397" i="146" a="1"/>
  <c r="U1397" i="146"/>
  <c r="T1398" i="146"/>
  <c r="U1398" i="146" a="1"/>
  <c r="U1398" i="146"/>
  <c r="T1399" i="146"/>
  <c r="U1399" i="146" a="1"/>
  <c r="U1399" i="146"/>
  <c r="T1400" i="146"/>
  <c r="U1400" i="146" a="1"/>
  <c r="U1400" i="146"/>
  <c r="T1401" i="146"/>
  <c r="U1401" i="146" a="1"/>
  <c r="U1401" i="146"/>
  <c r="T1402" i="146"/>
  <c r="U1402" i="146" a="1"/>
  <c r="U1402" i="146"/>
  <c r="T1403" i="146"/>
  <c r="U1403" i="146" a="1"/>
  <c r="U1403" i="146"/>
  <c r="T1404" i="146"/>
  <c r="U1404" i="146" a="1"/>
  <c r="U1404" i="146"/>
  <c r="T1405" i="146"/>
  <c r="U1405" i="146" a="1"/>
  <c r="U1405" i="146"/>
  <c r="T1406" i="146"/>
  <c r="U1406" i="146" a="1"/>
  <c r="U1406" i="146"/>
  <c r="T1407" i="146"/>
  <c r="U1407" i="146" a="1"/>
  <c r="U1407" i="146"/>
  <c r="T1408" i="146"/>
  <c r="U1408" i="146" a="1"/>
  <c r="U1408" i="146"/>
  <c r="T1409" i="146"/>
  <c r="U1409" i="146" a="1"/>
  <c r="U1409" i="146"/>
  <c r="T1410" i="146"/>
  <c r="U1410" i="146" a="1"/>
  <c r="U1410" i="146"/>
  <c r="T1411" i="146"/>
  <c r="U1411" i="146" a="1"/>
  <c r="U1411" i="146"/>
  <c r="T1412" i="146"/>
  <c r="U1412" i="146" a="1"/>
  <c r="U1412" i="146"/>
  <c r="T1413" i="146"/>
  <c r="U1413" i="146" a="1"/>
  <c r="U1413" i="146"/>
  <c r="T1414" i="146"/>
  <c r="U1414" i="146" a="1"/>
  <c r="U1414" i="146"/>
  <c r="T1415" i="146"/>
  <c r="U1415" i="146" a="1"/>
  <c r="U1415" i="146"/>
  <c r="T1416" i="146"/>
  <c r="U1416" i="146" a="1"/>
  <c r="U1416" i="146"/>
  <c r="T1417" i="146"/>
  <c r="U1417" i="146" a="1"/>
  <c r="U1417" i="146"/>
  <c r="T1418" i="146"/>
  <c r="U1418" i="146" a="1"/>
  <c r="U1418" i="146"/>
  <c r="T1419" i="146"/>
  <c r="U1419" i="146" a="1"/>
  <c r="U1419" i="146"/>
  <c r="T1420" i="146"/>
  <c r="U1420" i="146" a="1"/>
  <c r="U1420" i="146"/>
  <c r="T1421" i="146"/>
  <c r="U1421" i="146" a="1"/>
  <c r="U1421" i="146"/>
  <c r="T1422" i="146"/>
  <c r="U1422" i="146" a="1"/>
  <c r="U1422" i="146"/>
  <c r="T1423" i="146"/>
  <c r="U1423" i="146" a="1"/>
  <c r="U1423" i="146"/>
  <c r="T1424" i="146"/>
  <c r="U1424" i="146" a="1"/>
  <c r="U1424" i="146"/>
  <c r="T1425" i="146"/>
  <c r="U1425" i="146" a="1"/>
  <c r="U1425" i="146"/>
  <c r="T1426" i="146"/>
  <c r="U1426" i="146" a="1"/>
  <c r="U1426" i="146"/>
  <c r="T1451" i="146"/>
  <c r="U1451" i="146" a="1"/>
  <c r="U1451" i="146"/>
  <c r="T1427" i="146"/>
  <c r="U1427" i="146" a="1"/>
  <c r="U1427" i="146"/>
  <c r="T1428" i="146"/>
  <c r="U1428" i="146" a="1"/>
  <c r="U1428" i="146"/>
  <c r="T1429" i="146"/>
  <c r="U1429" i="146" a="1"/>
  <c r="U1429" i="146"/>
  <c r="T1430" i="146"/>
  <c r="U1430" i="146" a="1"/>
  <c r="U1430" i="146"/>
  <c r="T1431" i="146"/>
  <c r="U1431" i="146" a="1"/>
  <c r="U1431" i="146"/>
  <c r="T1432" i="146"/>
  <c r="U1432" i="146" a="1"/>
  <c r="U1432" i="146"/>
  <c r="T1433" i="146"/>
  <c r="U1433" i="146" a="1"/>
  <c r="U1433" i="146"/>
  <c r="T1434" i="146"/>
  <c r="U1434" i="146" a="1"/>
  <c r="U1434" i="146"/>
  <c r="T1452" i="146"/>
  <c r="U1452" i="146" a="1"/>
  <c r="U1452" i="146"/>
  <c r="T1435" i="146"/>
  <c r="U1435" i="146" a="1"/>
  <c r="U1435" i="146"/>
  <c r="T1436" i="146"/>
  <c r="U1436" i="146" a="1"/>
  <c r="U1436" i="146"/>
  <c r="T1437" i="146"/>
  <c r="U1437" i="146" a="1"/>
  <c r="U1437" i="146"/>
  <c r="T1438" i="146"/>
  <c r="U1438" i="146" a="1"/>
  <c r="U1438" i="146"/>
  <c r="T1439" i="146"/>
  <c r="U1439" i="146" a="1"/>
  <c r="U1439" i="146"/>
  <c r="T1440" i="146"/>
  <c r="U1440" i="146" a="1"/>
  <c r="U1440" i="146"/>
  <c r="T1441" i="146"/>
  <c r="U1441" i="146" a="1"/>
  <c r="U1441" i="146"/>
  <c r="T1442" i="146"/>
  <c r="U1442" i="146" a="1"/>
  <c r="U1442" i="146"/>
  <c r="T1443" i="146"/>
  <c r="U1443" i="146" a="1"/>
  <c r="U1443" i="146"/>
  <c r="T1444" i="146"/>
  <c r="U1444" i="146" a="1"/>
  <c r="U1444" i="146"/>
  <c r="T1445" i="146"/>
  <c r="U1445" i="146" a="1"/>
  <c r="U1445" i="146"/>
  <c r="T1446" i="146"/>
  <c r="U1446" i="146" a="1"/>
  <c r="U1446" i="146"/>
  <c r="T1447" i="146"/>
  <c r="U1447" i="146" a="1"/>
  <c r="U1447" i="146"/>
  <c r="T1448" i="146"/>
  <c r="U1448" i="146" a="1"/>
  <c r="U1448" i="146"/>
  <c r="T1449" i="146"/>
  <c r="U1449" i="146" a="1"/>
  <c r="U1449" i="146"/>
  <c r="T1450" i="146"/>
  <c r="U1450" i="146" a="1"/>
  <c r="U1450" i="146"/>
  <c r="T1453" i="146"/>
  <c r="U1453" i="146" a="1"/>
  <c r="U1453" i="146"/>
  <c r="T1454" i="146"/>
  <c r="U1454" i="146" a="1"/>
  <c r="U1454" i="146"/>
  <c r="T1455" i="146"/>
  <c r="U1455" i="146" a="1"/>
  <c r="U1455" i="146"/>
  <c r="T1456" i="146"/>
  <c r="U1456" i="146" a="1"/>
  <c r="U1456" i="146"/>
  <c r="T1457" i="146"/>
  <c r="U1457" i="146" a="1"/>
  <c r="U1457" i="146"/>
  <c r="T1458" i="146"/>
  <c r="U1458" i="146" a="1"/>
  <c r="U1458" i="146"/>
  <c r="T1459" i="146"/>
  <c r="U1459" i="146" a="1"/>
  <c r="U1459" i="146"/>
  <c r="T1460" i="146"/>
  <c r="U1460" i="146" a="1"/>
  <c r="U1460" i="146"/>
  <c r="T1461" i="146"/>
  <c r="U1461" i="146" a="1"/>
  <c r="U1461" i="146"/>
  <c r="T1462" i="146"/>
  <c r="U1462" i="146" a="1"/>
  <c r="U1462" i="146"/>
  <c r="T1463" i="146"/>
  <c r="U1463" i="146" a="1"/>
  <c r="U1463" i="146"/>
  <c r="T1464" i="146"/>
  <c r="U1464" i="146" a="1"/>
  <c r="U1464" i="146"/>
  <c r="T1465" i="146"/>
  <c r="U1465" i="146" a="1"/>
  <c r="U1465" i="146"/>
  <c r="T1466" i="146"/>
  <c r="U1466" i="146" a="1"/>
  <c r="U1466" i="146"/>
  <c r="T1467" i="146"/>
  <c r="U1467" i="146" a="1"/>
  <c r="U1467" i="146"/>
  <c r="T1468" i="146"/>
  <c r="U1468" i="146" a="1"/>
  <c r="U1468" i="146"/>
  <c r="T1469" i="146"/>
  <c r="U1469" i="146" a="1"/>
  <c r="U1469" i="146"/>
  <c r="T1470" i="146"/>
  <c r="U1470" i="146" a="1"/>
  <c r="U1470" i="146"/>
  <c r="T1471" i="146"/>
  <c r="U1471" i="146" a="1"/>
  <c r="U1471" i="146"/>
  <c r="T1472" i="146"/>
  <c r="U1472" i="146" a="1"/>
  <c r="U1472" i="146"/>
  <c r="T1473" i="146"/>
  <c r="U1473" i="146" a="1"/>
  <c r="U1473" i="146"/>
  <c r="T1474" i="146"/>
  <c r="U1474" i="146" a="1"/>
  <c r="U1474" i="146"/>
  <c r="T1475" i="146"/>
  <c r="U1475" i="146" a="1"/>
  <c r="U1475" i="146"/>
  <c r="T1476" i="146"/>
  <c r="U1476" i="146" a="1"/>
  <c r="U1476" i="146"/>
  <c r="T1477" i="146"/>
  <c r="U1477" i="146" a="1"/>
  <c r="U1477" i="146"/>
  <c r="T1478" i="146"/>
  <c r="U1478" i="146" a="1"/>
  <c r="U1478" i="146"/>
  <c r="T1479" i="146"/>
  <c r="U1479" i="146" a="1"/>
  <c r="U1479" i="146"/>
  <c r="T1480" i="146"/>
  <c r="U1480" i="146" a="1"/>
  <c r="U1480" i="146"/>
  <c r="T1481" i="146"/>
  <c r="U1481" i="146" a="1"/>
  <c r="U1481" i="146"/>
  <c r="T1482" i="146"/>
  <c r="U1482" i="146" a="1"/>
  <c r="U1482" i="146"/>
  <c r="T1483" i="146"/>
  <c r="U1483" i="146" a="1"/>
  <c r="U1483" i="146"/>
  <c r="T1484" i="146"/>
  <c r="U1484" i="146" a="1"/>
  <c r="U1484" i="146"/>
  <c r="T1485" i="146"/>
  <c r="U1485" i="146" a="1"/>
  <c r="U1485" i="146"/>
  <c r="T1486" i="146"/>
  <c r="U1486" i="146" a="1"/>
  <c r="U1486" i="146"/>
  <c r="T1487" i="146"/>
  <c r="U1487" i="146" a="1"/>
  <c r="U1487" i="146"/>
  <c r="T1488" i="146"/>
  <c r="U1488" i="146" a="1"/>
  <c r="U1488" i="146"/>
  <c r="T1489" i="146"/>
  <c r="U1489" i="146" a="1"/>
  <c r="U1489" i="146"/>
  <c r="T1490" i="146"/>
  <c r="U1490" i="146" a="1"/>
  <c r="U1490" i="146"/>
  <c r="T1491" i="146"/>
  <c r="U1491" i="146" a="1"/>
  <c r="U1491" i="146"/>
  <c r="T1492" i="146"/>
  <c r="U1492" i="146" a="1"/>
  <c r="U1492" i="146"/>
  <c r="T1493" i="146"/>
  <c r="U1493" i="146" a="1"/>
  <c r="U1493" i="146"/>
  <c r="T1494" i="146"/>
  <c r="U1494" i="146" a="1"/>
  <c r="U1494" i="146"/>
  <c r="T1495" i="146"/>
  <c r="U1495" i="146" a="1"/>
  <c r="U1495" i="146"/>
  <c r="T1496" i="146"/>
  <c r="U1496" i="146" a="1"/>
  <c r="U1496" i="146"/>
  <c r="T1497" i="146"/>
  <c r="U1497" i="146" a="1"/>
  <c r="U1497" i="146"/>
  <c r="T1498" i="146"/>
  <c r="U1498" i="146" a="1"/>
  <c r="U1498" i="146"/>
  <c r="T1499" i="146"/>
  <c r="U1499" i="146" a="1"/>
  <c r="U1499" i="146"/>
  <c r="T1500" i="146"/>
  <c r="U1500" i="146" a="1"/>
  <c r="U1500" i="146"/>
  <c r="T1501" i="146"/>
  <c r="U1501" i="146" a="1"/>
  <c r="U1501" i="146"/>
  <c r="T1502" i="146"/>
  <c r="U1502" i="146" a="1"/>
  <c r="U1502" i="146"/>
  <c r="T1503" i="146"/>
  <c r="U1503" i="146" a="1"/>
  <c r="U1503" i="146"/>
  <c r="T1504" i="146"/>
  <c r="U1504" i="146" a="1"/>
  <c r="U1504" i="146"/>
  <c r="T1505" i="146"/>
  <c r="U1505" i="146" a="1"/>
  <c r="U1505" i="146"/>
  <c r="T1506" i="146"/>
  <c r="U1506" i="146" a="1"/>
  <c r="U1506" i="146"/>
  <c r="T1507" i="146"/>
  <c r="U1507" i="146" a="1"/>
  <c r="U1507" i="146"/>
  <c r="T1508" i="146"/>
  <c r="U1508" i="146" a="1"/>
  <c r="U1508" i="146"/>
  <c r="T1509" i="146"/>
  <c r="U1509" i="146" a="1"/>
  <c r="U1509" i="146"/>
  <c r="T1510" i="146"/>
  <c r="U1510" i="146" a="1"/>
  <c r="U1510" i="146"/>
  <c r="T1511" i="146"/>
  <c r="U1511" i="146" a="1"/>
  <c r="U1511" i="146"/>
  <c r="T1512" i="146"/>
  <c r="U1512" i="146" a="1"/>
  <c r="U1512" i="146"/>
  <c r="T1513" i="146"/>
  <c r="U1513" i="146" a="1"/>
  <c r="U1513" i="146"/>
  <c r="T1514" i="146"/>
  <c r="U1514" i="146" a="1"/>
  <c r="U1514" i="146"/>
  <c r="T1515" i="146"/>
  <c r="U1515" i="146" a="1"/>
  <c r="U1515" i="146"/>
  <c r="T1516" i="146"/>
  <c r="U1516" i="146" a="1"/>
  <c r="U1516" i="146"/>
  <c r="T1517" i="146"/>
  <c r="T1518" i="146"/>
  <c r="U1518" i="146" a="1"/>
  <c r="U1518" i="146"/>
  <c r="T1519" i="146"/>
  <c r="U1519" i="146" a="1"/>
  <c r="U1519" i="146"/>
  <c r="T1520" i="146"/>
  <c r="U1520" i="146" a="1"/>
  <c r="U1520" i="146"/>
  <c r="T1521" i="146"/>
  <c r="U1521" i="146" a="1"/>
  <c r="U1521" i="146"/>
  <c r="T1522" i="146"/>
  <c r="U1522" i="146" a="1"/>
  <c r="U1522" i="146"/>
  <c r="T1523" i="146"/>
  <c r="U1523" i="146" a="1"/>
  <c r="U1523" i="146"/>
  <c r="T1524" i="146"/>
  <c r="U1524" i="146" a="1"/>
  <c r="U1524" i="146"/>
  <c r="T1525" i="146"/>
  <c r="U1525" i="146" a="1"/>
  <c r="U1525" i="146"/>
  <c r="T1526" i="146"/>
  <c r="U1526" i="146" a="1"/>
  <c r="U1526" i="146"/>
  <c r="T1527" i="146"/>
  <c r="U1527" i="146" a="1"/>
  <c r="U1527" i="146"/>
  <c r="T1528" i="146"/>
  <c r="U1528" i="146" a="1"/>
  <c r="U1528" i="146"/>
  <c r="T1529" i="146"/>
  <c r="U1529" i="146" a="1"/>
  <c r="U1529" i="146"/>
  <c r="T1530" i="146"/>
  <c r="U1530" i="146" a="1"/>
  <c r="U1530" i="146"/>
  <c r="T1531" i="146"/>
  <c r="U1531" i="146" a="1"/>
  <c r="U1531" i="146"/>
  <c r="T1532" i="146"/>
  <c r="U1532" i="146" a="1"/>
  <c r="U1532" i="146"/>
  <c r="T1533" i="146"/>
  <c r="U1533" i="146" a="1"/>
  <c r="U1533" i="146"/>
  <c r="T1534" i="146"/>
  <c r="U1534" i="146" a="1"/>
  <c r="U1534" i="146"/>
  <c r="T1535" i="146"/>
  <c r="U1535" i="146" a="1"/>
  <c r="U1535" i="146"/>
  <c r="T1536" i="146"/>
  <c r="U1536" i="146" a="1"/>
  <c r="U1536" i="146"/>
  <c r="T1537" i="146"/>
  <c r="U1537" i="146" a="1"/>
  <c r="U1537" i="146"/>
  <c r="T1538" i="146"/>
  <c r="U1538" i="146" a="1"/>
  <c r="U1538" i="146"/>
  <c r="T1539" i="146"/>
  <c r="U1539" i="146" a="1"/>
  <c r="U1539" i="146"/>
  <c r="T1540" i="146"/>
  <c r="U1540" i="146" a="1"/>
  <c r="U1540" i="146"/>
  <c r="T1541" i="146"/>
  <c r="U1541" i="146" a="1"/>
  <c r="U1541" i="146"/>
  <c r="T1542" i="146"/>
  <c r="U1542" i="146" a="1"/>
  <c r="U1542" i="146"/>
  <c r="T1543" i="146"/>
  <c r="U1543" i="146" a="1"/>
  <c r="U1543" i="146"/>
  <c r="T1544" i="146"/>
  <c r="U1544" i="146" a="1"/>
  <c r="U1544" i="146"/>
  <c r="T1545" i="146"/>
  <c r="U1545" i="146" a="1"/>
  <c r="U1545" i="146"/>
  <c r="T1546" i="146"/>
  <c r="U1546" i="146" a="1"/>
  <c r="U1546" i="146"/>
  <c r="T1547" i="146"/>
  <c r="U1547" i="146" a="1"/>
  <c r="U1547" i="146"/>
  <c r="T1548" i="146"/>
  <c r="U1548" i="146" a="1"/>
  <c r="U1548" i="146"/>
  <c r="T1549" i="146"/>
  <c r="U1549" i="146" a="1"/>
  <c r="U1549" i="146"/>
  <c r="T1550" i="146"/>
  <c r="U1550" i="146" a="1"/>
  <c r="U1550" i="146"/>
  <c r="T1551" i="146"/>
  <c r="U1551" i="146" a="1"/>
  <c r="U1551" i="146"/>
  <c r="T1552" i="146"/>
  <c r="U1552" i="146" a="1"/>
  <c r="U1552" i="146"/>
  <c r="T1553" i="146"/>
  <c r="U1553" i="146" a="1"/>
  <c r="U1553" i="146"/>
  <c r="T1554" i="146"/>
  <c r="U1554" i="146" a="1"/>
  <c r="U1554" i="146"/>
  <c r="T1555" i="146"/>
  <c r="U1555" i="146" a="1"/>
  <c r="U1555" i="146"/>
  <c r="T1556" i="146"/>
  <c r="U1556" i="146" a="1"/>
  <c r="U1556" i="146"/>
  <c r="T1557" i="146"/>
  <c r="U1557" i="146" a="1"/>
  <c r="U1557" i="146"/>
  <c r="T1558" i="146"/>
  <c r="U1558" i="146" a="1"/>
  <c r="U1558" i="146"/>
  <c r="T1559" i="146"/>
  <c r="U1559" i="146" a="1"/>
  <c r="U1559" i="146"/>
  <c r="T1560" i="146"/>
  <c r="U1560" i="146" a="1"/>
  <c r="U1560" i="146"/>
  <c r="T1561" i="146"/>
  <c r="U1561" i="146" a="1"/>
  <c r="U1561" i="146"/>
  <c r="T1562" i="146"/>
  <c r="U1562" i="146" a="1"/>
  <c r="U1562" i="146"/>
  <c r="T1563" i="146"/>
  <c r="U1563" i="146" a="1"/>
  <c r="U1563" i="146"/>
  <c r="T1564" i="146"/>
  <c r="U1564" i="146" a="1"/>
  <c r="U1564" i="146"/>
  <c r="T1565" i="146"/>
  <c r="U1565" i="146" a="1"/>
  <c r="U1565" i="146"/>
  <c r="T1566" i="146"/>
  <c r="U1566" i="146" a="1"/>
  <c r="U1566" i="146"/>
  <c r="T1567" i="146"/>
  <c r="U1567" i="146" a="1"/>
  <c r="U1567" i="146"/>
  <c r="T1568" i="146"/>
  <c r="U1568" i="146" a="1"/>
  <c r="U1568" i="146"/>
  <c r="T1569" i="146"/>
  <c r="U1569" i="146" a="1"/>
  <c r="U1569" i="146"/>
  <c r="T1570" i="146"/>
  <c r="U1570" i="146" a="1"/>
  <c r="U1570" i="146"/>
  <c r="T1571" i="146"/>
  <c r="U1571" i="146" a="1"/>
  <c r="U1571" i="146"/>
  <c r="T1572" i="146"/>
  <c r="U1572" i="146" a="1"/>
  <c r="U1572" i="146"/>
  <c r="T1573" i="146"/>
  <c r="U1573" i="146" a="1"/>
  <c r="U1573" i="146"/>
  <c r="T1574" i="146"/>
  <c r="U1574" i="146" a="1"/>
  <c r="U1574" i="146"/>
  <c r="T1575" i="146"/>
  <c r="U1575" i="146" a="1"/>
  <c r="U1575" i="146"/>
  <c r="T1576" i="146"/>
  <c r="U1576" i="146" a="1"/>
  <c r="U1576" i="146"/>
  <c r="T1577" i="146"/>
  <c r="U1577" i="146" a="1"/>
  <c r="U1577" i="146"/>
  <c r="T1578" i="146"/>
  <c r="U1578" i="146" a="1"/>
  <c r="U1578" i="146"/>
  <c r="T1579" i="146"/>
  <c r="U1579" i="146" a="1"/>
  <c r="U1579" i="146"/>
  <c r="T1580" i="146"/>
  <c r="U1580" i="146" a="1"/>
  <c r="U1580" i="146"/>
  <c r="T1581" i="146"/>
  <c r="U1581" i="146" a="1"/>
  <c r="U1581" i="146"/>
  <c r="T1582" i="146"/>
  <c r="U1582" i="146" a="1"/>
  <c r="U1582" i="146"/>
  <c r="T1583" i="146"/>
  <c r="T1584" i="146"/>
  <c r="U1584" i="146" a="1"/>
  <c r="U1584" i="146"/>
  <c r="T1585" i="146"/>
  <c r="U1585" i="146" a="1"/>
  <c r="U1585" i="146"/>
  <c r="T1586" i="146"/>
  <c r="U1586" i="146" a="1"/>
  <c r="U1586" i="146"/>
  <c r="T1587" i="146"/>
  <c r="U1587" i="146" a="1"/>
  <c r="U1587" i="146"/>
  <c r="T1588" i="146"/>
  <c r="U1588" i="146" a="1"/>
  <c r="U1588" i="146"/>
  <c r="T1589" i="146"/>
  <c r="U1589" i="146" a="1"/>
  <c r="U1589" i="146"/>
  <c r="T1590" i="146"/>
  <c r="U1590" i="146" a="1"/>
  <c r="U1590" i="146"/>
  <c r="T1591" i="146"/>
  <c r="U1591" i="146" a="1"/>
  <c r="U1591" i="146"/>
  <c r="T1592" i="146"/>
  <c r="U1592" i="146" a="1"/>
  <c r="U1592" i="146"/>
  <c r="T1593" i="146"/>
  <c r="U1593" i="146" a="1"/>
  <c r="U1593" i="146"/>
  <c r="T1594" i="146"/>
  <c r="U1594" i="146" a="1"/>
  <c r="U1594" i="146"/>
  <c r="T1595" i="146"/>
  <c r="U1595" i="146" a="1"/>
  <c r="U1595" i="146"/>
  <c r="T1596" i="146"/>
  <c r="U1596" i="146" a="1"/>
  <c r="U1596" i="146"/>
  <c r="T1597" i="146"/>
  <c r="U1597" i="146" a="1"/>
  <c r="U1597" i="146"/>
  <c r="T1598" i="146"/>
  <c r="U1598" i="146" a="1"/>
  <c r="U1598" i="146"/>
  <c r="T1599" i="146"/>
  <c r="U1599" i="146" a="1"/>
  <c r="U1599" i="146"/>
  <c r="Q1599" i="146"/>
  <c r="T1600" i="146"/>
  <c r="U1600" i="146" a="1"/>
  <c r="U1600" i="146"/>
  <c r="Q1600" i="146"/>
  <c r="T1601" i="146"/>
  <c r="U1601" i="146" a="1"/>
  <c r="U1601" i="146"/>
  <c r="Q1601" i="146"/>
  <c r="T1602" i="146"/>
  <c r="U1602" i="146" a="1"/>
  <c r="U1602" i="146"/>
  <c r="Q1602" i="146"/>
  <c r="T1603" i="146"/>
  <c r="U1603" i="146" a="1"/>
  <c r="U1603" i="146"/>
  <c r="Q1603" i="146"/>
  <c r="T1604" i="146"/>
  <c r="U1604" i="146" a="1"/>
  <c r="U1604" i="146"/>
  <c r="Q1604" i="146"/>
  <c r="T1605" i="146"/>
  <c r="U1605" i="146" a="1"/>
  <c r="U1605" i="146"/>
  <c r="Q1605" i="146"/>
  <c r="T1606" i="146"/>
  <c r="U1606" i="146" a="1"/>
  <c r="U1606" i="146"/>
  <c r="Q1606" i="146"/>
  <c r="T1607" i="146"/>
  <c r="U1607" i="146" a="1"/>
  <c r="U1607" i="146"/>
  <c r="Q1607" i="146"/>
  <c r="T1608" i="146"/>
  <c r="U1608" i="146" a="1"/>
  <c r="U1608" i="146"/>
  <c r="Q1608" i="146"/>
  <c r="T1609" i="146"/>
  <c r="U1609" i="146" a="1"/>
  <c r="U1609" i="146"/>
  <c r="Q1609" i="146"/>
  <c r="T1610" i="146"/>
  <c r="U1610" i="146" a="1"/>
  <c r="U1610" i="146"/>
  <c r="Q1610" i="146"/>
  <c r="T1611" i="146"/>
  <c r="U1611" i="146" a="1"/>
  <c r="U1611" i="146"/>
  <c r="Q1611" i="146"/>
  <c r="T1612" i="146"/>
  <c r="U1612" i="146" a="1"/>
  <c r="U1612" i="146"/>
  <c r="Q1612" i="146"/>
  <c r="T1613" i="146"/>
  <c r="U1613" i="146" a="1"/>
  <c r="U1613" i="146"/>
  <c r="Q1613" i="146"/>
  <c r="T1614" i="146"/>
  <c r="U1614" i="146" a="1"/>
  <c r="U1614" i="146"/>
  <c r="Q1614" i="146"/>
  <c r="T1615" i="146"/>
  <c r="U1615" i="146" a="1"/>
  <c r="U1615" i="146"/>
  <c r="Q1615" i="146"/>
  <c r="T1616" i="146"/>
  <c r="U1616" i="146" a="1"/>
  <c r="U1616" i="146"/>
  <c r="Q1616" i="146"/>
  <c r="T1617" i="146"/>
  <c r="U1617" i="146" a="1"/>
  <c r="U1617" i="146"/>
  <c r="Q1617" i="146"/>
  <c r="T1618" i="146"/>
  <c r="U1618" i="146" a="1"/>
  <c r="U1618" i="146"/>
  <c r="Q1618" i="146"/>
  <c r="T1619" i="146"/>
  <c r="U1619" i="146" a="1"/>
  <c r="U1619" i="146"/>
  <c r="Q1619" i="146"/>
  <c r="T1620" i="146"/>
  <c r="U1620" i="146" a="1"/>
  <c r="U1620" i="146"/>
  <c r="Q1620" i="146"/>
  <c r="T1621" i="146"/>
  <c r="U1621" i="146" a="1"/>
  <c r="U1621" i="146"/>
  <c r="Q1621" i="146"/>
  <c r="T1622" i="146"/>
  <c r="U1622" i="146" a="1"/>
  <c r="U1622" i="146"/>
  <c r="Q1622" i="146"/>
  <c r="T1623" i="146"/>
  <c r="U1623" i="146" a="1"/>
  <c r="U1623" i="146"/>
  <c r="Q1623" i="146"/>
  <c r="T1624" i="146"/>
  <c r="U1624" i="146" a="1"/>
  <c r="U1624" i="146"/>
  <c r="Q1624" i="146"/>
  <c r="T1625" i="146"/>
  <c r="U1625" i="146" a="1"/>
  <c r="U1625" i="146"/>
  <c r="Q1625" i="146"/>
  <c r="T1626" i="146"/>
  <c r="U1626" i="146" a="1"/>
  <c r="U1626" i="146"/>
  <c r="Q1626" i="146"/>
  <c r="T1627" i="146"/>
  <c r="U1627" i="146" a="1"/>
  <c r="U1627" i="146"/>
  <c r="Q1627" i="146"/>
  <c r="T1628" i="146"/>
  <c r="U1628" i="146" a="1"/>
  <c r="U1628" i="146"/>
  <c r="Q1628" i="146"/>
  <c r="T1629" i="146"/>
  <c r="U1629" i="146" a="1"/>
  <c r="U1629" i="146"/>
  <c r="Q1629" i="146"/>
  <c r="T1630" i="146"/>
  <c r="U1630" i="146" a="1"/>
  <c r="U1630" i="146"/>
  <c r="Q1630" i="146"/>
  <c r="T1631" i="146"/>
  <c r="U1631" i="146" a="1"/>
  <c r="U1631" i="146"/>
  <c r="Q1631" i="146"/>
  <c r="T1632" i="146"/>
  <c r="U1632" i="146" a="1"/>
  <c r="U1632" i="146"/>
  <c r="Q1632" i="146"/>
  <c r="T1633" i="146"/>
  <c r="U1633" i="146" a="1"/>
  <c r="U1633" i="146"/>
  <c r="Q1633" i="146"/>
  <c r="T1634" i="146"/>
  <c r="U1634" i="146" a="1"/>
  <c r="U1634" i="146"/>
  <c r="Q1634" i="146"/>
  <c r="T1635" i="146"/>
  <c r="U1635" i="146" a="1"/>
  <c r="U1635" i="146"/>
  <c r="Q1635" i="146"/>
  <c r="T1636" i="146"/>
  <c r="U1636" i="146" a="1"/>
  <c r="U1636" i="146"/>
  <c r="Q1636" i="146"/>
  <c r="T1637" i="146"/>
  <c r="U1637" i="146" a="1"/>
  <c r="U1637" i="146"/>
  <c r="Q1637" i="146"/>
  <c r="T1638" i="146"/>
  <c r="U1638" i="146" a="1"/>
  <c r="U1638" i="146"/>
  <c r="Q1638" i="146"/>
  <c r="T1639" i="146"/>
  <c r="U1639" i="146" a="1"/>
  <c r="U1639" i="146"/>
  <c r="Q1639" i="146"/>
  <c r="T1640" i="146"/>
  <c r="U1640" i="146" a="1"/>
  <c r="U1640" i="146"/>
  <c r="Q1640" i="146"/>
  <c r="T1641" i="146"/>
  <c r="U1641" i="146" a="1"/>
  <c r="U1641" i="146"/>
  <c r="Q1641" i="146"/>
  <c r="T1642" i="146"/>
  <c r="U1642" i="146" a="1"/>
  <c r="U1642" i="146"/>
  <c r="Q1642" i="146"/>
  <c r="T1643" i="146"/>
  <c r="U1643" i="146" a="1"/>
  <c r="U1643" i="146"/>
  <c r="Q1643" i="146"/>
  <c r="T1644" i="146"/>
  <c r="U1644" i="146" a="1"/>
  <c r="U1644" i="146"/>
  <c r="Q1644" i="146"/>
  <c r="T1645" i="146"/>
  <c r="U1645" i="146" a="1"/>
  <c r="U1645" i="146"/>
  <c r="Q1645" i="146"/>
  <c r="T1646" i="146"/>
  <c r="U1646" i="146" a="1"/>
  <c r="U1646" i="146"/>
  <c r="Q1646" i="146"/>
  <c r="T1647" i="146"/>
  <c r="U1647" i="146" a="1"/>
  <c r="U1647" i="146"/>
  <c r="Q1647" i="146"/>
  <c r="T1648" i="146"/>
  <c r="U1648" i="146" a="1"/>
  <c r="U1648" i="146"/>
  <c r="Q1648" i="146"/>
  <c r="T1649" i="146"/>
  <c r="U1649" i="146" a="1"/>
  <c r="U1649" i="146"/>
  <c r="Q1649" i="146"/>
  <c r="T1650" i="146"/>
  <c r="U1650" i="146" a="1"/>
  <c r="U1650" i="146"/>
  <c r="Q1650" i="146"/>
  <c r="T1651" i="146"/>
  <c r="Q1651" i="146"/>
  <c r="T1652" i="146"/>
  <c r="U1652" i="146" a="1"/>
  <c r="U1652" i="146"/>
  <c r="Q1652" i="146"/>
  <c r="T1653" i="146"/>
  <c r="U1653" i="146" a="1"/>
  <c r="U1653" i="146"/>
  <c r="Q1653" i="146"/>
  <c r="T1654" i="146"/>
  <c r="U1654" i="146" a="1"/>
  <c r="U1654" i="146"/>
  <c r="Q1654" i="146"/>
  <c r="T1655" i="146"/>
  <c r="U1655" i="146" a="1"/>
  <c r="U1655" i="146"/>
  <c r="Q1655" i="146"/>
  <c r="T1656" i="146"/>
  <c r="U1656" i="146" a="1"/>
  <c r="U1656" i="146"/>
  <c r="Q1656" i="146"/>
  <c r="T1657" i="146"/>
  <c r="U1657" i="146" a="1"/>
  <c r="U1657" i="146"/>
  <c r="Q1657" i="146"/>
  <c r="T1658" i="146"/>
  <c r="U1658" i="146" a="1"/>
  <c r="U1658" i="146"/>
  <c r="Q1658" i="146"/>
  <c r="T1659" i="146"/>
  <c r="U1659" i="146" a="1"/>
  <c r="U1659" i="146"/>
  <c r="Q1659" i="146"/>
  <c r="T1660" i="146"/>
  <c r="U1660" i="146" a="1"/>
  <c r="U1660" i="146"/>
  <c r="Q1660" i="146"/>
  <c r="T1661" i="146"/>
  <c r="U1661" i="146" a="1"/>
  <c r="U1661" i="146"/>
  <c r="Q1661" i="146"/>
  <c r="T1662" i="146"/>
  <c r="U1662" i="146" a="1"/>
  <c r="U1662" i="146"/>
  <c r="Q1662" i="146"/>
  <c r="T1663" i="146"/>
  <c r="U1663" i="146" a="1"/>
  <c r="U1663" i="146"/>
  <c r="Q1663" i="146"/>
  <c r="T1664" i="146"/>
  <c r="U1664" i="146" a="1"/>
  <c r="U1664" i="146"/>
  <c r="Q1664" i="146"/>
  <c r="T1665" i="146"/>
  <c r="U1665" i="146" a="1"/>
  <c r="U1665" i="146"/>
  <c r="Q1665" i="146"/>
  <c r="T1666" i="146"/>
  <c r="U1666" i="146" a="1"/>
  <c r="U1666" i="146"/>
  <c r="Q1666" i="146"/>
  <c r="T1667" i="146"/>
  <c r="U1667" i="146" a="1"/>
  <c r="U1667" i="146"/>
  <c r="Q1667" i="146"/>
  <c r="T1668" i="146"/>
  <c r="Q1668" i="146"/>
  <c r="T1669" i="146"/>
  <c r="U1669" i="146" a="1"/>
  <c r="U1669" i="146"/>
  <c r="Q1669" i="146"/>
  <c r="T1670" i="146"/>
  <c r="U1670" i="146" a="1"/>
  <c r="U1670" i="146"/>
  <c r="Q1670" i="146"/>
  <c r="T1671" i="146"/>
  <c r="U1671" i="146" a="1"/>
  <c r="U1671" i="146"/>
  <c r="Q1671" i="146"/>
  <c r="T1672" i="146"/>
  <c r="U1672" i="146" a="1"/>
  <c r="U1672" i="146"/>
  <c r="Q1672" i="146"/>
  <c r="T1673" i="146"/>
  <c r="U1673" i="146" a="1"/>
  <c r="U1673" i="146"/>
  <c r="Q1673" i="146"/>
  <c r="T1674" i="146"/>
  <c r="U1674" i="146" a="1"/>
  <c r="U1674" i="146"/>
  <c r="Q1674" i="146"/>
  <c r="T1675" i="146"/>
  <c r="U1675" i="146" a="1"/>
  <c r="U1675" i="146"/>
  <c r="Q1675" i="146"/>
  <c r="T1676" i="146"/>
  <c r="U1676" i="146" a="1"/>
  <c r="U1676" i="146"/>
  <c r="Q1676" i="146"/>
  <c r="T1677" i="146"/>
  <c r="U1677" i="146" a="1"/>
  <c r="U1677" i="146"/>
  <c r="Q1677" i="146"/>
  <c r="T1678" i="146"/>
  <c r="U1678" i="146" a="1"/>
  <c r="U1678" i="146"/>
  <c r="Q1678" i="146"/>
  <c r="T1679" i="146"/>
  <c r="U1679" i="146" a="1"/>
  <c r="U1679" i="146"/>
  <c r="Q1679" i="146"/>
  <c r="T1680" i="146"/>
  <c r="U1680" i="146" a="1"/>
  <c r="U1680" i="146"/>
  <c r="Q1680" i="146"/>
  <c r="T1681" i="146"/>
  <c r="U1681" i="146" a="1"/>
  <c r="U1681" i="146"/>
  <c r="Q1681" i="146"/>
  <c r="T1682" i="146"/>
  <c r="U1682" i="146" a="1"/>
  <c r="U1682" i="146"/>
  <c r="Q1682" i="146"/>
  <c r="T1683" i="146"/>
  <c r="U1683" i="146" a="1"/>
  <c r="U1683" i="146"/>
  <c r="Q1683" i="146"/>
  <c r="T1684" i="146"/>
  <c r="U1684" i="146" a="1"/>
  <c r="U1684" i="146"/>
  <c r="Q1684" i="146"/>
  <c r="T1685" i="146"/>
  <c r="U1685" i="146" a="1"/>
  <c r="U1685" i="146"/>
  <c r="Q1685" i="146"/>
  <c r="T1686" i="146"/>
  <c r="U1686" i="146" a="1"/>
  <c r="U1686" i="146"/>
  <c r="Q1686" i="146"/>
  <c r="T1687" i="146"/>
  <c r="U1687" i="146" a="1"/>
  <c r="U1687" i="146"/>
  <c r="Q1687" i="146"/>
  <c r="T1688" i="146"/>
  <c r="Q1688" i="146"/>
  <c r="T1689" i="146"/>
  <c r="U1689" i="146" a="1"/>
  <c r="U1689" i="146"/>
  <c r="Q1689" i="146"/>
  <c r="T1690" i="146"/>
  <c r="U1690" i="146" a="1"/>
  <c r="U1690" i="146"/>
  <c r="Q1690" i="146"/>
  <c r="T1691" i="146"/>
  <c r="U1691" i="146" a="1"/>
  <c r="U1691" i="146"/>
  <c r="Q1691" i="146"/>
  <c r="T1692" i="146"/>
  <c r="U1692" i="146" a="1"/>
  <c r="U1692" i="146"/>
  <c r="Q1692" i="146"/>
  <c r="T1693" i="146"/>
  <c r="U1693" i="146" a="1"/>
  <c r="U1693" i="146"/>
  <c r="Q1693" i="146"/>
  <c r="T1694" i="146"/>
  <c r="U1694" i="146" a="1"/>
  <c r="U1694" i="146"/>
  <c r="Q1694" i="146"/>
  <c r="T1695" i="146"/>
  <c r="U1695" i="146" a="1"/>
  <c r="U1695" i="146"/>
  <c r="Q1695" i="146"/>
  <c r="T1696" i="146"/>
  <c r="U1696" i="146" a="1"/>
  <c r="U1696" i="146"/>
  <c r="Q1696" i="146"/>
  <c r="T1697" i="146"/>
  <c r="U1697" i="146" a="1"/>
  <c r="U1697" i="146"/>
  <c r="Q1697" i="146"/>
  <c r="T1698" i="146"/>
  <c r="U1698" i="146" a="1"/>
  <c r="U1698" i="146"/>
  <c r="Q1698" i="146"/>
  <c r="T1699" i="146"/>
  <c r="U1699" i="146" a="1"/>
  <c r="U1699" i="146"/>
  <c r="Q1699" i="146"/>
  <c r="T1700" i="146"/>
  <c r="U1700" i="146" a="1"/>
  <c r="U1700" i="146"/>
  <c r="Q1700" i="146"/>
  <c r="T1701" i="146"/>
  <c r="U1701" i="146" a="1"/>
  <c r="U1701" i="146"/>
  <c r="Q1701" i="146"/>
  <c r="T1702" i="146"/>
  <c r="U1702" i="146" a="1"/>
  <c r="U1702" i="146"/>
  <c r="Q1702" i="146"/>
  <c r="T1703" i="146"/>
  <c r="T1704" i="146"/>
  <c r="U1704" i="146" a="1"/>
  <c r="U1704" i="146"/>
  <c r="Q1704" i="146"/>
  <c r="T1705" i="146"/>
  <c r="U1705" i="146" a="1"/>
  <c r="U1705" i="146"/>
  <c r="Q1705" i="146"/>
  <c r="T1706" i="146"/>
  <c r="U1706" i="146" a="1"/>
  <c r="U1706" i="146"/>
  <c r="Q1706" i="146"/>
  <c r="T1707" i="146"/>
  <c r="U1707" i="146" a="1"/>
  <c r="U1707" i="146"/>
  <c r="Q1707" i="146"/>
  <c r="T1708" i="146"/>
  <c r="U1708" i="146" a="1"/>
  <c r="U1708" i="146"/>
  <c r="Q1708" i="146"/>
  <c r="T1709" i="146"/>
  <c r="U1709" i="146" a="1"/>
  <c r="U1709" i="146"/>
  <c r="Q1709" i="146"/>
  <c r="T1710" i="146"/>
  <c r="U1710" i="146" a="1"/>
  <c r="U1710" i="146"/>
  <c r="Q1710" i="146"/>
  <c r="T1711" i="146"/>
  <c r="U1711" i="146" a="1"/>
  <c r="U1711" i="146"/>
  <c r="Q1711" i="146"/>
  <c r="T1712" i="146"/>
  <c r="U1712" i="146" a="1"/>
  <c r="U1712" i="146"/>
  <c r="Q1712" i="146"/>
  <c r="T1713" i="146"/>
  <c r="U1713" i="146" a="1"/>
  <c r="U1713" i="146"/>
  <c r="Q1713" i="146"/>
  <c r="T1714" i="146"/>
  <c r="U1714" i="146" a="1"/>
  <c r="U1714" i="146"/>
  <c r="Q1714" i="146"/>
  <c r="T1715" i="146"/>
  <c r="U1715" i="146" a="1"/>
  <c r="U1715" i="146"/>
  <c r="Q1715" i="146"/>
  <c r="T1716" i="146"/>
  <c r="U1716" i="146" a="1"/>
  <c r="U1716" i="146"/>
  <c r="Q1716" i="146"/>
  <c r="T1717" i="146"/>
  <c r="U1717" i="146" a="1"/>
  <c r="U1717" i="146"/>
  <c r="Q1717" i="146"/>
  <c r="T1718" i="146"/>
  <c r="U1718" i="146" a="1"/>
  <c r="U1718" i="146"/>
  <c r="Q1718" i="146"/>
  <c r="T1719" i="146"/>
  <c r="U1719" i="146" a="1"/>
  <c r="U1719" i="146"/>
  <c r="Q1719" i="146"/>
  <c r="T1720" i="146"/>
  <c r="U1720" i="146" a="1"/>
  <c r="U1720" i="146"/>
  <c r="Q1720" i="146"/>
  <c r="T1721" i="146"/>
  <c r="U1721" i="146" a="1"/>
  <c r="U1721" i="146"/>
  <c r="Q1721" i="146"/>
  <c r="T1722" i="146"/>
  <c r="U1722" i="146" a="1"/>
  <c r="U1722" i="146"/>
  <c r="Q1722" i="146"/>
  <c r="T1723" i="146"/>
  <c r="U1723" i="146" a="1"/>
  <c r="U1723" i="146"/>
  <c r="Q1723" i="146"/>
  <c r="T1724" i="146"/>
  <c r="U1724" i="146" a="1"/>
  <c r="U1724" i="146"/>
  <c r="Q1724" i="146"/>
  <c r="T1725" i="146"/>
  <c r="U1725" i="146" a="1"/>
  <c r="U1725" i="146"/>
  <c r="Q1725" i="146"/>
  <c r="T1726" i="146"/>
  <c r="U1726" i="146" a="1"/>
  <c r="U1726" i="146"/>
  <c r="Q1726" i="146"/>
  <c r="T1727" i="146"/>
  <c r="U1727" i="146" a="1"/>
  <c r="U1727" i="146"/>
  <c r="Q1727" i="146"/>
  <c r="T1728" i="146"/>
  <c r="U1728" i="146" a="1"/>
  <c r="U1728" i="146"/>
  <c r="Q1728" i="146"/>
  <c r="T1729" i="146"/>
  <c r="U1729" i="146" a="1"/>
  <c r="U1729" i="146"/>
  <c r="Q1729" i="146"/>
  <c r="T1730" i="146"/>
  <c r="U1730" i="146" a="1"/>
  <c r="U1730" i="146"/>
  <c r="Q1730" i="146"/>
  <c r="T1731" i="146"/>
  <c r="U1731" i="146" a="1"/>
  <c r="U1731" i="146"/>
  <c r="Q1731" i="146"/>
  <c r="T1732" i="146"/>
  <c r="U1732" i="146" a="1"/>
  <c r="U1732" i="146"/>
  <c r="Q1732" i="146"/>
  <c r="T1733" i="146"/>
  <c r="U1733" i="146" a="1"/>
  <c r="U1733" i="146"/>
  <c r="Q1733" i="146"/>
  <c r="T1734" i="146"/>
  <c r="U1734" i="146" a="1"/>
  <c r="U1734" i="146"/>
  <c r="Q1734" i="146"/>
  <c r="T1735" i="146"/>
  <c r="U1735" i="146" a="1"/>
  <c r="U1735" i="146"/>
  <c r="Q1735" i="146"/>
  <c r="T1736" i="146"/>
  <c r="U1736" i="146" a="1"/>
  <c r="U1736" i="146"/>
  <c r="Q1736" i="146"/>
  <c r="T1737" i="146"/>
  <c r="U1737" i="146" a="1"/>
  <c r="U1737" i="146"/>
  <c r="Q1737" i="146"/>
  <c r="T1738" i="146"/>
  <c r="U1738" i="146" a="1"/>
  <c r="U1738" i="146"/>
  <c r="Q1738" i="146"/>
  <c r="T1739" i="146"/>
  <c r="U1739" i="146" a="1"/>
  <c r="U1739" i="146"/>
  <c r="Q1739" i="146"/>
  <c r="T1740" i="146"/>
  <c r="U1740" i="146" a="1"/>
  <c r="U1740" i="146"/>
  <c r="Q1740" i="146"/>
  <c r="T1741" i="146"/>
  <c r="U1741" i="146" a="1"/>
  <c r="U1741" i="146"/>
  <c r="Q1741" i="146"/>
  <c r="T1742" i="146"/>
  <c r="U1742" i="146" a="1"/>
  <c r="U1742" i="146"/>
  <c r="Q1742" i="146"/>
  <c r="T1743" i="146"/>
  <c r="U1743" i="146" a="1"/>
  <c r="U1743" i="146"/>
  <c r="Q1743" i="146"/>
  <c r="T1744" i="146"/>
  <c r="U1744" i="146" a="1"/>
  <c r="U1744" i="146"/>
  <c r="Q1744" i="146"/>
  <c r="T1745" i="146"/>
  <c r="U1745" i="146" a="1"/>
  <c r="U1745" i="146"/>
  <c r="Q1745" i="146"/>
  <c r="T1746" i="146"/>
  <c r="U1746" i="146" a="1"/>
  <c r="U1746" i="146"/>
  <c r="Q1746" i="146"/>
  <c r="T1747" i="146"/>
  <c r="U1747" i="146" a="1"/>
  <c r="U1747" i="146"/>
  <c r="Q1747" i="146"/>
  <c r="T1748" i="146"/>
  <c r="U1748" i="146" a="1"/>
  <c r="U1748" i="146"/>
  <c r="Q1748" i="146"/>
  <c r="T1749" i="146"/>
  <c r="U1749" i="146" a="1"/>
  <c r="U1749" i="146"/>
  <c r="Q1749" i="146"/>
  <c r="T1750" i="146"/>
  <c r="U1750" i="146" a="1"/>
  <c r="U1750" i="146"/>
  <c r="Q1750" i="146"/>
  <c r="T1751" i="146"/>
  <c r="U1751" i="146" a="1"/>
  <c r="U1751" i="146"/>
  <c r="Q1751" i="146"/>
  <c r="T1752" i="146"/>
  <c r="U1752" i="146" a="1"/>
  <c r="U1752" i="146"/>
  <c r="Q1752" i="146"/>
  <c r="T1753" i="146"/>
  <c r="U1753" i="146" a="1"/>
  <c r="U1753" i="146"/>
  <c r="Q1753" i="146"/>
  <c r="T1754" i="146"/>
  <c r="U1754" i="146" a="1"/>
  <c r="U1754" i="146"/>
  <c r="Q1754" i="146"/>
  <c r="T1755" i="146"/>
  <c r="U1755" i="146" a="1"/>
  <c r="U1755" i="146"/>
  <c r="Q1755" i="146"/>
  <c r="T1756" i="146"/>
  <c r="U1756" i="146" a="1"/>
  <c r="U1756" i="146"/>
  <c r="Q1756" i="146"/>
  <c r="T1757" i="146"/>
  <c r="U1757" i="146" a="1"/>
  <c r="U1757" i="146"/>
  <c r="Q1757" i="146"/>
  <c r="T1758" i="146"/>
  <c r="U1758" i="146" a="1"/>
  <c r="U1758" i="146"/>
  <c r="Q1758" i="146"/>
  <c r="T1759" i="146"/>
  <c r="Q1759" i="146"/>
  <c r="T1760" i="146"/>
  <c r="U1760" i="146" a="1"/>
  <c r="U1760" i="146"/>
  <c r="Q1760" i="146"/>
  <c r="T1761" i="146"/>
  <c r="U1761" i="146" a="1"/>
  <c r="U1761" i="146"/>
  <c r="Q1761" i="146"/>
  <c r="T1762" i="146"/>
  <c r="U1762" i="146" a="1"/>
  <c r="U1762" i="146"/>
  <c r="Q1762" i="146"/>
  <c r="T1763" i="146"/>
  <c r="U1763" i="146" a="1"/>
  <c r="U1763" i="146"/>
  <c r="Q1763" i="146"/>
  <c r="T1764" i="146"/>
  <c r="U1764" i="146" a="1"/>
  <c r="U1764" i="146"/>
  <c r="Q1764" i="146"/>
  <c r="T1765" i="146"/>
  <c r="U1765" i="146" a="1"/>
  <c r="U1765" i="146"/>
  <c r="Q1765" i="146"/>
  <c r="T1766" i="146"/>
  <c r="U1766" i="146" a="1"/>
  <c r="U1766" i="146"/>
  <c r="Q1766" i="146"/>
  <c r="T1767" i="146"/>
  <c r="U1767" i="146" a="1"/>
  <c r="U1767" i="146"/>
  <c r="Q1767" i="146"/>
  <c r="T1768" i="146"/>
  <c r="U1768" i="146" a="1"/>
  <c r="U1768" i="146"/>
  <c r="Q1768" i="146"/>
  <c r="T1769" i="146"/>
  <c r="U1769" i="146" a="1"/>
  <c r="U1769" i="146"/>
  <c r="Q1769" i="146"/>
  <c r="T1770" i="146"/>
  <c r="U1770" i="146" a="1"/>
  <c r="U1770" i="146"/>
  <c r="Q1770" i="146"/>
  <c r="T1771" i="146"/>
  <c r="U1771" i="146" a="1"/>
  <c r="U1771" i="146"/>
  <c r="Q1771" i="146"/>
  <c r="T1772" i="146"/>
  <c r="U1772" i="146" a="1"/>
  <c r="U1772" i="146"/>
  <c r="Q1772" i="146"/>
  <c r="T1773" i="146"/>
  <c r="U1773" i="146" a="1"/>
  <c r="U1773" i="146"/>
  <c r="Q1773" i="146"/>
  <c r="T1774" i="146"/>
  <c r="U1774" i="146" a="1"/>
  <c r="U1774" i="146"/>
  <c r="Q1774" i="146"/>
  <c r="T1775" i="146"/>
  <c r="U1775" i="146" a="1"/>
  <c r="U1775" i="146"/>
  <c r="Q1775" i="146"/>
  <c r="T1776" i="146"/>
  <c r="U1776" i="146" a="1"/>
  <c r="U1776" i="146"/>
  <c r="Q1776" i="146"/>
  <c r="T1777" i="146"/>
  <c r="U1777" i="146" a="1"/>
  <c r="U1777" i="146"/>
  <c r="Q1777" i="146"/>
  <c r="T1778" i="146"/>
  <c r="U1778" i="146" a="1"/>
  <c r="U1778" i="146"/>
  <c r="Q1778" i="146"/>
  <c r="T1779" i="146"/>
  <c r="U1779" i="146" a="1"/>
  <c r="U1779" i="146"/>
  <c r="Q1779" i="146"/>
  <c r="T1780" i="146"/>
  <c r="U1780" i="146" a="1"/>
  <c r="U1780" i="146"/>
  <c r="Q1780" i="146"/>
  <c r="T1781" i="146"/>
  <c r="U1781" i="146" a="1"/>
  <c r="U1781" i="146"/>
  <c r="Q1781" i="146"/>
  <c r="T1782" i="146"/>
  <c r="U1782" i="146" a="1"/>
  <c r="U1782" i="146"/>
  <c r="Q1782" i="146"/>
  <c r="T1783" i="146"/>
  <c r="U1783" i="146" a="1"/>
  <c r="U1783" i="146"/>
  <c r="Q1783" i="146"/>
  <c r="T1784" i="146"/>
  <c r="U1784" i="146" a="1"/>
  <c r="U1784" i="146"/>
  <c r="Q1784" i="146"/>
  <c r="T1785" i="146"/>
  <c r="U1785" i="146" a="1"/>
  <c r="U1785" i="146"/>
  <c r="Q1785" i="146"/>
  <c r="T1786" i="146"/>
  <c r="U1786" i="146" a="1"/>
  <c r="U1786" i="146"/>
  <c r="Q1786" i="146"/>
  <c r="T1787" i="146"/>
  <c r="U1787" i="146" a="1"/>
  <c r="U1787" i="146"/>
  <c r="Q1787" i="146"/>
  <c r="T1788" i="146"/>
  <c r="U1788" i="146" a="1"/>
  <c r="U1788" i="146"/>
  <c r="Q1788" i="146"/>
  <c r="T1789" i="146"/>
  <c r="U1789" i="146" a="1"/>
  <c r="U1789" i="146"/>
  <c r="Q1789" i="146"/>
  <c r="T1790" i="146"/>
  <c r="U1790" i="146" a="1"/>
  <c r="U1790" i="146"/>
  <c r="Q1790" i="146"/>
  <c r="T1791" i="146"/>
  <c r="U1791" i="146" a="1"/>
  <c r="U1791" i="146"/>
  <c r="Q1791" i="146"/>
  <c r="T1792" i="146"/>
  <c r="U1792" i="146" a="1"/>
  <c r="U1792" i="146"/>
  <c r="Q1792" i="146"/>
  <c r="T1793" i="146"/>
  <c r="U1793" i="146" a="1"/>
  <c r="U1793" i="146"/>
  <c r="Q1793" i="146"/>
  <c r="T1794" i="146"/>
  <c r="U1794" i="146" a="1"/>
  <c r="U1794" i="146"/>
  <c r="Q1794" i="146"/>
  <c r="T1795" i="146"/>
  <c r="U1795" i="146" a="1"/>
  <c r="U1795" i="146"/>
  <c r="Q1795" i="146"/>
  <c r="T1796" i="146"/>
  <c r="U1796" i="146" a="1"/>
  <c r="U1796" i="146"/>
  <c r="Q1796" i="146"/>
  <c r="T1797" i="146"/>
  <c r="U1797" i="146" a="1"/>
  <c r="U1797" i="146"/>
  <c r="Q1797" i="146"/>
  <c r="T1798" i="146"/>
  <c r="U1798" i="146" a="1"/>
  <c r="U1798" i="146"/>
  <c r="Q1798" i="146"/>
  <c r="T1799" i="146"/>
  <c r="U1799" i="146" a="1"/>
  <c r="U1799" i="146"/>
  <c r="Q1799" i="146"/>
  <c r="T1800" i="146"/>
  <c r="U1800" i="146" a="1"/>
  <c r="U1800" i="146"/>
  <c r="Q1800" i="146"/>
  <c r="T1801" i="146"/>
  <c r="U1801" i="146" a="1"/>
  <c r="U1801" i="146"/>
  <c r="Q1801" i="146"/>
  <c r="T1802" i="146"/>
  <c r="U1802" i="146" a="1"/>
  <c r="U1802" i="146"/>
  <c r="Q1802" i="146"/>
  <c r="T1803" i="146"/>
  <c r="U1803" i="146" a="1"/>
  <c r="U1803" i="146"/>
  <c r="Q1803" i="146"/>
  <c r="T1804" i="146"/>
  <c r="U1804" i="146" a="1"/>
  <c r="U1804" i="146"/>
  <c r="Q1804" i="146"/>
  <c r="T1805" i="146"/>
  <c r="U1805" i="146" a="1"/>
  <c r="U1805" i="146"/>
  <c r="Q1805" i="146"/>
  <c r="T1806" i="146"/>
  <c r="U1806" i="146" a="1"/>
  <c r="U1806" i="146"/>
  <c r="Q1806" i="146"/>
  <c r="T1807" i="146"/>
  <c r="U1807" i="146" a="1"/>
  <c r="U1807" i="146"/>
  <c r="Q1807" i="146"/>
  <c r="T1808" i="146"/>
  <c r="U1808" i="146" a="1"/>
  <c r="U1808" i="146"/>
  <c r="Q1808" i="146"/>
  <c r="T1809" i="146"/>
  <c r="U1809" i="146" a="1"/>
  <c r="U1809" i="146"/>
  <c r="Q1809" i="146"/>
  <c r="T1810" i="146"/>
  <c r="U1810" i="146" a="1"/>
  <c r="U1810" i="146"/>
  <c r="Q1810" i="146"/>
  <c r="T1811" i="146"/>
  <c r="U1811" i="146" a="1"/>
  <c r="U1811" i="146"/>
  <c r="Q1811" i="146"/>
  <c r="T1812" i="146"/>
  <c r="U1812" i="146" a="1"/>
  <c r="U1812" i="146"/>
  <c r="Q1812" i="146"/>
  <c r="T1813" i="146"/>
  <c r="U1813" i="146" a="1"/>
  <c r="U1813" i="146"/>
  <c r="Q1813" i="146"/>
  <c r="T1814" i="146"/>
  <c r="U1814" i="146" a="1"/>
  <c r="U1814" i="146"/>
  <c r="Q1814" i="146"/>
  <c r="T1815" i="146"/>
  <c r="U1815" i="146" a="1"/>
  <c r="U1815" i="146"/>
  <c r="Q1815" i="146"/>
  <c r="T1816" i="146"/>
  <c r="U1816" i="146" a="1"/>
  <c r="U1816" i="146"/>
  <c r="Q1816" i="146"/>
  <c r="T1817" i="146"/>
  <c r="U1817" i="146" a="1"/>
  <c r="U1817" i="146"/>
  <c r="Q1817" i="146"/>
  <c r="T1818" i="146"/>
  <c r="U1818" i="146" a="1"/>
  <c r="U1818" i="146"/>
  <c r="Q1818" i="146"/>
  <c r="T1819" i="146"/>
  <c r="Q1819" i="146"/>
  <c r="T1820" i="146"/>
  <c r="U1820" i="146" a="1"/>
  <c r="U1820" i="146"/>
  <c r="Q1820" i="146"/>
  <c r="T1821" i="146"/>
  <c r="U1821" i="146" a="1"/>
  <c r="U1821" i="146"/>
  <c r="Q1821" i="146"/>
  <c r="T1822" i="146"/>
  <c r="U1822" i="146" a="1"/>
  <c r="U1822" i="146"/>
  <c r="Q1822" i="146"/>
  <c r="T1823" i="146"/>
  <c r="U1823" i="146" a="1"/>
  <c r="U1823" i="146"/>
  <c r="Q1823" i="146"/>
  <c r="T1824" i="146"/>
  <c r="U1824" i="146" a="1"/>
  <c r="U1824" i="146"/>
  <c r="Q1824" i="146"/>
  <c r="T1825" i="146"/>
  <c r="U1825" i="146" a="1"/>
  <c r="U1825" i="146"/>
  <c r="Q1825" i="146"/>
  <c r="T1826" i="146"/>
  <c r="U1826" i="146" a="1"/>
  <c r="U1826" i="146"/>
  <c r="Q1826" i="146"/>
  <c r="T1827" i="146"/>
  <c r="U1827" i="146" a="1"/>
  <c r="U1827" i="146"/>
  <c r="Q1827" i="146"/>
  <c r="T1828" i="146"/>
  <c r="U1828" i="146" a="1"/>
  <c r="U1828" i="146"/>
  <c r="Q1828" i="146"/>
  <c r="T1829" i="146"/>
  <c r="U1829" i="146" a="1"/>
  <c r="U1829" i="146"/>
  <c r="Q1829" i="146"/>
  <c r="T1830" i="146"/>
  <c r="U1830" i="146" a="1"/>
  <c r="U1830" i="146"/>
  <c r="Q1830" i="146"/>
  <c r="T1831" i="146"/>
  <c r="U1831" i="146" a="1"/>
  <c r="U1831" i="146"/>
  <c r="Q1831" i="146"/>
  <c r="T1832" i="146"/>
  <c r="U1832" i="146" a="1"/>
  <c r="U1832" i="146"/>
  <c r="Q1832" i="146"/>
  <c r="T1833" i="146"/>
  <c r="U1833" i="146" a="1"/>
  <c r="U1833" i="146"/>
  <c r="Q1833" i="146"/>
  <c r="T1834" i="146"/>
  <c r="U1834" i="146" a="1"/>
  <c r="U1834" i="146"/>
  <c r="Q1834" i="146"/>
  <c r="T1835" i="146"/>
  <c r="U1835" i="146" a="1"/>
  <c r="U1835" i="146"/>
  <c r="Q1835" i="146"/>
  <c r="T1836" i="146"/>
  <c r="U1836" i="146" a="1"/>
  <c r="U1836" i="146"/>
  <c r="Q1836" i="146"/>
  <c r="T1837" i="146"/>
  <c r="U1837" i="146" a="1"/>
  <c r="U1837" i="146"/>
  <c r="Q1837" i="146"/>
  <c r="T1838" i="146"/>
  <c r="U1838" i="146" a="1"/>
  <c r="U1838" i="146"/>
  <c r="Q1838" i="146"/>
  <c r="T1839" i="146"/>
  <c r="U1839" i="146" a="1"/>
  <c r="U1839" i="146"/>
  <c r="Q1839" i="146"/>
  <c r="T1840" i="146"/>
  <c r="U1840" i="146" a="1"/>
  <c r="U1840" i="146"/>
  <c r="Q1840" i="146"/>
  <c r="T1841" i="146"/>
  <c r="U1841" i="146" a="1"/>
  <c r="U1841" i="146"/>
  <c r="Q1841" i="146"/>
  <c r="T1842" i="146"/>
  <c r="U1842" i="146" a="1"/>
  <c r="U1842" i="146"/>
  <c r="Q1842" i="146"/>
  <c r="T1843" i="146"/>
  <c r="U1843" i="146" a="1"/>
  <c r="U1843" i="146"/>
  <c r="Q1843" i="146"/>
  <c r="T1844" i="146"/>
  <c r="U1844" i="146" a="1"/>
  <c r="U1844" i="146"/>
  <c r="Q1844" i="146"/>
  <c r="T1845" i="146"/>
  <c r="U1845" i="146" a="1"/>
  <c r="U1845" i="146"/>
  <c r="Q1845" i="146"/>
  <c r="T1846" i="146"/>
  <c r="U1846" i="146" a="1"/>
  <c r="U1846" i="146"/>
  <c r="Q1846" i="146"/>
  <c r="T1847" i="146"/>
  <c r="U1847" i="146" a="1"/>
  <c r="U1847" i="146"/>
  <c r="Q1847" i="146"/>
  <c r="T1848" i="146"/>
  <c r="U1848" i="146" a="1"/>
  <c r="U1848" i="146"/>
  <c r="Q1848" i="146"/>
  <c r="T1849" i="146"/>
  <c r="U1849" i="146" a="1"/>
  <c r="U1849" i="146"/>
  <c r="Q1849" i="146"/>
  <c r="T1850" i="146"/>
  <c r="U1850" i="146" a="1"/>
  <c r="U1850" i="146"/>
  <c r="Q1850" i="146"/>
  <c r="T1851" i="146"/>
  <c r="U1851" i="146" a="1"/>
  <c r="U1851" i="146"/>
  <c r="Q1851" i="146"/>
  <c r="T1852" i="146"/>
  <c r="T1853" i="146"/>
  <c r="U1853" i="146" a="1"/>
  <c r="U1853" i="146"/>
  <c r="Q1853" i="146"/>
  <c r="T1854" i="146"/>
  <c r="U1854" i="146" a="1"/>
  <c r="U1854" i="146"/>
  <c r="Q1854" i="146"/>
  <c r="T1855" i="146"/>
  <c r="U1855" i="146" a="1"/>
  <c r="U1855" i="146"/>
  <c r="Q1855" i="146"/>
  <c r="T1856" i="146"/>
  <c r="U1856" i="146" a="1"/>
  <c r="U1856" i="146"/>
  <c r="Q1856" i="146"/>
  <c r="T1857" i="146"/>
  <c r="U1857" i="146" a="1"/>
  <c r="U1857" i="146"/>
  <c r="Q1857" i="146"/>
  <c r="T1858" i="146"/>
  <c r="U1858" i="146" a="1"/>
  <c r="U1858" i="146"/>
  <c r="Q1858" i="146"/>
  <c r="T1859" i="146"/>
  <c r="U1859" i="146" a="1"/>
  <c r="U1859" i="146"/>
  <c r="Q1859" i="146"/>
  <c r="T1860" i="146"/>
  <c r="U1860" i="146" a="1"/>
  <c r="U1860" i="146"/>
  <c r="Q1860" i="146"/>
  <c r="T1861" i="146"/>
  <c r="U1861" i="146" a="1"/>
  <c r="U1861" i="146"/>
  <c r="Q1861" i="146"/>
  <c r="T1862" i="146"/>
  <c r="U1862" i="146" a="1"/>
  <c r="U1862" i="146"/>
  <c r="Q1862" i="146"/>
  <c r="T1863" i="146"/>
  <c r="U1863" i="146" a="1"/>
  <c r="U1863" i="146"/>
  <c r="Q1863" i="146"/>
  <c r="T1864" i="146"/>
  <c r="U1864" i="146" a="1"/>
  <c r="U1864" i="146"/>
  <c r="Q1864" i="146"/>
  <c r="T1865" i="146"/>
  <c r="U1865" i="146" a="1"/>
  <c r="U1865" i="146"/>
  <c r="Q1865" i="146"/>
  <c r="T1866" i="146"/>
  <c r="U1866" i="146" a="1"/>
  <c r="U1866" i="146"/>
  <c r="Q1866" i="146"/>
  <c r="T1867" i="146"/>
  <c r="U1867" i="146" a="1"/>
  <c r="U1867" i="146"/>
  <c r="Q1867" i="146"/>
  <c r="T1868" i="146"/>
  <c r="U1868" i="146" a="1"/>
  <c r="U1868" i="146"/>
  <c r="Q1868" i="146"/>
  <c r="T1869" i="146"/>
  <c r="U1869" i="146" a="1"/>
  <c r="U1869" i="146"/>
  <c r="Q1869" i="146"/>
  <c r="T1870" i="146"/>
  <c r="U1870" i="146" a="1"/>
  <c r="U1870" i="146"/>
  <c r="Q1870" i="146"/>
  <c r="T1871" i="146"/>
  <c r="U1871" i="146" a="1"/>
  <c r="U1871" i="146"/>
  <c r="Q1871" i="146"/>
  <c r="T1872" i="146"/>
  <c r="U1872" i="146" a="1"/>
  <c r="U1872" i="146"/>
  <c r="Q1872" i="146"/>
  <c r="T1873" i="146"/>
  <c r="U1873" i="146" a="1"/>
  <c r="U1873" i="146"/>
  <c r="Q1873" i="146"/>
  <c r="T1874" i="146"/>
  <c r="U1874" i="146" a="1"/>
  <c r="U1874" i="146"/>
  <c r="Q1874" i="146"/>
  <c r="T1875" i="146"/>
  <c r="U1875" i="146" a="1"/>
  <c r="U1875" i="146"/>
  <c r="Q1875" i="146"/>
  <c r="T1876" i="146"/>
  <c r="U1876" i="146" a="1"/>
  <c r="U1876" i="146"/>
  <c r="Q1876" i="146"/>
  <c r="T1877" i="146"/>
  <c r="T1878" i="146"/>
  <c r="T1879" i="146"/>
  <c r="V1879" i="146"/>
  <c r="T1880" i="146"/>
  <c r="U1880" i="146" a="1"/>
  <c r="U1880" i="146"/>
  <c r="Q1880" i="146"/>
  <c r="T1881" i="146"/>
  <c r="U1881" i="146" a="1"/>
  <c r="U1881" i="146"/>
  <c r="Q1881" i="146"/>
  <c r="T1882" i="146"/>
  <c r="U1882" i="146" a="1"/>
  <c r="U1882" i="146"/>
  <c r="Q1882" i="146"/>
  <c r="T1883" i="146"/>
  <c r="U1883" i="146" a="1"/>
  <c r="U1883" i="146"/>
  <c r="Q1883" i="146"/>
  <c r="T1884" i="146"/>
  <c r="U1884" i="146" a="1"/>
  <c r="U1884" i="146"/>
  <c r="Q1884" i="146"/>
  <c r="T1885" i="146"/>
  <c r="U1885" i="146" a="1"/>
  <c r="U1885" i="146"/>
  <c r="Q1885" i="146"/>
  <c r="T1886" i="146"/>
  <c r="U1886" i="146" a="1"/>
  <c r="U1886" i="146"/>
  <c r="Q1886" i="146"/>
  <c r="T1887" i="146"/>
  <c r="U1887" i="146" a="1"/>
  <c r="U1887" i="146"/>
  <c r="Q1887" i="146"/>
  <c r="T1888" i="146"/>
  <c r="U1888" i="146" a="1"/>
  <c r="U1888" i="146"/>
  <c r="Q1888" i="146"/>
  <c r="T1889" i="146"/>
  <c r="U1889" i="146" a="1"/>
  <c r="U1889" i="146"/>
  <c r="Q1889" i="146"/>
  <c r="T1890" i="146"/>
  <c r="U1890" i="146" a="1"/>
  <c r="U1890" i="146"/>
  <c r="Q1890" i="146"/>
  <c r="T1891" i="146"/>
  <c r="U1891" i="146" a="1"/>
  <c r="U1891" i="146"/>
  <c r="Q1891" i="146"/>
  <c r="T1892" i="146"/>
  <c r="U1892" i="146" a="1"/>
  <c r="U1892" i="146"/>
  <c r="Q1892" i="146"/>
  <c r="T1893" i="146"/>
  <c r="U1893" i="146" a="1"/>
  <c r="U1893" i="146"/>
  <c r="Q1893" i="146"/>
  <c r="T1894" i="146"/>
  <c r="U1894" i="146" a="1"/>
  <c r="U1894" i="146"/>
  <c r="Q1894" i="146"/>
  <c r="T1895" i="146"/>
  <c r="U1895" i="146" a="1"/>
  <c r="U1895" i="146"/>
  <c r="Q1895" i="146"/>
  <c r="T1896" i="146"/>
  <c r="U1896" i="146" a="1"/>
  <c r="U1896" i="146"/>
  <c r="Q1896" i="146"/>
  <c r="T1897" i="146"/>
  <c r="U1897" i="146" a="1"/>
  <c r="U1897" i="146"/>
  <c r="Q1897" i="146"/>
  <c r="T1898" i="146"/>
  <c r="U1898" i="146" a="1"/>
  <c r="U1898" i="146"/>
  <c r="Q1898" i="146"/>
  <c r="T1899" i="146"/>
  <c r="U1899" i="146" a="1"/>
  <c r="U1899" i="146"/>
  <c r="Q1899" i="146"/>
  <c r="T1900" i="146"/>
  <c r="U1900" i="146" a="1"/>
  <c r="U1900" i="146"/>
  <c r="Q1900" i="146"/>
  <c r="T1901" i="146"/>
  <c r="U1901" i="146" a="1"/>
  <c r="U1901" i="146"/>
  <c r="Q1901" i="146"/>
  <c r="T1902" i="146"/>
  <c r="U1902" i="146" a="1"/>
  <c r="U1902" i="146"/>
  <c r="Q1902" i="146"/>
  <c r="T1903" i="146"/>
  <c r="U1903" i="146" a="1"/>
  <c r="U1903" i="146"/>
  <c r="Q1903" i="146"/>
  <c r="T1904" i="146"/>
  <c r="U1904" i="146" a="1"/>
  <c r="U1904" i="146"/>
  <c r="Q1904" i="146"/>
  <c r="T1905" i="146"/>
  <c r="U1905" i="146" a="1"/>
  <c r="U1905" i="146"/>
  <c r="Q1905" i="146"/>
  <c r="T1906" i="146"/>
  <c r="U1906" i="146" a="1"/>
  <c r="U1906" i="146"/>
  <c r="Q1906" i="146"/>
  <c r="T1907" i="146"/>
  <c r="U1907" i="146" a="1"/>
  <c r="U1907" i="146"/>
  <c r="Q1907" i="146"/>
  <c r="T1908" i="146"/>
  <c r="U1908" i="146" a="1"/>
  <c r="U1908" i="146"/>
  <c r="Q1908" i="146"/>
  <c r="T1909" i="146"/>
  <c r="U1909" i="146" a="1"/>
  <c r="U1909" i="146"/>
  <c r="Q1909" i="146"/>
  <c r="T1910" i="146"/>
  <c r="U1910" i="146" a="1"/>
  <c r="U1910" i="146"/>
  <c r="Q1910" i="146"/>
  <c r="T1911" i="146"/>
  <c r="U1911" i="146" a="1"/>
  <c r="U1911" i="146"/>
  <c r="Q1911" i="146"/>
  <c r="T1912" i="146"/>
  <c r="U1912" i="146" a="1"/>
  <c r="U1912" i="146"/>
  <c r="Q1912" i="146"/>
  <c r="T1913" i="146"/>
  <c r="U1913" i="146" a="1"/>
  <c r="U1913" i="146"/>
  <c r="Q1913" i="146"/>
  <c r="T1914" i="146"/>
  <c r="U1914" i="146" a="1"/>
  <c r="U1914" i="146"/>
  <c r="Q1914" i="146"/>
  <c r="T1915" i="146"/>
  <c r="U1915" i="146" a="1"/>
  <c r="U1915" i="146"/>
  <c r="Q1915" i="146"/>
  <c r="T1916" i="146"/>
  <c r="U1916" i="146" a="1"/>
  <c r="U1916" i="146"/>
  <c r="Q1916" i="146"/>
  <c r="T1917" i="146"/>
  <c r="U1917" i="146" a="1"/>
  <c r="U1917" i="146"/>
  <c r="Q1917" i="146"/>
  <c r="T1918" i="146"/>
  <c r="U1918" i="146" a="1"/>
  <c r="U1918" i="146"/>
  <c r="Q1918" i="146"/>
  <c r="T1919" i="146"/>
  <c r="U1919" i="146" a="1"/>
  <c r="U1919" i="146"/>
  <c r="Q1919" i="146"/>
  <c r="T1920" i="146"/>
  <c r="U1920" i="146" a="1"/>
  <c r="U1920" i="146"/>
  <c r="Q1920" i="146"/>
  <c r="T1921" i="146"/>
  <c r="U1921" i="146" a="1"/>
  <c r="U1921" i="146"/>
  <c r="Q1921" i="146"/>
  <c r="T1922" i="146"/>
  <c r="U1922" i="146" a="1"/>
  <c r="U1922" i="146"/>
  <c r="Q1922" i="146"/>
  <c r="T1923" i="146"/>
  <c r="U1923" i="146" a="1"/>
  <c r="U1923" i="146"/>
  <c r="Q1923" i="146"/>
  <c r="T1924" i="146"/>
  <c r="U1924" i="146" a="1"/>
  <c r="U1924" i="146"/>
  <c r="Q1924" i="146"/>
  <c r="T1925" i="146"/>
  <c r="U1925" i="146" a="1"/>
  <c r="U1925" i="146"/>
  <c r="Q1925" i="146"/>
  <c r="T1926" i="146"/>
  <c r="U1926" i="146" a="1"/>
  <c r="U1926" i="146"/>
  <c r="Q1926" i="146"/>
  <c r="T1927" i="146"/>
  <c r="U1927" i="146" a="1"/>
  <c r="U1927" i="146"/>
  <c r="Q1927" i="146"/>
  <c r="T1928" i="146"/>
  <c r="U1928" i="146" a="1"/>
  <c r="U1928" i="146"/>
  <c r="Q1928" i="146"/>
  <c r="T1929" i="146"/>
  <c r="U1929" i="146" a="1"/>
  <c r="U1929" i="146"/>
  <c r="Q1929" i="146"/>
  <c r="T1930" i="146"/>
  <c r="U1930" i="146" a="1"/>
  <c r="U1930" i="146"/>
  <c r="Q1930" i="146"/>
  <c r="T1931" i="146"/>
  <c r="U1931" i="146" a="1"/>
  <c r="U1931" i="146"/>
  <c r="Q1931" i="146"/>
  <c r="T1932" i="146"/>
  <c r="U1932" i="146" a="1"/>
  <c r="U1932" i="146"/>
  <c r="Q1932" i="146"/>
  <c r="T1933" i="146"/>
  <c r="U1933" i="146" a="1"/>
  <c r="U1933" i="146"/>
  <c r="Q1933" i="146"/>
  <c r="T1934" i="146"/>
  <c r="U1934" i="146" a="1"/>
  <c r="U1934" i="146"/>
  <c r="Q1934" i="146"/>
  <c r="T1935" i="146"/>
  <c r="U1935" i="146" a="1"/>
  <c r="U1935" i="146"/>
  <c r="Q1935" i="146"/>
  <c r="T1936" i="146"/>
  <c r="U1936" i="146" a="1"/>
  <c r="U1936" i="146"/>
  <c r="Q1936" i="146"/>
  <c r="T1937" i="146"/>
  <c r="U1937" i="146" a="1"/>
  <c r="U1937" i="146"/>
  <c r="Q1937" i="146"/>
  <c r="T1938" i="146"/>
  <c r="U1938" i="146" a="1"/>
  <c r="U1938" i="146"/>
  <c r="Q1938" i="146"/>
  <c r="T1939" i="146"/>
  <c r="U1939" i="146" a="1"/>
  <c r="U1939" i="146"/>
  <c r="Q1939" i="146"/>
  <c r="T1940" i="146"/>
  <c r="U1940" i="146" a="1"/>
  <c r="U1940" i="146"/>
  <c r="Q1940" i="146"/>
  <c r="T1941" i="146"/>
  <c r="U1941" i="146" a="1"/>
  <c r="U1941" i="146"/>
  <c r="Q1941" i="146"/>
  <c r="T1942" i="146"/>
  <c r="U1942" i="146" a="1"/>
  <c r="U1942" i="146"/>
  <c r="Q1942" i="146"/>
  <c r="T1943" i="146"/>
  <c r="U1943" i="146" a="1"/>
  <c r="U1943" i="146"/>
  <c r="Q1943" i="146"/>
  <c r="T1944" i="146"/>
  <c r="U1944" i="146" a="1"/>
  <c r="U1944" i="146"/>
  <c r="Q1944" i="146"/>
  <c r="T1945" i="146"/>
  <c r="U1945" i="146" a="1"/>
  <c r="U1945" i="146"/>
  <c r="T1946" i="146"/>
  <c r="U1946" i="146" a="1"/>
  <c r="U1946" i="146"/>
  <c r="Q1946" i="146"/>
  <c r="T1947" i="146"/>
  <c r="U1947" i="146" a="1"/>
  <c r="U1947" i="146"/>
  <c r="Q1947" i="146"/>
  <c r="T1948" i="146"/>
  <c r="U1948" i="146" a="1"/>
  <c r="U1948" i="146"/>
  <c r="Q1948" i="146"/>
  <c r="T1949" i="146"/>
  <c r="U1949" i="146" a="1"/>
  <c r="U1949" i="146"/>
  <c r="Q1949" i="146"/>
  <c r="T1950" i="146"/>
  <c r="U1950" i="146" a="1"/>
  <c r="U1950" i="146"/>
  <c r="Q1950" i="146"/>
  <c r="T1951" i="146"/>
  <c r="U1951" i="146" a="1"/>
  <c r="U1951" i="146"/>
  <c r="Q1951" i="146"/>
  <c r="T1952" i="146"/>
  <c r="U1952" i="146" a="1"/>
  <c r="U1952" i="146"/>
  <c r="Q1952" i="146"/>
  <c r="T1953" i="146"/>
  <c r="U1953" i="146" a="1"/>
  <c r="U1953" i="146"/>
  <c r="Q1953" i="146"/>
  <c r="T1954" i="146"/>
  <c r="U1954" i="146" a="1"/>
  <c r="U1954" i="146"/>
  <c r="Q1954" i="146"/>
  <c r="T1955" i="146"/>
  <c r="U1955" i="146" a="1"/>
  <c r="U1955" i="146"/>
  <c r="Q1955" i="146"/>
  <c r="T1956" i="146"/>
  <c r="U1956" i="146" a="1"/>
  <c r="U1956" i="146"/>
  <c r="Q1956" i="146"/>
  <c r="T1957" i="146"/>
  <c r="U1957" i="146" a="1"/>
  <c r="U1957" i="146"/>
  <c r="Q1957" i="146"/>
  <c r="T1958" i="146"/>
  <c r="U1958" i="146" a="1"/>
  <c r="U1958" i="146"/>
  <c r="Q1958" i="146"/>
  <c r="T1959" i="146"/>
  <c r="U1959" i="146" a="1"/>
  <c r="U1959" i="146"/>
  <c r="Q1959" i="146"/>
  <c r="T1960" i="146"/>
  <c r="U1960" i="146" a="1"/>
  <c r="U1960" i="146"/>
  <c r="Q1960" i="146"/>
  <c r="T1961" i="146"/>
  <c r="U1961" i="146" a="1"/>
  <c r="U1961" i="146"/>
  <c r="Q1961" i="146"/>
  <c r="T1962" i="146"/>
  <c r="U1962" i="146" a="1"/>
  <c r="U1962" i="146"/>
  <c r="Q1962" i="146"/>
  <c r="T1963" i="146"/>
  <c r="U1963" i="146" a="1"/>
  <c r="U1963" i="146"/>
  <c r="Q1963" i="146"/>
  <c r="T1964" i="146"/>
  <c r="U1964" i="146" a="1"/>
  <c r="U1964" i="146"/>
  <c r="Q1964" i="146"/>
  <c r="T1965" i="146"/>
  <c r="U1965" i="146" a="1"/>
  <c r="U1965" i="146"/>
  <c r="Q1965" i="146"/>
  <c r="T1966" i="146"/>
  <c r="U1966" i="146" a="1"/>
  <c r="U1966" i="146"/>
  <c r="Q1966" i="146"/>
  <c r="T1967" i="146"/>
  <c r="U1967" i="146" a="1"/>
  <c r="U1967" i="146"/>
  <c r="Q1967" i="146"/>
  <c r="T1968" i="146"/>
  <c r="U1968" i="146" a="1"/>
  <c r="U1968" i="146"/>
  <c r="Q1968" i="146"/>
  <c r="T1969" i="146"/>
  <c r="U1969" i="146" a="1"/>
  <c r="U1969" i="146"/>
  <c r="Q1969" i="146"/>
  <c r="T1970" i="146"/>
  <c r="U1970" i="146" a="1"/>
  <c r="U1970" i="146"/>
  <c r="Q1970" i="146"/>
  <c r="T1971" i="146"/>
  <c r="U1971" i="146" a="1"/>
  <c r="U1971" i="146"/>
  <c r="Q1971" i="146"/>
  <c r="T1972" i="146"/>
  <c r="U1972" i="146" a="1"/>
  <c r="U1972" i="146"/>
  <c r="Q1972" i="146"/>
  <c r="T1973" i="146"/>
  <c r="U1973" i="146" a="1"/>
  <c r="U1973" i="146"/>
  <c r="Q1973" i="146"/>
  <c r="T1974" i="146"/>
  <c r="U1974" i="146" a="1"/>
  <c r="U1974" i="146"/>
  <c r="Q1974" i="146"/>
  <c r="T1975" i="146"/>
  <c r="U1975" i="146" a="1"/>
  <c r="U1975" i="146"/>
  <c r="Q1975" i="146"/>
  <c r="T1976" i="146"/>
  <c r="U1976" i="146" a="1"/>
  <c r="U1976" i="146"/>
  <c r="Q1976" i="146"/>
  <c r="T1977" i="146"/>
  <c r="U1977" i="146" a="1"/>
  <c r="U1977" i="146"/>
  <c r="Q1977" i="146"/>
  <c r="T1978" i="146"/>
  <c r="U1978" i="146" a="1"/>
  <c r="U1978" i="146"/>
  <c r="Q1978" i="146"/>
  <c r="T1979" i="146"/>
  <c r="U1979" i="146" a="1"/>
  <c r="U1979" i="146"/>
  <c r="Q1979" i="146"/>
  <c r="T1980" i="146"/>
  <c r="U1980" i="146" a="1"/>
  <c r="U1980" i="146"/>
  <c r="Q1980" i="146"/>
  <c r="T1981" i="146"/>
  <c r="U1981" i="146" a="1"/>
  <c r="U1981" i="146"/>
  <c r="Q1981" i="146"/>
  <c r="T1982" i="146"/>
  <c r="U1982" i="146" a="1"/>
  <c r="U1982" i="146"/>
  <c r="Q1982" i="146"/>
  <c r="T1983" i="146"/>
  <c r="U1983" i="146" a="1"/>
  <c r="U1983" i="146"/>
  <c r="Q1983" i="146"/>
  <c r="T1984" i="146"/>
  <c r="U1984" i="146" a="1"/>
  <c r="U1984" i="146"/>
  <c r="Q1984" i="146"/>
  <c r="T1985" i="146"/>
  <c r="U1985" i="146" a="1"/>
  <c r="U1985" i="146"/>
  <c r="Q1985" i="146"/>
  <c r="T1986" i="146"/>
  <c r="U1986" i="146" a="1"/>
  <c r="U1986" i="146"/>
  <c r="Q1986" i="146"/>
  <c r="T1987" i="146"/>
  <c r="U1987" i="146" a="1"/>
  <c r="U1987" i="146"/>
  <c r="Q1987" i="146"/>
  <c r="T1988" i="146"/>
  <c r="U1988" i="146" a="1"/>
  <c r="U1988" i="146"/>
  <c r="Q1988" i="146"/>
  <c r="T1989" i="146"/>
  <c r="U1989" i="146" a="1"/>
  <c r="U1989" i="146"/>
  <c r="Q1989" i="146"/>
  <c r="T1990" i="146"/>
  <c r="U1990" i="146" a="1"/>
  <c r="U1990" i="146"/>
  <c r="Q1990" i="146"/>
  <c r="T1991" i="146"/>
  <c r="U1991" i="146" a="1"/>
  <c r="U1991" i="146"/>
  <c r="Q1991" i="146"/>
  <c r="T1992" i="146"/>
  <c r="U1992" i="146" a="1"/>
  <c r="U1992" i="146"/>
  <c r="Q1992" i="146"/>
  <c r="T1993" i="146"/>
  <c r="U1993" i="146" a="1"/>
  <c r="U1993" i="146"/>
  <c r="Q1993" i="146"/>
  <c r="T1994" i="146"/>
  <c r="U1994" i="146" a="1"/>
  <c r="U1994" i="146"/>
  <c r="Q1994" i="146"/>
  <c r="T1995" i="146"/>
  <c r="U1995" i="146" a="1"/>
  <c r="U1995" i="146"/>
  <c r="Q1995" i="146"/>
  <c r="T1996" i="146"/>
  <c r="U1996" i="146" a="1"/>
  <c r="U1996" i="146"/>
  <c r="Q1996" i="146"/>
  <c r="T1997" i="146"/>
  <c r="U1997" i="146" a="1"/>
  <c r="U1997" i="146"/>
  <c r="Q1997" i="146"/>
  <c r="T1998" i="146"/>
  <c r="U1998" i="146" a="1"/>
  <c r="U1998" i="146"/>
  <c r="Q1998" i="146"/>
  <c r="T1999" i="146"/>
  <c r="U1999" i="146" a="1"/>
  <c r="U1999" i="146"/>
  <c r="Q1999" i="146"/>
  <c r="T2000" i="146"/>
  <c r="U2000" i="146" a="1"/>
  <c r="U2000" i="146"/>
  <c r="Q2000" i="146"/>
  <c r="T2001" i="146"/>
  <c r="U2001" i="146" a="1"/>
  <c r="U2001" i="146"/>
  <c r="Q2001" i="146"/>
  <c r="T2002" i="146"/>
  <c r="U2002" i="146" a="1"/>
  <c r="U2002" i="146"/>
  <c r="Q2002" i="146"/>
  <c r="T2003" i="146"/>
  <c r="U2003" i="146" a="1"/>
  <c r="U2003" i="146"/>
  <c r="Q2003" i="146"/>
  <c r="T2004" i="146"/>
  <c r="U2004" i="146" a="1"/>
  <c r="U2004" i="146"/>
  <c r="Q2004" i="146"/>
  <c r="T2005" i="146"/>
  <c r="U2005" i="146" a="1"/>
  <c r="U2005" i="146"/>
  <c r="Q2005" i="146"/>
  <c r="T2006" i="146"/>
  <c r="U2006" i="146" a="1"/>
  <c r="U2006" i="146"/>
  <c r="Q2006" i="146"/>
  <c r="T2007" i="146"/>
  <c r="U2007" i="146" a="1"/>
  <c r="U2007" i="146"/>
  <c r="Q2007" i="146"/>
  <c r="T2008" i="146"/>
  <c r="U2008" i="146" a="1"/>
  <c r="U2008" i="146"/>
  <c r="Q2008" i="146"/>
  <c r="T2009" i="146"/>
  <c r="U2009" i="146" a="1"/>
  <c r="U2009" i="146"/>
  <c r="Q2009" i="146"/>
  <c r="T2010" i="146"/>
  <c r="U2010" i="146" a="1"/>
  <c r="U2010" i="146"/>
  <c r="Q2010" i="146"/>
  <c r="T2011" i="146"/>
  <c r="U2011" i="146" a="1"/>
  <c r="U2011" i="146"/>
  <c r="Q2011" i="146"/>
  <c r="T2012" i="146"/>
  <c r="U2012" i="146" a="1"/>
  <c r="U2012" i="146"/>
  <c r="Q2012" i="146"/>
  <c r="T2013" i="146"/>
  <c r="U2013" i="146" a="1"/>
  <c r="U2013" i="146"/>
  <c r="Q2013" i="146"/>
  <c r="T2014" i="146"/>
  <c r="U2014" i="146" a="1"/>
  <c r="U2014" i="146"/>
  <c r="Q2014" i="146"/>
  <c r="T2015" i="146"/>
  <c r="U2015" i="146" a="1"/>
  <c r="U2015" i="146"/>
  <c r="Q2015" i="146"/>
  <c r="T2016" i="146"/>
  <c r="U2016" i="146" a="1"/>
  <c r="U2016" i="146"/>
  <c r="Q2016" i="146"/>
  <c r="T2017" i="146"/>
  <c r="U2017" i="146" a="1"/>
  <c r="U2017" i="146"/>
  <c r="Q2017" i="146"/>
  <c r="T2018" i="146"/>
  <c r="U2018" i="146" a="1"/>
  <c r="U2018" i="146"/>
  <c r="Q2018" i="146"/>
  <c r="T2019" i="146"/>
  <c r="U2019" i="146" a="1"/>
  <c r="U2019" i="146"/>
  <c r="Q2019" i="146"/>
  <c r="T2020" i="146"/>
  <c r="U2020" i="146" a="1"/>
  <c r="U2020" i="146"/>
  <c r="Q2020" i="146"/>
  <c r="T2021" i="146"/>
  <c r="U2021" i="146" a="1"/>
  <c r="U2021" i="146"/>
  <c r="Q2021" i="146"/>
  <c r="T2022" i="146"/>
  <c r="U2022" i="146" a="1"/>
  <c r="U2022" i="146"/>
  <c r="Q2022" i="146"/>
  <c r="T2023" i="146"/>
  <c r="U2023" i="146" a="1"/>
  <c r="U2023" i="146"/>
  <c r="Q2023" i="146"/>
  <c r="T2024" i="146"/>
  <c r="U2024" i="146" a="1"/>
  <c r="U2024" i="146"/>
  <c r="Q2024" i="146"/>
  <c r="T2025" i="146"/>
  <c r="U2025" i="146" a="1"/>
  <c r="U2025" i="146"/>
  <c r="Q2025" i="146"/>
  <c r="T2026" i="146"/>
  <c r="U2026" i="146" a="1"/>
  <c r="U2026" i="146"/>
  <c r="Q2026" i="146"/>
  <c r="T2027" i="146"/>
  <c r="U2027" i="146" a="1"/>
  <c r="U2027" i="146"/>
  <c r="Q2027" i="146"/>
  <c r="T2028" i="146"/>
  <c r="U2028" i="146" a="1"/>
  <c r="U2028" i="146"/>
  <c r="Q2028" i="146"/>
  <c r="T2029" i="146"/>
  <c r="U2029" i="146" a="1"/>
  <c r="U2029" i="146"/>
  <c r="Q2029" i="146"/>
  <c r="T2030" i="146"/>
  <c r="U2030" i="146" a="1"/>
  <c r="U2030" i="146"/>
  <c r="Q2030" i="146"/>
  <c r="T2031" i="146"/>
  <c r="U2031" i="146" a="1"/>
  <c r="U2031" i="146"/>
  <c r="Q2031" i="146"/>
  <c r="T2032" i="146"/>
  <c r="U2032" i="146" a="1"/>
  <c r="U2032" i="146"/>
  <c r="Q2032" i="146"/>
  <c r="T2033" i="146"/>
  <c r="U2033" i="146" a="1"/>
  <c r="U2033" i="146"/>
  <c r="Q2033" i="146"/>
  <c r="T2034" i="146"/>
  <c r="U2034" i="146" a="1"/>
  <c r="U2034" i="146"/>
  <c r="Q2034" i="146"/>
  <c r="T2035" i="146"/>
  <c r="U2035" i="146" a="1"/>
  <c r="U2035" i="146"/>
  <c r="Q2035" i="146"/>
  <c r="T2036" i="146"/>
  <c r="U2036" i="146" a="1"/>
  <c r="U2036" i="146"/>
  <c r="Q2036" i="146"/>
  <c r="T2037" i="146"/>
  <c r="U2037" i="146" a="1"/>
  <c r="U2037" i="146"/>
  <c r="Q2037" i="146"/>
  <c r="T2038" i="146"/>
  <c r="U2038" i="146" a="1"/>
  <c r="U2038" i="146"/>
  <c r="Q2038" i="146"/>
  <c r="T2039" i="146"/>
  <c r="U2039" i="146" a="1"/>
  <c r="U2039" i="146"/>
  <c r="Q2039" i="146"/>
  <c r="T2040" i="146"/>
  <c r="U2040" i="146" a="1"/>
  <c r="U2040" i="146"/>
  <c r="Q2040" i="146"/>
  <c r="T2041" i="146"/>
  <c r="U2041" i="146" a="1"/>
  <c r="U2041" i="146"/>
  <c r="Q2041" i="146"/>
  <c r="T2042" i="146"/>
  <c r="U2042" i="146" a="1"/>
  <c r="U2042" i="146"/>
  <c r="Q2042" i="146"/>
  <c r="T2043" i="146"/>
  <c r="U2043" i="146" a="1"/>
  <c r="U2043" i="146"/>
  <c r="Q2043" i="146"/>
  <c r="T2044" i="146"/>
  <c r="U2044" i="146" a="1"/>
  <c r="U2044" i="146"/>
  <c r="Q2044" i="146"/>
  <c r="T2045" i="146"/>
  <c r="U2045" i="146" a="1"/>
  <c r="U2045" i="146"/>
  <c r="Q2045" i="146"/>
  <c r="T2046" i="146"/>
  <c r="U2046" i="146" a="1"/>
  <c r="U2046" i="146"/>
  <c r="Q2046" i="146"/>
  <c r="T2047" i="146"/>
  <c r="U2047" i="146" a="1"/>
  <c r="U2047" i="146"/>
  <c r="Q2047" i="146"/>
  <c r="T2048" i="146"/>
  <c r="U2048" i="146" a="1"/>
  <c r="U2048" i="146"/>
  <c r="Q2048" i="146"/>
  <c r="T2049" i="146"/>
  <c r="U2049" i="146" a="1"/>
  <c r="U2049" i="146"/>
  <c r="Q2049" i="146"/>
  <c r="T2050" i="146"/>
  <c r="U2050" i="146" a="1"/>
  <c r="U2050" i="146"/>
  <c r="Q2050" i="146"/>
  <c r="T2051" i="146"/>
  <c r="U2051" i="146" a="1"/>
  <c r="U2051" i="146"/>
  <c r="Q2051" i="146"/>
  <c r="T2052" i="146"/>
  <c r="U2052" i="146" a="1"/>
  <c r="U2052" i="146"/>
  <c r="Q2052" i="146"/>
  <c r="T2053" i="146"/>
  <c r="U2053" i="146" a="1"/>
  <c r="U2053" i="146"/>
  <c r="Q2053" i="146"/>
  <c r="T2054" i="146"/>
  <c r="U2054" i="146" a="1"/>
  <c r="U2054" i="146"/>
  <c r="Q2054" i="146"/>
  <c r="T2055" i="146"/>
  <c r="U2055" i="146" a="1"/>
  <c r="U2055" i="146"/>
  <c r="Q2055" i="146"/>
  <c r="T2056" i="146"/>
  <c r="U2056" i="146" a="1"/>
  <c r="U2056" i="146"/>
  <c r="Q2056" i="146"/>
  <c r="T2057" i="146"/>
  <c r="U2057" i="146" a="1"/>
  <c r="U2057" i="146"/>
  <c r="Q2057" i="146"/>
  <c r="T2058" i="146"/>
  <c r="U2058" i="146" a="1"/>
  <c r="U2058" i="146"/>
  <c r="Q2058" i="146"/>
  <c r="T2059" i="146"/>
  <c r="U2059" i="146" a="1"/>
  <c r="U2059" i="146"/>
  <c r="Q2059" i="146"/>
  <c r="T2060" i="146"/>
  <c r="U2060" i="146" a="1"/>
  <c r="U2060" i="146"/>
  <c r="Q2060" i="146"/>
  <c r="T2061" i="146"/>
  <c r="U2061" i="146" a="1"/>
  <c r="U2061" i="146"/>
  <c r="Q2061" i="146"/>
  <c r="T2062" i="146"/>
  <c r="U2062" i="146" a="1"/>
  <c r="U2062" i="146"/>
  <c r="Q2062" i="146"/>
  <c r="T2063" i="146"/>
  <c r="U2063" i="146" a="1"/>
  <c r="U2063" i="146"/>
  <c r="Q2063" i="146"/>
  <c r="T2064" i="146"/>
  <c r="U2064" i="146" a="1"/>
  <c r="U2064" i="146"/>
  <c r="Q2064" i="146"/>
  <c r="T2065" i="146"/>
  <c r="U2065" i="146" a="1"/>
  <c r="U2065" i="146"/>
  <c r="Q2065" i="146"/>
  <c r="T2066" i="146"/>
  <c r="U2066" i="146" a="1"/>
  <c r="U2066" i="146"/>
  <c r="Q2066" i="146"/>
  <c r="T2067" i="146"/>
  <c r="U2067" i="146" a="1"/>
  <c r="U2067" i="146"/>
  <c r="Q2067" i="146"/>
  <c r="T2068" i="146"/>
  <c r="U2068" i="146" a="1"/>
  <c r="U2068" i="146"/>
  <c r="Q2068" i="146"/>
  <c r="T2069" i="146"/>
  <c r="U2069" i="146" a="1"/>
  <c r="U2069" i="146"/>
  <c r="Q2069" i="146"/>
  <c r="T2070" i="146"/>
  <c r="U2070" i="146" a="1"/>
  <c r="U2070" i="146"/>
  <c r="Q2070" i="146"/>
  <c r="T2071" i="146"/>
  <c r="U2071" i="146" a="1"/>
  <c r="U2071" i="146"/>
  <c r="Q2071" i="146"/>
  <c r="T2072" i="146"/>
  <c r="U2072" i="146" a="1"/>
  <c r="U2072" i="146"/>
  <c r="Q2072" i="146"/>
  <c r="T2073" i="146"/>
  <c r="U2073" i="146" a="1"/>
  <c r="U2073" i="146"/>
  <c r="Q2073" i="146"/>
  <c r="T2074" i="146"/>
  <c r="U2074" i="146" a="1"/>
  <c r="U2074" i="146"/>
  <c r="Q2074" i="146"/>
  <c r="T2075" i="146"/>
  <c r="U2075" i="146" a="1"/>
  <c r="U2075" i="146"/>
  <c r="Q2075" i="146"/>
  <c r="T2076" i="146"/>
  <c r="U2076" i="146" a="1"/>
  <c r="U2076" i="146"/>
  <c r="Q2076" i="146"/>
  <c r="T2077" i="146"/>
  <c r="U2077" i="146" a="1"/>
  <c r="U2077" i="146"/>
  <c r="Q2077" i="146"/>
  <c r="T2078" i="146"/>
  <c r="U2078" i="146" a="1"/>
  <c r="U2078" i="146"/>
  <c r="Q2078" i="146"/>
  <c r="T2079" i="146"/>
  <c r="U2079" i="146" a="1"/>
  <c r="U2079" i="146"/>
  <c r="Q2079" i="146"/>
  <c r="T2080" i="146"/>
  <c r="U2080" i="146" a="1"/>
  <c r="U2080" i="146"/>
  <c r="Q2080" i="146"/>
  <c r="T2081" i="146"/>
  <c r="U2081" i="146" a="1"/>
  <c r="U2081" i="146"/>
  <c r="Q2081" i="146"/>
  <c r="T2082" i="146"/>
  <c r="U2082" i="146" a="1"/>
  <c r="U2082" i="146"/>
  <c r="Q2082" i="146"/>
  <c r="T2083" i="146"/>
  <c r="U2083" i="146" a="1"/>
  <c r="U2083" i="146"/>
  <c r="Q2083" i="146"/>
  <c r="T2084" i="146"/>
  <c r="U2084" i="146" a="1"/>
  <c r="U2084" i="146"/>
  <c r="Q2084" i="146"/>
  <c r="T2085" i="146"/>
  <c r="U2085" i="146" a="1"/>
  <c r="U2085" i="146"/>
  <c r="Q2085" i="146"/>
  <c r="T2086" i="146"/>
  <c r="Q2086" i="146"/>
  <c r="T2087" i="146"/>
  <c r="U2087" i="146" a="1"/>
  <c r="U2087" i="146"/>
  <c r="Q2087" i="146"/>
  <c r="T2088" i="146"/>
  <c r="U2088" i="146" a="1"/>
  <c r="U2088" i="146"/>
  <c r="Q2088" i="146"/>
  <c r="T2089" i="146"/>
  <c r="U2089" i="146" a="1"/>
  <c r="U2089" i="146"/>
  <c r="Q2089" i="146"/>
  <c r="T2090" i="146"/>
  <c r="U2090" i="146" a="1"/>
  <c r="U2090" i="146"/>
  <c r="Q2090" i="146"/>
  <c r="T2091" i="146"/>
  <c r="U2091" i="146" a="1"/>
  <c r="U2091" i="146"/>
  <c r="Q2091" i="146"/>
  <c r="T2092" i="146"/>
  <c r="U2092" i="146" a="1"/>
  <c r="U2092" i="146"/>
  <c r="Q2092" i="146"/>
  <c r="T2093" i="146"/>
  <c r="U2093" i="146" a="1"/>
  <c r="U2093" i="146"/>
  <c r="Q2093" i="146"/>
  <c r="T2094" i="146"/>
  <c r="U2094" i="146" a="1"/>
  <c r="U2094" i="146"/>
  <c r="Q2094" i="146"/>
  <c r="T2095" i="146"/>
  <c r="U2095" i="146" a="1"/>
  <c r="U2095" i="146"/>
  <c r="Q2095" i="146"/>
  <c r="T2096" i="146"/>
  <c r="U2096" i="146" a="1"/>
  <c r="U2096" i="146"/>
  <c r="Q2096" i="146"/>
  <c r="T2097" i="146"/>
  <c r="U2097" i="146" a="1"/>
  <c r="U2097" i="146"/>
  <c r="Q2097" i="146"/>
  <c r="T2098" i="146"/>
  <c r="U2098" i="146" a="1"/>
  <c r="U2098" i="146"/>
  <c r="Q2098" i="146"/>
  <c r="T2099" i="146"/>
  <c r="U2099" i="146" a="1"/>
  <c r="U2099" i="146"/>
  <c r="Q2099" i="146"/>
  <c r="T2100" i="146"/>
  <c r="U2100" i="146" a="1"/>
  <c r="U2100" i="146"/>
  <c r="Q2100" i="146"/>
  <c r="T2101" i="146"/>
  <c r="U2101" i="146" a="1"/>
  <c r="U2101" i="146"/>
  <c r="Q2101" i="146"/>
  <c r="T2102" i="146"/>
  <c r="U2102" i="146" a="1"/>
  <c r="U2102" i="146"/>
  <c r="Q2102" i="146"/>
  <c r="T2103" i="146"/>
  <c r="U2103" i="146" a="1"/>
  <c r="U2103" i="146"/>
  <c r="Q2103" i="146"/>
  <c r="T2104" i="146"/>
  <c r="Q2104" i="146"/>
  <c r="T2105" i="146"/>
  <c r="U2105" i="146" a="1"/>
  <c r="U2105" i="146"/>
  <c r="Q2105" i="146"/>
  <c r="T2106" i="146"/>
  <c r="U2106" i="146" a="1"/>
  <c r="U2106" i="146"/>
  <c r="Q2106" i="146"/>
  <c r="T2107" i="146"/>
  <c r="U2107" i="146" a="1"/>
  <c r="U2107" i="146"/>
  <c r="Q2107" i="146"/>
  <c r="T2108" i="146"/>
  <c r="U2108" i="146" a="1"/>
  <c r="U2108" i="146"/>
  <c r="Q2108" i="146"/>
  <c r="T2109" i="146"/>
  <c r="U2109" i="146" a="1"/>
  <c r="U2109" i="146"/>
  <c r="Q2109" i="146"/>
  <c r="T2110" i="146"/>
  <c r="U2110" i="146" a="1"/>
  <c r="U2110" i="146"/>
  <c r="Q2110" i="146"/>
  <c r="T2111" i="146"/>
  <c r="U2111" i="146" a="1"/>
  <c r="U2111" i="146"/>
  <c r="Q2111" i="146"/>
  <c r="T2112" i="146"/>
  <c r="U2112" i="146" a="1"/>
  <c r="U2112" i="146"/>
  <c r="Q2112" i="146"/>
  <c r="T2113" i="146"/>
  <c r="U2113" i="146" a="1"/>
  <c r="U2113" i="146"/>
  <c r="Q2113" i="146"/>
  <c r="T2114" i="146"/>
  <c r="U2114" i="146" a="1"/>
  <c r="U2114" i="146"/>
  <c r="Q2114" i="146"/>
  <c r="T2115" i="146"/>
  <c r="U2115" i="146" a="1"/>
  <c r="U2115" i="146"/>
  <c r="Q2115" i="146"/>
  <c r="T2116" i="146"/>
  <c r="U2116" i="146" a="1"/>
  <c r="U2116" i="146"/>
  <c r="Q2116" i="146"/>
  <c r="T2117" i="146"/>
  <c r="U2117" i="146" a="1"/>
  <c r="U2117" i="146"/>
  <c r="Q2117" i="146"/>
  <c r="T2118" i="146"/>
  <c r="U2118" i="146" a="1"/>
  <c r="U2118" i="146"/>
  <c r="Q2118" i="146"/>
  <c r="T2119" i="146"/>
  <c r="U2119" i="146" a="1"/>
  <c r="U2119" i="146"/>
  <c r="Q2119" i="146"/>
  <c r="T2120" i="146"/>
  <c r="U2120" i="146" a="1"/>
  <c r="U2120" i="146"/>
  <c r="Q2120" i="146"/>
  <c r="T2121" i="146"/>
  <c r="U2121" i="146" a="1"/>
  <c r="U2121" i="146"/>
  <c r="Q2121" i="146"/>
  <c r="T2122" i="146"/>
  <c r="U2122" i="146" a="1"/>
  <c r="U2122" i="146"/>
  <c r="Q2122" i="146"/>
  <c r="T2123" i="146"/>
  <c r="U2123" i="146" a="1"/>
  <c r="U2123" i="146"/>
  <c r="Q2123" i="146"/>
  <c r="T2124" i="146"/>
  <c r="U2124" i="146" a="1"/>
  <c r="U2124" i="146"/>
  <c r="Q2124" i="146"/>
  <c r="T2125" i="146"/>
  <c r="U2125" i="146" a="1"/>
  <c r="U2125" i="146"/>
  <c r="Q2125" i="146"/>
  <c r="T2126" i="146"/>
  <c r="U2126" i="146" a="1"/>
  <c r="U2126" i="146"/>
  <c r="Q2126" i="146"/>
  <c r="T2127" i="146"/>
  <c r="U2127" i="146" a="1"/>
  <c r="U2127" i="146"/>
  <c r="Q2127" i="146"/>
  <c r="T2128" i="146"/>
  <c r="U2128" i="146" a="1"/>
  <c r="U2128" i="146"/>
  <c r="Q2128" i="146"/>
  <c r="T2129" i="146"/>
  <c r="U2129" i="146" a="1"/>
  <c r="U2129" i="146"/>
  <c r="Q2129" i="146"/>
  <c r="T2130" i="146"/>
  <c r="U2130" i="146" a="1"/>
  <c r="U2130" i="146"/>
  <c r="Q2130" i="146"/>
  <c r="T2131" i="146"/>
  <c r="U2131" i="146" a="1"/>
  <c r="U2131" i="146"/>
  <c r="Q2131" i="146"/>
  <c r="T2132" i="146"/>
  <c r="U2132" i="146" a="1"/>
  <c r="U2132" i="146"/>
  <c r="Q2132" i="146"/>
  <c r="T2133" i="146"/>
  <c r="U2133" i="146" a="1"/>
  <c r="U2133" i="146"/>
  <c r="Q2133" i="146"/>
  <c r="T2134" i="146"/>
  <c r="U2134" i="146" a="1"/>
  <c r="U2134" i="146"/>
  <c r="Q2134" i="146"/>
  <c r="T2135" i="146"/>
  <c r="U2135" i="146" a="1"/>
  <c r="U2135" i="146"/>
  <c r="Q2135" i="146"/>
  <c r="T2136" i="146"/>
  <c r="U2136" i="146" a="1"/>
  <c r="U2136" i="146"/>
  <c r="Q2136" i="146"/>
  <c r="T2137" i="146"/>
  <c r="U2137" i="146" a="1"/>
  <c r="U2137" i="146"/>
  <c r="Q2137" i="146"/>
  <c r="T2138" i="146"/>
  <c r="U2138" i="146" a="1"/>
  <c r="U2138" i="146"/>
  <c r="Q2138" i="146"/>
  <c r="T2139" i="146"/>
  <c r="U2139" i="146" a="1"/>
  <c r="U2139" i="146"/>
  <c r="Q2139" i="146"/>
  <c r="T2140" i="146"/>
  <c r="U2140" i="146" a="1"/>
  <c r="U2140" i="146"/>
  <c r="Q2140" i="146"/>
  <c r="T2141" i="146"/>
  <c r="U2141" i="146" a="1"/>
  <c r="U2141" i="146"/>
  <c r="Q2141" i="146"/>
  <c r="T2142" i="146"/>
  <c r="U2142" i="146" a="1"/>
  <c r="U2142" i="146"/>
  <c r="Q2142" i="146"/>
  <c r="T2143" i="146"/>
  <c r="U2143" i="146" a="1"/>
  <c r="U2143" i="146"/>
  <c r="Q2143" i="146"/>
  <c r="T2144" i="146"/>
  <c r="U2144" i="146" a="1"/>
  <c r="U2144" i="146"/>
  <c r="Q2144" i="146"/>
  <c r="T2145" i="146"/>
  <c r="U2145" i="146" a="1"/>
  <c r="U2145" i="146"/>
  <c r="Q2145" i="146"/>
  <c r="T2146" i="146"/>
  <c r="U2146" i="146" a="1"/>
  <c r="U2146" i="146"/>
  <c r="Q2146" i="146"/>
  <c r="T2147" i="146"/>
  <c r="U2147" i="146" a="1"/>
  <c r="U2147" i="146"/>
  <c r="Q2147" i="146"/>
  <c r="T2148" i="146"/>
  <c r="U2148" i="146" a="1"/>
  <c r="U2148" i="146"/>
  <c r="Q2148" i="146"/>
  <c r="T2149" i="146"/>
  <c r="U2149" i="146" a="1"/>
  <c r="U2149" i="146"/>
  <c r="Q2149" i="146"/>
  <c r="T2150" i="146"/>
  <c r="U2150" i="146" a="1"/>
  <c r="U2150" i="146"/>
  <c r="Q2150" i="146"/>
  <c r="T2151" i="146"/>
  <c r="U2151" i="146" a="1"/>
  <c r="U2151" i="146"/>
  <c r="Q2151" i="146"/>
  <c r="T2152" i="146"/>
  <c r="U2152" i="146" a="1"/>
  <c r="U2152" i="146"/>
  <c r="Q2152" i="146"/>
  <c r="T2153" i="146"/>
  <c r="U2153" i="146" a="1"/>
  <c r="U2153" i="146"/>
  <c r="Q2153" i="146"/>
  <c r="T2154" i="146"/>
  <c r="U2154" i="146" a="1"/>
  <c r="U2154" i="146"/>
  <c r="Q2154" i="146"/>
  <c r="T2155" i="146"/>
  <c r="U2155" i="146" a="1"/>
  <c r="U2155" i="146"/>
  <c r="Q2155" i="146"/>
  <c r="T2156" i="146"/>
  <c r="U2156" i="146" a="1"/>
  <c r="U2156" i="146"/>
  <c r="Q2156" i="146"/>
  <c r="T2157" i="146"/>
  <c r="U2157" i="146" a="1"/>
  <c r="U2157" i="146"/>
  <c r="Q2157" i="146"/>
  <c r="T2158" i="146"/>
  <c r="U2158" i="146" a="1"/>
  <c r="U2158" i="146"/>
  <c r="Q2158" i="146"/>
  <c r="T2159" i="146"/>
  <c r="U2159" i="146" a="1"/>
  <c r="U2159" i="146"/>
  <c r="Q2159" i="146"/>
  <c r="T2160" i="146"/>
  <c r="U2160" i="146" a="1"/>
  <c r="U2160" i="146"/>
  <c r="Q2160" i="146"/>
  <c r="T2161" i="146"/>
  <c r="U2161" i="146" a="1"/>
  <c r="U2161" i="146"/>
  <c r="Q2161" i="146"/>
  <c r="T2162" i="146"/>
  <c r="U2162" i="146" a="1"/>
  <c r="U2162" i="146"/>
  <c r="Q2162" i="146"/>
  <c r="T2163" i="146"/>
  <c r="U2163" i="146" a="1"/>
  <c r="U2163" i="146"/>
  <c r="Q2163" i="146"/>
  <c r="T2164" i="146"/>
  <c r="U2164" i="146" a="1"/>
  <c r="U2164" i="146"/>
  <c r="Q2164" i="146"/>
  <c r="T2165" i="146"/>
  <c r="U2165" i="146" a="1"/>
  <c r="U2165" i="146"/>
  <c r="Q2165" i="146"/>
  <c r="T2166" i="146"/>
  <c r="Q2166" i="146"/>
  <c r="T2167" i="146"/>
  <c r="U2167" i="146" a="1"/>
  <c r="U2167" i="146"/>
  <c r="Q2167" i="146"/>
  <c r="T2168" i="146"/>
  <c r="U2168" i="146" a="1"/>
  <c r="U2168" i="146"/>
  <c r="Q2168" i="146"/>
  <c r="T2169" i="146"/>
  <c r="U2169" i="146" a="1"/>
  <c r="U2169" i="146"/>
  <c r="Q2169" i="146"/>
  <c r="T2170" i="146"/>
  <c r="U2170" i="146" a="1"/>
  <c r="U2170" i="146"/>
  <c r="Q2170" i="146"/>
  <c r="T2171" i="146"/>
  <c r="U2171" i="146" a="1"/>
  <c r="U2171" i="146"/>
  <c r="Q2171" i="146"/>
  <c r="T2172" i="146"/>
  <c r="U2172" i="146" a="1"/>
  <c r="U2172" i="146"/>
  <c r="Q2172" i="146"/>
  <c r="T2173" i="146"/>
  <c r="U2173" i="146" a="1"/>
  <c r="U2173" i="146"/>
  <c r="Q2173" i="146"/>
  <c r="T2174" i="146"/>
  <c r="U2174" i="146" a="1"/>
  <c r="U2174" i="146"/>
  <c r="Q2174" i="146"/>
  <c r="T2175" i="146"/>
  <c r="U2175" i="146" a="1"/>
  <c r="U2175" i="146"/>
  <c r="Q2175" i="146"/>
  <c r="T2176" i="146"/>
  <c r="U2176" i="146" a="1"/>
  <c r="U2176" i="146"/>
  <c r="Q2176" i="146"/>
  <c r="T2177" i="146"/>
  <c r="U2177" i="146" a="1"/>
  <c r="U2177" i="146"/>
  <c r="Q2177" i="146"/>
  <c r="T2178" i="146"/>
  <c r="U2178" i="146" a="1"/>
  <c r="U2178" i="146"/>
  <c r="Q2178" i="146"/>
  <c r="T2179" i="146"/>
  <c r="U2179" i="146" a="1"/>
  <c r="U2179" i="146"/>
  <c r="Q2179" i="146"/>
  <c r="T2180" i="146"/>
  <c r="U2180" i="146" a="1"/>
  <c r="U2180" i="146"/>
  <c r="Q2180" i="146"/>
  <c r="T2181" i="146"/>
  <c r="U2181" i="146" a="1"/>
  <c r="U2181" i="146"/>
  <c r="Q2181" i="146"/>
  <c r="T2182" i="146"/>
  <c r="U2182" i="146" a="1"/>
  <c r="U2182" i="146"/>
  <c r="Q2182" i="146"/>
  <c r="T2183" i="146"/>
  <c r="U2183" i="146" a="1"/>
  <c r="U2183" i="146"/>
  <c r="Q2183" i="146"/>
  <c r="T2184" i="146"/>
  <c r="U2184" i="146" a="1"/>
  <c r="U2184" i="146"/>
  <c r="Q2184" i="146"/>
  <c r="T2185" i="146"/>
  <c r="U2185" i="146" a="1"/>
  <c r="U2185" i="146"/>
  <c r="Q2185" i="146"/>
  <c r="T2186" i="146"/>
  <c r="U2186" i="146" a="1"/>
  <c r="U2186" i="146"/>
  <c r="Q2186" i="146"/>
  <c r="T2187" i="146"/>
  <c r="U2187" i="146" a="1"/>
  <c r="U2187" i="146"/>
  <c r="Q2187" i="146"/>
  <c r="T2188" i="146"/>
  <c r="U2188" i="146" a="1"/>
  <c r="U2188" i="146"/>
  <c r="Q2188" i="146"/>
  <c r="T2189" i="146"/>
  <c r="U2189" i="146" a="1"/>
  <c r="U2189" i="146"/>
  <c r="Q2189" i="146"/>
  <c r="T2190" i="146"/>
  <c r="U2190" i="146" a="1"/>
  <c r="U2190" i="146"/>
  <c r="Q2190" i="146"/>
  <c r="T2191" i="146"/>
  <c r="U2191" i="146" a="1"/>
  <c r="U2191" i="146"/>
  <c r="Q2191" i="146"/>
  <c r="T2192" i="146"/>
  <c r="U2192" i="146" a="1"/>
  <c r="U2192" i="146"/>
  <c r="Q2192" i="146"/>
  <c r="T2193" i="146"/>
  <c r="U2193" i="146" a="1"/>
  <c r="U2193" i="146"/>
  <c r="Q2193" i="146"/>
  <c r="T2194" i="146"/>
  <c r="U2194" i="146" a="1"/>
  <c r="U2194" i="146"/>
  <c r="Q2194" i="146"/>
  <c r="T2195" i="146"/>
  <c r="U2195" i="146" a="1"/>
  <c r="U2195" i="146"/>
  <c r="Q2195" i="146"/>
  <c r="T2196" i="146"/>
  <c r="U2196" i="146" a="1"/>
  <c r="U2196" i="146"/>
  <c r="Q2196" i="146"/>
  <c r="T2197" i="146"/>
  <c r="U2197" i="146" a="1"/>
  <c r="U2197" i="146"/>
  <c r="Q2197" i="146"/>
  <c r="T2198" i="146"/>
  <c r="U2198" i="146" a="1"/>
  <c r="U2198" i="146"/>
  <c r="Q2198" i="146"/>
  <c r="T2199" i="146"/>
  <c r="U2199" i="146" a="1"/>
  <c r="U2199" i="146"/>
  <c r="Q2199" i="146"/>
  <c r="T2200" i="146"/>
  <c r="U2200" i="146" a="1"/>
  <c r="U2200" i="146"/>
  <c r="Q2200" i="146"/>
  <c r="T2201" i="146"/>
  <c r="U2201" i="146" a="1"/>
  <c r="U2201" i="146"/>
  <c r="Q2201" i="146"/>
  <c r="T2202" i="146"/>
  <c r="U2202" i="146" a="1"/>
  <c r="U2202" i="146"/>
  <c r="Q2202" i="146"/>
  <c r="T2203" i="146"/>
  <c r="U2203" i="146" a="1"/>
  <c r="U2203" i="146"/>
  <c r="Q2203" i="146"/>
  <c r="T2204" i="146"/>
  <c r="U2204" i="146" a="1"/>
  <c r="U2204" i="146"/>
  <c r="Q2204" i="146"/>
  <c r="T2205" i="146"/>
  <c r="U2205" i="146" a="1"/>
  <c r="U2205" i="146"/>
  <c r="Q2205" i="146"/>
  <c r="T2206" i="146"/>
  <c r="U2206" i="146" a="1"/>
  <c r="U2206" i="146"/>
  <c r="Q2206" i="146"/>
  <c r="T2207" i="146"/>
  <c r="U2207" i="146" a="1"/>
  <c r="U2207" i="146"/>
  <c r="Q2207" i="146"/>
  <c r="T2208" i="146"/>
  <c r="U2208" i="146" a="1"/>
  <c r="U2208" i="146"/>
  <c r="Q2208" i="146"/>
  <c r="T2209" i="146"/>
  <c r="U2209" i="146" a="1"/>
  <c r="U2209" i="146"/>
  <c r="Q2209" i="146"/>
  <c r="T2210" i="146"/>
  <c r="U2210" i="146" a="1"/>
  <c r="U2210" i="146"/>
  <c r="Q2210" i="146"/>
  <c r="T2211" i="146"/>
  <c r="U2211" i="146" a="1"/>
  <c r="U2211" i="146"/>
  <c r="Q2211" i="146"/>
  <c r="T2212" i="146"/>
  <c r="U2212" i="146" a="1"/>
  <c r="U2212" i="146"/>
  <c r="Q2212" i="146"/>
  <c r="T2213" i="146"/>
  <c r="U2213" i="146" a="1"/>
  <c r="U2213" i="146"/>
  <c r="Q2213" i="146"/>
  <c r="T2214" i="146"/>
  <c r="U2214" i="146" a="1"/>
  <c r="U2214" i="146"/>
  <c r="Q2214" i="146"/>
  <c r="T2215" i="146"/>
  <c r="U2215" i="146" a="1"/>
  <c r="U2215" i="146"/>
  <c r="Q2215" i="146"/>
  <c r="T2216" i="146"/>
  <c r="U2216" i="146" a="1"/>
  <c r="U2216" i="146"/>
  <c r="Q2216" i="146"/>
  <c r="T2217" i="146"/>
  <c r="U2217" i="146" a="1"/>
  <c r="U2217" i="146"/>
  <c r="Q2217" i="146"/>
  <c r="T2218" i="146"/>
  <c r="U2218" i="146" a="1"/>
  <c r="U2218" i="146"/>
  <c r="Q2218" i="146"/>
  <c r="T2219" i="146"/>
  <c r="U2219" i="146" a="1"/>
  <c r="U2219" i="146"/>
  <c r="Q2219" i="146"/>
  <c r="T2220" i="146"/>
  <c r="U2220" i="146" a="1"/>
  <c r="U2220" i="146"/>
  <c r="Q2220" i="146"/>
  <c r="T2221" i="146"/>
  <c r="U2221" i="146" a="1"/>
  <c r="U2221" i="146"/>
  <c r="Q2221" i="146"/>
  <c r="T2222" i="146"/>
  <c r="U2222" i="146" a="1"/>
  <c r="U2222" i="146"/>
  <c r="Q2222" i="146"/>
  <c r="T2223" i="146"/>
  <c r="U2223" i="146" a="1"/>
  <c r="U2223" i="146"/>
  <c r="Q2223" i="146"/>
  <c r="T2224" i="146"/>
  <c r="U2224" i="146" a="1"/>
  <c r="U2224" i="146"/>
  <c r="Q2224" i="146"/>
  <c r="T2225" i="146"/>
  <c r="U2225" i="146" a="1"/>
  <c r="U2225" i="146"/>
  <c r="Q2225" i="146"/>
  <c r="T2226" i="146"/>
  <c r="U2226" i="146" a="1"/>
  <c r="U2226" i="146"/>
  <c r="Q2226" i="146"/>
  <c r="T2227" i="146"/>
  <c r="U2227" i="146" a="1"/>
  <c r="U2227" i="146"/>
  <c r="Q2227" i="146"/>
  <c r="T2228" i="146"/>
  <c r="U2228" i="146" a="1"/>
  <c r="U2228" i="146"/>
  <c r="Q2228" i="146"/>
  <c r="T2229" i="146"/>
  <c r="U2229" i="146" a="1"/>
  <c r="U2229" i="146"/>
  <c r="Q2229" i="146"/>
  <c r="T2230" i="146"/>
  <c r="U2230" i="146" a="1"/>
  <c r="U2230" i="146"/>
  <c r="Q2230" i="146"/>
  <c r="T2231" i="146"/>
  <c r="U2231" i="146" a="1"/>
  <c r="U2231" i="146"/>
  <c r="Q2231" i="146"/>
  <c r="T2232" i="146"/>
  <c r="U2232" i="146" a="1"/>
  <c r="U2232" i="146"/>
  <c r="Q2232" i="146"/>
  <c r="T2233" i="146"/>
  <c r="U2233" i="146" a="1"/>
  <c r="U2233" i="146"/>
  <c r="Q2233" i="146"/>
  <c r="T2234" i="146"/>
  <c r="U2234" i="146" a="1"/>
  <c r="U2234" i="146"/>
  <c r="Q2234" i="146"/>
  <c r="T2235" i="146"/>
  <c r="U2235" i="146" a="1"/>
  <c r="U2235" i="146"/>
  <c r="Q2235" i="146"/>
  <c r="T2236" i="146"/>
  <c r="U2236" i="146" a="1"/>
  <c r="U2236" i="146"/>
  <c r="Q2236" i="146"/>
  <c r="T2237" i="146"/>
  <c r="U2237" i="146" a="1"/>
  <c r="U2237" i="146"/>
  <c r="Q2237" i="146"/>
  <c r="T2238" i="146"/>
  <c r="U2238" i="146" a="1"/>
  <c r="U2238" i="146"/>
  <c r="Q2238" i="146"/>
  <c r="T2239" i="146"/>
  <c r="U2239" i="146" a="1"/>
  <c r="U2239" i="146"/>
  <c r="Q2239" i="146"/>
  <c r="T2240" i="146"/>
  <c r="U2240" i="146" a="1"/>
  <c r="U2240" i="146"/>
  <c r="Q2240" i="146"/>
  <c r="T2241" i="146"/>
  <c r="U2241" i="146" a="1"/>
  <c r="U2241" i="146"/>
  <c r="Q2241" i="146"/>
  <c r="T2242" i="146"/>
  <c r="U2242" i="146" a="1"/>
  <c r="U2242" i="146"/>
  <c r="Q2242" i="146"/>
  <c r="T2243" i="146"/>
  <c r="U2243" i="146" a="1"/>
  <c r="U2243" i="146"/>
  <c r="Q2243" i="146"/>
  <c r="T2244" i="146"/>
  <c r="U2244" i="146" a="1"/>
  <c r="U2244" i="146"/>
  <c r="Q2244" i="146"/>
  <c r="T2245" i="146"/>
  <c r="U2245" i="146" a="1"/>
  <c r="U2245" i="146"/>
  <c r="Q2245" i="146"/>
  <c r="T2246" i="146"/>
  <c r="U2246" i="146" a="1"/>
  <c r="U2246" i="146"/>
  <c r="Q2246" i="146"/>
  <c r="T2247" i="146"/>
  <c r="U2247" i="146" a="1"/>
  <c r="U2247" i="146"/>
  <c r="Q2247" i="146"/>
  <c r="T2248" i="146"/>
  <c r="U2248" i="146" a="1"/>
  <c r="U2248" i="146"/>
  <c r="Q2248" i="146"/>
  <c r="T2249" i="146"/>
  <c r="U2249" i="146" a="1"/>
  <c r="U2249" i="146"/>
  <c r="Q2249" i="146"/>
  <c r="T2250" i="146"/>
  <c r="U2250" i="146" a="1"/>
  <c r="U2250" i="146"/>
  <c r="Q2250" i="146"/>
  <c r="T2251" i="146"/>
  <c r="U2251" i="146" a="1"/>
  <c r="U2251" i="146"/>
  <c r="T2252" i="146"/>
  <c r="U2252" i="146" a="1"/>
  <c r="U2252" i="146"/>
  <c r="Q2252" i="146"/>
  <c r="T2253" i="146"/>
  <c r="U2253" i="146" a="1"/>
  <c r="U2253" i="146"/>
  <c r="Q2253" i="146"/>
  <c r="T2254" i="146"/>
  <c r="U2254" i="146" a="1"/>
  <c r="U2254" i="146"/>
  <c r="Q2254" i="146"/>
  <c r="T2255" i="146"/>
  <c r="U2255" i="146" a="1"/>
  <c r="U2255" i="146"/>
  <c r="Q2255" i="146"/>
  <c r="T2256" i="146"/>
  <c r="U2256" i="146" a="1"/>
  <c r="U2256" i="146"/>
  <c r="Q2256" i="146"/>
  <c r="T2257" i="146"/>
  <c r="U2257" i="146" a="1"/>
  <c r="U2257" i="146"/>
  <c r="Q2257" i="146"/>
  <c r="T2258" i="146"/>
  <c r="U2258" i="146" a="1"/>
  <c r="U2258" i="146"/>
  <c r="Q2258" i="146"/>
  <c r="T2259" i="146"/>
  <c r="U2259" i="146" a="1"/>
  <c r="U2259" i="146"/>
  <c r="Q2259" i="146"/>
  <c r="T2260" i="146"/>
  <c r="U2260" i="146" a="1"/>
  <c r="U2260" i="146"/>
  <c r="Q2260" i="146"/>
  <c r="T2261" i="146"/>
  <c r="U2261" i="146" a="1"/>
  <c r="U2261" i="146"/>
  <c r="Q2261" i="146"/>
  <c r="T2262" i="146"/>
  <c r="U2262" i="146" a="1"/>
  <c r="U2262" i="146"/>
  <c r="Q2262" i="146"/>
  <c r="T2263" i="146"/>
  <c r="U2263" i="146" a="1"/>
  <c r="U2263" i="146"/>
  <c r="Q2263" i="146"/>
  <c r="T2264" i="146"/>
  <c r="U2264" i="146" a="1"/>
  <c r="U2264" i="146"/>
  <c r="Q2264" i="146"/>
  <c r="T2265" i="146"/>
  <c r="U2265" i="146" a="1"/>
  <c r="U2265" i="146"/>
  <c r="Q2265" i="146"/>
  <c r="T2266" i="146"/>
  <c r="U2266" i="146" a="1"/>
  <c r="U2266" i="146"/>
  <c r="Q2266" i="146"/>
  <c r="T2267" i="146"/>
  <c r="U2267" i="146" a="1"/>
  <c r="U2267" i="146"/>
  <c r="Q2267" i="146"/>
  <c r="T2268" i="146"/>
  <c r="U2268" i="146" a="1"/>
  <c r="U2268" i="146"/>
  <c r="Q2268" i="146"/>
  <c r="T2269" i="146"/>
  <c r="U2269" i="146" a="1"/>
  <c r="U2269" i="146"/>
  <c r="Q2269" i="146"/>
  <c r="T2270" i="146"/>
  <c r="U2270" i="146" a="1"/>
  <c r="U2270" i="146"/>
  <c r="Q2270" i="146"/>
  <c r="T2271" i="146"/>
  <c r="U2271" i="146" a="1"/>
  <c r="U2271" i="146"/>
  <c r="Q2271" i="146"/>
  <c r="T2272" i="146"/>
  <c r="U2272" i="146" a="1"/>
  <c r="U2272" i="146"/>
  <c r="Q2272" i="146"/>
  <c r="T2273" i="146"/>
  <c r="U2273" i="146" a="1"/>
  <c r="U2273" i="146"/>
  <c r="Q2273" i="146"/>
  <c r="T2274" i="146"/>
  <c r="U2274" i="146" a="1"/>
  <c r="U2274" i="146"/>
  <c r="Q2274" i="146"/>
  <c r="T2275" i="146"/>
  <c r="U2275" i="146" a="1"/>
  <c r="U2275" i="146"/>
  <c r="Q2275" i="146"/>
  <c r="T2276" i="146"/>
  <c r="U2276" i="146" a="1"/>
  <c r="U2276" i="146"/>
  <c r="Q2276" i="146"/>
  <c r="T2277" i="146"/>
  <c r="U2277" i="146" a="1"/>
  <c r="U2277" i="146"/>
  <c r="Q2277" i="146"/>
  <c r="T2278" i="146"/>
  <c r="U2278" i="146" a="1"/>
  <c r="U2278" i="146"/>
  <c r="Q2278" i="146"/>
  <c r="T2279" i="146"/>
  <c r="U2279" i="146" a="1"/>
  <c r="U2279" i="146"/>
  <c r="Q2279" i="146"/>
  <c r="T2280" i="146"/>
  <c r="U2280" i="146" a="1"/>
  <c r="U2280" i="146"/>
  <c r="Q2280" i="146"/>
  <c r="T2281" i="146"/>
  <c r="U2281" i="146" a="1"/>
  <c r="U2281" i="146"/>
  <c r="Q2281" i="146"/>
  <c r="T2282" i="146"/>
  <c r="U2282" i="146" a="1"/>
  <c r="U2282" i="146"/>
  <c r="Q2282" i="146"/>
  <c r="T2283" i="146"/>
  <c r="U2283" i="146" a="1"/>
  <c r="U2283" i="146"/>
  <c r="Q2283" i="146"/>
  <c r="T2284" i="146"/>
  <c r="U2284" i="146" a="1"/>
  <c r="U2284" i="146"/>
  <c r="Q2284" i="146"/>
  <c r="T2285" i="146"/>
  <c r="U2285" i="146" a="1"/>
  <c r="U2285" i="146"/>
  <c r="Q2285" i="146"/>
  <c r="T2286" i="146"/>
  <c r="U2286" i="146" a="1"/>
  <c r="U2286" i="146"/>
  <c r="Q2286" i="146"/>
  <c r="T2287" i="146"/>
  <c r="U2287" i="146" a="1"/>
  <c r="U2287" i="146"/>
  <c r="Q2287" i="146"/>
  <c r="T2288" i="146"/>
  <c r="U2288" i="146" a="1"/>
  <c r="U2288" i="146"/>
  <c r="Q2288" i="146"/>
  <c r="T2289" i="146"/>
  <c r="U2289" i="146" a="1"/>
  <c r="U2289" i="146"/>
  <c r="Q2289" i="146"/>
  <c r="T2290" i="146"/>
  <c r="U2290" i="146" a="1"/>
  <c r="U2290" i="146"/>
  <c r="Q2290" i="146"/>
  <c r="T2291" i="146"/>
  <c r="U2291" i="146" a="1"/>
  <c r="U2291" i="146"/>
  <c r="Q2291" i="146"/>
  <c r="T2292" i="146"/>
  <c r="U2292" i="146" a="1"/>
  <c r="U2292" i="146"/>
  <c r="Q2292" i="146"/>
  <c r="T2293" i="146"/>
  <c r="U2293" i="146" a="1"/>
  <c r="U2293" i="146"/>
  <c r="Q2293" i="146"/>
  <c r="T2294" i="146"/>
  <c r="U2294" i="146" a="1"/>
  <c r="U2294" i="146"/>
  <c r="Q2294" i="146"/>
  <c r="T2295" i="146"/>
  <c r="U2295" i="146" a="1"/>
  <c r="U2295" i="146"/>
  <c r="Q2295" i="146"/>
  <c r="T2296" i="146"/>
  <c r="U2296" i="146" a="1"/>
  <c r="U2296" i="146"/>
  <c r="Q2296" i="146"/>
  <c r="T2297" i="146"/>
  <c r="U2297" i="146" a="1"/>
  <c r="U2297" i="146"/>
  <c r="Q2297" i="146"/>
  <c r="T2298" i="146"/>
  <c r="U2298" i="146" a="1"/>
  <c r="U2298" i="146"/>
  <c r="Q2298" i="146"/>
  <c r="T2299" i="146"/>
  <c r="U2299" i="146" a="1"/>
  <c r="U2299" i="146"/>
  <c r="Q2299" i="146"/>
  <c r="T2300" i="146"/>
  <c r="U2300" i="146" a="1"/>
  <c r="U2300" i="146"/>
  <c r="Q2300" i="146"/>
  <c r="T2301" i="146"/>
  <c r="U2301" i="146" a="1"/>
  <c r="U2301" i="146"/>
  <c r="Q2301" i="146"/>
  <c r="T2302" i="146"/>
  <c r="U2302" i="146" a="1"/>
  <c r="U2302" i="146"/>
  <c r="Q2302" i="146"/>
  <c r="T2303" i="146"/>
  <c r="U2303" i="146" a="1"/>
  <c r="U2303" i="146"/>
  <c r="Q2303" i="146"/>
  <c r="T2304" i="146"/>
  <c r="U2304" i="146" a="1"/>
  <c r="U2304" i="146"/>
  <c r="Q2304" i="146"/>
  <c r="T2305" i="146"/>
  <c r="U2305" i="146" a="1"/>
  <c r="U2305" i="146"/>
  <c r="Q2305" i="146"/>
  <c r="T2306" i="146"/>
  <c r="U2306" i="146" a="1"/>
  <c r="U2306" i="146"/>
  <c r="Q2306" i="146"/>
  <c r="T2307" i="146"/>
  <c r="U2307" i="146" a="1"/>
  <c r="U2307" i="146"/>
  <c r="Q2307" i="146"/>
  <c r="T2308" i="146"/>
  <c r="U2308" i="146" a="1"/>
  <c r="U2308" i="146"/>
  <c r="Q2308" i="146"/>
  <c r="T2309" i="146"/>
  <c r="U2309" i="146" a="1"/>
  <c r="U2309" i="146"/>
  <c r="Q2309" i="146"/>
  <c r="T2310" i="146"/>
  <c r="U2310" i="146" a="1"/>
  <c r="U2310" i="146"/>
  <c r="Q2310" i="146"/>
  <c r="T2311" i="146"/>
  <c r="U2311" i="146" a="1"/>
  <c r="U2311" i="146"/>
  <c r="Q2311" i="146"/>
  <c r="T2312" i="146"/>
  <c r="U2312" i="146" a="1"/>
  <c r="U2312" i="146"/>
  <c r="Q2312" i="146"/>
  <c r="T2313" i="146"/>
  <c r="U2313" i="146" a="1"/>
  <c r="U2313" i="146"/>
  <c r="Q2313" i="146"/>
  <c r="T2314" i="146"/>
  <c r="U2314" i="146" a="1"/>
  <c r="U2314" i="146"/>
  <c r="Q2314" i="146"/>
  <c r="T2315" i="146"/>
  <c r="U2315" i="146" a="1"/>
  <c r="U2315" i="146"/>
  <c r="Q2315" i="146"/>
  <c r="T2316" i="146"/>
  <c r="U2316" i="146" a="1"/>
  <c r="U2316" i="146"/>
  <c r="Q2316" i="146"/>
  <c r="T2317" i="146"/>
  <c r="U2317" i="146" a="1"/>
  <c r="U2317" i="146"/>
  <c r="Q2317" i="146"/>
  <c r="T2318" i="146"/>
  <c r="U2318" i="146" a="1"/>
  <c r="U2318" i="146"/>
  <c r="Q2318" i="146"/>
  <c r="T2319" i="146"/>
  <c r="U2319" i="146" a="1"/>
  <c r="U2319" i="146"/>
  <c r="Q2319" i="146"/>
  <c r="T2320" i="146"/>
  <c r="U2320" i="146" a="1"/>
  <c r="U2320" i="146"/>
  <c r="Q2320" i="146"/>
  <c r="T2321" i="146"/>
  <c r="U2321" i="146" a="1"/>
  <c r="U2321" i="146"/>
  <c r="Q2321" i="146"/>
  <c r="T2322" i="146"/>
  <c r="U2322" i="146" a="1"/>
  <c r="U2322" i="146"/>
  <c r="Q2322" i="146"/>
  <c r="T2323" i="146"/>
  <c r="U2323" i="146" a="1"/>
  <c r="U2323" i="146"/>
  <c r="Q2323" i="146"/>
  <c r="T2324" i="146"/>
  <c r="U2324" i="146" a="1"/>
  <c r="U2324" i="146"/>
  <c r="Q2324" i="146"/>
  <c r="T2325" i="146"/>
  <c r="U2325" i="146" a="1"/>
  <c r="U2325" i="146"/>
  <c r="Q2325" i="146"/>
  <c r="T2326" i="146"/>
  <c r="U2326" i="146" a="1"/>
  <c r="U2326" i="146"/>
  <c r="Q2326" i="146"/>
  <c r="T2327" i="146"/>
  <c r="U2327" i="146" a="1"/>
  <c r="U2327" i="146"/>
  <c r="Q2327" i="146"/>
  <c r="T2328" i="146"/>
  <c r="U2328" i="146" a="1"/>
  <c r="U2328" i="146"/>
  <c r="Q2328" i="146"/>
  <c r="T2329" i="146"/>
  <c r="U2329" i="146" a="1"/>
  <c r="U2329" i="146"/>
  <c r="Q2329" i="146"/>
  <c r="T2330" i="146"/>
  <c r="U2330" i="146" a="1"/>
  <c r="U2330" i="146"/>
  <c r="Q2330" i="146"/>
  <c r="T2331" i="146"/>
  <c r="U2331" i="146" a="1"/>
  <c r="U2331" i="146"/>
  <c r="Q2331" i="146"/>
  <c r="T2332" i="146"/>
  <c r="U2332" i="146" a="1"/>
  <c r="U2332" i="146"/>
  <c r="Q2332" i="146"/>
  <c r="T2333" i="146"/>
  <c r="U2333" i="146" a="1"/>
  <c r="U2333" i="146"/>
  <c r="Q2333" i="146"/>
  <c r="T2334" i="146"/>
  <c r="U2334" i="146" a="1"/>
  <c r="U2334" i="146"/>
  <c r="Q2334" i="146"/>
  <c r="T2335" i="146"/>
  <c r="U2335" i="146" a="1"/>
  <c r="U2335" i="146"/>
  <c r="Q2335" i="146"/>
  <c r="T2336" i="146"/>
  <c r="U2336" i="146" a="1"/>
  <c r="U2336" i="146"/>
  <c r="Q2336" i="146"/>
  <c r="T2337" i="146"/>
  <c r="U2337" i="146" a="1"/>
  <c r="U2337" i="146"/>
  <c r="Q2337" i="146"/>
  <c r="T2338" i="146"/>
  <c r="U2338" i="146" a="1"/>
  <c r="U2338" i="146"/>
  <c r="Q2338" i="146"/>
  <c r="T2339" i="146"/>
  <c r="U2339" i="146" a="1"/>
  <c r="U2339" i="146"/>
  <c r="Q2339" i="146"/>
  <c r="T2340" i="146"/>
  <c r="U2340" i="146" a="1"/>
  <c r="U2340" i="146"/>
  <c r="Q2340" i="146"/>
  <c r="T2341" i="146"/>
  <c r="U2341" i="146" a="1"/>
  <c r="U2341" i="146"/>
  <c r="Q2341" i="146"/>
  <c r="T2342" i="146"/>
  <c r="U2342" i="146" a="1"/>
  <c r="U2342" i="146"/>
  <c r="Q2342" i="146"/>
  <c r="T2343" i="146"/>
  <c r="U2343" i="146" a="1"/>
  <c r="U2343" i="146"/>
  <c r="Q2343" i="146"/>
  <c r="T2344" i="146"/>
  <c r="U2344" i="146" a="1"/>
  <c r="U2344" i="146"/>
  <c r="Q2344" i="146"/>
  <c r="T2345" i="146"/>
  <c r="U2345" i="146" a="1"/>
  <c r="U2345" i="146"/>
  <c r="Q2345" i="146"/>
  <c r="T2346" i="146"/>
  <c r="U2346" i="146" a="1"/>
  <c r="U2346" i="146"/>
  <c r="Q2346" i="146"/>
  <c r="T2347" i="146"/>
  <c r="U2347" i="146" a="1"/>
  <c r="U2347" i="146"/>
  <c r="Q2347" i="146"/>
  <c r="T2348" i="146"/>
  <c r="U2348" i="146" a="1"/>
  <c r="U2348" i="146"/>
  <c r="Q2348" i="146"/>
  <c r="T2349" i="146"/>
  <c r="U2349" i="146" a="1"/>
  <c r="U2349" i="146"/>
  <c r="Q2349" i="146"/>
  <c r="T2350" i="146"/>
  <c r="U2350" i="146" a="1"/>
  <c r="U2350" i="146"/>
  <c r="Q2350" i="146"/>
  <c r="T2351" i="146"/>
  <c r="U2351" i="146" a="1"/>
  <c r="U2351" i="146"/>
  <c r="Q2351" i="146"/>
  <c r="T2352" i="146"/>
  <c r="U2352" i="146" a="1"/>
  <c r="U2352" i="146"/>
  <c r="Q2352" i="146"/>
  <c r="T2353" i="146"/>
  <c r="U2353" i="146" a="1"/>
  <c r="U2353" i="146"/>
  <c r="Q2353" i="146"/>
  <c r="T2354" i="146"/>
  <c r="U2354" i="146" a="1"/>
  <c r="U2354" i="146"/>
  <c r="Q2354" i="146"/>
  <c r="T2355" i="146"/>
  <c r="U2355" i="146" a="1"/>
  <c r="U2355" i="146"/>
  <c r="Q2355" i="146"/>
  <c r="T2356" i="146"/>
  <c r="U2356" i="146" a="1"/>
  <c r="U2356" i="146"/>
  <c r="Q2356" i="146"/>
  <c r="T2357" i="146"/>
  <c r="U2357" i="146" a="1"/>
  <c r="U2357" i="146"/>
  <c r="Q2357" i="146"/>
  <c r="T2358" i="146"/>
  <c r="U2358" i="146" a="1"/>
  <c r="U2358" i="146"/>
  <c r="Q2358" i="146"/>
  <c r="T2359" i="146"/>
  <c r="U2359" i="146" a="1"/>
  <c r="U2359" i="146"/>
  <c r="Q2359" i="146"/>
  <c r="T2360" i="146"/>
  <c r="U2360" i="146" a="1"/>
  <c r="U2360" i="146"/>
  <c r="Q2360" i="146"/>
  <c r="T2361" i="146"/>
  <c r="U2361" i="146" a="1"/>
  <c r="U2361" i="146"/>
  <c r="Q2361" i="146"/>
  <c r="T2362" i="146"/>
  <c r="U2362" i="146" a="1"/>
  <c r="U2362" i="146"/>
  <c r="Q2362" i="146"/>
  <c r="T2363" i="146"/>
  <c r="U2363" i="146" a="1"/>
  <c r="U2363" i="146"/>
  <c r="Q2363" i="146"/>
  <c r="T2364" i="146"/>
  <c r="U2364" i="146" a="1"/>
  <c r="U2364" i="146"/>
  <c r="Q2364" i="146"/>
  <c r="T2365" i="146"/>
  <c r="U2365" i="146" a="1"/>
  <c r="U2365" i="146"/>
  <c r="Q2365" i="146"/>
  <c r="T2366" i="146"/>
  <c r="U2366" i="146" a="1"/>
  <c r="U2366" i="146"/>
  <c r="Q2366" i="146"/>
  <c r="T2367" i="146"/>
  <c r="U2367" i="146" a="1"/>
  <c r="U2367" i="146"/>
  <c r="Q2367" i="146"/>
  <c r="T2368" i="146"/>
  <c r="U2368" i="146" a="1"/>
  <c r="U2368" i="146"/>
  <c r="Q2368" i="146"/>
  <c r="T2369" i="146"/>
  <c r="U2369" i="146" a="1"/>
  <c r="U2369" i="146"/>
  <c r="Q2369" i="146"/>
  <c r="T2370" i="146"/>
  <c r="U2370" i="146" a="1"/>
  <c r="U2370" i="146"/>
  <c r="Q2370" i="146"/>
  <c r="T2371" i="146"/>
  <c r="U2371" i="146" a="1"/>
  <c r="U2371" i="146"/>
  <c r="Q2371" i="146"/>
  <c r="T2372" i="146"/>
  <c r="U2372" i="146" a="1"/>
  <c r="U2372" i="146"/>
  <c r="Q2372" i="146"/>
  <c r="T2373" i="146"/>
  <c r="U2373" i="146" a="1"/>
  <c r="U2373" i="146"/>
  <c r="Q2373" i="146"/>
  <c r="T2374" i="146"/>
  <c r="U2374" i="146" a="1"/>
  <c r="U2374" i="146"/>
  <c r="Q2374" i="146"/>
  <c r="T2375" i="146"/>
  <c r="U2375" i="146" a="1"/>
  <c r="U2375" i="146"/>
  <c r="Q2375" i="146"/>
  <c r="T2376" i="146"/>
  <c r="U2376" i="146" a="1"/>
  <c r="U2376" i="146"/>
  <c r="Q2376" i="146"/>
  <c r="T2377" i="146"/>
  <c r="U2377" i="146" a="1"/>
  <c r="U2377" i="146"/>
  <c r="Q2377" i="146"/>
  <c r="T2378" i="146"/>
  <c r="U2378" i="146" a="1"/>
  <c r="U2378" i="146"/>
  <c r="Q2378" i="146"/>
  <c r="T2379" i="146"/>
  <c r="U2379" i="146" a="1"/>
  <c r="U2379" i="146"/>
  <c r="Q2379" i="146"/>
  <c r="T2380" i="146"/>
  <c r="U2380" i="146" a="1"/>
  <c r="U2380" i="146"/>
  <c r="Q2380" i="146"/>
  <c r="T2381" i="146"/>
  <c r="U2381" i="146" a="1"/>
  <c r="U2381" i="146"/>
  <c r="Q2381" i="146"/>
  <c r="T2382" i="146"/>
  <c r="U2382" i="146" a="1"/>
  <c r="U2382" i="146"/>
  <c r="Q2382" i="146"/>
  <c r="T2383" i="146"/>
  <c r="U2383" i="146" a="1"/>
  <c r="U2383" i="146"/>
  <c r="Q2383" i="146"/>
  <c r="T2384" i="146"/>
  <c r="U2384" i="146" a="1"/>
  <c r="U2384" i="146"/>
  <c r="Q2384" i="146"/>
  <c r="T2385" i="146"/>
  <c r="U2385" i="146" a="1"/>
  <c r="U2385" i="146"/>
  <c r="Q2385" i="146"/>
  <c r="T2386" i="146"/>
  <c r="U2386" i="146" a="1"/>
  <c r="U2386" i="146"/>
  <c r="Q2386" i="146"/>
  <c r="T2387" i="146"/>
  <c r="U2387" i="146" a="1"/>
  <c r="U2387" i="146"/>
  <c r="Q2387" i="146"/>
  <c r="T2388" i="146"/>
  <c r="U2388" i="146" a="1"/>
  <c r="U2388" i="146"/>
  <c r="Q2388" i="146"/>
  <c r="T2389" i="146"/>
  <c r="U2389" i="146" a="1"/>
  <c r="U2389" i="146"/>
  <c r="Q2389" i="146"/>
  <c r="T2390" i="146"/>
  <c r="U2390" i="146" a="1"/>
  <c r="U2390" i="146"/>
  <c r="Q2390" i="146"/>
  <c r="T2391" i="146"/>
  <c r="U2391" i="146" a="1"/>
  <c r="U2391" i="146"/>
  <c r="Q2391" i="146"/>
  <c r="T2392" i="146"/>
  <c r="U2392" i="146" a="1"/>
  <c r="U2392" i="146"/>
  <c r="Q2392" i="146"/>
  <c r="T2393" i="146"/>
  <c r="U2393" i="146" a="1"/>
  <c r="U2393" i="146"/>
  <c r="Q2393" i="146"/>
  <c r="T2394" i="146"/>
  <c r="U2394" i="146" a="1"/>
  <c r="U2394" i="146"/>
  <c r="Q2394" i="146"/>
  <c r="T2395" i="146"/>
  <c r="U2395" i="146" a="1"/>
  <c r="U2395" i="146"/>
  <c r="Q2395" i="146"/>
  <c r="T2396" i="146"/>
  <c r="U2396" i="146" a="1"/>
  <c r="U2396" i="146"/>
  <c r="Q2396" i="146"/>
  <c r="T2397" i="146"/>
  <c r="U2397" i="146" a="1"/>
  <c r="U2397" i="146"/>
  <c r="Q2397" i="146"/>
  <c r="T2398" i="146"/>
  <c r="U2398" i="146" a="1"/>
  <c r="U2398" i="146"/>
  <c r="Q2398" i="146"/>
  <c r="T2399" i="146"/>
  <c r="U2399" i="146" a="1"/>
  <c r="U2399" i="146"/>
  <c r="Q2399" i="146"/>
  <c r="T2400" i="146"/>
  <c r="U2400" i="146" a="1"/>
  <c r="U2400" i="146"/>
  <c r="Q2400" i="146"/>
  <c r="T2401" i="146"/>
  <c r="U2401" i="146" a="1"/>
  <c r="U2401" i="146"/>
  <c r="Q2401" i="146"/>
  <c r="T2402" i="146"/>
  <c r="U2402" i="146" a="1"/>
  <c r="U2402" i="146"/>
  <c r="Q2402" i="146"/>
  <c r="T2403" i="146"/>
  <c r="U2403" i="146" a="1"/>
  <c r="U2403" i="146"/>
  <c r="Q2403" i="146"/>
  <c r="T2404" i="146"/>
  <c r="U2404" i="146" a="1"/>
  <c r="U2404" i="146"/>
  <c r="Q2404" i="146"/>
  <c r="T2405" i="146"/>
  <c r="U2405" i="146" a="1"/>
  <c r="U2405" i="146"/>
  <c r="Q2405" i="146"/>
  <c r="T2406" i="146"/>
  <c r="U2406" i="146" a="1"/>
  <c r="U2406" i="146"/>
  <c r="Q2406" i="146"/>
  <c r="T2407" i="146"/>
  <c r="U2407" i="146" a="1"/>
  <c r="U2407" i="146"/>
  <c r="Q2407" i="146"/>
  <c r="T2408" i="146"/>
  <c r="U2408" i="146" a="1"/>
  <c r="U2408" i="146"/>
  <c r="Q2408" i="146"/>
  <c r="T2409" i="146"/>
  <c r="U2409" i="146" a="1"/>
  <c r="U2409" i="146"/>
  <c r="Q2409" i="146"/>
  <c r="T2410" i="146"/>
  <c r="U2410" i="146" a="1"/>
  <c r="U2410" i="146"/>
  <c r="Q2410" i="146"/>
  <c r="T2411" i="146"/>
  <c r="U2411" i="146" a="1"/>
  <c r="U2411" i="146"/>
  <c r="Q2411" i="146"/>
  <c r="T2412" i="146"/>
  <c r="U2412" i="146" a="1"/>
  <c r="U2412" i="146"/>
  <c r="Q2412" i="146"/>
  <c r="T2413" i="146"/>
  <c r="U2413" i="146" a="1"/>
  <c r="U2413" i="146"/>
  <c r="Q2413" i="146"/>
  <c r="T2414" i="146"/>
  <c r="U2414" i="146" a="1"/>
  <c r="U2414" i="146"/>
  <c r="Q2414" i="146"/>
  <c r="T2415" i="146"/>
  <c r="U2415" i="146" a="1"/>
  <c r="U2415" i="146"/>
  <c r="Q2415" i="146"/>
  <c r="T2416" i="146"/>
  <c r="U2416" i="146" a="1"/>
  <c r="U2416" i="146"/>
  <c r="Q2416" i="146"/>
  <c r="T2417" i="146"/>
  <c r="U2417" i="146" a="1"/>
  <c r="U2417" i="146"/>
  <c r="Q2417" i="146"/>
  <c r="T2418" i="146"/>
  <c r="U2418" i="146" a="1"/>
  <c r="U2418" i="146"/>
  <c r="Q2418" i="146"/>
  <c r="T2419" i="146"/>
  <c r="U2419" i="146" a="1"/>
  <c r="U2419" i="146"/>
  <c r="Q2419" i="146"/>
  <c r="T2420" i="146"/>
  <c r="U2420" i="146" a="1"/>
  <c r="U2420" i="146"/>
  <c r="Q2420" i="146"/>
  <c r="T2421" i="146"/>
  <c r="U2421" i="146" a="1"/>
  <c r="U2421" i="146"/>
  <c r="Q2421" i="146"/>
  <c r="T2422" i="146"/>
  <c r="U2422" i="146" a="1"/>
  <c r="U2422" i="146"/>
  <c r="Q2422" i="146"/>
  <c r="T2423" i="146"/>
  <c r="U2423" i="146" a="1"/>
  <c r="U2423" i="146"/>
  <c r="Q2423" i="146"/>
  <c r="T2424" i="146"/>
  <c r="U2424" i="146" a="1"/>
  <c r="U2424" i="146"/>
  <c r="Q2424" i="146"/>
  <c r="T2425" i="146"/>
  <c r="U2425" i="146" a="1"/>
  <c r="U2425" i="146"/>
  <c r="Q2425" i="146"/>
  <c r="T2426" i="146"/>
  <c r="U2426" i="146" a="1"/>
  <c r="U2426" i="146"/>
  <c r="Q2426" i="146"/>
  <c r="T2427" i="146"/>
  <c r="U2427" i="146" a="1"/>
  <c r="U2427" i="146"/>
  <c r="Q2427" i="146"/>
  <c r="T2428" i="146"/>
  <c r="U2428" i="146" a="1"/>
  <c r="U2428" i="146"/>
  <c r="Q2428" i="146"/>
  <c r="T2429" i="146"/>
  <c r="U2429" i="146" a="1"/>
  <c r="U2429" i="146"/>
  <c r="Q2429" i="146"/>
  <c r="T2430" i="146"/>
  <c r="U2430" i="146" a="1"/>
  <c r="U2430" i="146"/>
  <c r="Q2430" i="146"/>
  <c r="T2431" i="146"/>
  <c r="U2431" i="146" a="1"/>
  <c r="U2431" i="146"/>
  <c r="Q2431" i="146"/>
  <c r="T2432" i="146"/>
  <c r="U2432" i="146" a="1"/>
  <c r="U2432" i="146"/>
  <c r="Q2432" i="146"/>
  <c r="T2433" i="146"/>
  <c r="U2433" i="146" a="1"/>
  <c r="U2433" i="146"/>
  <c r="Q2433" i="146"/>
  <c r="T2434" i="146"/>
  <c r="U2434" i="146" a="1"/>
  <c r="U2434" i="146"/>
  <c r="Q2434" i="146"/>
  <c r="T2435" i="146"/>
  <c r="U2435" i="146" a="1"/>
  <c r="U2435" i="146"/>
  <c r="Q2435" i="146"/>
  <c r="T2436" i="146"/>
  <c r="U2436" i="146" a="1"/>
  <c r="U2436" i="146"/>
  <c r="Q2436" i="146"/>
  <c r="T2437" i="146"/>
  <c r="U2437" i="146" a="1"/>
  <c r="U2437" i="146"/>
  <c r="Q2437" i="146"/>
  <c r="T2438" i="146"/>
  <c r="U2438" i="146" a="1"/>
  <c r="U2438" i="146"/>
  <c r="Q2438" i="146"/>
  <c r="T2439" i="146"/>
  <c r="U2439" i="146" a="1"/>
  <c r="U2439" i="146"/>
  <c r="Q2439" i="146"/>
  <c r="T2440" i="146"/>
  <c r="U2440" i="146" a="1"/>
  <c r="U2440" i="146"/>
  <c r="Q2440" i="146"/>
  <c r="T2441" i="146"/>
  <c r="U2441" i="146" a="1"/>
  <c r="U2441" i="146"/>
  <c r="Q2441" i="146"/>
  <c r="T2442" i="146"/>
  <c r="U2442" i="146" a="1"/>
  <c r="U2442" i="146"/>
  <c r="Q2442" i="146"/>
  <c r="T2443" i="146"/>
  <c r="U2443" i="146" a="1"/>
  <c r="U2443" i="146"/>
  <c r="Q2443" i="146"/>
  <c r="T2444" i="146"/>
  <c r="U2444" i="146" a="1"/>
  <c r="U2444" i="146"/>
  <c r="Q2444" i="146"/>
  <c r="T2445" i="146"/>
  <c r="U2445" i="146" a="1"/>
  <c r="U2445" i="146"/>
  <c r="Q2445" i="146"/>
  <c r="T2446" i="146"/>
  <c r="U2446" i="146" a="1"/>
  <c r="U2446" i="146"/>
  <c r="Q2446" i="146"/>
  <c r="T2447" i="146"/>
  <c r="U2447" i="146" a="1"/>
  <c r="U2447" i="146"/>
  <c r="Q2447" i="146"/>
  <c r="T2448" i="146"/>
  <c r="U2448" i="146" a="1"/>
  <c r="U2448" i="146"/>
  <c r="Q2448" i="146"/>
  <c r="T2449" i="146"/>
  <c r="U2449" i="146" a="1"/>
  <c r="U2449" i="146"/>
  <c r="Q2449" i="146"/>
  <c r="T2450" i="146"/>
  <c r="U2450" i="146" a="1"/>
  <c r="U2450" i="146"/>
  <c r="Q2450" i="146"/>
  <c r="T2451" i="146"/>
  <c r="U2451" i="146" a="1"/>
  <c r="U2451" i="146"/>
  <c r="Q2451" i="146"/>
  <c r="T2452" i="146"/>
  <c r="U2452" i="146" a="1"/>
  <c r="U2452" i="146"/>
  <c r="Q2452" i="146"/>
  <c r="T2453" i="146"/>
  <c r="U2453" i="146" a="1"/>
  <c r="U2453" i="146"/>
  <c r="Q2453" i="146"/>
  <c r="T2454" i="146"/>
  <c r="U2454" i="146" a="1"/>
  <c r="U2454" i="146"/>
  <c r="Q2454" i="146"/>
  <c r="T2455" i="146"/>
  <c r="U2455" i="146" a="1"/>
  <c r="U2455" i="146"/>
  <c r="Q2455" i="146"/>
  <c r="T2456" i="146"/>
  <c r="U2456" i="146" a="1"/>
  <c r="U2456" i="146"/>
  <c r="Q2456" i="146"/>
  <c r="T2457" i="146"/>
  <c r="U2457" i="146" a="1"/>
  <c r="U2457" i="146"/>
  <c r="Q2457" i="146"/>
  <c r="T2458" i="146"/>
  <c r="U2458" i="146" a="1"/>
  <c r="U2458" i="146"/>
  <c r="Q2458" i="146"/>
  <c r="T2459" i="146"/>
  <c r="U2459" i="146" a="1"/>
  <c r="U2459" i="146"/>
  <c r="Q2459" i="146"/>
  <c r="T2460" i="146"/>
  <c r="U2460" i="146" a="1"/>
  <c r="U2460" i="146"/>
  <c r="Q2460" i="146"/>
  <c r="T2461" i="146"/>
  <c r="U2461" i="146" a="1"/>
  <c r="U2461" i="146"/>
  <c r="Q2461" i="146"/>
  <c r="T2462" i="146"/>
  <c r="U2462" i="146" a="1"/>
  <c r="U2462" i="146"/>
  <c r="Q2462" i="146"/>
  <c r="T2463" i="146"/>
  <c r="U2463" i="146" a="1"/>
  <c r="U2463" i="146"/>
  <c r="Q2463" i="146"/>
  <c r="T2464" i="146"/>
  <c r="U2464" i="146" a="1"/>
  <c r="U2464" i="146"/>
  <c r="Q2464" i="146"/>
  <c r="T2465" i="146"/>
  <c r="U2465" i="146" a="1"/>
  <c r="U2465" i="146"/>
  <c r="Q2465" i="146"/>
  <c r="T2466" i="146"/>
  <c r="U2466" i="146" a="1"/>
  <c r="U2466" i="146"/>
  <c r="Q2466" i="146"/>
  <c r="T2467" i="146"/>
  <c r="U2467" i="146" a="1"/>
  <c r="U2467" i="146"/>
  <c r="Q2467" i="146"/>
  <c r="T2468" i="146"/>
  <c r="U2468" i="146" a="1"/>
  <c r="U2468" i="146"/>
  <c r="Q2468" i="146"/>
  <c r="T2469" i="146"/>
  <c r="U2469" i="146" a="1"/>
  <c r="U2469" i="146"/>
  <c r="Q2469" i="146"/>
  <c r="T2470" i="146"/>
  <c r="U2470" i="146" a="1"/>
  <c r="U2470" i="146"/>
  <c r="Q2470" i="146"/>
  <c r="T2471" i="146"/>
  <c r="U2471" i="146" a="1"/>
  <c r="U2471" i="146"/>
  <c r="Q2471" i="146"/>
  <c r="T2472" i="146"/>
  <c r="U2472" i="146" a="1"/>
  <c r="U2472" i="146"/>
  <c r="Q2472" i="146"/>
  <c r="T2473" i="146"/>
  <c r="U2473" i="146" a="1"/>
  <c r="U2473" i="146"/>
  <c r="Q2473" i="146"/>
  <c r="T2474" i="146"/>
  <c r="U2474" i="146" a="1"/>
  <c r="U2474" i="146"/>
  <c r="Q2474" i="146"/>
  <c r="T2475" i="146"/>
  <c r="Q2475" i="146"/>
  <c r="T2476" i="146"/>
  <c r="U2476" i="146" a="1"/>
  <c r="U2476" i="146"/>
  <c r="Q2476" i="146"/>
  <c r="T2477" i="146"/>
  <c r="U2477" i="146" a="1"/>
  <c r="U2477" i="146"/>
  <c r="Q2477" i="146"/>
  <c r="T2478" i="146"/>
  <c r="U2478" i="146" a="1"/>
  <c r="U2478" i="146"/>
  <c r="Q2478" i="146"/>
  <c r="T2479" i="146"/>
  <c r="U2479" i="146" a="1"/>
  <c r="U2479" i="146"/>
  <c r="Q2479" i="146"/>
  <c r="T2480" i="146"/>
  <c r="U2480" i="146" a="1"/>
  <c r="U2480" i="146"/>
  <c r="Q2480" i="146"/>
  <c r="T2481" i="146"/>
  <c r="U2481" i="146" a="1"/>
  <c r="U2481" i="146"/>
  <c r="Q2481" i="146"/>
  <c r="T2482" i="146"/>
  <c r="U2482" i="146" a="1"/>
  <c r="U2482" i="146"/>
  <c r="Q2482" i="146"/>
  <c r="T2483" i="146"/>
  <c r="U2483" i="146" a="1"/>
  <c r="U2483" i="146"/>
  <c r="Q2483" i="146"/>
  <c r="T2484" i="146"/>
  <c r="U2484" i="146" a="1"/>
  <c r="U2484" i="146"/>
  <c r="Q2484" i="146"/>
  <c r="T2485" i="146"/>
  <c r="U2485" i="146" a="1"/>
  <c r="U2485" i="146"/>
  <c r="Q2485" i="146"/>
  <c r="T2486" i="146"/>
  <c r="U2486" i="146" a="1"/>
  <c r="U2486" i="146"/>
  <c r="Q2486" i="146"/>
  <c r="T2487" i="146"/>
  <c r="U2487" i="146" a="1"/>
  <c r="U2487" i="146"/>
  <c r="Q2487" i="146"/>
  <c r="T2488" i="146"/>
  <c r="U2488" i="146" a="1"/>
  <c r="U2488" i="146"/>
  <c r="Q2488" i="146"/>
  <c r="T2489" i="146"/>
  <c r="U2489" i="146" a="1"/>
  <c r="U2489" i="146"/>
  <c r="Q2489" i="146"/>
  <c r="T2490" i="146"/>
  <c r="U2490" i="146" a="1"/>
  <c r="U2490" i="146"/>
  <c r="Q2490" i="146"/>
  <c r="T2491" i="146"/>
  <c r="U2491" i="146" a="1"/>
  <c r="U2491" i="146"/>
  <c r="Q2491" i="146"/>
  <c r="T2492" i="146"/>
  <c r="U2492" i="146" a="1"/>
  <c r="U2492" i="146"/>
  <c r="Q2492" i="146"/>
  <c r="T2493" i="146"/>
  <c r="U2493" i="146" a="1"/>
  <c r="U2493" i="146"/>
  <c r="Q2493" i="146"/>
  <c r="T2494" i="146"/>
  <c r="U2494" i="146" a="1"/>
  <c r="U2494" i="146"/>
  <c r="Q2494" i="146"/>
  <c r="T2495" i="146"/>
  <c r="U2495" i="146" a="1"/>
  <c r="U2495" i="146"/>
  <c r="Q2495" i="146"/>
  <c r="T2496" i="146"/>
  <c r="U2496" i="146" a="1"/>
  <c r="U2496" i="146"/>
  <c r="Q2496" i="146"/>
  <c r="T2497" i="146"/>
  <c r="U2497" i="146" a="1"/>
  <c r="U2497" i="146"/>
  <c r="Q2497" i="146"/>
  <c r="T2498" i="146"/>
  <c r="U2498" i="146" a="1"/>
  <c r="U2498" i="146"/>
  <c r="Q2498" i="146"/>
  <c r="T2499" i="146"/>
  <c r="U2499" i="146" a="1"/>
  <c r="U2499" i="146"/>
  <c r="Q2499" i="146"/>
  <c r="T2500" i="146"/>
  <c r="U2500" i="146" a="1"/>
  <c r="U2500" i="146"/>
  <c r="Q2500" i="146"/>
  <c r="T2501" i="146"/>
  <c r="U2501" i="146" a="1"/>
  <c r="U2501" i="146"/>
  <c r="Q2501" i="146"/>
  <c r="T2502" i="146"/>
  <c r="U2502" i="146" a="1"/>
  <c r="U2502" i="146"/>
  <c r="Q2502" i="146"/>
  <c r="T2503" i="146"/>
  <c r="U2503" i="146" a="1"/>
  <c r="U2503" i="146"/>
  <c r="Q2503" i="146"/>
  <c r="T2504" i="146"/>
  <c r="U2504" i="146" a="1"/>
  <c r="U2504" i="146"/>
  <c r="Q2504" i="146"/>
  <c r="T2505" i="146"/>
  <c r="U2505" i="146" a="1"/>
  <c r="U2505" i="146"/>
  <c r="Q2505" i="146"/>
  <c r="T2506" i="146"/>
  <c r="U2506" i="146" a="1"/>
  <c r="U2506" i="146"/>
  <c r="Q2506" i="146"/>
  <c r="T2507" i="146"/>
  <c r="U2507" i="146" a="1"/>
  <c r="U2507" i="146"/>
  <c r="Q2507" i="146"/>
  <c r="T2508" i="146"/>
  <c r="U2508" i="146" a="1"/>
  <c r="U2508" i="146"/>
  <c r="Q2508" i="146"/>
  <c r="T2509" i="146"/>
  <c r="U2509" i="146" a="1"/>
  <c r="U2509" i="146"/>
  <c r="Q2509" i="146"/>
  <c r="T2510" i="146"/>
  <c r="U2510" i="146" a="1"/>
  <c r="U2510" i="146"/>
  <c r="Q2510" i="146"/>
  <c r="T2511" i="146"/>
  <c r="U2511" i="146" a="1"/>
  <c r="U2511" i="146"/>
  <c r="Q2511" i="146"/>
  <c r="T2512" i="146"/>
  <c r="U2512" i="146" a="1"/>
  <c r="U2512" i="146"/>
  <c r="Q2512" i="146"/>
  <c r="T2513" i="146"/>
  <c r="U2513" i="146" a="1"/>
  <c r="U2513" i="146"/>
  <c r="Q2513" i="146"/>
  <c r="T2514" i="146"/>
  <c r="U2514" i="146" a="1"/>
  <c r="U2514" i="146"/>
  <c r="Q2514" i="146"/>
  <c r="T2515" i="146"/>
  <c r="U2515" i="146" a="1"/>
  <c r="U2515" i="146"/>
  <c r="Q2515" i="146"/>
  <c r="T2516" i="146"/>
  <c r="U2516" i="146" a="1"/>
  <c r="U2516" i="146"/>
  <c r="Q2516" i="146"/>
  <c r="T2517" i="146"/>
  <c r="U2517" i="146" a="1"/>
  <c r="U2517" i="146"/>
  <c r="Q2517" i="146"/>
  <c r="T2518" i="146"/>
  <c r="U2518" i="146" a="1"/>
  <c r="U2518" i="146"/>
  <c r="Q2518" i="146"/>
  <c r="T2519" i="146"/>
  <c r="U2519" i="146" a="1"/>
  <c r="U2519" i="146"/>
  <c r="Q2519" i="146"/>
  <c r="T2520" i="146"/>
  <c r="U2520" i="146" a="1"/>
  <c r="U2520" i="146"/>
  <c r="Q2520" i="146"/>
  <c r="T2521" i="146"/>
  <c r="U2521" i="146" a="1"/>
  <c r="U2521" i="146"/>
  <c r="Q2521" i="146"/>
  <c r="T2522" i="146"/>
  <c r="U2522" i="146" a="1"/>
  <c r="U2522" i="146"/>
  <c r="Q2522" i="146"/>
  <c r="T2523" i="146"/>
  <c r="U2523" i="146" a="1"/>
  <c r="U2523" i="146"/>
  <c r="Q2523" i="146"/>
  <c r="T2524" i="146"/>
  <c r="U2524" i="146" a="1"/>
  <c r="U2524" i="146"/>
  <c r="Q2524" i="146"/>
  <c r="T2525" i="146"/>
  <c r="U2525" i="146" a="1"/>
  <c r="U2525" i="146"/>
  <c r="Q2525" i="146"/>
  <c r="T2526" i="146"/>
  <c r="U2526" i="146" a="1"/>
  <c r="U2526" i="146"/>
  <c r="Q2526" i="146"/>
  <c r="T2527" i="146"/>
  <c r="U2527" i="146" a="1"/>
  <c r="U2527" i="146"/>
  <c r="Q2527" i="146"/>
  <c r="T2528" i="146"/>
  <c r="U2528" i="146" a="1"/>
  <c r="U2528" i="146"/>
  <c r="Q2528" i="146"/>
  <c r="T2529" i="146"/>
  <c r="U2529" i="146" a="1"/>
  <c r="U2529" i="146"/>
  <c r="Q2529" i="146"/>
  <c r="T2530" i="146"/>
  <c r="U2530" i="146" a="1"/>
  <c r="U2530" i="146"/>
  <c r="Q2530" i="146"/>
  <c r="T2531" i="146"/>
  <c r="U2531" i="146" a="1"/>
  <c r="U2531" i="146"/>
  <c r="Q2531" i="146"/>
  <c r="T2532" i="146"/>
  <c r="U2532" i="146" a="1"/>
  <c r="U2532" i="146"/>
  <c r="Q2532" i="146"/>
  <c r="T2533" i="146"/>
  <c r="U2533" i="146" a="1"/>
  <c r="U2533" i="146"/>
  <c r="Q2533" i="146"/>
  <c r="T2534" i="146"/>
  <c r="U2534" i="146" a="1"/>
  <c r="U2534" i="146"/>
  <c r="Q2534" i="146"/>
  <c r="T2535" i="146"/>
  <c r="U2535" i="146" a="1"/>
  <c r="U2535" i="146"/>
  <c r="Q2535" i="146"/>
  <c r="T2536" i="146"/>
  <c r="U2536" i="146" a="1"/>
  <c r="U2536" i="146"/>
  <c r="Q2536" i="146"/>
  <c r="T2537" i="146"/>
  <c r="U2537" i="146" a="1"/>
  <c r="U2537" i="146"/>
  <c r="Q2537" i="146"/>
  <c r="T2538" i="146"/>
  <c r="U2538" i="146" a="1"/>
  <c r="U2538" i="146"/>
  <c r="Q2538" i="146"/>
  <c r="T2539" i="146"/>
  <c r="U2539" i="146" a="1"/>
  <c r="U2539" i="146"/>
  <c r="Q2539" i="146"/>
  <c r="T2540" i="146"/>
  <c r="U2540" i="146" a="1"/>
  <c r="U2540" i="146"/>
  <c r="Q2540" i="146"/>
  <c r="T2541" i="146"/>
  <c r="U2541" i="146" a="1"/>
  <c r="U2541" i="146"/>
  <c r="Q2541" i="146"/>
  <c r="T2542" i="146"/>
  <c r="U2542" i="146" a="1"/>
  <c r="U2542" i="146"/>
  <c r="Q2542" i="146"/>
  <c r="T2543" i="146"/>
  <c r="U2543" i="146" a="1"/>
  <c r="U2543" i="146"/>
  <c r="Q2543" i="146"/>
  <c r="T2544" i="146"/>
  <c r="U2544" i="146" a="1"/>
  <c r="U2544" i="146"/>
  <c r="Q2544" i="146"/>
  <c r="T2545" i="146"/>
  <c r="U2545" i="146" a="1"/>
  <c r="U2545" i="146"/>
  <c r="Q2545" i="146"/>
  <c r="T2546" i="146"/>
  <c r="U2546" i="146" a="1"/>
  <c r="U2546" i="146"/>
  <c r="Q2546" i="146"/>
  <c r="T2547" i="146"/>
  <c r="U2547" i="146" a="1"/>
  <c r="U2547" i="146"/>
  <c r="Q2547" i="146"/>
  <c r="T2548" i="146"/>
  <c r="U2548" i="146" a="1"/>
  <c r="U2548" i="146"/>
  <c r="Q2548" i="146"/>
  <c r="T2549" i="146"/>
  <c r="U2549" i="146" a="1"/>
  <c r="U2549" i="146"/>
  <c r="Q2549" i="146"/>
  <c r="T2550" i="146"/>
  <c r="U2550" i="146" a="1"/>
  <c r="U2550" i="146"/>
  <c r="Q2550" i="146"/>
  <c r="T2551" i="146"/>
  <c r="U2551" i="146" a="1"/>
  <c r="U2551" i="146"/>
  <c r="Q2551" i="146"/>
  <c r="T2552" i="146"/>
  <c r="U2552" i="146" a="1"/>
  <c r="U2552" i="146"/>
  <c r="Q2552" i="146"/>
  <c r="T2553" i="146"/>
  <c r="U2553" i="146" a="1"/>
  <c r="U2553" i="146"/>
  <c r="Q2553" i="146"/>
  <c r="T2554" i="146"/>
  <c r="U2554" i="146" a="1"/>
  <c r="U2554" i="146"/>
  <c r="Q2554" i="146"/>
  <c r="T2555" i="146"/>
  <c r="U2555" i="146" a="1"/>
  <c r="U2555" i="146"/>
  <c r="Q2555" i="146"/>
  <c r="T2556" i="146"/>
  <c r="U2556" i="146" a="1"/>
  <c r="U2556" i="146"/>
  <c r="Q2556" i="146"/>
  <c r="T2557" i="146"/>
  <c r="U2557" i="146" a="1"/>
  <c r="U2557" i="146"/>
  <c r="Q2557" i="146"/>
  <c r="T2558" i="146"/>
  <c r="U2558" i="146" a="1"/>
  <c r="U2558" i="146"/>
  <c r="Q2558" i="146"/>
  <c r="T2559" i="146"/>
  <c r="U2559" i="146" a="1"/>
  <c r="U2559" i="146"/>
  <c r="Q2559" i="146"/>
  <c r="T2560" i="146"/>
  <c r="U2560" i="146" a="1"/>
  <c r="U2560" i="146"/>
  <c r="Q2560" i="146"/>
  <c r="T2561" i="146"/>
  <c r="U2561" i="146" a="1"/>
  <c r="U2561" i="146"/>
  <c r="Q2561" i="146"/>
  <c r="T2562" i="146"/>
  <c r="U2562" i="146" a="1"/>
  <c r="U2562" i="146"/>
  <c r="Q2562" i="146"/>
  <c r="T2563" i="146"/>
  <c r="U2563" i="146" a="1"/>
  <c r="U2563" i="146"/>
  <c r="Q2563" i="146"/>
  <c r="T2564" i="146"/>
  <c r="Q2564" i="146"/>
  <c r="T2565" i="146"/>
  <c r="U2565" i="146" a="1"/>
  <c r="U2565" i="146"/>
  <c r="Q2565" i="146"/>
  <c r="T2566" i="146"/>
  <c r="U2566" i="146" a="1"/>
  <c r="U2566" i="146"/>
  <c r="Q2566" i="146"/>
  <c r="T2567" i="146"/>
  <c r="U2567" i="146" a="1"/>
  <c r="U2567" i="146"/>
  <c r="Q2567" i="146"/>
  <c r="T2568" i="146"/>
  <c r="U2568" i="146" a="1"/>
  <c r="U2568" i="146"/>
  <c r="Q2568" i="146"/>
  <c r="T2569" i="146"/>
  <c r="U2569" i="146" a="1"/>
  <c r="U2569" i="146"/>
  <c r="Q2569" i="146"/>
  <c r="T2570" i="146"/>
  <c r="U2570" i="146" a="1"/>
  <c r="U2570" i="146"/>
  <c r="Q2570" i="146"/>
  <c r="T2571" i="146"/>
  <c r="U2571" i="146" a="1"/>
  <c r="U2571" i="146"/>
  <c r="Q2571" i="146"/>
  <c r="T2572" i="146"/>
  <c r="U2572" i="146" a="1"/>
  <c r="U2572" i="146"/>
  <c r="Q2572" i="146"/>
  <c r="T2573" i="146"/>
  <c r="U2573" i="146" a="1"/>
  <c r="U2573" i="146"/>
  <c r="Q2573" i="146"/>
  <c r="T2574" i="146"/>
  <c r="U2574" i="146" a="1"/>
  <c r="U2574" i="146"/>
  <c r="Q2574" i="146"/>
  <c r="T2575" i="146"/>
  <c r="U2575" i="146" a="1"/>
  <c r="U2575" i="146"/>
  <c r="Q2575" i="146"/>
  <c r="T2576" i="146"/>
  <c r="U2576" i="146" a="1"/>
  <c r="U2576" i="146"/>
  <c r="Q2576" i="146"/>
  <c r="T2577" i="146"/>
  <c r="U2577" i="146" a="1"/>
  <c r="U2577" i="146"/>
  <c r="Q2577" i="146"/>
  <c r="T2578" i="146"/>
  <c r="U2578" i="146" a="1"/>
  <c r="U2578" i="146"/>
  <c r="Q2578" i="146"/>
  <c r="T2579" i="146"/>
  <c r="U2579" i="146" a="1"/>
  <c r="U2579" i="146"/>
  <c r="Q2579" i="146"/>
  <c r="T2580" i="146"/>
  <c r="U2580" i="146" a="1"/>
  <c r="U2580" i="146"/>
  <c r="Q2580" i="146"/>
  <c r="T2581" i="146"/>
  <c r="U2581" i="146" a="1"/>
  <c r="U2581" i="146"/>
  <c r="Q2581" i="146"/>
  <c r="T2582" i="146"/>
  <c r="U2582" i="146" a="1"/>
  <c r="U2582" i="146"/>
  <c r="Q2582" i="146"/>
  <c r="T2583" i="146"/>
  <c r="U2583" i="146" a="1"/>
  <c r="U2583" i="146"/>
  <c r="Q2583" i="146"/>
  <c r="T2584" i="146"/>
  <c r="U2584" i="146" a="1"/>
  <c r="U2584" i="146"/>
  <c r="Q2584" i="146"/>
  <c r="T2585" i="146"/>
  <c r="U2585" i="146" a="1"/>
  <c r="U2585" i="146"/>
  <c r="Q2585" i="146"/>
  <c r="T2586" i="146"/>
  <c r="U2586" i="146" a="1"/>
  <c r="U2586" i="146"/>
  <c r="Q2586" i="146"/>
  <c r="T2587" i="146"/>
  <c r="U2587" i="146" a="1"/>
  <c r="U2587" i="146"/>
  <c r="Q2587" i="146"/>
  <c r="T2588" i="146"/>
  <c r="U2588" i="146" a="1"/>
  <c r="U2588" i="146"/>
  <c r="Q2588" i="146"/>
  <c r="T2589" i="146"/>
  <c r="U2589" i="146" a="1"/>
  <c r="U2589" i="146"/>
  <c r="Q2589" i="146"/>
  <c r="T2590" i="146"/>
  <c r="U2590" i="146" a="1"/>
  <c r="U2590" i="146"/>
  <c r="Q2590" i="146"/>
  <c r="T2591" i="146"/>
  <c r="U2591" i="146" a="1"/>
  <c r="U2591" i="146"/>
  <c r="Q2591" i="146"/>
  <c r="T2592" i="146"/>
  <c r="U2592" i="146" a="1"/>
  <c r="U2592" i="146"/>
  <c r="Q2592" i="146"/>
  <c r="T2593" i="146"/>
  <c r="U2593" i="146" a="1"/>
  <c r="U2593" i="146"/>
  <c r="Q2593" i="146"/>
  <c r="T2594" i="146"/>
  <c r="U2594" i="146" a="1"/>
  <c r="U2594" i="146"/>
  <c r="Q2594" i="146"/>
  <c r="T2595" i="146"/>
  <c r="U2595" i="146" a="1"/>
  <c r="U2595" i="146"/>
  <c r="Q2595" i="146"/>
  <c r="T2596" i="146"/>
  <c r="U2596" i="146" a="1"/>
  <c r="U2596" i="146"/>
  <c r="Q2596" i="146"/>
  <c r="T2597" i="146"/>
  <c r="U2597" i="146" a="1"/>
  <c r="U2597" i="146"/>
  <c r="Q2597" i="146"/>
  <c r="T2598" i="146"/>
  <c r="U2598" i="146" a="1"/>
  <c r="U2598" i="146"/>
  <c r="Q2598" i="146"/>
  <c r="T2599" i="146"/>
  <c r="U2599" i="146" a="1"/>
  <c r="U2599" i="146"/>
  <c r="Q2599" i="146"/>
  <c r="T2600" i="146"/>
  <c r="U2600" i="146" a="1"/>
  <c r="U2600" i="146"/>
  <c r="Q2600" i="146"/>
  <c r="T2601" i="146"/>
  <c r="U2601" i="146" a="1"/>
  <c r="U2601" i="146"/>
  <c r="Q2601" i="146"/>
  <c r="T2602" i="146"/>
  <c r="U2602" i="146" a="1"/>
  <c r="U2602" i="146"/>
  <c r="Q2602" i="146"/>
  <c r="T2603" i="146"/>
  <c r="U2603" i="146" a="1"/>
  <c r="U2603" i="146"/>
  <c r="Q2603" i="146"/>
  <c r="T2604" i="146"/>
  <c r="U2604" i="146" a="1"/>
  <c r="U2604" i="146"/>
  <c r="Q2604" i="146"/>
  <c r="T2605" i="146"/>
  <c r="U2605" i="146" a="1"/>
  <c r="U2605" i="146"/>
  <c r="Q2605" i="146"/>
  <c r="T2606" i="146"/>
  <c r="U2606" i="146" a="1"/>
  <c r="U2606" i="146"/>
  <c r="Q2606" i="146"/>
  <c r="T2607" i="146"/>
  <c r="U2607" i="146" a="1"/>
  <c r="U2607" i="146"/>
  <c r="Q2607" i="146"/>
  <c r="T2608" i="146"/>
  <c r="T2609" i="146"/>
  <c r="U2609" i="146" a="1"/>
  <c r="U2609" i="146"/>
  <c r="Q2609" i="146"/>
  <c r="T2610" i="146"/>
  <c r="U2610" i="146" a="1"/>
  <c r="U2610" i="146"/>
  <c r="Q2610" i="146"/>
  <c r="T2611" i="146"/>
  <c r="U2611" i="146" a="1"/>
  <c r="U2611" i="146"/>
  <c r="Q2611" i="146"/>
  <c r="T2612" i="146"/>
  <c r="U2612" i="146" a="1"/>
  <c r="U2612" i="146"/>
  <c r="Q2612" i="146"/>
  <c r="T2613" i="146"/>
  <c r="U2613" i="146" a="1"/>
  <c r="U2613" i="146"/>
  <c r="Q2613" i="146"/>
  <c r="T2614" i="146"/>
  <c r="U2614" i="146" a="1"/>
  <c r="U2614" i="146"/>
  <c r="Q2614" i="146"/>
  <c r="T2615" i="146"/>
  <c r="U2615" i="146" a="1"/>
  <c r="U2615" i="146"/>
  <c r="Q2615" i="146"/>
  <c r="T2616" i="146"/>
  <c r="U2616" i="146" a="1"/>
  <c r="U2616" i="146"/>
  <c r="Q2616" i="146"/>
  <c r="T2617" i="146"/>
  <c r="U2617" i="146" a="1"/>
  <c r="U2617" i="146"/>
  <c r="Q2617" i="146"/>
  <c r="T2618" i="146"/>
  <c r="U2618" i="146" a="1"/>
  <c r="U2618" i="146"/>
  <c r="Q2618" i="146"/>
  <c r="T2619" i="146"/>
  <c r="U2619" i="146" a="1"/>
  <c r="U2619" i="146"/>
  <c r="Q2619" i="146"/>
  <c r="T2620" i="146"/>
  <c r="U2620" i="146" a="1"/>
  <c r="U2620" i="146"/>
  <c r="Q2620" i="146"/>
  <c r="T2621" i="146"/>
  <c r="U2621" i="146" a="1"/>
  <c r="U2621" i="146"/>
  <c r="Q2621" i="146"/>
  <c r="T2622" i="146"/>
  <c r="U2622" i="146" a="1"/>
  <c r="U2622" i="146"/>
  <c r="Q2622" i="146"/>
  <c r="T2623" i="146"/>
  <c r="U2623" i="146" a="1"/>
  <c r="U2623" i="146"/>
  <c r="Q2623" i="146"/>
  <c r="T2624" i="146"/>
  <c r="U2624" i="146" a="1"/>
  <c r="U2624" i="146"/>
  <c r="Q2624" i="146"/>
  <c r="T2625" i="146"/>
  <c r="U2625" i="146" a="1"/>
  <c r="U2625" i="146"/>
  <c r="Q2625" i="146"/>
  <c r="T2626" i="146"/>
  <c r="U2626" i="146" a="1"/>
  <c r="U2626" i="146"/>
  <c r="Q2626" i="146"/>
  <c r="T2627" i="146"/>
  <c r="U2627" i="146" a="1"/>
  <c r="U2627" i="146"/>
  <c r="Q2627" i="146"/>
  <c r="T2628" i="146"/>
  <c r="U2628" i="146" a="1"/>
  <c r="U2628" i="146"/>
  <c r="Q2628" i="146"/>
  <c r="T2629" i="146"/>
  <c r="U2629" i="146" a="1"/>
  <c r="U2629" i="146"/>
  <c r="Q2629" i="146"/>
  <c r="T2630" i="146"/>
  <c r="U2630" i="146" a="1"/>
  <c r="U2630" i="146"/>
  <c r="Q2630" i="146"/>
  <c r="T2631" i="146"/>
  <c r="U2631" i="146" a="1"/>
  <c r="U2631" i="146"/>
  <c r="Q2631" i="146"/>
  <c r="T2632" i="146"/>
  <c r="U2632" i="146" a="1"/>
  <c r="U2632" i="146"/>
  <c r="Q2632" i="146"/>
  <c r="T2633" i="146"/>
  <c r="U2633" i="146" a="1"/>
  <c r="U2633" i="146"/>
  <c r="Q2633" i="146"/>
  <c r="T2634" i="146"/>
  <c r="U2634" i="146" a="1"/>
  <c r="U2634" i="146"/>
  <c r="Q2634" i="146"/>
  <c r="T2635" i="146"/>
  <c r="T2636" i="146"/>
  <c r="U2636" i="146" a="1"/>
  <c r="U2636" i="146"/>
  <c r="Q2636" i="146"/>
  <c r="T2637" i="146"/>
  <c r="U2637" i="146" a="1"/>
  <c r="U2637" i="146"/>
  <c r="Q2637" i="146"/>
  <c r="T2638" i="146"/>
  <c r="U2638" i="146" a="1"/>
  <c r="U2638" i="146"/>
  <c r="Q2638" i="146"/>
  <c r="T2639" i="146"/>
  <c r="U2639" i="146" a="1"/>
  <c r="U2639" i="146"/>
  <c r="Q2639" i="146"/>
  <c r="T2640" i="146"/>
  <c r="U2640" i="146" a="1"/>
  <c r="U2640" i="146"/>
  <c r="Q2640" i="146"/>
  <c r="T2641" i="146"/>
  <c r="U2641" i="146" a="1"/>
  <c r="U2641" i="146"/>
  <c r="Q2641" i="146"/>
  <c r="T2642" i="146"/>
  <c r="U2642" i="146" a="1"/>
  <c r="U2642" i="146"/>
  <c r="Q2642" i="146"/>
  <c r="T2643" i="146"/>
  <c r="U2643" i="146" a="1"/>
  <c r="U2643" i="146"/>
  <c r="Q2643" i="146"/>
  <c r="T2644" i="146"/>
  <c r="U2644" i="146" a="1"/>
  <c r="U2644" i="146"/>
  <c r="Q2644" i="146"/>
  <c r="T2645" i="146"/>
  <c r="U2645" i="146" a="1"/>
  <c r="U2645" i="146"/>
  <c r="Q2645" i="146"/>
  <c r="T2646" i="146"/>
  <c r="U2646" i="146" a="1"/>
  <c r="U2646" i="146"/>
  <c r="Q2646" i="146"/>
  <c r="T2647" i="146"/>
  <c r="U2647" i="146" a="1"/>
  <c r="U2647" i="146"/>
  <c r="Q2647" i="146"/>
  <c r="T2648" i="146"/>
  <c r="U2648" i="146" a="1"/>
  <c r="U2648" i="146"/>
  <c r="Q2648" i="146"/>
  <c r="T2649" i="146"/>
  <c r="U2649" i="146" a="1"/>
  <c r="U2649" i="146"/>
  <c r="Q2649" i="146"/>
  <c r="T2650" i="146"/>
  <c r="U2650" i="146" a="1"/>
  <c r="U2650" i="146"/>
  <c r="Q2650" i="146"/>
  <c r="T2651" i="146"/>
  <c r="U2651" i="146" a="1"/>
  <c r="U2651" i="146"/>
  <c r="Q2651" i="146"/>
  <c r="T2652" i="146"/>
  <c r="U2652" i="146" a="1"/>
  <c r="U2652" i="146"/>
  <c r="Q2652" i="146"/>
  <c r="T2653" i="146"/>
  <c r="U2653" i="146" a="1"/>
  <c r="U2653" i="146"/>
  <c r="Q2653" i="146"/>
  <c r="T2654" i="146"/>
  <c r="U2654" i="146" a="1"/>
  <c r="U2654" i="146"/>
  <c r="Q2654" i="146"/>
  <c r="T2655" i="146"/>
  <c r="U2655" i="146" a="1"/>
  <c r="U2655" i="146"/>
  <c r="Q2655" i="146"/>
  <c r="T2656" i="146"/>
  <c r="U2656" i="146" a="1"/>
  <c r="U2656" i="146"/>
  <c r="Q2656" i="146"/>
  <c r="T2657" i="146"/>
  <c r="U2657" i="146" a="1"/>
  <c r="U2657" i="146"/>
  <c r="Q2657" i="146"/>
  <c r="T2658" i="146"/>
  <c r="U2658" i="146" a="1"/>
  <c r="U2658" i="146"/>
  <c r="Q2658" i="146"/>
  <c r="T2659" i="146"/>
  <c r="U2659" i="146" a="1"/>
  <c r="U2659" i="146"/>
  <c r="Q2659" i="146"/>
  <c r="T2660" i="146"/>
  <c r="U2660" i="146" a="1"/>
  <c r="U2660" i="146"/>
  <c r="Q2660" i="146"/>
  <c r="T2661" i="146"/>
  <c r="U2661" i="146" a="1"/>
  <c r="U2661" i="146"/>
  <c r="Q2661" i="146"/>
  <c r="T2662" i="146"/>
  <c r="U2662" i="146" a="1"/>
  <c r="U2662" i="146"/>
  <c r="Q2662" i="146"/>
  <c r="T2663" i="146"/>
  <c r="U2663" i="146" a="1"/>
  <c r="U2663" i="146"/>
  <c r="Q2663" i="146"/>
  <c r="T2664" i="146"/>
  <c r="U2664" i="146" a="1"/>
  <c r="U2664" i="146"/>
  <c r="Q2664" i="146"/>
  <c r="T2665" i="146"/>
  <c r="U2665" i="146" a="1"/>
  <c r="U2665" i="146"/>
  <c r="Q2665" i="146"/>
  <c r="T2666" i="146"/>
  <c r="U2666" i="146" a="1"/>
  <c r="U2666" i="146"/>
  <c r="Q2666" i="146"/>
  <c r="T2667" i="146"/>
  <c r="U2667" i="146" a="1"/>
  <c r="U2667" i="146"/>
  <c r="Q2667" i="146"/>
  <c r="T2668" i="146"/>
  <c r="U2668" i="146" a="1"/>
  <c r="U2668" i="146"/>
  <c r="Q2668" i="146"/>
  <c r="T2669" i="146"/>
  <c r="U2669" i="146" a="1"/>
  <c r="U2669" i="146"/>
  <c r="Q2669" i="146"/>
  <c r="T2670" i="146"/>
  <c r="U2670" i="146" a="1"/>
  <c r="U2670" i="146"/>
  <c r="Q2670" i="146"/>
  <c r="T2671" i="146"/>
  <c r="U2671" i="146" a="1"/>
  <c r="U2671" i="146"/>
  <c r="Q2671" i="146"/>
  <c r="T2672" i="146"/>
  <c r="U2672" i="146" a="1"/>
  <c r="U2672" i="146"/>
  <c r="Q2672" i="146"/>
  <c r="T2673" i="146"/>
  <c r="U2673" i="146" a="1"/>
  <c r="U2673" i="146"/>
  <c r="Q2673" i="146"/>
  <c r="T2674" i="146"/>
  <c r="U2674" i="146" a="1"/>
  <c r="U2674" i="146"/>
  <c r="Q2674" i="146"/>
  <c r="T2675" i="146"/>
  <c r="U2675" i="146" a="1"/>
  <c r="U2675" i="146"/>
  <c r="Q2675" i="146"/>
  <c r="T2676" i="146"/>
  <c r="U2676" i="146" a="1"/>
  <c r="U2676" i="146"/>
  <c r="Q2676" i="146"/>
  <c r="T2677" i="146"/>
  <c r="U2677" i="146" a="1"/>
  <c r="U2677" i="146"/>
  <c r="Q2677" i="146"/>
  <c r="T2678" i="146"/>
  <c r="U2678" i="146" a="1"/>
  <c r="U2678" i="146"/>
  <c r="Q2678" i="146"/>
  <c r="T2679" i="146"/>
  <c r="U2679" i="146" a="1"/>
  <c r="U2679" i="146"/>
  <c r="Q2679" i="146"/>
  <c r="T2680" i="146"/>
  <c r="U2680" i="146" a="1"/>
  <c r="U2680" i="146"/>
  <c r="Q2680" i="146"/>
  <c r="T2681" i="146"/>
  <c r="U2681" i="146" a="1"/>
  <c r="U2681" i="146"/>
  <c r="Q2681" i="146"/>
  <c r="T2682" i="146"/>
  <c r="U2682" i="146" a="1"/>
  <c r="U2682" i="146"/>
  <c r="Q2682" i="146"/>
  <c r="T2683" i="146"/>
  <c r="U2683" i="146" a="1"/>
  <c r="U2683" i="146"/>
  <c r="Q2683" i="146"/>
  <c r="T2684" i="146"/>
  <c r="U2684" i="146" a="1"/>
  <c r="U2684" i="146"/>
  <c r="Q2684" i="146"/>
  <c r="T2685" i="146"/>
  <c r="U2685" i="146" a="1"/>
  <c r="U2685" i="146"/>
  <c r="Q2685" i="146"/>
  <c r="T2686" i="146"/>
  <c r="U2686" i="146" a="1"/>
  <c r="U2686" i="146"/>
  <c r="Q2686" i="146"/>
  <c r="T2687" i="146"/>
  <c r="U2687" i="146" a="1"/>
  <c r="U2687" i="146"/>
  <c r="Q2687" i="146"/>
  <c r="T2688" i="146"/>
  <c r="U2688" i="146" a="1"/>
  <c r="U2688" i="146"/>
  <c r="Q2688" i="146"/>
  <c r="T2689" i="146"/>
  <c r="U2689" i="146" a="1"/>
  <c r="U2689" i="146"/>
  <c r="Q2689" i="146"/>
  <c r="T2690" i="146"/>
  <c r="U2690" i="146" a="1"/>
  <c r="U2690" i="146"/>
  <c r="Q2690" i="146"/>
  <c r="T2691" i="146"/>
  <c r="U2691" i="146" a="1"/>
  <c r="U2691" i="146"/>
  <c r="Q2691" i="146"/>
  <c r="T2692" i="146"/>
  <c r="U2692" i="146" a="1"/>
  <c r="U2692" i="146"/>
  <c r="Q2692" i="146"/>
  <c r="T2693" i="146"/>
  <c r="U2693" i="146" a="1"/>
  <c r="U2693" i="146"/>
  <c r="Q2693" i="146"/>
  <c r="T2694" i="146"/>
  <c r="U2694" i="146" a="1"/>
  <c r="U2694" i="146"/>
  <c r="Q2694" i="146"/>
  <c r="T2695" i="146"/>
  <c r="U2695" i="146" a="1"/>
  <c r="U2695" i="146"/>
  <c r="Q2695" i="146"/>
  <c r="T2696" i="146"/>
  <c r="U2696" i="146" a="1"/>
  <c r="U2696" i="146"/>
  <c r="Q2696" i="146"/>
  <c r="T2697" i="146"/>
  <c r="U2697" i="146" a="1"/>
  <c r="U2697" i="146"/>
  <c r="Q2697" i="146"/>
  <c r="T2698" i="146"/>
  <c r="U2698" i="146" a="1"/>
  <c r="U2698" i="146"/>
  <c r="Q2698" i="146"/>
  <c r="T2699" i="146"/>
  <c r="U2699" i="146" a="1"/>
  <c r="U2699" i="146"/>
  <c r="Q2699" i="146"/>
  <c r="T2700" i="146"/>
  <c r="U2700" i="146" a="1"/>
  <c r="U2700" i="146"/>
  <c r="Q2700" i="146"/>
  <c r="T2701" i="146"/>
  <c r="U2701" i="146" a="1"/>
  <c r="U2701" i="146"/>
  <c r="Q2701" i="146"/>
  <c r="T2702" i="146"/>
  <c r="U2702" i="146" a="1"/>
  <c r="U2702" i="146"/>
  <c r="Q2702" i="146"/>
  <c r="T2703" i="146"/>
  <c r="U2703" i="146" a="1"/>
  <c r="U2703" i="146"/>
  <c r="Q2703" i="146"/>
  <c r="T2704" i="146"/>
  <c r="U2704" i="146" a="1"/>
  <c r="U2704" i="146"/>
  <c r="Q2704" i="146"/>
  <c r="T2705" i="146"/>
  <c r="U2705" i="146" a="1"/>
  <c r="U2705" i="146"/>
  <c r="Q2705" i="146"/>
  <c r="T2706" i="146"/>
  <c r="U2706" i="146" a="1"/>
  <c r="U2706" i="146"/>
  <c r="Q2706" i="146"/>
  <c r="T2707" i="146"/>
  <c r="U2707" i="146" a="1"/>
  <c r="U2707" i="146"/>
  <c r="Q2707" i="146"/>
  <c r="T2708" i="146"/>
  <c r="U2708" i="146" a="1"/>
  <c r="U2708" i="146"/>
  <c r="Q2708" i="146"/>
  <c r="T2709" i="146"/>
  <c r="U2709" i="146" a="1"/>
  <c r="U2709" i="146"/>
  <c r="Q2709" i="146"/>
  <c r="T2710" i="146"/>
  <c r="U2710" i="146" a="1"/>
  <c r="U2710" i="146"/>
  <c r="Q2710" i="146"/>
  <c r="T2711" i="146"/>
  <c r="U2711" i="146" a="1"/>
  <c r="U2711" i="146"/>
  <c r="Q2711" i="146"/>
  <c r="T2712" i="146"/>
  <c r="U2712" i="146" a="1"/>
  <c r="U2712" i="146"/>
  <c r="Q2712" i="146"/>
  <c r="T2713" i="146"/>
  <c r="U2713" i="146" a="1"/>
  <c r="U2713" i="146"/>
  <c r="Q2713" i="146"/>
  <c r="T2714" i="146"/>
  <c r="U2714" i="146" a="1"/>
  <c r="U2714" i="146"/>
  <c r="Q2714" i="146"/>
  <c r="T2715" i="146"/>
  <c r="U2715" i="146" a="1"/>
  <c r="U2715" i="146"/>
  <c r="Q2715" i="146"/>
  <c r="T2716" i="146"/>
  <c r="U2716" i="146" a="1"/>
  <c r="U2716" i="146"/>
  <c r="Q2716" i="146"/>
  <c r="T2717" i="146"/>
  <c r="U2717" i="146" a="1"/>
  <c r="U2717" i="146"/>
  <c r="Q2717" i="146"/>
  <c r="T2718" i="146"/>
  <c r="U2718" i="146" a="1"/>
  <c r="U2718" i="146"/>
  <c r="Q2718" i="146"/>
  <c r="T2719" i="146"/>
  <c r="U2719" i="146" a="1"/>
  <c r="U2719" i="146"/>
  <c r="Q2719" i="146"/>
  <c r="T2720" i="146"/>
  <c r="U2720" i="146" a="1"/>
  <c r="U2720" i="146"/>
  <c r="Q2720" i="146"/>
  <c r="T2721" i="146"/>
  <c r="U2721" i="146" a="1"/>
  <c r="U2721" i="146"/>
  <c r="Q2721" i="146"/>
  <c r="T2722" i="146"/>
  <c r="U2722" i="146" a="1"/>
  <c r="U2722" i="146"/>
  <c r="Q2722" i="146"/>
  <c r="T2723" i="146"/>
  <c r="U2723" i="146" a="1"/>
  <c r="U2723" i="146"/>
  <c r="Q2723" i="146"/>
  <c r="T2724" i="146"/>
  <c r="U2724" i="146" a="1"/>
  <c r="U2724" i="146"/>
  <c r="Q2724" i="146"/>
  <c r="T2725" i="146"/>
  <c r="U2725" i="146" a="1"/>
  <c r="U2725" i="146"/>
  <c r="Q2725" i="146"/>
  <c r="T2726" i="146"/>
  <c r="U2726" i="146" a="1"/>
  <c r="U2726" i="146"/>
  <c r="Q2726" i="146"/>
  <c r="T2727" i="146"/>
  <c r="U2727" i="146" a="1"/>
  <c r="U2727" i="146"/>
  <c r="Q2727" i="146"/>
  <c r="T2728" i="146"/>
  <c r="U2728" i="146" a="1"/>
  <c r="U2728" i="146"/>
  <c r="Q2728" i="146"/>
  <c r="T2729" i="146"/>
  <c r="U2729" i="146" a="1"/>
  <c r="U2729" i="146"/>
  <c r="Q2729" i="146"/>
  <c r="T2730" i="146"/>
  <c r="U2730" i="146" a="1"/>
  <c r="U2730" i="146"/>
  <c r="Q2730" i="146"/>
  <c r="T2731" i="146"/>
  <c r="U2731" i="146" a="1"/>
  <c r="U2731" i="146"/>
  <c r="Q2731" i="146"/>
  <c r="T2732" i="146"/>
  <c r="U2732" i="146" a="1"/>
  <c r="U2732" i="146"/>
  <c r="Q2732" i="146"/>
  <c r="T2733" i="146"/>
  <c r="U2733" i="146" a="1"/>
  <c r="U2733" i="146"/>
  <c r="Q2733" i="146"/>
  <c r="T2734" i="146"/>
  <c r="U2734" i="146" a="1"/>
  <c r="U2734" i="146"/>
  <c r="Q2734" i="146"/>
  <c r="T2735" i="146"/>
  <c r="U2735" i="146" a="1"/>
  <c r="U2735" i="146"/>
  <c r="Q2735" i="146"/>
  <c r="T2736" i="146"/>
  <c r="U2736" i="146" a="1"/>
  <c r="U2736" i="146"/>
  <c r="Q2736" i="146"/>
  <c r="T2737" i="146"/>
  <c r="U2737" i="146" a="1"/>
  <c r="U2737" i="146"/>
  <c r="Q2737" i="146"/>
  <c r="T2738" i="146"/>
  <c r="U2738" i="146" a="1"/>
  <c r="U2738" i="146"/>
  <c r="Q2738" i="146"/>
  <c r="T2739" i="146"/>
  <c r="U2739" i="146" a="1"/>
  <c r="U2739" i="146"/>
  <c r="Q2739" i="146"/>
  <c r="T2740" i="146"/>
  <c r="U2740" i="146" a="1"/>
  <c r="U2740" i="146"/>
  <c r="Q2740" i="146"/>
  <c r="T2741" i="146"/>
  <c r="Q2741" i="146"/>
  <c r="T2742" i="146"/>
  <c r="U2742" i="146" a="1"/>
  <c r="U2742" i="146"/>
  <c r="Q2742" i="146"/>
  <c r="T2743" i="146"/>
  <c r="U2743" i="146" a="1"/>
  <c r="U2743" i="146"/>
  <c r="Q2743" i="146"/>
  <c r="T2744" i="146"/>
  <c r="U2744" i="146" a="1"/>
  <c r="U2744" i="146"/>
  <c r="Q2744" i="146"/>
  <c r="T2745" i="146"/>
  <c r="U2745" i="146" a="1"/>
  <c r="U2745" i="146"/>
  <c r="Q2745" i="146"/>
  <c r="T2746" i="146"/>
  <c r="U2746" i="146" a="1"/>
  <c r="U2746" i="146"/>
  <c r="Q2746" i="146"/>
  <c r="T2747" i="146"/>
  <c r="U2747" i="146" a="1"/>
  <c r="U2747" i="146"/>
  <c r="Q2747" i="146"/>
  <c r="T2748" i="146"/>
  <c r="U2748" i="146" a="1"/>
  <c r="U2748" i="146"/>
  <c r="Q2748" i="146"/>
  <c r="T2749" i="146"/>
  <c r="U2749" i="146" a="1"/>
  <c r="U2749" i="146"/>
  <c r="Q2749" i="146"/>
  <c r="T2750" i="146"/>
  <c r="U2750" i="146" a="1"/>
  <c r="U2750" i="146"/>
  <c r="Q2750" i="146"/>
  <c r="T2751" i="146"/>
  <c r="U2751" i="146" a="1"/>
  <c r="U2751" i="146"/>
  <c r="Q2751" i="146"/>
  <c r="T2752" i="146"/>
  <c r="U2752" i="146" a="1"/>
  <c r="U2752" i="146"/>
  <c r="Q2752" i="146"/>
  <c r="T2753" i="146"/>
  <c r="U2753" i="146" a="1"/>
  <c r="U2753" i="146"/>
  <c r="Q2753" i="146"/>
  <c r="T2754" i="146"/>
  <c r="U2754" i="146" a="1"/>
  <c r="U2754" i="146"/>
  <c r="Q2754" i="146"/>
  <c r="T2755" i="146"/>
  <c r="U2755" i="146" a="1"/>
  <c r="U2755" i="146"/>
  <c r="Q2755" i="146"/>
  <c r="T2756" i="146"/>
  <c r="U2756" i="146" a="1"/>
  <c r="U2756" i="146"/>
  <c r="Q2756" i="146"/>
  <c r="T2757" i="146"/>
  <c r="U2757" i="146" a="1"/>
  <c r="U2757" i="146"/>
  <c r="Q2757" i="146"/>
  <c r="T2758" i="146"/>
  <c r="U2758" i="146" a="1"/>
  <c r="U2758" i="146"/>
  <c r="Q2758" i="146"/>
  <c r="T2759" i="146"/>
  <c r="U2759" i="146" a="1"/>
  <c r="U2759" i="146"/>
  <c r="Q2759" i="146"/>
  <c r="T2760" i="146"/>
  <c r="U2760" i="146" a="1"/>
  <c r="U2760" i="146"/>
  <c r="Q2760" i="146"/>
  <c r="T2761" i="146"/>
  <c r="U2761" i="146" a="1"/>
  <c r="U2761" i="146"/>
  <c r="Q2761" i="146"/>
  <c r="T2762" i="146"/>
  <c r="U2762" i="146" a="1"/>
  <c r="U2762" i="146"/>
  <c r="Q2762" i="146"/>
  <c r="T2763" i="146"/>
  <c r="U2763" i="146" a="1"/>
  <c r="U2763" i="146"/>
  <c r="Q2763" i="146"/>
  <c r="T2764" i="146"/>
  <c r="U2764" i="146" a="1"/>
  <c r="U2764" i="146"/>
  <c r="Q2764" i="146"/>
  <c r="T2765" i="146"/>
  <c r="U2765" i="146" a="1"/>
  <c r="U2765" i="146"/>
  <c r="Q2765" i="146"/>
  <c r="T2766" i="146"/>
  <c r="U2766" i="146" a="1"/>
  <c r="U2766" i="146"/>
  <c r="Q2766" i="146"/>
  <c r="T2767" i="146"/>
  <c r="U2767" i="146" a="1"/>
  <c r="U2767" i="146"/>
  <c r="Q2767" i="146"/>
  <c r="T2768" i="146"/>
  <c r="U2768" i="146" a="1"/>
  <c r="U2768" i="146"/>
  <c r="Q2768" i="146"/>
  <c r="T2769" i="146"/>
  <c r="U2769" i="146" a="1"/>
  <c r="U2769" i="146"/>
  <c r="Q2769" i="146"/>
  <c r="T2770" i="146"/>
  <c r="U2770" i="146" a="1"/>
  <c r="U2770" i="146"/>
  <c r="Q2770" i="146"/>
  <c r="T2771" i="146"/>
  <c r="U2771" i="146" a="1"/>
  <c r="U2771" i="146"/>
  <c r="Q2771" i="146"/>
  <c r="T2772" i="146"/>
  <c r="U2772" i="146" a="1"/>
  <c r="U2772" i="146"/>
  <c r="Q2772" i="146"/>
  <c r="T2773" i="146"/>
  <c r="U2773" i="146" a="1"/>
  <c r="U2773" i="146"/>
  <c r="Q2773" i="146"/>
  <c r="T2774" i="146"/>
  <c r="U2774" i="146" a="1"/>
  <c r="U2774" i="146"/>
  <c r="Q2774" i="146"/>
  <c r="T2775" i="146"/>
  <c r="U2775" i="146" a="1"/>
  <c r="U2775" i="146"/>
  <c r="Q2775" i="146"/>
  <c r="T2776" i="146"/>
  <c r="U2776" i="146" a="1"/>
  <c r="U2776" i="146"/>
  <c r="Q2776" i="146"/>
  <c r="T2777" i="146"/>
  <c r="U2777" i="146" a="1"/>
  <c r="U2777" i="146"/>
  <c r="Q2777" i="146"/>
  <c r="T2778" i="146"/>
  <c r="U2778" i="146" a="1"/>
  <c r="U2778" i="146"/>
  <c r="Q2778" i="146"/>
  <c r="T2779" i="146"/>
  <c r="U2779" i="146" a="1"/>
  <c r="U2779" i="146"/>
  <c r="Q2779" i="146"/>
  <c r="T2780" i="146"/>
  <c r="U2780" i="146" a="1"/>
  <c r="U2780" i="146"/>
  <c r="Q2780" i="146"/>
  <c r="T2781" i="146"/>
  <c r="U2781" i="146" a="1"/>
  <c r="U2781" i="146"/>
  <c r="Q2781" i="146"/>
  <c r="T2782" i="146"/>
  <c r="U2782" i="146" a="1"/>
  <c r="U2782" i="146"/>
  <c r="Q2782" i="146"/>
  <c r="T2783" i="146"/>
  <c r="U2783" i="146" a="1"/>
  <c r="U2783" i="146"/>
  <c r="Q2783" i="146"/>
  <c r="T2784" i="146"/>
  <c r="U2784" i="146" a="1"/>
  <c r="U2784" i="146"/>
  <c r="Q2784" i="146"/>
  <c r="T2785" i="146"/>
  <c r="U2785" i="146" a="1"/>
  <c r="U2785" i="146"/>
  <c r="Q2785" i="146"/>
  <c r="T2786" i="146"/>
  <c r="U2786" i="146" a="1"/>
  <c r="U2786" i="146"/>
  <c r="Q2786" i="146"/>
  <c r="T2787" i="146"/>
  <c r="U2787" i="146" a="1"/>
  <c r="U2787" i="146"/>
  <c r="Q2787" i="146"/>
  <c r="T2788" i="146"/>
  <c r="U2788" i="146" a="1"/>
  <c r="U2788" i="146"/>
  <c r="Q2788" i="146"/>
  <c r="T2789" i="146"/>
  <c r="U2789" i="146" a="1"/>
  <c r="U2789" i="146"/>
  <c r="Q2789" i="146"/>
  <c r="T2790" i="146"/>
  <c r="U2790" i="146" a="1"/>
  <c r="U2790" i="146"/>
  <c r="Q2790" i="146"/>
  <c r="T2791" i="146"/>
  <c r="Q2791" i="146"/>
  <c r="T2792" i="146"/>
  <c r="U2792" i="146" a="1"/>
  <c r="U2792" i="146"/>
  <c r="Q2792" i="146"/>
  <c r="T2793" i="146"/>
  <c r="U2793" i="146" a="1"/>
  <c r="U2793" i="146"/>
  <c r="Q2793" i="146"/>
  <c r="T2794" i="146"/>
  <c r="U2794" i="146" a="1"/>
  <c r="U2794" i="146"/>
  <c r="Q2794" i="146"/>
  <c r="T2795" i="146"/>
  <c r="U2795" i="146" a="1"/>
  <c r="U2795" i="146"/>
  <c r="Q2795" i="146"/>
  <c r="T2796" i="146"/>
  <c r="U2796" i="146" a="1"/>
  <c r="U2796" i="146"/>
  <c r="Q2796" i="146"/>
  <c r="T2797" i="146"/>
  <c r="U2797" i="146" a="1"/>
  <c r="U2797" i="146"/>
  <c r="Q2797" i="146"/>
  <c r="T2798" i="146"/>
  <c r="U2798" i="146" a="1"/>
  <c r="U2798" i="146"/>
  <c r="Q2798" i="146"/>
  <c r="T2799" i="146"/>
  <c r="U2799" i="146" a="1"/>
  <c r="U2799" i="146"/>
  <c r="Q2799" i="146"/>
  <c r="T2800" i="146"/>
  <c r="U2800" i="146" a="1"/>
  <c r="U2800" i="146"/>
  <c r="Q2800" i="146"/>
  <c r="T2801" i="146"/>
  <c r="U2801" i="146" a="1"/>
  <c r="U2801" i="146"/>
  <c r="Q2801" i="146"/>
  <c r="T2802" i="146"/>
  <c r="U2802" i="146" a="1"/>
  <c r="U2802" i="146"/>
  <c r="Q2802" i="146"/>
  <c r="T2803" i="146"/>
  <c r="U2803" i="146" a="1"/>
  <c r="U2803" i="146"/>
  <c r="Q2803" i="146"/>
  <c r="T2804" i="146"/>
  <c r="U2804" i="146" a="1"/>
  <c r="U2804" i="146"/>
  <c r="Q2804" i="146"/>
  <c r="T2805" i="146"/>
  <c r="U2805" i="146" a="1"/>
  <c r="U2805" i="146"/>
  <c r="Q2805" i="146"/>
  <c r="T2806" i="146"/>
  <c r="U2806" i="146" a="1"/>
  <c r="U2806" i="146"/>
  <c r="Q2806" i="146"/>
  <c r="T2807" i="146"/>
  <c r="U2807" i="146" a="1"/>
  <c r="U2807" i="146"/>
  <c r="Q2807" i="146"/>
  <c r="T2808" i="146"/>
  <c r="U2808" i="146" a="1"/>
  <c r="U2808" i="146"/>
  <c r="Q2808" i="146"/>
  <c r="T2809" i="146"/>
  <c r="U2809" i="146" a="1"/>
  <c r="U2809" i="146"/>
  <c r="Q2809" i="146"/>
  <c r="T2810" i="146"/>
  <c r="U2810" i="146" a="1"/>
  <c r="U2810" i="146"/>
  <c r="Q2810" i="146"/>
  <c r="T2811" i="146"/>
  <c r="U2811" i="146" a="1"/>
  <c r="U2811" i="146"/>
  <c r="Q2811" i="146"/>
  <c r="T2812" i="146"/>
  <c r="U2812" i="146" a="1"/>
  <c r="U2812" i="146"/>
  <c r="Q2812" i="146"/>
  <c r="T2813" i="146"/>
  <c r="U2813" i="146" a="1"/>
  <c r="U2813" i="146"/>
  <c r="Q2813" i="146"/>
  <c r="T2814" i="146"/>
  <c r="U2814" i="146" a="1"/>
  <c r="U2814" i="146"/>
  <c r="Q2814" i="146"/>
  <c r="T2815" i="146"/>
  <c r="U2815" i="146" a="1"/>
  <c r="U2815" i="146"/>
  <c r="Q2815" i="146"/>
  <c r="T2816" i="146"/>
  <c r="U2816" i="146" a="1"/>
  <c r="U2816" i="146"/>
  <c r="Q2816" i="146"/>
  <c r="T2817" i="146"/>
  <c r="U2817" i="146" a="1"/>
  <c r="U2817" i="146"/>
  <c r="Q2817" i="146"/>
  <c r="T2818" i="146"/>
  <c r="U2818" i="146" a="1"/>
  <c r="U2818" i="146"/>
  <c r="Q2818" i="146"/>
  <c r="T2819" i="146"/>
  <c r="U2819" i="146" a="1"/>
  <c r="U2819" i="146"/>
  <c r="Q2819" i="146"/>
  <c r="T2820" i="146"/>
  <c r="U2820" i="146" a="1"/>
  <c r="U2820" i="146"/>
  <c r="Q2820" i="146"/>
  <c r="T2821" i="146"/>
  <c r="U2821" i="146" a="1"/>
  <c r="U2821" i="146"/>
  <c r="Q2821" i="146"/>
  <c r="T2822" i="146"/>
  <c r="U2822" i="146" a="1"/>
  <c r="U2822" i="146"/>
  <c r="Q2822" i="146"/>
  <c r="T2823" i="146"/>
  <c r="U2823" i="146" a="1"/>
  <c r="U2823" i="146"/>
  <c r="Q2823" i="146"/>
  <c r="T2824" i="146"/>
  <c r="U2824" i="146" a="1"/>
  <c r="U2824" i="146"/>
  <c r="Q2824" i="146"/>
  <c r="T2825" i="146"/>
  <c r="U2825" i="146" a="1"/>
  <c r="U2825" i="146"/>
  <c r="Q2825" i="146"/>
  <c r="T2826" i="146"/>
  <c r="U2826" i="146" a="1"/>
  <c r="U2826" i="146"/>
  <c r="Q2826" i="146"/>
  <c r="T2827" i="146"/>
  <c r="U2827" i="146" a="1"/>
  <c r="U2827" i="146"/>
  <c r="Q2827" i="146"/>
  <c r="T2828" i="146"/>
  <c r="U2828" i="146" a="1"/>
  <c r="U2828" i="146"/>
  <c r="Q2828" i="146"/>
  <c r="T2829" i="146"/>
  <c r="U2829" i="146" a="1"/>
  <c r="U2829" i="146"/>
  <c r="Q2829" i="146"/>
  <c r="T2830" i="146"/>
  <c r="U2830" i="146" a="1"/>
  <c r="U2830" i="146"/>
  <c r="Q2830" i="146"/>
  <c r="T2831" i="146"/>
  <c r="U2831" i="146" a="1"/>
  <c r="U2831" i="146"/>
  <c r="Q2831" i="146"/>
  <c r="T2832" i="146"/>
  <c r="U2832" i="146" a="1"/>
  <c r="U2832" i="146"/>
  <c r="Q2832" i="146"/>
  <c r="T2833" i="146"/>
  <c r="U2833" i="146" a="1"/>
  <c r="U2833" i="146"/>
  <c r="Q2833" i="146"/>
  <c r="T2834" i="146"/>
  <c r="U2834" i="146" a="1"/>
  <c r="U2834" i="146"/>
  <c r="Q2834" i="146"/>
  <c r="T2835" i="146"/>
  <c r="U2835" i="146" a="1"/>
  <c r="U2835" i="146"/>
  <c r="Q2835" i="146"/>
  <c r="T2836" i="146"/>
  <c r="U2836" i="146" a="1"/>
  <c r="U2836" i="146"/>
  <c r="Q2836" i="146"/>
  <c r="T2837" i="146"/>
  <c r="U2837" i="146" a="1"/>
  <c r="U2837" i="146"/>
  <c r="Q2837" i="146"/>
  <c r="T2838" i="146"/>
  <c r="U2838" i="146" a="1"/>
  <c r="U2838" i="146"/>
  <c r="Q2838" i="146"/>
  <c r="T2839" i="146"/>
  <c r="U2839" i="146" a="1"/>
  <c r="U2839" i="146"/>
  <c r="Q2839" i="146"/>
  <c r="T2840" i="146"/>
  <c r="U2840" i="146" a="1"/>
  <c r="U2840" i="146"/>
  <c r="Q2840" i="146"/>
  <c r="T2841" i="146"/>
  <c r="U2841" i="146" a="1"/>
  <c r="U2841" i="146"/>
  <c r="Q2841" i="146"/>
  <c r="T2842" i="146"/>
  <c r="U2842" i="146" a="1"/>
  <c r="U2842" i="146"/>
  <c r="Q2842" i="146"/>
  <c r="T2843" i="146"/>
  <c r="U2843" i="146" a="1"/>
  <c r="U2843" i="146"/>
  <c r="Q2843" i="146"/>
  <c r="T2844" i="146"/>
  <c r="U2844" i="146" a="1"/>
  <c r="U2844" i="146"/>
  <c r="Q2844" i="146"/>
  <c r="T2845" i="146"/>
  <c r="U2845" i="146" a="1"/>
  <c r="U2845" i="146"/>
  <c r="Q2845" i="146"/>
  <c r="T2846" i="146"/>
  <c r="U2846" i="146" a="1"/>
  <c r="U2846" i="146"/>
  <c r="Q2846" i="146"/>
  <c r="T2847" i="146"/>
  <c r="U2847" i="146" a="1"/>
  <c r="U2847" i="146"/>
  <c r="Q2847" i="146"/>
  <c r="T2848" i="146"/>
  <c r="U2848" i="146" a="1"/>
  <c r="U2848" i="146"/>
  <c r="Q2848" i="146"/>
  <c r="T2849" i="146"/>
  <c r="U2849" i="146" a="1"/>
  <c r="U2849" i="146"/>
  <c r="Q2849" i="146"/>
  <c r="T2850" i="146"/>
  <c r="U2850" i="146" a="1"/>
  <c r="U2850" i="146"/>
  <c r="Q2850" i="146"/>
  <c r="T2851" i="146"/>
  <c r="U2851" i="146" a="1"/>
  <c r="U2851" i="146"/>
  <c r="Q2851" i="146"/>
  <c r="T2852" i="146"/>
  <c r="U2852" i="146" a="1"/>
  <c r="U2852" i="146"/>
  <c r="Q2852" i="146"/>
  <c r="T2853" i="146"/>
  <c r="U2853" i="146" a="1"/>
  <c r="U2853" i="146"/>
  <c r="Q2853" i="146"/>
  <c r="T2854" i="146"/>
  <c r="U2854" i="146" a="1"/>
  <c r="U2854" i="146"/>
  <c r="Q2854" i="146"/>
  <c r="T2855" i="146"/>
  <c r="U2855" i="146" a="1"/>
  <c r="U2855" i="146"/>
  <c r="Q2855" i="146"/>
  <c r="T2856" i="146"/>
  <c r="U2856" i="146" a="1"/>
  <c r="U2856" i="146"/>
  <c r="Q2856" i="146"/>
  <c r="T2857" i="146"/>
  <c r="U2857" i="146" a="1"/>
  <c r="U2857" i="146"/>
  <c r="Q2857" i="146"/>
  <c r="T2858" i="146"/>
  <c r="U2858" i="146" a="1"/>
  <c r="U2858" i="146"/>
  <c r="Q2858" i="146"/>
  <c r="T2859" i="146"/>
  <c r="U2859" i="146" a="1"/>
  <c r="U2859" i="146"/>
  <c r="Q2859" i="146"/>
  <c r="T2860" i="146"/>
  <c r="U2860" i="146" a="1"/>
  <c r="U2860" i="146"/>
  <c r="Q2860" i="146"/>
  <c r="T2861" i="146"/>
  <c r="U2861" i="146" a="1"/>
  <c r="U2861" i="146"/>
  <c r="Q2861" i="146"/>
  <c r="T2862" i="146"/>
  <c r="U2862" i="146" a="1"/>
  <c r="U2862" i="146"/>
  <c r="Q2862" i="146"/>
  <c r="T2863" i="146"/>
  <c r="U2863" i="146" a="1"/>
  <c r="U2863" i="146"/>
  <c r="Q2863" i="146"/>
  <c r="T2864" i="146"/>
  <c r="U2864" i="146" a="1"/>
  <c r="U2864" i="146"/>
  <c r="Q2864" i="146"/>
  <c r="T2865" i="146"/>
  <c r="U2865" i="146" a="1"/>
  <c r="U2865" i="146"/>
  <c r="Q2865" i="146"/>
  <c r="T2866" i="146"/>
  <c r="U2866" i="146" a="1"/>
  <c r="U2866" i="146"/>
  <c r="Q2866" i="146"/>
  <c r="T2867" i="146"/>
  <c r="U2867" i="146" a="1"/>
  <c r="U2867" i="146"/>
  <c r="Q2867" i="146"/>
  <c r="T2868" i="146"/>
  <c r="U2868" i="146" a="1"/>
  <c r="U2868" i="146"/>
  <c r="Q2868" i="146"/>
  <c r="T2869" i="146"/>
  <c r="U2869" i="146" a="1"/>
  <c r="U2869" i="146"/>
  <c r="Q2869" i="146"/>
  <c r="T2870" i="146"/>
  <c r="U2870" i="146" a="1"/>
  <c r="U2870" i="146"/>
  <c r="Q2870" i="146"/>
  <c r="T2871" i="146"/>
  <c r="U2871" i="146" a="1"/>
  <c r="U2871" i="146"/>
  <c r="Q2871" i="146"/>
  <c r="T2872" i="146"/>
  <c r="U2872" i="146" a="1"/>
  <c r="U2872" i="146"/>
  <c r="Q2872" i="146"/>
  <c r="T2873" i="146"/>
  <c r="U2873" i="146" a="1"/>
  <c r="U2873" i="146"/>
  <c r="Q2873" i="146"/>
  <c r="T2874" i="146"/>
  <c r="U2874" i="146" a="1"/>
  <c r="U2874" i="146"/>
  <c r="Q2874" i="146"/>
  <c r="T2875" i="146"/>
  <c r="U2875" i="146" a="1"/>
  <c r="U2875" i="146"/>
  <c r="Q2875" i="146"/>
  <c r="T2876" i="146"/>
  <c r="U2876" i="146" a="1"/>
  <c r="U2876" i="146"/>
  <c r="Q2876" i="146"/>
  <c r="T2877" i="146"/>
  <c r="U2877" i="146" a="1"/>
  <c r="U2877" i="146"/>
  <c r="Q2877" i="146"/>
  <c r="T2878" i="146"/>
  <c r="U2878" i="146" a="1"/>
  <c r="U2878" i="146"/>
  <c r="Q2878" i="146"/>
  <c r="T2879" i="146"/>
  <c r="U2879" i="146" a="1"/>
  <c r="U2879" i="146"/>
  <c r="Q2879" i="146"/>
  <c r="T2880" i="146"/>
  <c r="U2880" i="146" a="1"/>
  <c r="U2880" i="146"/>
  <c r="Q2880" i="146"/>
  <c r="T2881" i="146"/>
  <c r="U2881" i="146" a="1"/>
  <c r="U2881" i="146"/>
  <c r="Q2881" i="146"/>
  <c r="T2882" i="146"/>
  <c r="U2882" i="146" a="1"/>
  <c r="U2882" i="146"/>
  <c r="Q2882" i="146"/>
  <c r="T2883" i="146"/>
  <c r="U2883" i="146" a="1"/>
  <c r="U2883" i="146"/>
  <c r="Q2883" i="146"/>
  <c r="T2884" i="146"/>
  <c r="U2884" i="146" a="1"/>
  <c r="U2884" i="146"/>
  <c r="Q2884" i="146"/>
  <c r="T2885" i="146"/>
  <c r="U2885" i="146" a="1"/>
  <c r="U2885" i="146"/>
  <c r="Q2885" i="146"/>
  <c r="T2886" i="146"/>
  <c r="U2886" i="146" a="1"/>
  <c r="U2886" i="146"/>
  <c r="Q2886" i="146"/>
  <c r="T2887" i="146"/>
  <c r="U2887" i="146" a="1"/>
  <c r="U2887" i="146"/>
  <c r="Q2887" i="146"/>
  <c r="T2888" i="146"/>
  <c r="U2888" i="146" a="1"/>
  <c r="U2888" i="146"/>
  <c r="Q2888" i="146"/>
  <c r="T2889" i="146"/>
  <c r="U2889" i="146" a="1"/>
  <c r="U2889" i="146"/>
  <c r="Q2889" i="146"/>
  <c r="T2890" i="146"/>
  <c r="U2890" i="146" a="1"/>
  <c r="U2890" i="146"/>
  <c r="Q2890" i="146"/>
  <c r="T2891" i="146"/>
  <c r="U2891" i="146" a="1"/>
  <c r="U2891" i="146"/>
  <c r="Q2891" i="146"/>
  <c r="T2892" i="146"/>
  <c r="U2892" i="146" a="1"/>
  <c r="U2892" i="146"/>
  <c r="Q2892" i="146"/>
  <c r="T2893" i="146"/>
  <c r="U2893" i="146" a="1"/>
  <c r="U2893" i="146"/>
  <c r="Q2893" i="146"/>
  <c r="T2894" i="146"/>
  <c r="U2894" i="146" a="1"/>
  <c r="U2894" i="146"/>
  <c r="Q2894" i="146"/>
  <c r="T2895" i="146"/>
  <c r="U2895" i="146" a="1"/>
  <c r="U2895" i="146"/>
  <c r="Q2895" i="146"/>
  <c r="T2896" i="146"/>
  <c r="U2896" i="146" a="1"/>
  <c r="U2896" i="146"/>
  <c r="Q2896" i="146"/>
  <c r="T2897" i="146"/>
  <c r="U2897" i="146" a="1"/>
  <c r="U2897" i="146"/>
  <c r="Q2897" i="146"/>
  <c r="T2898" i="146"/>
  <c r="U2898" i="146" a="1"/>
  <c r="U2898" i="146"/>
  <c r="Q2898" i="146"/>
  <c r="T2899" i="146"/>
  <c r="U2899" i="146" a="1"/>
  <c r="U2899" i="146"/>
  <c r="Q2899" i="146"/>
  <c r="T2900" i="146"/>
  <c r="U2900" i="146" a="1"/>
  <c r="U2900" i="146"/>
  <c r="Q2900" i="146"/>
  <c r="T2901" i="146"/>
  <c r="U2901" i="146" a="1"/>
  <c r="U2901" i="146"/>
  <c r="Q2901" i="146"/>
  <c r="T2902" i="146"/>
  <c r="U2902" i="146" a="1"/>
  <c r="U2902" i="146"/>
  <c r="Q2902" i="146"/>
  <c r="T2903" i="146"/>
  <c r="U2903" i="146" a="1"/>
  <c r="U2903" i="146"/>
  <c r="Q2903" i="146"/>
  <c r="T2904" i="146"/>
  <c r="U2904" i="146" a="1"/>
  <c r="U2904" i="146"/>
  <c r="Q2904" i="146"/>
  <c r="T2905" i="146"/>
  <c r="U2905" i="146" a="1"/>
  <c r="U2905" i="146"/>
  <c r="Q2905" i="146"/>
  <c r="T2906" i="146"/>
  <c r="U2906" i="146" a="1"/>
  <c r="U2906" i="146"/>
  <c r="Q2906" i="146"/>
  <c r="T2907" i="146"/>
  <c r="U2907" i="146" a="1"/>
  <c r="U2907" i="146"/>
  <c r="Q2907" i="146"/>
  <c r="T2908" i="146"/>
  <c r="U2908" i="146" a="1"/>
  <c r="U2908" i="146"/>
  <c r="Q2908" i="146"/>
  <c r="T2909" i="146"/>
  <c r="U2909" i="146" a="1"/>
  <c r="U2909" i="146"/>
  <c r="Q2909" i="146"/>
  <c r="T2910" i="146"/>
  <c r="U2910" i="146" a="1"/>
  <c r="U2910" i="146"/>
  <c r="Q2910" i="146"/>
  <c r="T2911" i="146"/>
  <c r="U2911" i="146" a="1"/>
  <c r="U2911" i="146"/>
  <c r="Q2911" i="146"/>
  <c r="T2912" i="146"/>
  <c r="U2912" i="146" a="1"/>
  <c r="U2912" i="146"/>
  <c r="Q2912" i="146"/>
  <c r="T2913" i="146"/>
  <c r="U2913" i="146" a="1"/>
  <c r="U2913" i="146"/>
  <c r="Q2913" i="146"/>
  <c r="T2914" i="146"/>
  <c r="U2914" i="146" a="1"/>
  <c r="U2914" i="146"/>
  <c r="Q2914" i="146"/>
  <c r="T2915" i="146"/>
  <c r="U2915" i="146" a="1"/>
  <c r="U2915" i="146"/>
  <c r="Q2915" i="146"/>
  <c r="T2916" i="146"/>
  <c r="U2916" i="146" a="1"/>
  <c r="U2916" i="146"/>
  <c r="Q2916" i="146"/>
  <c r="T2917" i="146"/>
  <c r="U2917" i="146" a="1"/>
  <c r="U2917" i="146"/>
  <c r="Q2917" i="146"/>
  <c r="T2918" i="146"/>
  <c r="U2918" i="146" a="1"/>
  <c r="U2918" i="146"/>
  <c r="Q2918" i="146"/>
  <c r="T2919" i="146"/>
  <c r="U2919" i="146" a="1"/>
  <c r="U2919" i="146"/>
  <c r="Q2919" i="146"/>
  <c r="T2920" i="146"/>
  <c r="U2920" i="146" a="1"/>
  <c r="U2920" i="146"/>
  <c r="Q2920" i="146"/>
  <c r="T2921" i="146"/>
  <c r="U2921" i="146" a="1"/>
  <c r="U2921" i="146"/>
  <c r="Q2921" i="146"/>
  <c r="T2922" i="146"/>
  <c r="U2922" i="146" a="1"/>
  <c r="U2922" i="146"/>
  <c r="Q2922" i="146"/>
  <c r="T2923" i="146"/>
  <c r="U2923" i="146" a="1"/>
  <c r="U2923" i="146"/>
  <c r="Q2923" i="146"/>
  <c r="T2924" i="146"/>
  <c r="U2924" i="146" a="1"/>
  <c r="U2924" i="146"/>
  <c r="Q2924" i="146"/>
  <c r="T2925" i="146"/>
  <c r="U2925" i="146" a="1"/>
  <c r="U2925" i="146"/>
  <c r="Q2925" i="146"/>
  <c r="T2926" i="146"/>
  <c r="U2926" i="146" a="1"/>
  <c r="U2926" i="146"/>
  <c r="Q2926" i="146"/>
  <c r="T2927" i="146"/>
  <c r="U2927" i="146" a="1"/>
  <c r="U2927" i="146"/>
  <c r="Q2927" i="146"/>
  <c r="T2928" i="146"/>
  <c r="U2928" i="146" a="1"/>
  <c r="U2928" i="146"/>
  <c r="Q2928" i="146"/>
  <c r="T2929" i="146"/>
  <c r="U2929" i="146" a="1"/>
  <c r="U2929" i="146"/>
  <c r="Q2929" i="146"/>
  <c r="T2930" i="146"/>
  <c r="U2930" i="146" a="1"/>
  <c r="U2930" i="146"/>
  <c r="Q2930" i="146"/>
  <c r="T2931" i="146"/>
  <c r="U2931" i="146" a="1"/>
  <c r="U2931" i="146"/>
  <c r="Q2931" i="146"/>
  <c r="T2932" i="146"/>
  <c r="U2932" i="146" a="1"/>
  <c r="U2932" i="146"/>
  <c r="Q2932" i="146"/>
  <c r="T2933" i="146"/>
  <c r="U2933" i="146" a="1"/>
  <c r="U2933" i="146"/>
  <c r="Q2933" i="146"/>
  <c r="T2934" i="146"/>
  <c r="U2934" i="146" a="1"/>
  <c r="U2934" i="146"/>
  <c r="Q2934" i="146"/>
  <c r="T2935" i="146"/>
  <c r="U2935" i="146" a="1"/>
  <c r="U2935" i="146"/>
  <c r="Q2935" i="146"/>
  <c r="T2936" i="146"/>
  <c r="U2936" i="146" a="1"/>
  <c r="U2936" i="146"/>
  <c r="Q2936" i="146"/>
  <c r="T2937" i="146"/>
  <c r="U2937" i="146" a="1"/>
  <c r="U2937" i="146"/>
  <c r="Q2937" i="146"/>
  <c r="T2938" i="146"/>
  <c r="U2938" i="146" a="1"/>
  <c r="U2938" i="146"/>
  <c r="Q2938" i="146"/>
  <c r="T2939" i="146"/>
  <c r="U2939" i="146" a="1"/>
  <c r="U2939" i="146"/>
  <c r="Q2939" i="146"/>
  <c r="T2940" i="146"/>
  <c r="U2940" i="146" a="1"/>
  <c r="U2940" i="146"/>
  <c r="Q2940" i="146"/>
  <c r="T2941" i="146"/>
  <c r="U2941" i="146" a="1"/>
  <c r="U2941" i="146"/>
  <c r="Q2941" i="146"/>
  <c r="T2942" i="146"/>
  <c r="U2942" i="146" a="1"/>
  <c r="U2942" i="146"/>
  <c r="Q2942" i="146"/>
  <c r="T2943" i="146"/>
  <c r="U2943" i="146" a="1"/>
  <c r="U2943" i="146"/>
  <c r="Q2943" i="146"/>
  <c r="T2944" i="146"/>
  <c r="U2944" i="146" a="1"/>
  <c r="U2944" i="146"/>
  <c r="Q2944" i="146"/>
  <c r="T2945" i="146"/>
  <c r="U2945" i="146" a="1"/>
  <c r="U2945" i="146"/>
  <c r="Q2945" i="146"/>
  <c r="T2946" i="146"/>
  <c r="U2946" i="146" a="1"/>
  <c r="U2946" i="146"/>
  <c r="Q2946" i="146"/>
  <c r="T2947" i="146"/>
  <c r="U2947" i="146" a="1"/>
  <c r="U2947" i="146"/>
  <c r="Q2947" i="146"/>
  <c r="T2948" i="146"/>
  <c r="U2948" i="146" a="1"/>
  <c r="U2948" i="146"/>
  <c r="Q2948" i="146"/>
  <c r="T2949" i="146"/>
  <c r="U2949" i="146" a="1"/>
  <c r="U2949" i="146"/>
  <c r="Q2949" i="146"/>
  <c r="T2950" i="146"/>
  <c r="U2950" i="146" a="1"/>
  <c r="U2950" i="146"/>
  <c r="Q2950" i="146"/>
  <c r="T2951" i="146"/>
  <c r="U2951" i="146" a="1"/>
  <c r="U2951" i="146"/>
  <c r="Q2951" i="146"/>
  <c r="T2952" i="146"/>
  <c r="U2952" i="146" a="1"/>
  <c r="U2952" i="146"/>
  <c r="Q2952" i="146"/>
  <c r="T2953" i="146"/>
  <c r="U2953" i="146" a="1"/>
  <c r="U2953" i="146"/>
  <c r="Q2953" i="146"/>
  <c r="T2954" i="146"/>
  <c r="U2954" i="146" a="1"/>
  <c r="U2954" i="146"/>
  <c r="Q2954" i="146"/>
  <c r="T2955" i="146"/>
  <c r="U2955" i="146" a="1"/>
  <c r="U2955" i="146"/>
  <c r="Q2955" i="146"/>
  <c r="T2956" i="146"/>
  <c r="U2956" i="146" a="1"/>
  <c r="U2956" i="146"/>
  <c r="Q2956" i="146"/>
  <c r="T2957" i="146"/>
  <c r="U2957" i="146" a="1"/>
  <c r="U2957" i="146"/>
  <c r="Q2957" i="146"/>
  <c r="T2958" i="146"/>
  <c r="U2958" i="146" a="1"/>
  <c r="U2958" i="146"/>
  <c r="Q2958" i="146"/>
  <c r="T2959" i="146"/>
  <c r="U2959" i="146" a="1"/>
  <c r="U2959" i="146"/>
  <c r="Q2959" i="146"/>
  <c r="T2960" i="146"/>
  <c r="U2960" i="146" a="1"/>
  <c r="U2960" i="146"/>
  <c r="Q2960" i="146"/>
  <c r="T2961" i="146"/>
  <c r="U2961" i="146" a="1"/>
  <c r="U2961" i="146"/>
  <c r="Q2961" i="146"/>
  <c r="T2962" i="146"/>
  <c r="U2962" i="146" a="1"/>
  <c r="U2962" i="146"/>
  <c r="Q2962" i="146"/>
  <c r="T2963" i="146"/>
  <c r="U2963" i="146" a="1"/>
  <c r="U2963" i="146"/>
  <c r="Q2963" i="146"/>
  <c r="T2964" i="146"/>
  <c r="U2964" i="146" a="1"/>
  <c r="U2964" i="146"/>
  <c r="Q2964" i="146"/>
  <c r="T2965" i="146"/>
  <c r="U2965" i="146" a="1"/>
  <c r="U2965" i="146"/>
  <c r="Q2965" i="146"/>
  <c r="T2966" i="146"/>
  <c r="U2966" i="146" a="1"/>
  <c r="U2966" i="146"/>
  <c r="Q2966" i="146"/>
  <c r="T2967" i="146"/>
  <c r="U2967" i="146" a="1"/>
  <c r="U2967" i="146"/>
  <c r="Q2967" i="146"/>
  <c r="T2968" i="146"/>
  <c r="U2968" i="146" a="1"/>
  <c r="U2968" i="146"/>
  <c r="Q2968" i="146"/>
  <c r="T2969" i="146"/>
  <c r="U2969" i="146" a="1"/>
  <c r="U2969" i="146"/>
  <c r="Q2969" i="146"/>
  <c r="T2970" i="146"/>
  <c r="U2970" i="146" a="1"/>
  <c r="U2970" i="146"/>
  <c r="Q2970" i="146"/>
  <c r="T2971" i="146"/>
  <c r="U2971" i="146" a="1"/>
  <c r="U2971" i="146"/>
  <c r="Q2971" i="146"/>
  <c r="T2972" i="146"/>
  <c r="U2972" i="146" a="1"/>
  <c r="U2972" i="146"/>
  <c r="Q2972" i="146"/>
  <c r="T2973" i="146"/>
  <c r="U2973" i="146" a="1"/>
  <c r="U2973" i="146"/>
  <c r="Q2973" i="146"/>
  <c r="T2974" i="146"/>
  <c r="U2974" i="146" a="1"/>
  <c r="U2974" i="146"/>
  <c r="Q2974" i="146"/>
  <c r="T2975" i="146"/>
  <c r="U2975" i="146" a="1"/>
  <c r="U2975" i="146"/>
  <c r="Q2975" i="146"/>
  <c r="T2976" i="146"/>
  <c r="U2976" i="146" a="1"/>
  <c r="U2976" i="146"/>
  <c r="Q2976" i="146"/>
  <c r="T2977" i="146"/>
  <c r="U2977" i="146" a="1"/>
  <c r="U2977" i="146"/>
  <c r="Q2977" i="146"/>
  <c r="T2978" i="146"/>
  <c r="U2978" i="146" a="1"/>
  <c r="U2978" i="146"/>
  <c r="Q2978" i="146"/>
  <c r="T2979" i="146"/>
  <c r="U2979" i="146" a="1"/>
  <c r="U2979" i="146"/>
  <c r="Q2979" i="146"/>
  <c r="T2980" i="146"/>
  <c r="U2980" i="146" a="1"/>
  <c r="U2980" i="146"/>
  <c r="Q2980" i="146"/>
  <c r="T2981" i="146"/>
  <c r="U2981" i="146" a="1"/>
  <c r="U2981" i="146"/>
  <c r="Q2981" i="146"/>
  <c r="T2982" i="146"/>
  <c r="U2982" i="146" a="1"/>
  <c r="U2982" i="146"/>
  <c r="Q2982" i="146"/>
  <c r="T2983" i="146"/>
  <c r="U2983" i="146" a="1"/>
  <c r="U2983" i="146"/>
  <c r="Q2983" i="146"/>
  <c r="T2984" i="146"/>
  <c r="U2984" i="146" a="1"/>
  <c r="U2984" i="146"/>
  <c r="Q2984" i="146"/>
  <c r="T2985" i="146"/>
  <c r="U2985" i="146" a="1"/>
  <c r="U2985" i="146"/>
  <c r="Q2985" i="146"/>
  <c r="T2986" i="146"/>
  <c r="U2986" i="146" a="1"/>
  <c r="U2986" i="146"/>
  <c r="Q2986" i="146"/>
  <c r="T2987" i="146"/>
  <c r="U2987" i="146" a="1"/>
  <c r="U2987" i="146"/>
  <c r="Q2987" i="146"/>
  <c r="T2988" i="146"/>
  <c r="U2988" i="146" a="1"/>
  <c r="U2988" i="146"/>
  <c r="Q2988" i="146"/>
  <c r="T2989" i="146"/>
  <c r="U2989" i="146" a="1"/>
  <c r="U2989" i="146"/>
  <c r="Q2989" i="146"/>
  <c r="T2990" i="146"/>
  <c r="U2990" i="146" a="1"/>
  <c r="U2990" i="146"/>
  <c r="Q2990" i="146"/>
  <c r="T2991" i="146"/>
  <c r="U2991" i="146" a="1"/>
  <c r="U2991" i="146"/>
  <c r="Q2991" i="146"/>
  <c r="T2992" i="146"/>
  <c r="U2992" i="146" a="1"/>
  <c r="U2992" i="146"/>
  <c r="Q2992" i="146"/>
  <c r="T2993" i="146"/>
  <c r="U2993" i="146" a="1"/>
  <c r="U2993" i="146"/>
  <c r="Q2993" i="146"/>
  <c r="T2994" i="146"/>
  <c r="U2994" i="146" a="1"/>
  <c r="U2994" i="146"/>
  <c r="Q2994" i="146"/>
  <c r="T2995" i="146"/>
  <c r="U2995" i="146" a="1"/>
  <c r="U2995" i="146"/>
  <c r="Q2995" i="146"/>
  <c r="T2996" i="146"/>
  <c r="U2996" i="146" a="1"/>
  <c r="U2996" i="146"/>
  <c r="Q2996" i="146"/>
  <c r="T2997" i="146"/>
  <c r="U2997" i="146" a="1"/>
  <c r="U2997" i="146"/>
  <c r="Q2997" i="146"/>
  <c r="T2998" i="146"/>
  <c r="U2998" i="146" a="1"/>
  <c r="U2998" i="146"/>
  <c r="Q2998" i="146"/>
  <c r="T2999" i="146"/>
  <c r="U2999" i="146" a="1"/>
  <c r="U2999" i="146"/>
  <c r="Q2999" i="146"/>
  <c r="T3000" i="146"/>
  <c r="U3000" i="146" a="1"/>
  <c r="U3000" i="146"/>
  <c r="Q3000" i="146"/>
  <c r="T3001" i="146"/>
  <c r="U3001" i="146" a="1"/>
  <c r="U3001" i="146"/>
  <c r="Q3001" i="146"/>
  <c r="T3002" i="146"/>
  <c r="U3002" i="146" a="1"/>
  <c r="U3002" i="146"/>
  <c r="Q3002" i="146"/>
  <c r="T3003" i="146"/>
  <c r="U3003" i="146" a="1"/>
  <c r="U3003" i="146"/>
  <c r="Q3003" i="146"/>
  <c r="T3004" i="146"/>
  <c r="U3004" i="146" a="1"/>
  <c r="U3004" i="146"/>
  <c r="Q3004" i="146"/>
  <c r="T3005" i="146"/>
  <c r="T3006" i="146"/>
  <c r="U3006" i="146" a="1"/>
  <c r="U3006" i="146"/>
  <c r="Q3006" i="146"/>
  <c r="T3007" i="146"/>
  <c r="U3007" i="146" a="1"/>
  <c r="U3007" i="146"/>
  <c r="Q3007" i="146"/>
  <c r="T3008" i="146"/>
  <c r="U3008" i="146" a="1"/>
  <c r="U3008" i="146"/>
  <c r="Q3008" i="146"/>
  <c r="T3009" i="146"/>
  <c r="U3009" i="146" a="1"/>
  <c r="U3009" i="146"/>
  <c r="Q3009" i="146"/>
  <c r="T3010" i="146"/>
  <c r="U3010" i="146" a="1"/>
  <c r="U3010" i="146"/>
  <c r="Q3010" i="146"/>
  <c r="T3011" i="146"/>
  <c r="U3011" i="146" a="1"/>
  <c r="U3011" i="146"/>
  <c r="Q3011" i="146"/>
  <c r="T3012" i="146"/>
  <c r="U3012" i="146" a="1"/>
  <c r="U3012" i="146"/>
  <c r="Q3012" i="146"/>
  <c r="T3013" i="146"/>
  <c r="U3013" i="146" a="1"/>
  <c r="U3013" i="146"/>
  <c r="Q3013" i="146"/>
  <c r="T3014" i="146"/>
  <c r="U3014" i="146" a="1"/>
  <c r="U3014" i="146"/>
  <c r="Q3014" i="146"/>
  <c r="T3015" i="146"/>
  <c r="U3015" i="146" a="1"/>
  <c r="U3015" i="146"/>
  <c r="Q3015" i="146"/>
  <c r="T3016" i="146"/>
  <c r="U3016" i="146" a="1"/>
  <c r="U3016" i="146"/>
  <c r="Q3016" i="146"/>
  <c r="T3017" i="146"/>
  <c r="U3017" i="146" a="1"/>
  <c r="U3017" i="146"/>
  <c r="Q3017" i="146"/>
  <c r="T3018" i="146"/>
  <c r="U3018" i="146" a="1"/>
  <c r="U3018" i="146"/>
  <c r="Q3018" i="146"/>
  <c r="T3019" i="146"/>
  <c r="U3019" i="146" a="1"/>
  <c r="U3019" i="146"/>
  <c r="Q3019" i="146"/>
  <c r="T3020" i="146"/>
  <c r="U3020" i="146" a="1"/>
  <c r="U3020" i="146"/>
  <c r="Q3020" i="146"/>
  <c r="T3021" i="146"/>
  <c r="U3021" i="146" a="1"/>
  <c r="U3021" i="146"/>
  <c r="Q3021" i="146"/>
  <c r="T3022" i="146"/>
  <c r="U3022" i="146" a="1"/>
  <c r="U3022" i="146"/>
  <c r="Q3022" i="146"/>
  <c r="T3023" i="146"/>
  <c r="U3023" i="146" a="1"/>
  <c r="U3023" i="146"/>
  <c r="Q3023" i="146"/>
  <c r="T3024" i="146"/>
  <c r="U3024" i="146" a="1"/>
  <c r="U3024" i="146"/>
  <c r="Q3024" i="146"/>
  <c r="H8" i="192"/>
  <c r="H9" i="192"/>
  <c r="H10" i="192"/>
  <c r="H11" i="192"/>
  <c r="H12" i="192"/>
  <c r="H13" i="192"/>
  <c r="H14" i="192"/>
  <c r="H15" i="192"/>
  <c r="H16" i="192"/>
  <c r="H17" i="192"/>
  <c r="H18" i="192"/>
  <c r="H19" i="192"/>
  <c r="H20" i="192"/>
  <c r="H21" i="192"/>
  <c r="H22" i="192"/>
  <c r="H23" i="192"/>
  <c r="H24" i="192"/>
  <c r="H25" i="192"/>
  <c r="H26" i="192"/>
  <c r="H27" i="192"/>
  <c r="H28" i="192"/>
  <c r="H29" i="192"/>
  <c r="H30" i="192"/>
  <c r="H31" i="192"/>
  <c r="H32" i="192"/>
  <c r="H33" i="192"/>
  <c r="H34" i="192"/>
  <c r="H35" i="192"/>
  <c r="H36" i="192"/>
  <c r="H37" i="192"/>
  <c r="H38" i="192"/>
  <c r="H39" i="192"/>
  <c r="H40" i="192"/>
  <c r="H41" i="192"/>
  <c r="H42" i="192"/>
  <c r="H43" i="192"/>
  <c r="H44" i="192"/>
  <c r="H45" i="192"/>
  <c r="H46" i="192"/>
  <c r="H47" i="192"/>
  <c r="H48" i="192"/>
  <c r="H49" i="192"/>
  <c r="H50" i="192"/>
  <c r="H51" i="192"/>
  <c r="H52" i="192"/>
  <c r="H53" i="192"/>
  <c r="H54" i="192"/>
  <c r="H55" i="192"/>
  <c r="H56" i="192"/>
  <c r="H57" i="192"/>
  <c r="H58" i="192"/>
  <c r="H59" i="192"/>
  <c r="H60" i="192"/>
  <c r="H61" i="192"/>
  <c r="H62" i="192"/>
  <c r="H63" i="192"/>
  <c r="H64" i="192"/>
  <c r="H65" i="192"/>
  <c r="H66" i="192"/>
  <c r="H67" i="192"/>
  <c r="H68" i="192"/>
  <c r="H70" i="192"/>
  <c r="H71" i="192"/>
  <c r="H72" i="192"/>
  <c r="H73" i="192"/>
  <c r="H74" i="192"/>
  <c r="H75" i="192"/>
  <c r="H76" i="192"/>
  <c r="H77" i="192"/>
  <c r="H78" i="192"/>
  <c r="H79" i="192"/>
  <c r="H80" i="192"/>
  <c r="H81" i="192"/>
  <c r="H82" i="192"/>
  <c r="H83" i="192"/>
  <c r="H84" i="192"/>
  <c r="H85" i="192"/>
  <c r="H86" i="192"/>
  <c r="H87" i="192"/>
  <c r="H88" i="192"/>
  <c r="H89" i="192"/>
  <c r="H90" i="192"/>
  <c r="H91" i="192"/>
  <c r="H92" i="192"/>
  <c r="H93" i="192"/>
  <c r="H94" i="192"/>
  <c r="H95" i="192"/>
  <c r="H96" i="192"/>
  <c r="H97" i="192"/>
  <c r="H98" i="192"/>
  <c r="H99" i="192"/>
  <c r="H100" i="192"/>
  <c r="H101" i="192"/>
  <c r="H102" i="192"/>
  <c r="H103" i="192"/>
  <c r="H104" i="192"/>
  <c r="H105" i="192"/>
  <c r="H106" i="192"/>
  <c r="H107" i="192"/>
  <c r="H108" i="192"/>
  <c r="H109" i="192"/>
  <c r="H110" i="192"/>
  <c r="H111" i="192"/>
  <c r="H112" i="192"/>
  <c r="H113" i="192"/>
  <c r="H114" i="192"/>
  <c r="H115" i="192"/>
  <c r="H116" i="192"/>
  <c r="H117" i="192"/>
  <c r="H118" i="192"/>
  <c r="H119" i="192"/>
  <c r="H120" i="192"/>
  <c r="H121" i="192"/>
  <c r="H122" i="192"/>
  <c r="H123" i="192"/>
  <c r="H124" i="192"/>
  <c r="H125" i="192"/>
  <c r="H126" i="192"/>
  <c r="H127" i="192"/>
  <c r="H128" i="192"/>
  <c r="H129" i="192"/>
  <c r="H130" i="192"/>
  <c r="H131" i="192"/>
  <c r="H132" i="192"/>
  <c r="H133" i="192"/>
  <c r="H134" i="192"/>
  <c r="H135" i="192"/>
  <c r="H136" i="192"/>
  <c r="H137" i="192"/>
  <c r="H138" i="192"/>
  <c r="H139" i="192"/>
  <c r="H140" i="192"/>
  <c r="H141" i="192"/>
  <c r="H142" i="192"/>
  <c r="H143" i="192"/>
  <c r="H144" i="192"/>
  <c r="H145" i="192"/>
  <c r="H146" i="192"/>
  <c r="H147" i="192"/>
  <c r="H148" i="192"/>
  <c r="H149" i="192"/>
  <c r="H150" i="192"/>
  <c r="H151" i="192"/>
  <c r="H152" i="192"/>
  <c r="H153" i="192"/>
  <c r="H154" i="192"/>
  <c r="H155" i="192"/>
  <c r="H156" i="192"/>
  <c r="H157" i="192"/>
  <c r="H158" i="192"/>
  <c r="H159" i="192"/>
  <c r="H160" i="192"/>
  <c r="H7" i="192"/>
  <c r="U412" i="146" a="1"/>
  <c r="U412" i="146"/>
  <c r="Q412" i="146"/>
  <c r="U162" i="146" a="1"/>
  <c r="U162" i="146"/>
  <c r="Q162" i="146"/>
  <c r="U126" i="146" a="1"/>
  <c r="U126" i="146"/>
  <c r="Q126" i="146"/>
  <c r="B2448" i="146"/>
  <c r="B2449" i="146"/>
  <c r="B2450" i="146"/>
  <c r="B2451" i="146"/>
  <c r="B2452" i="146"/>
  <c r="B2453" i="146"/>
  <c r="B2454" i="146"/>
  <c r="B2455" i="146"/>
  <c r="B2456" i="146"/>
  <c r="B2457" i="146"/>
  <c r="B2458" i="146"/>
  <c r="B2459" i="146"/>
  <c r="B2460" i="146"/>
  <c r="B2461" i="146"/>
  <c r="B2462" i="146"/>
  <c r="B2463" i="146"/>
  <c r="B2464" i="146"/>
  <c r="B2465" i="146"/>
  <c r="B2466" i="146"/>
  <c r="B2467" i="146"/>
  <c r="B2468" i="146"/>
  <c r="B2469" i="146"/>
  <c r="B2470" i="146"/>
  <c r="B2471" i="146"/>
  <c r="B2472" i="146"/>
  <c r="B2473" i="146"/>
  <c r="B2474" i="146"/>
  <c r="B2475" i="146"/>
  <c r="B2476" i="146"/>
  <c r="B2477" i="146"/>
  <c r="B2478" i="146"/>
  <c r="B2479" i="146"/>
  <c r="B2480" i="146"/>
  <c r="B2481" i="146"/>
  <c r="B2482" i="146"/>
  <c r="B2483" i="146"/>
  <c r="B2484" i="146"/>
  <c r="B2485" i="146"/>
  <c r="B2486" i="146"/>
  <c r="B2487" i="146"/>
  <c r="B2488" i="146"/>
  <c r="B2489" i="146"/>
  <c r="B2490" i="146"/>
  <c r="B2491" i="146"/>
  <c r="B2492" i="146"/>
  <c r="B2493" i="146"/>
  <c r="B2494" i="146"/>
  <c r="B2495" i="146"/>
  <c r="B2496" i="146"/>
  <c r="B2497" i="146"/>
  <c r="B2498" i="146"/>
  <c r="B2499" i="146"/>
  <c r="B2500" i="146"/>
  <c r="B2501" i="146"/>
  <c r="B2502" i="146"/>
  <c r="B2503" i="146"/>
  <c r="B2504" i="146"/>
  <c r="B2505" i="146"/>
  <c r="B2506" i="146"/>
  <c r="B2507" i="146"/>
  <c r="B2508" i="146"/>
  <c r="B2509" i="146"/>
  <c r="B2510" i="146"/>
  <c r="B2511" i="146"/>
  <c r="B2512" i="146"/>
  <c r="B2513" i="146"/>
  <c r="B2514" i="146"/>
  <c r="B2515" i="146"/>
  <c r="B2516" i="146"/>
  <c r="B2517" i="146"/>
  <c r="B2518" i="146"/>
  <c r="B2519" i="146"/>
  <c r="B2520" i="146"/>
  <c r="B2521" i="146"/>
  <c r="B2522" i="146"/>
  <c r="B2523" i="146"/>
  <c r="B2524" i="146"/>
  <c r="B2525" i="146"/>
  <c r="B2526" i="146"/>
  <c r="B2527" i="146"/>
  <c r="B2528" i="146"/>
  <c r="B2529" i="146"/>
  <c r="B2530" i="146"/>
  <c r="B2531" i="146"/>
  <c r="B2532" i="146"/>
  <c r="B2533" i="146"/>
  <c r="B2534" i="146"/>
  <c r="B2535" i="146"/>
  <c r="B2536" i="146"/>
  <c r="B2537" i="146"/>
  <c r="B2538" i="146"/>
  <c r="B2539" i="146"/>
  <c r="B2540" i="146"/>
  <c r="B2541" i="146"/>
  <c r="B2542" i="146"/>
  <c r="B2543" i="146"/>
  <c r="B2544" i="146"/>
  <c r="B2545" i="146"/>
  <c r="B2546" i="146"/>
  <c r="B2547" i="146"/>
  <c r="B2548" i="146"/>
  <c r="B2549" i="146"/>
  <c r="B2550" i="146"/>
  <c r="B2551" i="146"/>
  <c r="B2552" i="146"/>
  <c r="B2553" i="146"/>
  <c r="B2554" i="146"/>
  <c r="B2555" i="146"/>
  <c r="B2556" i="146"/>
  <c r="B2557" i="146"/>
  <c r="B2558" i="146"/>
  <c r="B2559" i="146"/>
  <c r="B2560" i="146"/>
  <c r="B2561" i="146"/>
  <c r="B2562" i="146"/>
  <c r="B2563" i="146"/>
  <c r="B2564" i="146"/>
  <c r="B2565" i="146"/>
  <c r="B2566" i="146"/>
  <c r="B2567" i="146"/>
  <c r="B2568" i="146"/>
  <c r="B2569" i="146"/>
  <c r="B2570" i="146"/>
  <c r="B2571" i="146"/>
  <c r="B2572" i="146"/>
  <c r="B2573" i="146"/>
  <c r="B2574" i="146"/>
  <c r="B2575" i="146"/>
  <c r="B2576" i="146"/>
  <c r="B2577" i="146"/>
  <c r="B2578" i="146"/>
  <c r="B2579" i="146"/>
  <c r="B2580" i="146"/>
  <c r="B2581" i="146"/>
  <c r="B2582" i="146"/>
  <c r="B2583" i="146"/>
  <c r="B2584" i="146"/>
  <c r="B2585" i="146"/>
  <c r="B2586" i="146"/>
  <c r="B2587" i="146"/>
  <c r="B2588" i="146"/>
  <c r="B2589" i="146"/>
  <c r="B2590" i="146"/>
  <c r="B2591" i="146"/>
  <c r="B2592" i="146"/>
  <c r="B2593" i="146"/>
  <c r="B2594" i="146"/>
  <c r="B2595" i="146"/>
  <c r="B2596" i="146"/>
  <c r="B2597" i="146"/>
  <c r="B2598" i="146"/>
  <c r="B2599" i="146"/>
  <c r="B2600" i="146"/>
  <c r="B2601" i="146"/>
  <c r="B2602" i="146"/>
  <c r="B2603" i="146"/>
  <c r="B2604" i="146"/>
  <c r="B2605" i="146"/>
  <c r="B2606" i="146"/>
  <c r="B2607" i="146"/>
  <c r="B2608" i="146"/>
  <c r="B2609" i="146"/>
  <c r="B2610" i="146"/>
  <c r="B2611" i="146"/>
  <c r="B2612" i="146"/>
  <c r="B2613" i="146"/>
  <c r="B2614" i="146"/>
  <c r="B2615" i="146"/>
  <c r="B2616" i="146"/>
  <c r="B2617" i="146"/>
  <c r="B2618" i="146"/>
  <c r="B2619" i="146"/>
  <c r="B2620" i="146"/>
  <c r="B2621" i="146"/>
  <c r="B2622" i="146"/>
  <c r="B2623" i="146"/>
  <c r="B2624" i="146"/>
  <c r="B2625" i="146"/>
  <c r="B2626" i="146"/>
  <c r="B2627" i="146"/>
  <c r="B2628" i="146"/>
  <c r="B2629" i="146"/>
  <c r="B2630" i="146"/>
  <c r="B2631" i="146"/>
  <c r="B2632" i="146"/>
  <c r="B2633" i="146"/>
  <c r="B2634" i="146"/>
  <c r="B2635" i="146"/>
  <c r="B2636" i="146"/>
  <c r="B2637" i="146"/>
  <c r="B2638" i="146"/>
  <c r="B2639" i="146"/>
  <c r="B2640" i="146"/>
  <c r="B2641" i="146"/>
  <c r="B2837" i="146"/>
  <c r="B2838" i="146"/>
  <c r="B2839" i="146"/>
  <c r="B2840" i="146"/>
  <c r="B2841" i="146"/>
  <c r="B2842" i="146"/>
  <c r="B2843" i="146"/>
  <c r="K122" i="162"/>
  <c r="L122" i="162"/>
  <c r="B2844" i="146"/>
  <c r="B2845" i="146"/>
  <c r="B2846" i="146"/>
  <c r="B2847" i="146"/>
  <c r="K121" i="162"/>
  <c r="L121" i="162"/>
  <c r="B2848" i="146"/>
  <c r="B2849" i="146"/>
  <c r="B2850" i="146"/>
  <c r="B2851" i="146"/>
  <c r="B2852" i="146"/>
  <c r="B2853" i="146"/>
  <c r="B2854" i="146"/>
  <c r="B2855" i="146"/>
  <c r="B2856" i="146"/>
  <c r="B2857" i="146"/>
  <c r="B2858" i="146"/>
  <c r="B2859" i="146"/>
  <c r="B2860" i="146"/>
  <c r="B2861" i="146"/>
  <c r="B2862" i="146"/>
  <c r="B2863" i="146"/>
  <c r="B2864" i="146"/>
  <c r="B2865" i="146"/>
  <c r="B2866" i="146"/>
  <c r="B2867" i="146"/>
  <c r="B2868" i="146"/>
  <c r="B2869" i="146"/>
  <c r="B2870" i="146"/>
  <c r="B2871" i="146"/>
  <c r="B2872" i="146"/>
  <c r="B2873" i="146"/>
  <c r="B2874" i="146"/>
  <c r="B2875" i="146"/>
  <c r="B2876" i="146"/>
  <c r="B2877" i="146"/>
  <c r="B2878" i="146"/>
  <c r="B2879" i="146"/>
  <c r="B2880" i="146"/>
  <c r="B2881" i="146"/>
  <c r="B2882" i="146"/>
  <c r="B2883" i="146"/>
  <c r="B2884" i="146"/>
  <c r="B2885" i="146"/>
  <c r="B2886" i="146"/>
  <c r="B2887" i="146"/>
  <c r="B2888" i="146"/>
  <c r="B2889" i="146"/>
  <c r="B2890" i="146"/>
  <c r="B2891" i="146"/>
  <c r="B2892" i="146"/>
  <c r="B2893" i="146"/>
  <c r="B2894" i="146"/>
  <c r="B2895" i="146"/>
  <c r="B2896" i="146"/>
  <c r="B2897" i="146"/>
  <c r="B2898" i="146"/>
  <c r="B2899" i="146"/>
  <c r="B2900" i="146"/>
  <c r="B2901" i="146"/>
  <c r="B2902" i="146"/>
  <c r="B2903" i="146"/>
  <c r="B2904" i="146"/>
  <c r="B2905" i="146"/>
  <c r="B2906" i="146"/>
  <c r="B2907" i="146"/>
  <c r="B2908" i="146"/>
  <c r="B2909" i="146"/>
  <c r="B2910" i="146"/>
  <c r="B2911" i="146"/>
  <c r="B2912" i="146"/>
  <c r="B2913" i="146"/>
  <c r="B2914" i="146"/>
  <c r="B2915" i="146"/>
  <c r="B2916" i="146"/>
  <c r="B2917" i="146"/>
  <c r="B2918" i="146"/>
  <c r="B2919" i="146"/>
  <c r="B2920" i="146"/>
  <c r="B2921" i="146"/>
  <c r="B2922" i="146"/>
  <c r="B2923" i="146"/>
  <c r="B2924" i="146"/>
  <c r="B2925" i="146"/>
  <c r="B2926" i="146"/>
  <c r="B2927" i="146"/>
  <c r="B2928" i="146"/>
  <c r="B2929" i="146"/>
  <c r="B2930" i="146"/>
  <c r="B2931" i="146"/>
  <c r="B2932" i="146"/>
  <c r="B2933" i="146"/>
  <c r="B2934" i="146"/>
  <c r="B2935" i="146"/>
  <c r="B2936" i="146"/>
  <c r="B2937" i="146"/>
  <c r="B2938" i="146"/>
  <c r="B2939" i="146"/>
  <c r="B2940" i="146"/>
  <c r="B2941" i="146"/>
  <c r="B2942" i="146"/>
  <c r="B2943" i="146"/>
  <c r="B2944" i="146"/>
  <c r="B2945" i="146"/>
  <c r="B2946" i="146"/>
  <c r="B2947" i="146"/>
  <c r="B2948" i="146"/>
  <c r="B2949" i="146"/>
  <c r="B2950" i="146"/>
  <c r="B2951" i="146"/>
  <c r="B2952" i="146"/>
  <c r="B2953" i="146"/>
  <c r="B2954" i="146"/>
  <c r="B2955" i="146"/>
  <c r="B2956" i="146"/>
  <c r="B2957" i="146"/>
  <c r="B2958" i="146"/>
  <c r="B2959" i="146"/>
  <c r="B2960" i="146"/>
  <c r="B2961" i="146"/>
  <c r="B2962" i="146"/>
  <c r="B2963" i="146"/>
  <c r="B2964" i="146"/>
  <c r="B2965" i="146"/>
  <c r="B2966" i="146"/>
  <c r="B2967" i="146"/>
  <c r="B2968" i="146"/>
  <c r="B2969" i="146"/>
  <c r="B2970" i="146"/>
  <c r="B2971" i="146"/>
  <c r="B2972" i="146"/>
  <c r="B2973" i="146"/>
  <c r="B2974" i="146"/>
  <c r="B2975" i="146"/>
  <c r="B2976" i="146"/>
  <c r="B2977" i="146"/>
  <c r="B2978" i="146"/>
  <c r="B2979" i="146"/>
  <c r="B2980" i="146"/>
  <c r="B2981" i="146"/>
  <c r="B2982" i="146"/>
  <c r="B2983" i="146"/>
  <c r="B2984" i="146"/>
  <c r="B2985" i="146"/>
  <c r="B2986" i="146"/>
  <c r="B2987" i="146"/>
  <c r="B2988" i="146"/>
  <c r="B2989" i="146"/>
  <c r="B2990" i="146"/>
  <c r="B2991" i="146"/>
  <c r="B2992" i="146"/>
  <c r="B2993" i="146"/>
  <c r="B2994" i="146"/>
  <c r="B2995" i="146"/>
  <c r="B2996" i="146"/>
  <c r="B2997" i="146"/>
  <c r="B2998" i="146"/>
  <c r="B2999" i="146"/>
  <c r="B3000" i="146"/>
  <c r="B3001" i="146"/>
  <c r="B3002" i="146"/>
  <c r="B3003" i="146"/>
  <c r="B3004" i="146"/>
  <c r="B3005" i="146"/>
  <c r="B3006" i="146"/>
  <c r="B3007" i="146"/>
  <c r="B3008" i="146"/>
  <c r="B3009" i="146"/>
  <c r="B3010" i="146"/>
  <c r="B3011" i="146"/>
  <c r="B3012" i="146"/>
  <c r="B3013" i="146"/>
  <c r="B3014" i="146"/>
  <c r="B3015" i="146"/>
  <c r="B3016" i="146"/>
  <c r="B3017" i="146"/>
  <c r="B3018" i="146"/>
  <c r="B3019" i="146"/>
  <c r="B3020" i="146"/>
  <c r="B3021" i="146"/>
  <c r="B3022" i="146"/>
  <c r="B3023" i="146"/>
  <c r="B3024" i="146"/>
  <c r="B2446" i="146"/>
  <c r="B2447" i="146"/>
  <c r="B11" i="146"/>
  <c r="C29" i="145" a="1"/>
  <c r="C29" i="145"/>
  <c r="P29" i="145"/>
  <c r="B12" i="146"/>
  <c r="B13" i="146"/>
  <c r="B14" i="146"/>
  <c r="B15" i="146"/>
  <c r="B16" i="146"/>
  <c r="B17" i="146"/>
  <c r="B18" i="146"/>
  <c r="B19" i="146"/>
  <c r="B20" i="146"/>
  <c r="B21" i="146"/>
  <c r="B22" i="146"/>
  <c r="B23" i="146"/>
  <c r="B24" i="146"/>
  <c r="B25" i="146"/>
  <c r="B26" i="146"/>
  <c r="B27" i="146"/>
  <c r="B28" i="146"/>
  <c r="B29" i="146"/>
  <c r="B30" i="146"/>
  <c r="B31" i="146"/>
  <c r="B32" i="146"/>
  <c r="B33" i="146"/>
  <c r="B34" i="146"/>
  <c r="B35" i="146"/>
  <c r="B36" i="146"/>
  <c r="B37" i="146"/>
  <c r="B38" i="146"/>
  <c r="B39" i="146"/>
  <c r="B40" i="146"/>
  <c r="B41" i="146"/>
  <c r="B42" i="146"/>
  <c r="B43" i="146"/>
  <c r="B44" i="146"/>
  <c r="B45" i="146"/>
  <c r="B46" i="146"/>
  <c r="B47" i="146"/>
  <c r="B48" i="146"/>
  <c r="B49" i="146"/>
  <c r="B50" i="146"/>
  <c r="B51" i="146"/>
  <c r="B52" i="146"/>
  <c r="B53" i="146"/>
  <c r="B54" i="146"/>
  <c r="B55" i="146"/>
  <c r="B56" i="146"/>
  <c r="B57" i="146"/>
  <c r="B58" i="146"/>
  <c r="B59" i="146"/>
  <c r="B60" i="146"/>
  <c r="B61" i="146"/>
  <c r="B62" i="146"/>
  <c r="B63" i="146"/>
  <c r="B64" i="146"/>
  <c r="B65" i="146"/>
  <c r="B66" i="146"/>
  <c r="B67" i="146"/>
  <c r="B68" i="146"/>
  <c r="B69" i="146"/>
  <c r="B70" i="146"/>
  <c r="B71" i="146"/>
  <c r="B72" i="146"/>
  <c r="B73" i="146"/>
  <c r="B74" i="146"/>
  <c r="B75" i="146"/>
  <c r="B76" i="146"/>
  <c r="B77" i="146"/>
  <c r="B78" i="146"/>
  <c r="B79" i="146"/>
  <c r="B80" i="146"/>
  <c r="B81" i="146"/>
  <c r="B82" i="146"/>
  <c r="B83" i="146"/>
  <c r="B84" i="146"/>
  <c r="B85" i="146"/>
  <c r="B86" i="146"/>
  <c r="B87" i="146"/>
  <c r="B88" i="146"/>
  <c r="B89" i="146"/>
  <c r="B90" i="146"/>
  <c r="B91" i="146"/>
  <c r="B92" i="146"/>
  <c r="B93" i="146"/>
  <c r="B94" i="146"/>
  <c r="B95" i="146"/>
  <c r="B96" i="146"/>
  <c r="B97" i="146"/>
  <c r="B98" i="146"/>
  <c r="B99" i="146"/>
  <c r="B100" i="146"/>
  <c r="B101" i="146"/>
  <c r="B102" i="146"/>
  <c r="B103" i="146"/>
  <c r="B104" i="146"/>
  <c r="B105" i="146"/>
  <c r="B106" i="146"/>
  <c r="B107" i="146"/>
  <c r="B108" i="146"/>
  <c r="B109" i="146"/>
  <c r="B110" i="146"/>
  <c r="B111" i="146"/>
  <c r="B112" i="146"/>
  <c r="B113" i="146"/>
  <c r="B114" i="146"/>
  <c r="B115" i="146"/>
  <c r="B116" i="146"/>
  <c r="B117" i="146"/>
  <c r="B118" i="146"/>
  <c r="B119" i="146"/>
  <c r="B120" i="146"/>
  <c r="B121" i="146"/>
  <c r="B122" i="146"/>
  <c r="B123" i="146"/>
  <c r="B124" i="146"/>
  <c r="B125" i="146"/>
  <c r="B126" i="146"/>
  <c r="B127" i="146"/>
  <c r="B128" i="146"/>
  <c r="B129" i="146"/>
  <c r="B130" i="146"/>
  <c r="B131" i="146"/>
  <c r="B132" i="146"/>
  <c r="B133" i="146"/>
  <c r="B134" i="146"/>
  <c r="B135" i="146"/>
  <c r="B136" i="146"/>
  <c r="B137" i="146"/>
  <c r="B138" i="146"/>
  <c r="B139" i="146"/>
  <c r="B140" i="146"/>
  <c r="B141" i="146"/>
  <c r="B142" i="146"/>
  <c r="B143" i="146"/>
  <c r="B144" i="146"/>
  <c r="B145" i="146"/>
  <c r="B146" i="146"/>
  <c r="B147" i="146"/>
  <c r="B148" i="146"/>
  <c r="B149" i="146"/>
  <c r="B150" i="146"/>
  <c r="B151" i="146"/>
  <c r="B152" i="146"/>
  <c r="B153" i="146"/>
  <c r="B154" i="146"/>
  <c r="B155" i="146"/>
  <c r="B156" i="146"/>
  <c r="B157" i="146"/>
  <c r="B158" i="146"/>
  <c r="B159" i="146"/>
  <c r="B160" i="146"/>
  <c r="B161" i="146"/>
  <c r="B162" i="146"/>
  <c r="B163" i="146"/>
  <c r="B164" i="146"/>
  <c r="B165" i="146"/>
  <c r="B166" i="146"/>
  <c r="B167" i="146"/>
  <c r="B168" i="146"/>
  <c r="B169" i="146"/>
  <c r="B170" i="146"/>
  <c r="B171" i="146"/>
  <c r="B172" i="146"/>
  <c r="B173" i="146"/>
  <c r="B174" i="146"/>
  <c r="B175" i="146"/>
  <c r="B176" i="146"/>
  <c r="B177" i="146"/>
  <c r="B178" i="146"/>
  <c r="B179" i="146"/>
  <c r="B180" i="146"/>
  <c r="B181" i="146"/>
  <c r="B182" i="146"/>
  <c r="B183" i="146"/>
  <c r="B184" i="146"/>
  <c r="B185" i="146"/>
  <c r="B186" i="146"/>
  <c r="B187" i="146"/>
  <c r="B188" i="146"/>
  <c r="B189" i="146"/>
  <c r="B190" i="146"/>
  <c r="B191" i="146"/>
  <c r="B192" i="146"/>
  <c r="B193" i="146"/>
  <c r="B194" i="146"/>
  <c r="B195" i="146"/>
  <c r="B196" i="146"/>
  <c r="B197" i="146"/>
  <c r="B198" i="146"/>
  <c r="B199" i="146"/>
  <c r="B200" i="146"/>
  <c r="B201" i="146"/>
  <c r="B202" i="146"/>
  <c r="B203" i="146"/>
  <c r="B204" i="146"/>
  <c r="B205" i="146"/>
  <c r="B206" i="146"/>
  <c r="B207" i="146"/>
  <c r="B208" i="146"/>
  <c r="B209" i="146"/>
  <c r="B210" i="146"/>
  <c r="B211" i="146"/>
  <c r="B212" i="146"/>
  <c r="B213" i="146"/>
  <c r="B214" i="146"/>
  <c r="B215" i="146"/>
  <c r="B216" i="146"/>
  <c r="B217" i="146"/>
  <c r="B218" i="146"/>
  <c r="B219" i="146"/>
  <c r="B220" i="146"/>
  <c r="B221" i="146"/>
  <c r="B222" i="146"/>
  <c r="B223" i="146"/>
  <c r="B224" i="146"/>
  <c r="B225" i="146"/>
  <c r="B226" i="146"/>
  <c r="B227" i="146"/>
  <c r="B228" i="146"/>
  <c r="B229" i="146"/>
  <c r="B230" i="146"/>
  <c r="B231" i="146"/>
  <c r="B232" i="146"/>
  <c r="B233" i="146"/>
  <c r="B234" i="146"/>
  <c r="B235" i="146"/>
  <c r="B236" i="146"/>
  <c r="B237" i="146"/>
  <c r="B238" i="146"/>
  <c r="B239" i="146"/>
  <c r="B240" i="146"/>
  <c r="B241" i="146"/>
  <c r="B242" i="146"/>
  <c r="B243" i="146"/>
  <c r="B244" i="146"/>
  <c r="B245" i="146"/>
  <c r="B246" i="146"/>
  <c r="B247" i="146"/>
  <c r="B248" i="146"/>
  <c r="B249" i="146"/>
  <c r="B250" i="146"/>
  <c r="B251" i="146"/>
  <c r="B252" i="146"/>
  <c r="B253" i="146"/>
  <c r="B254" i="146"/>
  <c r="B255" i="146"/>
  <c r="B256" i="146"/>
  <c r="B257" i="146"/>
  <c r="B258" i="146"/>
  <c r="B259" i="146"/>
  <c r="B260" i="146"/>
  <c r="B261" i="146"/>
  <c r="B262" i="146"/>
  <c r="B263" i="146"/>
  <c r="B264" i="146"/>
  <c r="B265" i="146"/>
  <c r="B266" i="146"/>
  <c r="B267" i="146"/>
  <c r="B268" i="146"/>
  <c r="B269" i="146"/>
  <c r="B270" i="146"/>
  <c r="B271" i="146"/>
  <c r="B272" i="146"/>
  <c r="B273" i="146"/>
  <c r="B274" i="146"/>
  <c r="B275" i="146"/>
  <c r="B276" i="146"/>
  <c r="B277" i="146"/>
  <c r="B278" i="146"/>
  <c r="B279" i="146"/>
  <c r="B280" i="146"/>
  <c r="B281" i="146"/>
  <c r="B282" i="146"/>
  <c r="B283" i="146"/>
  <c r="B284" i="146"/>
  <c r="B285" i="146"/>
  <c r="B286" i="146"/>
  <c r="B287" i="146"/>
  <c r="B288" i="146"/>
  <c r="B289" i="146"/>
  <c r="B290" i="146"/>
  <c r="B291" i="146"/>
  <c r="B292" i="146"/>
  <c r="B293" i="146"/>
  <c r="B294" i="146"/>
  <c r="B295" i="146"/>
  <c r="B296" i="146"/>
  <c r="B297" i="146"/>
  <c r="B298" i="146"/>
  <c r="B299" i="146"/>
  <c r="B300" i="146"/>
  <c r="B301" i="146"/>
  <c r="B302" i="146"/>
  <c r="B303" i="146"/>
  <c r="B304" i="146"/>
  <c r="B305" i="146"/>
  <c r="B306" i="146"/>
  <c r="B307" i="146"/>
  <c r="B308" i="146"/>
  <c r="B309" i="146"/>
  <c r="B310" i="146"/>
  <c r="B311" i="146"/>
  <c r="B312" i="146"/>
  <c r="B313" i="146"/>
  <c r="B314" i="146"/>
  <c r="B315" i="146"/>
  <c r="B316" i="146"/>
  <c r="B317" i="146"/>
  <c r="B318" i="146"/>
  <c r="B319" i="146"/>
  <c r="B320" i="146"/>
  <c r="B321" i="146"/>
  <c r="B322" i="146"/>
  <c r="B323" i="146"/>
  <c r="B324" i="146"/>
  <c r="B325" i="146"/>
  <c r="B326" i="146"/>
  <c r="B327" i="146"/>
  <c r="B328" i="146"/>
  <c r="B329" i="146"/>
  <c r="B330" i="146"/>
  <c r="B331" i="146"/>
  <c r="B332" i="146"/>
  <c r="B333" i="146"/>
  <c r="B334" i="146"/>
  <c r="B335" i="146"/>
  <c r="D25" i="145" a="1"/>
  <c r="B336" i="146"/>
  <c r="B337" i="146"/>
  <c r="B338" i="146"/>
  <c r="B339" i="146"/>
  <c r="B340" i="146"/>
  <c r="B341" i="146"/>
  <c r="B342" i="146"/>
  <c r="B343" i="146"/>
  <c r="B344" i="146"/>
  <c r="B345" i="146"/>
  <c r="B346" i="146"/>
  <c r="B347" i="146"/>
  <c r="B348" i="146"/>
  <c r="B349" i="146"/>
  <c r="B350" i="146"/>
  <c r="B351" i="146"/>
  <c r="B352" i="146"/>
  <c r="B353" i="146"/>
  <c r="B354" i="146"/>
  <c r="B355" i="146"/>
  <c r="B356" i="146"/>
  <c r="B357" i="146"/>
  <c r="B358" i="146"/>
  <c r="B359" i="146"/>
  <c r="B360" i="146"/>
  <c r="B361" i="146"/>
  <c r="B362" i="146"/>
  <c r="B363" i="146"/>
  <c r="B364" i="146"/>
  <c r="B365" i="146"/>
  <c r="B366" i="146"/>
  <c r="B367" i="146"/>
  <c r="B368" i="146"/>
  <c r="B369" i="146"/>
  <c r="B370" i="146"/>
  <c r="B371" i="146"/>
  <c r="B372" i="146"/>
  <c r="B373" i="146"/>
  <c r="B374" i="146"/>
  <c r="B375" i="146"/>
  <c r="B376" i="146"/>
  <c r="B377" i="146"/>
  <c r="B378" i="146"/>
  <c r="B379" i="146"/>
  <c r="B380" i="146"/>
  <c r="B381" i="146"/>
  <c r="B382" i="146"/>
  <c r="B383" i="146"/>
  <c r="B384" i="146"/>
  <c r="B385" i="146"/>
  <c r="B386" i="146"/>
  <c r="B387" i="146"/>
  <c r="B388" i="146"/>
  <c r="B389" i="146"/>
  <c r="B390" i="146"/>
  <c r="B391" i="146"/>
  <c r="B392" i="146"/>
  <c r="B393" i="146"/>
  <c r="B394" i="146"/>
  <c r="B395" i="146"/>
  <c r="B396" i="146"/>
  <c r="B397" i="146"/>
  <c r="B398" i="146"/>
  <c r="B399" i="146"/>
  <c r="B400" i="146"/>
  <c r="B401" i="146"/>
  <c r="B402" i="146"/>
  <c r="B403" i="146"/>
  <c r="B404" i="146"/>
  <c r="B405" i="146"/>
  <c r="B406" i="146"/>
  <c r="B407" i="146"/>
  <c r="B408" i="146"/>
  <c r="B409" i="146"/>
  <c r="B410" i="146"/>
  <c r="B411" i="146"/>
  <c r="B412" i="146"/>
  <c r="B413" i="146"/>
  <c r="B414" i="146"/>
  <c r="B415" i="146"/>
  <c r="B416" i="146"/>
  <c r="B417" i="146"/>
  <c r="B418" i="146"/>
  <c r="B419" i="146"/>
  <c r="B420" i="146"/>
  <c r="B421" i="146"/>
  <c r="B422" i="146"/>
  <c r="B423" i="146"/>
  <c r="B424" i="146"/>
  <c r="B425" i="146"/>
  <c r="B426" i="146"/>
  <c r="B427" i="146"/>
  <c r="K41" i="162"/>
  <c r="L41" i="162"/>
  <c r="B428" i="146"/>
  <c r="B429" i="146"/>
  <c r="B430" i="146"/>
  <c r="B431" i="146"/>
  <c r="K48" i="162"/>
  <c r="L48" i="162"/>
  <c r="B432" i="146"/>
  <c r="B433" i="146"/>
  <c r="B434" i="146"/>
  <c r="B435" i="146"/>
  <c r="B436" i="146"/>
  <c r="B437" i="146"/>
  <c r="B438" i="146"/>
  <c r="B439" i="146"/>
  <c r="B440" i="146"/>
  <c r="B441" i="146"/>
  <c r="B442" i="146"/>
  <c r="B443" i="146"/>
  <c r="B444" i="146"/>
  <c r="B445" i="146"/>
  <c r="B446" i="146"/>
  <c r="B447" i="146"/>
  <c r="B448" i="146"/>
  <c r="B449" i="146"/>
  <c r="B450" i="146"/>
  <c r="B451" i="146"/>
  <c r="B452" i="146"/>
  <c r="B453" i="146"/>
  <c r="B454" i="146"/>
  <c r="B455" i="146"/>
  <c r="B456" i="146"/>
  <c r="B457" i="146"/>
  <c r="B458" i="146"/>
  <c r="B459" i="146"/>
  <c r="B460" i="146"/>
  <c r="B461" i="146"/>
  <c r="B462" i="146"/>
  <c r="B463" i="146"/>
  <c r="B464" i="146"/>
  <c r="B465" i="146"/>
  <c r="B466" i="146"/>
  <c r="B467" i="146"/>
  <c r="B468" i="146"/>
  <c r="B469" i="146"/>
  <c r="B470" i="146"/>
  <c r="B471" i="146"/>
  <c r="B472" i="146"/>
  <c r="B473" i="146"/>
  <c r="B474" i="146"/>
  <c r="B475" i="146"/>
  <c r="B476" i="146"/>
  <c r="B477" i="146"/>
  <c r="B478" i="146"/>
  <c r="B479" i="146"/>
  <c r="B480" i="146"/>
  <c r="B481" i="146"/>
  <c r="B482" i="146"/>
  <c r="B483" i="146"/>
  <c r="B484" i="146"/>
  <c r="B485" i="146"/>
  <c r="B486" i="146"/>
  <c r="B487" i="146"/>
  <c r="B488" i="146"/>
  <c r="B489" i="146"/>
  <c r="B490" i="146"/>
  <c r="B491" i="146"/>
  <c r="B492" i="146"/>
  <c r="B493" i="146"/>
  <c r="B494" i="146"/>
  <c r="B495" i="146"/>
  <c r="B496" i="146"/>
  <c r="B497" i="146"/>
  <c r="B498" i="146"/>
  <c r="B499" i="146"/>
  <c r="B500" i="146"/>
  <c r="B501" i="146"/>
  <c r="B502" i="146"/>
  <c r="B503" i="146"/>
  <c r="B504" i="146"/>
  <c r="B505" i="146"/>
  <c r="B506" i="146"/>
  <c r="B507" i="146"/>
  <c r="B508" i="146"/>
  <c r="B509" i="146"/>
  <c r="B510" i="146"/>
  <c r="B511" i="146"/>
  <c r="B512" i="146"/>
  <c r="B513" i="146"/>
  <c r="B514" i="146"/>
  <c r="B515" i="146"/>
  <c r="B516" i="146"/>
  <c r="B517" i="146"/>
  <c r="B518" i="146"/>
  <c r="B519" i="146"/>
  <c r="B520" i="146"/>
  <c r="B521" i="146"/>
  <c r="B522" i="146"/>
  <c r="B523" i="146"/>
  <c r="B524" i="146"/>
  <c r="B525" i="146"/>
  <c r="B526" i="146"/>
  <c r="B527" i="146"/>
  <c r="B528" i="146"/>
  <c r="B529" i="146"/>
  <c r="B530" i="146"/>
  <c r="B531" i="146"/>
  <c r="B532" i="146"/>
  <c r="B533" i="146"/>
  <c r="B534" i="146"/>
  <c r="B535" i="146"/>
  <c r="B536" i="146"/>
  <c r="B537" i="146"/>
  <c r="B538" i="146"/>
  <c r="B539" i="146"/>
  <c r="B540" i="146"/>
  <c r="B541" i="146"/>
  <c r="B542" i="146"/>
  <c r="B543" i="146"/>
  <c r="B544" i="146"/>
  <c r="B545" i="146"/>
  <c r="B546" i="146"/>
  <c r="B547" i="146"/>
  <c r="B548" i="146"/>
  <c r="B549" i="146"/>
  <c r="B550" i="146"/>
  <c r="B551" i="146"/>
  <c r="B552" i="146"/>
  <c r="B553" i="146"/>
  <c r="B554" i="146"/>
  <c r="B555" i="146"/>
  <c r="B556" i="146"/>
  <c r="B557" i="146"/>
  <c r="B558" i="146"/>
  <c r="B559" i="146"/>
  <c r="B560" i="146"/>
  <c r="B561" i="146"/>
  <c r="B562" i="146"/>
  <c r="B563" i="146"/>
  <c r="B564" i="146"/>
  <c r="B565" i="146"/>
  <c r="B566" i="146"/>
  <c r="B567" i="146"/>
  <c r="B568" i="146"/>
  <c r="B569" i="146"/>
  <c r="B570" i="146"/>
  <c r="B571" i="146"/>
  <c r="B572" i="146"/>
  <c r="B573" i="146"/>
  <c r="B574" i="146"/>
  <c r="B575" i="146"/>
  <c r="B12" i="180" a="1"/>
  <c r="B12" i="180"/>
  <c r="B576" i="146"/>
  <c r="B577" i="146"/>
  <c r="B578" i="146"/>
  <c r="B579" i="146"/>
  <c r="B580" i="146"/>
  <c r="B581" i="146"/>
  <c r="B582" i="146"/>
  <c r="B583" i="146"/>
  <c r="B584" i="146"/>
  <c r="B585" i="146"/>
  <c r="B586" i="146"/>
  <c r="B587" i="146"/>
  <c r="B588" i="146"/>
  <c r="B589" i="146"/>
  <c r="B590" i="146"/>
  <c r="B591" i="146"/>
  <c r="B592" i="146"/>
  <c r="B593" i="146"/>
  <c r="B594" i="146"/>
  <c r="B595" i="146"/>
  <c r="B596" i="146"/>
  <c r="B597" i="146"/>
  <c r="B598" i="146"/>
  <c r="B599" i="146"/>
  <c r="B600" i="146"/>
  <c r="B601" i="146"/>
  <c r="B602" i="146"/>
  <c r="B603" i="146"/>
  <c r="B604" i="146"/>
  <c r="B605" i="146"/>
  <c r="B606" i="146"/>
  <c r="B607" i="146"/>
  <c r="B608" i="146"/>
  <c r="B609" i="146"/>
  <c r="B610" i="146"/>
  <c r="B611" i="146"/>
  <c r="B612" i="146"/>
  <c r="B613" i="146"/>
  <c r="B614" i="146"/>
  <c r="B615" i="146"/>
  <c r="B616" i="146"/>
  <c r="B617" i="146"/>
  <c r="B618" i="146"/>
  <c r="B619" i="146"/>
  <c r="B620" i="146"/>
  <c r="B621" i="146"/>
  <c r="B622" i="146"/>
  <c r="B623" i="146"/>
  <c r="B624" i="146"/>
  <c r="B625" i="146"/>
  <c r="B626" i="146"/>
  <c r="B627" i="146"/>
  <c r="B628" i="146"/>
  <c r="B629" i="146"/>
  <c r="B630" i="146"/>
  <c r="B631" i="146"/>
  <c r="B632" i="146"/>
  <c r="B633" i="146"/>
  <c r="B634" i="146"/>
  <c r="B635" i="146"/>
  <c r="B636" i="146"/>
  <c r="B637" i="146"/>
  <c r="B638" i="146"/>
  <c r="B639" i="146"/>
  <c r="B640" i="146"/>
  <c r="B641" i="146"/>
  <c r="B642" i="146"/>
  <c r="B643" i="146"/>
  <c r="B644" i="146"/>
  <c r="B645" i="146"/>
  <c r="B646" i="146"/>
  <c r="B647" i="146"/>
  <c r="B648" i="146"/>
  <c r="B649" i="146"/>
  <c r="B650" i="146"/>
  <c r="B651" i="146"/>
  <c r="B652" i="146"/>
  <c r="B653" i="146"/>
  <c r="B654" i="146"/>
  <c r="B655" i="146"/>
  <c r="B656" i="146"/>
  <c r="B657" i="146"/>
  <c r="B658" i="146"/>
  <c r="B659" i="146"/>
  <c r="B660" i="146"/>
  <c r="B661" i="146"/>
  <c r="B662" i="146"/>
  <c r="B663" i="146"/>
  <c r="B664" i="146"/>
  <c r="B665" i="146"/>
  <c r="B666" i="146"/>
  <c r="B667" i="146"/>
  <c r="B668" i="146"/>
  <c r="B669" i="146"/>
  <c r="B670" i="146"/>
  <c r="B671" i="146"/>
  <c r="B672" i="146"/>
  <c r="B673" i="146"/>
  <c r="B674" i="146"/>
  <c r="B675" i="146"/>
  <c r="B676" i="146"/>
  <c r="B677" i="146"/>
  <c r="B678" i="146"/>
  <c r="B679" i="146"/>
  <c r="B680" i="146"/>
  <c r="B681" i="146"/>
  <c r="B682" i="146"/>
  <c r="B683" i="146"/>
  <c r="B684" i="146"/>
  <c r="B685" i="146"/>
  <c r="B686" i="146"/>
  <c r="B687" i="146"/>
  <c r="B688" i="146"/>
  <c r="B689" i="146"/>
  <c r="B690" i="146"/>
  <c r="B691" i="146"/>
  <c r="B692" i="146"/>
  <c r="B693" i="146"/>
  <c r="B694" i="146"/>
  <c r="B695" i="146"/>
  <c r="B696" i="146"/>
  <c r="B697" i="146"/>
  <c r="B698" i="146"/>
  <c r="B699" i="146"/>
  <c r="B700" i="146"/>
  <c r="B701" i="146"/>
  <c r="B702" i="146"/>
  <c r="B703" i="146"/>
  <c r="B704" i="146"/>
  <c r="B705" i="146"/>
  <c r="B706" i="146"/>
  <c r="B707" i="146"/>
  <c r="B708" i="146"/>
  <c r="B709" i="146"/>
  <c r="B710" i="146"/>
  <c r="B711" i="146"/>
  <c r="B712" i="146"/>
  <c r="B713" i="146"/>
  <c r="B714" i="146"/>
  <c r="B715" i="146"/>
  <c r="B716" i="146"/>
  <c r="B717" i="146"/>
  <c r="B718" i="146"/>
  <c r="B719" i="146"/>
  <c r="B720" i="146"/>
  <c r="B721" i="146"/>
  <c r="B722" i="146"/>
  <c r="B723" i="146"/>
  <c r="B724" i="146"/>
  <c r="B725" i="146"/>
  <c r="B726" i="146"/>
  <c r="B727" i="146"/>
  <c r="B728" i="146"/>
  <c r="B729" i="146"/>
  <c r="B730" i="146"/>
  <c r="B731" i="146"/>
  <c r="B732" i="146"/>
  <c r="B733" i="146"/>
  <c r="B734" i="146"/>
  <c r="B735" i="146"/>
  <c r="B736" i="146"/>
  <c r="B737" i="146"/>
  <c r="B738" i="146"/>
  <c r="B739" i="146"/>
  <c r="B740" i="146"/>
  <c r="B741" i="146"/>
  <c r="B742" i="146"/>
  <c r="B743" i="146"/>
  <c r="B744" i="146"/>
  <c r="B745" i="146"/>
  <c r="B746" i="146"/>
  <c r="B747" i="146"/>
  <c r="B748" i="146"/>
  <c r="B749" i="146"/>
  <c r="B750" i="146"/>
  <c r="B751" i="146"/>
  <c r="B752" i="146"/>
  <c r="B753" i="146"/>
  <c r="B754" i="146"/>
  <c r="B755" i="146"/>
  <c r="B756" i="146"/>
  <c r="B757" i="146"/>
  <c r="B758" i="146"/>
  <c r="B759" i="146"/>
  <c r="B760" i="146"/>
  <c r="B761" i="146"/>
  <c r="B762" i="146"/>
  <c r="B763" i="146"/>
  <c r="B764" i="146"/>
  <c r="B765" i="146"/>
  <c r="B766" i="146"/>
  <c r="B767" i="146"/>
  <c r="B768" i="146"/>
  <c r="B769" i="146"/>
  <c r="B770" i="146"/>
  <c r="B771" i="146"/>
  <c r="B772" i="146"/>
  <c r="B773" i="146"/>
  <c r="B774" i="146"/>
  <c r="B775" i="146"/>
  <c r="B776" i="146"/>
  <c r="B777" i="146"/>
  <c r="B778" i="146"/>
  <c r="B779" i="146"/>
  <c r="B780" i="146"/>
  <c r="B781" i="146"/>
  <c r="B782" i="146"/>
  <c r="B783" i="146"/>
  <c r="B784" i="146"/>
  <c r="B785" i="146"/>
  <c r="B786" i="146"/>
  <c r="B787" i="146"/>
  <c r="B788" i="146"/>
  <c r="B789" i="146"/>
  <c r="B790" i="146"/>
  <c r="B791" i="146"/>
  <c r="B792" i="146"/>
  <c r="B793" i="146"/>
  <c r="B794" i="146"/>
  <c r="B795" i="146"/>
  <c r="B796" i="146"/>
  <c r="B797" i="146"/>
  <c r="B798" i="146"/>
  <c r="B799" i="146"/>
  <c r="B800" i="146"/>
  <c r="B801" i="146"/>
  <c r="B802" i="146"/>
  <c r="B803" i="146"/>
  <c r="B804" i="146"/>
  <c r="B805" i="146"/>
  <c r="B806" i="146"/>
  <c r="B807" i="146"/>
  <c r="B808" i="146"/>
  <c r="B809" i="146"/>
  <c r="B810" i="146"/>
  <c r="B811" i="146"/>
  <c r="B812" i="146"/>
  <c r="B813" i="146"/>
  <c r="B814" i="146"/>
  <c r="B815" i="146"/>
  <c r="B816" i="146"/>
  <c r="B817" i="146"/>
  <c r="B818" i="146"/>
  <c r="B819" i="146"/>
  <c r="B820" i="146"/>
  <c r="B821" i="146"/>
  <c r="B822" i="146"/>
  <c r="B823" i="146"/>
  <c r="B824" i="146"/>
  <c r="B825" i="146"/>
  <c r="B826" i="146"/>
  <c r="B827" i="146"/>
  <c r="B828" i="146"/>
  <c r="B829" i="146"/>
  <c r="B830" i="146"/>
  <c r="B831" i="146"/>
  <c r="B832" i="146"/>
  <c r="B833" i="146"/>
  <c r="B834" i="146"/>
  <c r="B835" i="146"/>
  <c r="B836" i="146"/>
  <c r="B837" i="146"/>
  <c r="B838" i="146"/>
  <c r="B839" i="146"/>
  <c r="B840" i="146"/>
  <c r="B841" i="146"/>
  <c r="B842" i="146"/>
  <c r="B843" i="146"/>
  <c r="B844" i="146"/>
  <c r="B845" i="146"/>
  <c r="B846" i="146"/>
  <c r="B847" i="146"/>
  <c r="B848" i="146"/>
  <c r="B849" i="146"/>
  <c r="B850" i="146"/>
  <c r="B851" i="146"/>
  <c r="B852" i="146"/>
  <c r="B853" i="146"/>
  <c r="B854" i="146"/>
  <c r="B855" i="146"/>
  <c r="B856" i="146"/>
  <c r="B857" i="146"/>
  <c r="B858" i="146"/>
  <c r="B859" i="146"/>
  <c r="B860" i="146"/>
  <c r="B861" i="146"/>
  <c r="B862" i="146"/>
  <c r="B863" i="146"/>
  <c r="B864" i="146"/>
  <c r="B865" i="146"/>
  <c r="B866" i="146"/>
  <c r="B867" i="146"/>
  <c r="B868" i="146"/>
  <c r="B869" i="146"/>
  <c r="B870" i="146"/>
  <c r="B871" i="146"/>
  <c r="B872" i="146"/>
  <c r="B873" i="146"/>
  <c r="B874" i="146"/>
  <c r="B875" i="146"/>
  <c r="B876" i="146"/>
  <c r="B877" i="146"/>
  <c r="B878" i="146"/>
  <c r="B879" i="146"/>
  <c r="B880" i="146"/>
  <c r="B881" i="146"/>
  <c r="B882" i="146"/>
  <c r="B883" i="146"/>
  <c r="B884" i="146"/>
  <c r="B885" i="146"/>
  <c r="B886" i="146"/>
  <c r="B887" i="146"/>
  <c r="B888" i="146"/>
  <c r="B889" i="146"/>
  <c r="B890" i="146"/>
  <c r="B891" i="146"/>
  <c r="B892" i="146"/>
  <c r="B893" i="146"/>
  <c r="B894" i="146"/>
  <c r="B895" i="146"/>
  <c r="B896" i="146"/>
  <c r="B897" i="146"/>
  <c r="B898" i="146"/>
  <c r="B899" i="146"/>
  <c r="B900" i="146"/>
  <c r="B901" i="146"/>
  <c r="B902" i="146"/>
  <c r="B903" i="146"/>
  <c r="B904" i="146"/>
  <c r="B905" i="146"/>
  <c r="B906" i="146"/>
  <c r="B907" i="146"/>
  <c r="B908" i="146"/>
  <c r="B909" i="146"/>
  <c r="B910" i="146"/>
  <c r="B911" i="146"/>
  <c r="B912" i="146"/>
  <c r="B913" i="146"/>
  <c r="B914" i="146"/>
  <c r="B915" i="146"/>
  <c r="B916" i="146"/>
  <c r="B917" i="146"/>
  <c r="B918" i="146"/>
  <c r="B919" i="146"/>
  <c r="B920" i="146"/>
  <c r="B921" i="146"/>
  <c r="B922" i="146"/>
  <c r="B923" i="146"/>
  <c r="B924" i="146"/>
  <c r="B925" i="146"/>
  <c r="B926" i="146"/>
  <c r="B927" i="146"/>
  <c r="B928" i="146"/>
  <c r="B929" i="146"/>
  <c r="B930" i="146"/>
  <c r="B931" i="146"/>
  <c r="B932" i="146"/>
  <c r="B933" i="146"/>
  <c r="B934" i="146"/>
  <c r="B935" i="146"/>
  <c r="B936" i="146"/>
  <c r="B937" i="146"/>
  <c r="B938" i="146"/>
  <c r="B939" i="146"/>
  <c r="B940" i="146"/>
  <c r="B941" i="146"/>
  <c r="B942" i="146"/>
  <c r="B943" i="146"/>
  <c r="B944" i="146"/>
  <c r="B945" i="146"/>
  <c r="B1532" i="146"/>
  <c r="B1533" i="146"/>
  <c r="B1534" i="146"/>
  <c r="B1535" i="146"/>
  <c r="B1536" i="146"/>
  <c r="B1537" i="146"/>
  <c r="B1538" i="146"/>
  <c r="B1539" i="146"/>
  <c r="B1540" i="146"/>
  <c r="B1541" i="146"/>
  <c r="B1542" i="146"/>
  <c r="B1543" i="146"/>
  <c r="B1544" i="146"/>
  <c r="B1545" i="146"/>
  <c r="B1546" i="146"/>
  <c r="B1547" i="146"/>
  <c r="B1548" i="146"/>
  <c r="B1549" i="146"/>
  <c r="B1550" i="146"/>
  <c r="B1551" i="146"/>
  <c r="B1552" i="146"/>
  <c r="B1553" i="146"/>
  <c r="B1554" i="146"/>
  <c r="B1555" i="146"/>
  <c r="B1556" i="146"/>
  <c r="B1557" i="146"/>
  <c r="B1558" i="146"/>
  <c r="B1559" i="146"/>
  <c r="B1560" i="146"/>
  <c r="B1561" i="146"/>
  <c r="B1562" i="146"/>
  <c r="B1563" i="146"/>
  <c r="B1564" i="146"/>
  <c r="B1565" i="146"/>
  <c r="B1566" i="146"/>
  <c r="B1567" i="146"/>
  <c r="B1568" i="146"/>
  <c r="B1569" i="146"/>
  <c r="B1570" i="146"/>
  <c r="B1571" i="146"/>
  <c r="B1572" i="146"/>
  <c r="B1573" i="146"/>
  <c r="B1574" i="146"/>
  <c r="B1575" i="146"/>
  <c r="B1576" i="146"/>
  <c r="B1577" i="146"/>
  <c r="B1578" i="146"/>
  <c r="B1579" i="146"/>
  <c r="B1580" i="146"/>
  <c r="B1581" i="146"/>
  <c r="B1582" i="146"/>
  <c r="B1583" i="146"/>
  <c r="B1584" i="146"/>
  <c r="B1585" i="146"/>
  <c r="B1586" i="146"/>
  <c r="B1587" i="146"/>
  <c r="B1588" i="146"/>
  <c r="B1589" i="146"/>
  <c r="B1590" i="146"/>
  <c r="B1591" i="146"/>
  <c r="B1592" i="146"/>
  <c r="B1593" i="146"/>
  <c r="B1594" i="146"/>
  <c r="B1595" i="146"/>
  <c r="B1596" i="146"/>
  <c r="B1597" i="146"/>
  <c r="B1598" i="146"/>
  <c r="B1599" i="146"/>
  <c r="B1600" i="146"/>
  <c r="B1601" i="146"/>
  <c r="B1602" i="146"/>
  <c r="B1603" i="146"/>
  <c r="B1604" i="146"/>
  <c r="B1605" i="146"/>
  <c r="B1606" i="146"/>
  <c r="B1607" i="146"/>
  <c r="B1608" i="146"/>
  <c r="B1609" i="146"/>
  <c r="B1610" i="146"/>
  <c r="B1611" i="146"/>
  <c r="B1612" i="146"/>
  <c r="B1613" i="146"/>
  <c r="B1614" i="146"/>
  <c r="B1615" i="146"/>
  <c r="B1616" i="146"/>
  <c r="B1617" i="146"/>
  <c r="B1618" i="146"/>
  <c r="B1619" i="146"/>
  <c r="B1620" i="146"/>
  <c r="B1621" i="146"/>
  <c r="B1622" i="146"/>
  <c r="B1623" i="146"/>
  <c r="B1624" i="146"/>
  <c r="B1625" i="146"/>
  <c r="B1626" i="146"/>
  <c r="B1627" i="146"/>
  <c r="B1628" i="146"/>
  <c r="B1629" i="146"/>
  <c r="B1630" i="146"/>
  <c r="B1631" i="146"/>
  <c r="B1632" i="146"/>
  <c r="B1633" i="146"/>
  <c r="B1634" i="146"/>
  <c r="B1635" i="146"/>
  <c r="B1636" i="146"/>
  <c r="B1637" i="146"/>
  <c r="B1638" i="146"/>
  <c r="B1639" i="146"/>
  <c r="B1640" i="146"/>
  <c r="B1641" i="146"/>
  <c r="B1642" i="146"/>
  <c r="B1643" i="146"/>
  <c r="B1644" i="146"/>
  <c r="B1645" i="146"/>
  <c r="B1646" i="146"/>
  <c r="B1647" i="146"/>
  <c r="B1648" i="146"/>
  <c r="B1649" i="146"/>
  <c r="B1650" i="146"/>
  <c r="B1651" i="146"/>
  <c r="B1652" i="146"/>
  <c r="B1653" i="146"/>
  <c r="B1654" i="146"/>
  <c r="B1655" i="146"/>
  <c r="B1656" i="146"/>
  <c r="B1657" i="146"/>
  <c r="B1658" i="146"/>
  <c r="B1659" i="146"/>
  <c r="B1660" i="146"/>
  <c r="B1661" i="146"/>
  <c r="K127" i="162"/>
  <c r="B1662" i="146"/>
  <c r="B1663" i="146"/>
  <c r="B1664" i="146"/>
  <c r="B1665" i="146"/>
  <c r="K133" i="162"/>
  <c r="B1666" i="146"/>
  <c r="B1667" i="146"/>
  <c r="B1668" i="146"/>
  <c r="B1669" i="146"/>
  <c r="B1670" i="146"/>
  <c r="B1671" i="146"/>
  <c r="B1672" i="146"/>
  <c r="B1673" i="146"/>
  <c r="B1674" i="146"/>
  <c r="B1675" i="146"/>
  <c r="B1676" i="146"/>
  <c r="B1677" i="146"/>
  <c r="B1678" i="146"/>
  <c r="B1679" i="146"/>
  <c r="B1680" i="146"/>
  <c r="B1681" i="146"/>
  <c r="B1682" i="146"/>
  <c r="B1683" i="146"/>
  <c r="B1684" i="146"/>
  <c r="B1685" i="146"/>
  <c r="B1686" i="146"/>
  <c r="B1687" i="146"/>
  <c r="B1688" i="146"/>
  <c r="B1689" i="146"/>
  <c r="B1690" i="146"/>
  <c r="B1691" i="146"/>
  <c r="B1692" i="146"/>
  <c r="B1693" i="146"/>
  <c r="B1694" i="146"/>
  <c r="B1695" i="146"/>
  <c r="B1696" i="146"/>
  <c r="B1697" i="146"/>
  <c r="B1698" i="146"/>
  <c r="B1699" i="146"/>
  <c r="B1700" i="146"/>
  <c r="B1701" i="146"/>
  <c r="B1702" i="146"/>
  <c r="B1703" i="146"/>
  <c r="B1704" i="146"/>
  <c r="B1705" i="146"/>
  <c r="B1706" i="146"/>
  <c r="B1707" i="146"/>
  <c r="B1708" i="146"/>
  <c r="B1709" i="146"/>
  <c r="B1710" i="146"/>
  <c r="B1711" i="146"/>
  <c r="B1712" i="146"/>
  <c r="B1713" i="146"/>
  <c r="B1714" i="146"/>
  <c r="B1715" i="146"/>
  <c r="B1716" i="146"/>
  <c r="B1717" i="146"/>
  <c r="B1718" i="146"/>
  <c r="B1719" i="146"/>
  <c r="B1720" i="146"/>
  <c r="B1721" i="146"/>
  <c r="B1722" i="146"/>
  <c r="B1723" i="146"/>
  <c r="B1724" i="146"/>
  <c r="B1725" i="146"/>
  <c r="B1726" i="146"/>
  <c r="B1727" i="146"/>
  <c r="B1728" i="146"/>
  <c r="B1729" i="146"/>
  <c r="B1730" i="146"/>
  <c r="B1731" i="146"/>
  <c r="B1732" i="146"/>
  <c r="B1733" i="146"/>
  <c r="B1734" i="146"/>
  <c r="B1735" i="146"/>
  <c r="B1736" i="146"/>
  <c r="B1737" i="146"/>
  <c r="B1738" i="146"/>
  <c r="B1739" i="146"/>
  <c r="B1740" i="146"/>
  <c r="B1741" i="146"/>
  <c r="B1742" i="146"/>
  <c r="B1743" i="146"/>
  <c r="B1744" i="146"/>
  <c r="B1745" i="146"/>
  <c r="B1746" i="146"/>
  <c r="B1747" i="146"/>
  <c r="B1748" i="146"/>
  <c r="B1749" i="146"/>
  <c r="B1750" i="146"/>
  <c r="B1751" i="146"/>
  <c r="B1752" i="146"/>
  <c r="B1753" i="146"/>
  <c r="B1754" i="146"/>
  <c r="B1755" i="146"/>
  <c r="B1756" i="146"/>
  <c r="B1757" i="146"/>
  <c r="B1758" i="146"/>
  <c r="B1759" i="146"/>
  <c r="B1760" i="146"/>
  <c r="B1761" i="146"/>
  <c r="B1762" i="146"/>
  <c r="B1763" i="146"/>
  <c r="B1764" i="146"/>
  <c r="B1765" i="146"/>
  <c r="B1766" i="146"/>
  <c r="B1767" i="146"/>
  <c r="B1768" i="146"/>
  <c r="B1769" i="146"/>
  <c r="B1770" i="146"/>
  <c r="B1771" i="146"/>
  <c r="B1772" i="146"/>
  <c r="B1773" i="146"/>
  <c r="B1774" i="146"/>
  <c r="B1775" i="146"/>
  <c r="B1776" i="146"/>
  <c r="B1777" i="146"/>
  <c r="B1778" i="146"/>
  <c r="B1779" i="146"/>
  <c r="B1780" i="146"/>
  <c r="B1781" i="146"/>
  <c r="B1782" i="146"/>
  <c r="B1783" i="146"/>
  <c r="B1784" i="146"/>
  <c r="B1785" i="146"/>
  <c r="B1786" i="146"/>
  <c r="B1787" i="146"/>
  <c r="B1788" i="146"/>
  <c r="B1789" i="146"/>
  <c r="B1790" i="146"/>
  <c r="B1791" i="146"/>
  <c r="B1792" i="146"/>
  <c r="B1793" i="146"/>
  <c r="B1794" i="146"/>
  <c r="B1795" i="146"/>
  <c r="B1796" i="146"/>
  <c r="B1797" i="146"/>
  <c r="B1798" i="146"/>
  <c r="B1799" i="146"/>
  <c r="B1800" i="146"/>
  <c r="B1801" i="146"/>
  <c r="B1802" i="146"/>
  <c r="B1803" i="146"/>
  <c r="B1804" i="146"/>
  <c r="B1805" i="146"/>
  <c r="B1806" i="146"/>
  <c r="B1807" i="146"/>
  <c r="B1808" i="146"/>
  <c r="B1809" i="146"/>
  <c r="B1810" i="146"/>
  <c r="B1811" i="146"/>
  <c r="B1812" i="146"/>
  <c r="B1813" i="146"/>
  <c r="B1814" i="146"/>
  <c r="B1815" i="146"/>
  <c r="B1816" i="146"/>
  <c r="B1817" i="146"/>
  <c r="B1818" i="146"/>
  <c r="B1819" i="146"/>
  <c r="B1820" i="146"/>
  <c r="B1821" i="146"/>
  <c r="B1822" i="146"/>
  <c r="B1823" i="146"/>
  <c r="B1824" i="146"/>
  <c r="B1825" i="146"/>
  <c r="B1826" i="146"/>
  <c r="B1827" i="146"/>
  <c r="B1828" i="146"/>
  <c r="B1829" i="146"/>
  <c r="B1830" i="146"/>
  <c r="B1831" i="146"/>
  <c r="B1832" i="146"/>
  <c r="B1833" i="146"/>
  <c r="B1834" i="146"/>
  <c r="B1835" i="146"/>
  <c r="B1836" i="146"/>
  <c r="B1837" i="146"/>
  <c r="B1838" i="146"/>
  <c r="B1839" i="146"/>
  <c r="B1840" i="146"/>
  <c r="B1841" i="146"/>
  <c r="B1842" i="146"/>
  <c r="B1843" i="146"/>
  <c r="B1844" i="146"/>
  <c r="B1845" i="146"/>
  <c r="B1846" i="146"/>
  <c r="B1847" i="146"/>
  <c r="B1848" i="146"/>
  <c r="B1849" i="146"/>
  <c r="B1850" i="146"/>
  <c r="B1851" i="146"/>
  <c r="B1852" i="146"/>
  <c r="B1853" i="146"/>
  <c r="B1854" i="146"/>
  <c r="B1855" i="146"/>
  <c r="B1856" i="146"/>
  <c r="B1857" i="146"/>
  <c r="B1858" i="146"/>
  <c r="B1859" i="146"/>
  <c r="B1860" i="146"/>
  <c r="B1861" i="146"/>
  <c r="B1862" i="146"/>
  <c r="B1863" i="146"/>
  <c r="B1864" i="146"/>
  <c r="B1865" i="146"/>
  <c r="B1866" i="146"/>
  <c r="B1867" i="146"/>
  <c r="B1868" i="146"/>
  <c r="B1869" i="146"/>
  <c r="B1870" i="146"/>
  <c r="B1871" i="146"/>
  <c r="B1872" i="146"/>
  <c r="B1873" i="146"/>
  <c r="B1874" i="146"/>
  <c r="B1875" i="146"/>
  <c r="B1876" i="146"/>
  <c r="B1877" i="146"/>
  <c r="B1878" i="146"/>
  <c r="B1879" i="146"/>
  <c r="B1880" i="146"/>
  <c r="B1881" i="146"/>
  <c r="B1882" i="146"/>
  <c r="B1883" i="146"/>
  <c r="B1884" i="146"/>
  <c r="B1885" i="146"/>
  <c r="B1886" i="146"/>
  <c r="B1887" i="146"/>
  <c r="B1888" i="146"/>
  <c r="B1889" i="146"/>
  <c r="B2149" i="146"/>
  <c r="B2150" i="146"/>
  <c r="B2151" i="146"/>
  <c r="B2152" i="146"/>
  <c r="B2153" i="146"/>
  <c r="B2154" i="146"/>
  <c r="B2155" i="146"/>
  <c r="B2156" i="146"/>
  <c r="B2157" i="146"/>
  <c r="B2158" i="146"/>
  <c r="B2159" i="146"/>
  <c r="B2160" i="146"/>
  <c r="B2161" i="146"/>
  <c r="B2162" i="146"/>
  <c r="B2163" i="146"/>
  <c r="B2164" i="146"/>
  <c r="B2165" i="146"/>
  <c r="B2166" i="146"/>
  <c r="B2167" i="146"/>
  <c r="B2168" i="146"/>
  <c r="B2169" i="146"/>
  <c r="B2170" i="146"/>
  <c r="B2171" i="146"/>
  <c r="B2172" i="146"/>
  <c r="B2173" i="146"/>
  <c r="B2174" i="146"/>
  <c r="B2175" i="146"/>
  <c r="B2176" i="146"/>
  <c r="B2177" i="146"/>
  <c r="B2178" i="146"/>
  <c r="B2179" i="146"/>
  <c r="B2180" i="146"/>
  <c r="B2181" i="146"/>
  <c r="B2182" i="146"/>
  <c r="B2183" i="146"/>
  <c r="B2184" i="146"/>
  <c r="B2185" i="146"/>
  <c r="B2186" i="146"/>
  <c r="B2187" i="146"/>
  <c r="B2188" i="146"/>
  <c r="B2189" i="146"/>
  <c r="B2190" i="146"/>
  <c r="B2191" i="146"/>
  <c r="B2192" i="146"/>
  <c r="B2193" i="146"/>
  <c r="B2194" i="146"/>
  <c r="B2195" i="146"/>
  <c r="B2196" i="146"/>
  <c r="B2197" i="146"/>
  <c r="B2198" i="146"/>
  <c r="B2199" i="146"/>
  <c r="B2200" i="146"/>
  <c r="B2201" i="146"/>
  <c r="B2202" i="146"/>
  <c r="B2203" i="146"/>
  <c r="B2204" i="146"/>
  <c r="B2205" i="146"/>
  <c r="B2206" i="146"/>
  <c r="B2207" i="146"/>
  <c r="B2208" i="146"/>
  <c r="B2209" i="146"/>
  <c r="B2210" i="146"/>
  <c r="B2211" i="146"/>
  <c r="B2212" i="146"/>
  <c r="B2213" i="146"/>
  <c r="B2214" i="146"/>
  <c r="B2215" i="146"/>
  <c r="B2216" i="146"/>
  <c r="B2217" i="146"/>
  <c r="B2218" i="146"/>
  <c r="B2219" i="146"/>
  <c r="B2220" i="146"/>
  <c r="B2221" i="146"/>
  <c r="B2222" i="146"/>
  <c r="B2223" i="146"/>
  <c r="B2224" i="146"/>
  <c r="B2225" i="146"/>
  <c r="B2226" i="146"/>
  <c r="B2227" i="146"/>
  <c r="B2228" i="146"/>
  <c r="B2229" i="146"/>
  <c r="B2230" i="146"/>
  <c r="B2231" i="146"/>
  <c r="B2232" i="146"/>
  <c r="B2233" i="146"/>
  <c r="B2234" i="146"/>
  <c r="B2235" i="146"/>
  <c r="B2236" i="146"/>
  <c r="B2237" i="146"/>
  <c r="B2238" i="146"/>
  <c r="B2239" i="146"/>
  <c r="B2240" i="146"/>
  <c r="B2241" i="146"/>
  <c r="B2242" i="146"/>
  <c r="B2243" i="146"/>
  <c r="B2244" i="146"/>
  <c r="B2245" i="146"/>
  <c r="B2246" i="146"/>
  <c r="B2247" i="146"/>
  <c r="B2248" i="146"/>
  <c r="B2249" i="146"/>
  <c r="B2250" i="146"/>
  <c r="B2251" i="146"/>
  <c r="B2252" i="146"/>
  <c r="B2253" i="146"/>
  <c r="B2254" i="146"/>
  <c r="B2255" i="146"/>
  <c r="B2256" i="146"/>
  <c r="B2257" i="146"/>
  <c r="B2258" i="146"/>
  <c r="B2259" i="146"/>
  <c r="B2260" i="146"/>
  <c r="B2261" i="146"/>
  <c r="B2262" i="146"/>
  <c r="B2263" i="146"/>
  <c r="B2264" i="146"/>
  <c r="B2265" i="146"/>
  <c r="B2266" i="146"/>
  <c r="B2267" i="146"/>
  <c r="B2268" i="146"/>
  <c r="B2269" i="146"/>
  <c r="B2270" i="146"/>
  <c r="B2271" i="146"/>
  <c r="B2272" i="146"/>
  <c r="B2273" i="146"/>
  <c r="B2274" i="146"/>
  <c r="B2275" i="146"/>
  <c r="B2276" i="146"/>
  <c r="B2277" i="146"/>
  <c r="B2278" i="146"/>
  <c r="B2279" i="146"/>
  <c r="B2280" i="146"/>
  <c r="B2281" i="146"/>
  <c r="B2282" i="146"/>
  <c r="B2283" i="146"/>
  <c r="B2284" i="146"/>
  <c r="B2285" i="146"/>
  <c r="B2286" i="146"/>
  <c r="B2287" i="146"/>
  <c r="B2288" i="146"/>
  <c r="B2289" i="146"/>
  <c r="B2290" i="146"/>
  <c r="B2291" i="146"/>
  <c r="B2292" i="146"/>
  <c r="B2293" i="146"/>
  <c r="B2294" i="146"/>
  <c r="B2295" i="146"/>
  <c r="B2296" i="146"/>
  <c r="B2297" i="146"/>
  <c r="B2298" i="146"/>
  <c r="B2299" i="146"/>
  <c r="B2300" i="146"/>
  <c r="B2301" i="146"/>
  <c r="B2302" i="146"/>
  <c r="B2303" i="146"/>
  <c r="B2304" i="146"/>
  <c r="B2305" i="146"/>
  <c r="B2306" i="146"/>
  <c r="B2307" i="146"/>
  <c r="B2308" i="146"/>
  <c r="B2309" i="146"/>
  <c r="B2310" i="146"/>
  <c r="B2311" i="146"/>
  <c r="B2312" i="146"/>
  <c r="B2313" i="146"/>
  <c r="B2314" i="146"/>
  <c r="B2315" i="146"/>
  <c r="B2316" i="146"/>
  <c r="B2317" i="146"/>
  <c r="B2318" i="146"/>
  <c r="B2319" i="146"/>
  <c r="B2320" i="146"/>
  <c r="B2321" i="146"/>
  <c r="B2322" i="146"/>
  <c r="B2323" i="146"/>
  <c r="B2324" i="146"/>
  <c r="B2325" i="146"/>
  <c r="B2326" i="146"/>
  <c r="B2327" i="146"/>
  <c r="B2328" i="146"/>
  <c r="B2329" i="146"/>
  <c r="B2330" i="146"/>
  <c r="B2331" i="146"/>
  <c r="B2332" i="146"/>
  <c r="B2333" i="146"/>
  <c r="B2334" i="146"/>
  <c r="B2335" i="146"/>
  <c r="B2336" i="146"/>
  <c r="B2337" i="146"/>
  <c r="B2338" i="146"/>
  <c r="B2339" i="146"/>
  <c r="B2340" i="146"/>
  <c r="B2341" i="146"/>
  <c r="B2342" i="146"/>
  <c r="B2343" i="146"/>
  <c r="B2344" i="146"/>
  <c r="B2345" i="146"/>
  <c r="B2346" i="146"/>
  <c r="B2347" i="146"/>
  <c r="B2348" i="146"/>
  <c r="B2349" i="146"/>
  <c r="B2350" i="146"/>
  <c r="B2351" i="146"/>
  <c r="B2352" i="146"/>
  <c r="B2353" i="146"/>
  <c r="B2354" i="146"/>
  <c r="B2355" i="146"/>
  <c r="B2356" i="146"/>
  <c r="B2357" i="146"/>
  <c r="B2358" i="146"/>
  <c r="B2359" i="146"/>
  <c r="B2360" i="146"/>
  <c r="B2361" i="146"/>
  <c r="B2362" i="146"/>
  <c r="B2363" i="146"/>
  <c r="B2364" i="146"/>
  <c r="B2365" i="146"/>
  <c r="B2366" i="146"/>
  <c r="B2367" i="146"/>
  <c r="B2368" i="146"/>
  <c r="B2369" i="146"/>
  <c r="B2370" i="146"/>
  <c r="B2371" i="146"/>
  <c r="B2372" i="146"/>
  <c r="B2373" i="146"/>
  <c r="B2374" i="146"/>
  <c r="B2375" i="146"/>
  <c r="B2376" i="146"/>
  <c r="B2377" i="146"/>
  <c r="B2378" i="146"/>
  <c r="B2379" i="146"/>
  <c r="B2380" i="146"/>
  <c r="B2381" i="146"/>
  <c r="B2382" i="146"/>
  <c r="B2383" i="146"/>
  <c r="B2384" i="146"/>
  <c r="B2385" i="146"/>
  <c r="B2386" i="146"/>
  <c r="B2387" i="146"/>
  <c r="B2388" i="146"/>
  <c r="B2389" i="146"/>
  <c r="B2390" i="146"/>
  <c r="B2391" i="146"/>
  <c r="B2392" i="146"/>
  <c r="B2393" i="146"/>
  <c r="B2394" i="146"/>
  <c r="B2395" i="146"/>
  <c r="B2396" i="146"/>
  <c r="B2397" i="146"/>
  <c r="B2398" i="146"/>
  <c r="B2399" i="146"/>
  <c r="B2400" i="146"/>
  <c r="B2401" i="146"/>
  <c r="B2402" i="146"/>
  <c r="B2403" i="146"/>
  <c r="B2404" i="146"/>
  <c r="B2405" i="146"/>
  <c r="B2406" i="146"/>
  <c r="B2407" i="146"/>
  <c r="B2408" i="146"/>
  <c r="B2409" i="146"/>
  <c r="B2410" i="146"/>
  <c r="B2411" i="146"/>
  <c r="B2412" i="146"/>
  <c r="B2413" i="146"/>
  <c r="B2414" i="146"/>
  <c r="B2415" i="146"/>
  <c r="B2416" i="146"/>
  <c r="B2417" i="146"/>
  <c r="B2418" i="146"/>
  <c r="B2419" i="146"/>
  <c r="B2420" i="146"/>
  <c r="B2421" i="146"/>
  <c r="B2422" i="146"/>
  <c r="B2423" i="146"/>
  <c r="B2424" i="146"/>
  <c r="B2425" i="146"/>
  <c r="B2426" i="146"/>
  <c r="B2427" i="146"/>
  <c r="B2428" i="146"/>
  <c r="B2429" i="146"/>
  <c r="B2430" i="146"/>
  <c r="B2431" i="146"/>
  <c r="B2432" i="146"/>
  <c r="B2433" i="146"/>
  <c r="B2434" i="146"/>
  <c r="B2435" i="146"/>
  <c r="B2436" i="146"/>
  <c r="B2437" i="146"/>
  <c r="B2438" i="146"/>
  <c r="B2439" i="146"/>
  <c r="B2440" i="146"/>
  <c r="B2441" i="146"/>
  <c r="B2442" i="146"/>
  <c r="B2443" i="146"/>
  <c r="B2444" i="146"/>
  <c r="B2445" i="146"/>
  <c r="B10" i="146"/>
  <c r="B9" i="146"/>
  <c r="A56" i="162"/>
  <c r="A57" i="162"/>
  <c r="A58" i="162"/>
  <c r="A59" i="162"/>
  <c r="A60" i="162"/>
  <c r="A61" i="162"/>
  <c r="A62" i="162"/>
  <c r="A63" i="162"/>
  <c r="A64" i="162"/>
  <c r="A65" i="162"/>
  <c r="A66" i="162"/>
  <c r="A67" i="162"/>
  <c r="A68" i="162"/>
  <c r="A69" i="162"/>
  <c r="A70" i="162"/>
  <c r="A71" i="162"/>
  <c r="A72" i="162"/>
  <c r="A73" i="162"/>
  <c r="A74" i="162"/>
  <c r="A75" i="162"/>
  <c r="A76" i="162"/>
  <c r="A77" i="162"/>
  <c r="A78" i="162"/>
  <c r="A79" i="162"/>
  <c r="A80" i="162"/>
  <c r="A81" i="162"/>
  <c r="A82" i="162"/>
  <c r="A83" i="162"/>
  <c r="A84" i="162"/>
  <c r="A85" i="162"/>
  <c r="A86" i="162"/>
  <c r="A87" i="162"/>
  <c r="A88" i="162"/>
  <c r="A89" i="162"/>
  <c r="A90" i="162"/>
  <c r="A91" i="162"/>
  <c r="A92" i="162"/>
  <c r="A93" i="162"/>
  <c r="A94" i="162"/>
  <c r="A95" i="162"/>
  <c r="A96" i="162"/>
  <c r="A97" i="162"/>
  <c r="A98" i="162"/>
  <c r="A99" i="162"/>
  <c r="A100" i="162"/>
  <c r="A101" i="162"/>
  <c r="A102" i="162"/>
  <c r="A103" i="162"/>
  <c r="A104" i="162"/>
  <c r="A105" i="162"/>
  <c r="A106" i="162"/>
  <c r="A107" i="162"/>
  <c r="A108" i="162"/>
  <c r="A109" i="162"/>
  <c r="A110" i="162"/>
  <c r="A111" i="162"/>
  <c r="A112" i="162"/>
  <c r="A113" i="162"/>
  <c r="A114" i="162"/>
  <c r="A115" i="162"/>
  <c r="A116" i="162"/>
  <c r="A117" i="162"/>
  <c r="A118" i="162"/>
  <c r="A119" i="162"/>
  <c r="A120" i="162"/>
  <c r="A121" i="162"/>
  <c r="A122" i="162"/>
  <c r="A123" i="162"/>
  <c r="A124" i="162"/>
  <c r="A125" i="162"/>
  <c r="A126" i="162"/>
  <c r="A127" i="162"/>
  <c r="A128" i="162"/>
  <c r="A129" i="162"/>
  <c r="A130" i="162"/>
  <c r="A131" i="162"/>
  <c r="A132" i="162"/>
  <c r="A133" i="162"/>
  <c r="A134" i="162"/>
  <c r="A135" i="162"/>
  <c r="A136" i="162"/>
  <c r="A137" i="162"/>
  <c r="A138" i="162"/>
  <c r="A139" i="162"/>
  <c r="A140" i="162"/>
  <c r="A141" i="162"/>
  <c r="A142" i="162"/>
  <c r="A143" i="162"/>
  <c r="A144" i="162"/>
  <c r="A145" i="162"/>
  <c r="A146" i="162"/>
  <c r="A147" i="162"/>
  <c r="A148" i="162"/>
  <c r="A149" i="162"/>
  <c r="A150" i="162"/>
  <c r="A151" i="162"/>
  <c r="A152" i="162"/>
  <c r="A153" i="162"/>
  <c r="A154" i="162"/>
  <c r="A155" i="162"/>
  <c r="A156" i="162"/>
  <c r="A157" i="162"/>
  <c r="A158" i="162"/>
  <c r="A159" i="162"/>
  <c r="A160" i="162"/>
  <c r="A161" i="162"/>
  <c r="A162" i="162"/>
  <c r="A163" i="162"/>
  <c r="A164" i="162"/>
  <c r="A165" i="162"/>
  <c r="A55" i="162"/>
  <c r="A54" i="162"/>
  <c r="A53" i="162"/>
  <c r="A51" i="162"/>
  <c r="A50" i="162"/>
  <c r="A49" i="162"/>
  <c r="A48" i="162"/>
  <c r="A44" i="162"/>
  <c r="A45" i="162"/>
  <c r="A43" i="162"/>
  <c r="A42" i="162"/>
  <c r="A41" i="162"/>
  <c r="A38" i="162"/>
  <c r="A37" i="162"/>
  <c r="A36" i="162"/>
  <c r="A32" i="162"/>
  <c r="A33" i="162"/>
  <c r="A31" i="162"/>
  <c r="A30" i="162"/>
  <c r="A29" i="162"/>
  <c r="A28" i="162"/>
  <c r="A26" i="162"/>
  <c r="A25" i="162"/>
  <c r="A24" i="162"/>
  <c r="A23" i="162"/>
  <c r="A19" i="162"/>
  <c r="A20" i="162"/>
  <c r="A21" i="162"/>
  <c r="A18" i="162"/>
  <c r="A27" i="162" a="1"/>
  <c r="A27" i="162"/>
  <c r="A22" i="162" a="1"/>
  <c r="A22" i="162"/>
  <c r="T9" i="180"/>
  <c r="V9" i="180" a="1"/>
  <c r="V9" i="180"/>
  <c r="S8" i="145"/>
  <c r="T8" i="145"/>
  <c r="T19" i="162"/>
  <c r="T20" i="162"/>
  <c r="T21" i="162"/>
  <c r="T22" i="162"/>
  <c r="T23" i="162"/>
  <c r="T24" i="162"/>
  <c r="T25" i="162"/>
  <c r="T26" i="162"/>
  <c r="T27" i="162"/>
  <c r="T28" i="162"/>
  <c r="T29" i="162"/>
  <c r="T30" i="162"/>
  <c r="T31" i="162"/>
  <c r="T32" i="162"/>
  <c r="T33" i="162"/>
  <c r="T34" i="162"/>
  <c r="T35" i="162"/>
  <c r="T36" i="162"/>
  <c r="T37" i="162"/>
  <c r="T38" i="162"/>
  <c r="T39" i="162"/>
  <c r="T40" i="162"/>
  <c r="T41" i="162"/>
  <c r="T42" i="162"/>
  <c r="T43" i="162"/>
  <c r="T44" i="162"/>
  <c r="T45" i="162"/>
  <c r="T46" i="162"/>
  <c r="T47" i="162"/>
  <c r="T48" i="162"/>
  <c r="T49" i="162"/>
  <c r="T50" i="162"/>
  <c r="T51" i="162"/>
  <c r="T52" i="162"/>
  <c r="T53" i="162"/>
  <c r="T54" i="162"/>
  <c r="T55" i="162"/>
  <c r="T56" i="162"/>
  <c r="T57" i="162"/>
  <c r="T58" i="162"/>
  <c r="T59" i="162"/>
  <c r="T60" i="162"/>
  <c r="T61" i="162"/>
  <c r="T62" i="162"/>
  <c r="T63" i="162"/>
  <c r="T64" i="162"/>
  <c r="T65" i="162"/>
  <c r="T66" i="162"/>
  <c r="T67" i="162"/>
  <c r="T68" i="162"/>
  <c r="T69" i="162"/>
  <c r="T70" i="162"/>
  <c r="T71" i="162"/>
  <c r="T72" i="162"/>
  <c r="T73" i="162"/>
  <c r="T74" i="162"/>
  <c r="T75" i="162"/>
  <c r="T76" i="162"/>
  <c r="T77" i="162"/>
  <c r="T78" i="162"/>
  <c r="T79" i="162"/>
  <c r="T80" i="162"/>
  <c r="T81" i="162"/>
  <c r="T82" i="162"/>
  <c r="T83" i="162"/>
  <c r="T84" i="162"/>
  <c r="T85" i="162"/>
  <c r="T86" i="162"/>
  <c r="T87" i="162"/>
  <c r="T88" i="162"/>
  <c r="T89" i="162"/>
  <c r="T90" i="162"/>
  <c r="T91" i="162"/>
  <c r="T92" i="162"/>
  <c r="T93" i="162"/>
  <c r="T94" i="162"/>
  <c r="T95" i="162"/>
  <c r="T96" i="162"/>
  <c r="T97" i="162"/>
  <c r="T98" i="162"/>
  <c r="T99" i="162"/>
  <c r="T100" i="162"/>
  <c r="T101" i="162"/>
  <c r="T102" i="162"/>
  <c r="T103" i="162"/>
  <c r="T104" i="162"/>
  <c r="T105" i="162"/>
  <c r="T106" i="162"/>
  <c r="T107" i="162"/>
  <c r="T108" i="162"/>
  <c r="T109" i="162"/>
  <c r="T110" i="162"/>
  <c r="T111" i="162"/>
  <c r="T112" i="162"/>
  <c r="T113" i="162"/>
  <c r="T114" i="162"/>
  <c r="T115" i="162"/>
  <c r="T116" i="162"/>
  <c r="T117" i="162"/>
  <c r="T118" i="162"/>
  <c r="T119" i="162"/>
  <c r="T120" i="162"/>
  <c r="T121" i="162"/>
  <c r="T122" i="162"/>
  <c r="T123" i="162"/>
  <c r="T124" i="162"/>
  <c r="T125" i="162"/>
  <c r="T126" i="162"/>
  <c r="T127" i="162"/>
  <c r="T128" i="162"/>
  <c r="T129" i="162"/>
  <c r="T130" i="162"/>
  <c r="T131" i="162"/>
  <c r="T132" i="162"/>
  <c r="T133" i="162"/>
  <c r="T134" i="162"/>
  <c r="T135" i="162"/>
  <c r="T136" i="162"/>
  <c r="T137" i="162"/>
  <c r="T138" i="162"/>
  <c r="T139" i="162"/>
  <c r="T140" i="162"/>
  <c r="T141" i="162"/>
  <c r="T142" i="162"/>
  <c r="T143" i="162"/>
  <c r="T144" i="162"/>
  <c r="T145" i="162"/>
  <c r="T146" i="162"/>
  <c r="T147" i="162"/>
  <c r="T148" i="162"/>
  <c r="T149" i="162"/>
  <c r="T150" i="162"/>
  <c r="T151" i="162"/>
  <c r="T152" i="162"/>
  <c r="T153" i="162"/>
  <c r="T154" i="162"/>
  <c r="T155" i="162"/>
  <c r="T156" i="162"/>
  <c r="T157" i="162"/>
  <c r="T158" i="162"/>
  <c r="T159" i="162"/>
  <c r="T160" i="162"/>
  <c r="T161" i="162"/>
  <c r="T162" i="162"/>
  <c r="T163" i="162"/>
  <c r="T164" i="162"/>
  <c r="T165" i="162"/>
  <c r="T18" i="162"/>
  <c r="P165" i="162"/>
  <c r="O165" i="162"/>
  <c r="N165" i="162"/>
  <c r="M165" i="162"/>
  <c r="P164" i="162"/>
  <c r="O164" i="162"/>
  <c r="N164" i="162"/>
  <c r="M164" i="162"/>
  <c r="P163" i="162"/>
  <c r="O163" i="162"/>
  <c r="N163" i="162"/>
  <c r="M163" i="162"/>
  <c r="P162" i="162"/>
  <c r="O162" i="162"/>
  <c r="N162" i="162"/>
  <c r="M162" i="162"/>
  <c r="P161" i="162"/>
  <c r="O161" i="162"/>
  <c r="N161" i="162"/>
  <c r="M161" i="162"/>
  <c r="P160" i="162"/>
  <c r="O160" i="162"/>
  <c r="N160" i="162"/>
  <c r="M160" i="162"/>
  <c r="P159" i="162"/>
  <c r="O159" i="162"/>
  <c r="N159" i="162"/>
  <c r="M159" i="162"/>
  <c r="P157" i="162"/>
  <c r="O157" i="162"/>
  <c r="N157" i="162"/>
  <c r="M157" i="162"/>
  <c r="P156" i="162"/>
  <c r="O156" i="162"/>
  <c r="N156" i="162"/>
  <c r="M156" i="162"/>
  <c r="P155" i="162"/>
  <c r="O155" i="162"/>
  <c r="N155" i="162"/>
  <c r="M155" i="162"/>
  <c r="P154" i="162"/>
  <c r="O154" i="162"/>
  <c r="N154" i="162"/>
  <c r="M154" i="162"/>
  <c r="P153" i="162"/>
  <c r="O153" i="162"/>
  <c r="N153" i="162"/>
  <c r="M153" i="162"/>
  <c r="P150" i="162"/>
  <c r="O150" i="162"/>
  <c r="N150" i="162"/>
  <c r="M150" i="162"/>
  <c r="P149" i="162"/>
  <c r="O149" i="162"/>
  <c r="N149" i="162"/>
  <c r="M149" i="162"/>
  <c r="P148" i="162"/>
  <c r="O148" i="162"/>
  <c r="N148" i="162"/>
  <c r="M148" i="162"/>
  <c r="P147" i="162"/>
  <c r="O147" i="162"/>
  <c r="N147" i="162"/>
  <c r="M147" i="162"/>
  <c r="P146" i="162"/>
  <c r="O146" i="162"/>
  <c r="N146" i="162"/>
  <c r="M146" i="162"/>
  <c r="P145" i="162"/>
  <c r="O145" i="162"/>
  <c r="N145" i="162"/>
  <c r="M145" i="162"/>
  <c r="P143" i="162"/>
  <c r="O143" i="162"/>
  <c r="N143" i="162"/>
  <c r="M143" i="162"/>
  <c r="P142" i="162"/>
  <c r="O142" i="162"/>
  <c r="N142" i="162"/>
  <c r="M142" i="162"/>
  <c r="P141" i="162"/>
  <c r="O141" i="162"/>
  <c r="N141" i="162"/>
  <c r="M141" i="162"/>
  <c r="P140" i="162"/>
  <c r="O140" i="162"/>
  <c r="N140" i="162"/>
  <c r="M140" i="162"/>
  <c r="P137" i="162"/>
  <c r="O137" i="162"/>
  <c r="N137" i="162"/>
  <c r="M137" i="162"/>
  <c r="P136" i="162"/>
  <c r="O136" i="162"/>
  <c r="N136" i="162"/>
  <c r="M136" i="162"/>
  <c r="P135" i="162"/>
  <c r="O135" i="162"/>
  <c r="N135" i="162"/>
  <c r="M135" i="162"/>
  <c r="P134" i="162"/>
  <c r="O134" i="162"/>
  <c r="N134" i="162"/>
  <c r="M134" i="162"/>
  <c r="P133" i="162"/>
  <c r="O133" i="162"/>
  <c r="N133" i="162"/>
  <c r="M133" i="162"/>
  <c r="P132" i="162"/>
  <c r="O132" i="162"/>
  <c r="N132" i="162"/>
  <c r="M132" i="162"/>
  <c r="P130" i="162"/>
  <c r="O130" i="162"/>
  <c r="N130" i="162"/>
  <c r="M130" i="162"/>
  <c r="P129" i="162"/>
  <c r="O129" i="162"/>
  <c r="N129" i="162"/>
  <c r="M129" i="162"/>
  <c r="P128" i="162"/>
  <c r="O128" i="162"/>
  <c r="N128" i="162"/>
  <c r="M128" i="162"/>
  <c r="P127" i="162"/>
  <c r="O127" i="162"/>
  <c r="N127" i="162"/>
  <c r="M127" i="162"/>
  <c r="P124" i="162"/>
  <c r="O124" i="162"/>
  <c r="N124" i="162"/>
  <c r="M124" i="162"/>
  <c r="P123" i="162"/>
  <c r="O123" i="162"/>
  <c r="N123" i="162"/>
  <c r="M123" i="162"/>
  <c r="P122" i="162"/>
  <c r="O122" i="162"/>
  <c r="N122" i="162"/>
  <c r="M122" i="162"/>
  <c r="P121" i="162"/>
  <c r="O121" i="162"/>
  <c r="N121" i="162"/>
  <c r="M121" i="162"/>
  <c r="P120" i="162"/>
  <c r="O120" i="162"/>
  <c r="N120" i="162"/>
  <c r="M120" i="162"/>
  <c r="P119" i="162"/>
  <c r="O119" i="162"/>
  <c r="N119" i="162"/>
  <c r="M119" i="162"/>
  <c r="P118" i="162"/>
  <c r="O118" i="162"/>
  <c r="N118" i="162"/>
  <c r="M118" i="162"/>
  <c r="P115" i="162"/>
  <c r="O115" i="162"/>
  <c r="N115" i="162"/>
  <c r="M115" i="162"/>
  <c r="P114" i="162"/>
  <c r="O114" i="162"/>
  <c r="N114" i="162"/>
  <c r="M114" i="162"/>
  <c r="P113" i="162"/>
  <c r="O113" i="162"/>
  <c r="N113" i="162"/>
  <c r="M113" i="162"/>
  <c r="P112" i="162"/>
  <c r="O112" i="162"/>
  <c r="N112" i="162"/>
  <c r="M112" i="162"/>
  <c r="P111" i="162"/>
  <c r="O111" i="162"/>
  <c r="N111" i="162"/>
  <c r="M111" i="162"/>
  <c r="P110" i="162"/>
  <c r="O110" i="162"/>
  <c r="N110" i="162"/>
  <c r="M110" i="162"/>
  <c r="P109" i="162"/>
  <c r="O109" i="162"/>
  <c r="N109" i="162"/>
  <c r="M109" i="162"/>
  <c r="P106" i="162"/>
  <c r="O106" i="162"/>
  <c r="N106" i="162"/>
  <c r="M106" i="162"/>
  <c r="P105" i="162"/>
  <c r="O105" i="162"/>
  <c r="N105" i="162"/>
  <c r="M105" i="162"/>
  <c r="P104" i="162"/>
  <c r="O104" i="162"/>
  <c r="N104" i="162"/>
  <c r="M104" i="162"/>
  <c r="P103" i="162"/>
  <c r="O103" i="162"/>
  <c r="N103" i="162"/>
  <c r="M103" i="162"/>
  <c r="P102" i="162"/>
  <c r="O102" i="162"/>
  <c r="N102" i="162"/>
  <c r="M102" i="162"/>
  <c r="P101" i="162"/>
  <c r="O101" i="162"/>
  <c r="N101" i="162"/>
  <c r="M101" i="162"/>
  <c r="P100" i="162"/>
  <c r="O100" i="162"/>
  <c r="N100" i="162"/>
  <c r="M100" i="162"/>
  <c r="P97" i="162"/>
  <c r="O97" i="162"/>
  <c r="N97" i="162"/>
  <c r="M97" i="162"/>
  <c r="P96" i="162"/>
  <c r="O96" i="162"/>
  <c r="N96" i="162"/>
  <c r="M96" i="162"/>
  <c r="P94" i="162"/>
  <c r="O94" i="162"/>
  <c r="N94" i="162"/>
  <c r="M94" i="162"/>
  <c r="P93" i="162"/>
  <c r="O93" i="162"/>
  <c r="N93" i="162"/>
  <c r="M93" i="162"/>
  <c r="P92" i="162"/>
  <c r="O92" i="162"/>
  <c r="N92" i="162"/>
  <c r="M92" i="162"/>
  <c r="P89" i="162"/>
  <c r="O89" i="162"/>
  <c r="N89" i="162"/>
  <c r="M89" i="162"/>
  <c r="P88" i="162"/>
  <c r="O88" i="162"/>
  <c r="N88" i="162"/>
  <c r="M88" i="162"/>
  <c r="P87" i="162"/>
  <c r="O87" i="162"/>
  <c r="N87" i="162"/>
  <c r="M87" i="162"/>
  <c r="P86" i="162"/>
  <c r="O86" i="162"/>
  <c r="N86" i="162"/>
  <c r="M86" i="162"/>
  <c r="P85" i="162"/>
  <c r="O85" i="162"/>
  <c r="N85" i="162"/>
  <c r="M85" i="162"/>
  <c r="P84" i="162"/>
  <c r="O84" i="162"/>
  <c r="N84" i="162"/>
  <c r="M84" i="162"/>
  <c r="P83" i="162"/>
  <c r="O83" i="162"/>
  <c r="N83" i="162"/>
  <c r="M83" i="162"/>
  <c r="P81" i="162"/>
  <c r="O81" i="162"/>
  <c r="N81" i="162"/>
  <c r="M81" i="162"/>
  <c r="P80" i="162"/>
  <c r="O80" i="162"/>
  <c r="N80" i="162"/>
  <c r="M80" i="162"/>
  <c r="P79" i="162"/>
  <c r="O79" i="162"/>
  <c r="N79" i="162"/>
  <c r="M79" i="162"/>
  <c r="P78" i="162"/>
  <c r="O78" i="162"/>
  <c r="N78" i="162"/>
  <c r="M78" i="162"/>
  <c r="P76" i="162"/>
  <c r="O76" i="162"/>
  <c r="N76" i="162"/>
  <c r="M76" i="162"/>
  <c r="P75" i="162"/>
  <c r="O75" i="162"/>
  <c r="N75" i="162"/>
  <c r="M75" i="162"/>
  <c r="P74" i="162"/>
  <c r="O74" i="162"/>
  <c r="N74" i="162"/>
  <c r="M74" i="162"/>
  <c r="P73" i="162"/>
  <c r="O73" i="162"/>
  <c r="N73" i="162"/>
  <c r="M73" i="162"/>
  <c r="P72" i="162"/>
  <c r="O72" i="162"/>
  <c r="N72" i="162"/>
  <c r="M72" i="162"/>
  <c r="P70" i="162"/>
  <c r="O70" i="162"/>
  <c r="N70" i="162"/>
  <c r="M70" i="162"/>
  <c r="P69" i="162"/>
  <c r="O69" i="162"/>
  <c r="N69" i="162"/>
  <c r="M69" i="162"/>
  <c r="P68" i="162"/>
  <c r="O68" i="162"/>
  <c r="N68" i="162"/>
  <c r="M68" i="162"/>
  <c r="P67" i="162"/>
  <c r="O67" i="162"/>
  <c r="N67" i="162"/>
  <c r="M67" i="162"/>
  <c r="P66" i="162"/>
  <c r="O66" i="162"/>
  <c r="N66" i="162"/>
  <c r="M66" i="162"/>
  <c r="P63" i="162"/>
  <c r="O63" i="162"/>
  <c r="N63" i="162"/>
  <c r="M63" i="162"/>
  <c r="P62" i="162"/>
  <c r="O62" i="162"/>
  <c r="N62" i="162"/>
  <c r="M62" i="162"/>
  <c r="P61" i="162"/>
  <c r="O61" i="162"/>
  <c r="N61" i="162"/>
  <c r="M61" i="162"/>
  <c r="P59" i="162"/>
  <c r="O59" i="162"/>
  <c r="N59" i="162"/>
  <c r="M59" i="162"/>
  <c r="P58" i="162"/>
  <c r="O58" i="162"/>
  <c r="N58" i="162"/>
  <c r="M58" i="162"/>
  <c r="P57" i="162"/>
  <c r="O57" i="162"/>
  <c r="N57" i="162"/>
  <c r="M57" i="162"/>
  <c r="P55" i="162"/>
  <c r="O55" i="162"/>
  <c r="N55" i="162"/>
  <c r="M55" i="162"/>
  <c r="P54" i="162"/>
  <c r="O54" i="162"/>
  <c r="N54" i="162"/>
  <c r="M54" i="162"/>
  <c r="P53" i="162"/>
  <c r="O53" i="162"/>
  <c r="N53" i="162"/>
  <c r="M53" i="162"/>
  <c r="P51" i="162"/>
  <c r="O51" i="162"/>
  <c r="N51" i="162"/>
  <c r="M51" i="162"/>
  <c r="P50" i="162"/>
  <c r="O50" i="162"/>
  <c r="N50" i="162"/>
  <c r="M50" i="162"/>
  <c r="P49" i="162"/>
  <c r="O49" i="162"/>
  <c r="N49" i="162"/>
  <c r="M49" i="162"/>
  <c r="P48" i="162"/>
  <c r="O48" i="162"/>
  <c r="N48" i="162"/>
  <c r="M48" i="162"/>
  <c r="P38" i="162"/>
  <c r="O38" i="162"/>
  <c r="N38" i="162"/>
  <c r="M38" i="162"/>
  <c r="P37" i="162"/>
  <c r="O37" i="162"/>
  <c r="N37" i="162"/>
  <c r="M37" i="162"/>
  <c r="P36" i="162"/>
  <c r="O36" i="162"/>
  <c r="N36" i="162"/>
  <c r="M36" i="162"/>
  <c r="P33" i="162"/>
  <c r="O33" i="162"/>
  <c r="N33" i="162"/>
  <c r="M33" i="162"/>
  <c r="P32" i="162"/>
  <c r="O32" i="162"/>
  <c r="N32" i="162"/>
  <c r="M32" i="162"/>
  <c r="P31" i="162"/>
  <c r="O31" i="162"/>
  <c r="N31" i="162"/>
  <c r="M31" i="162"/>
  <c r="P30" i="162"/>
  <c r="O30" i="162"/>
  <c r="N30" i="162"/>
  <c r="M30" i="162"/>
  <c r="P29" i="162"/>
  <c r="O29" i="162"/>
  <c r="N29" i="162"/>
  <c r="M29" i="162"/>
  <c r="P28" i="162"/>
  <c r="O28" i="162"/>
  <c r="N28" i="162"/>
  <c r="M28" i="162"/>
  <c r="P26" i="162"/>
  <c r="O26" i="162"/>
  <c r="N26" i="162"/>
  <c r="M26" i="162"/>
  <c r="P25" i="162"/>
  <c r="O25" i="162"/>
  <c r="N25" i="162"/>
  <c r="M25" i="162"/>
  <c r="P24" i="162"/>
  <c r="O24" i="162"/>
  <c r="N24" i="162"/>
  <c r="M24" i="162"/>
  <c r="P23" i="162"/>
  <c r="O23" i="162"/>
  <c r="N23" i="162"/>
  <c r="M23" i="162"/>
  <c r="P21" i="162"/>
  <c r="O21" i="162"/>
  <c r="N21" i="162"/>
  <c r="M21" i="162"/>
  <c r="P20" i="162"/>
  <c r="O20" i="162"/>
  <c r="N20" i="162"/>
  <c r="M20" i="162"/>
  <c r="P19" i="162"/>
  <c r="O19" i="162"/>
  <c r="N19" i="162"/>
  <c r="M19" i="162"/>
  <c r="P18" i="162"/>
  <c r="O18" i="162"/>
  <c r="N18" i="162"/>
  <c r="M18" i="162"/>
  <c r="F38" i="162"/>
  <c r="F37" i="162"/>
  <c r="F36" i="162"/>
  <c r="J165" i="162"/>
  <c r="I165" i="162"/>
  <c r="J164" i="162"/>
  <c r="I164" i="162"/>
  <c r="J163" i="162"/>
  <c r="I163" i="162"/>
  <c r="J162" i="162"/>
  <c r="I162" i="162"/>
  <c r="J161" i="162"/>
  <c r="I161" i="162"/>
  <c r="J160" i="162"/>
  <c r="I160" i="162"/>
  <c r="J159" i="162"/>
  <c r="I159" i="162"/>
  <c r="J157" i="162"/>
  <c r="I157" i="162"/>
  <c r="J156" i="162"/>
  <c r="I156" i="162"/>
  <c r="J155" i="162"/>
  <c r="I155" i="162"/>
  <c r="J154" i="162"/>
  <c r="I154" i="162"/>
  <c r="J153" i="162"/>
  <c r="I153" i="162"/>
  <c r="J150" i="162"/>
  <c r="I150" i="162"/>
  <c r="J149" i="162"/>
  <c r="I149" i="162"/>
  <c r="J148" i="162"/>
  <c r="I148" i="162"/>
  <c r="J147" i="162"/>
  <c r="I147" i="162"/>
  <c r="J146" i="162"/>
  <c r="I146" i="162"/>
  <c r="J145" i="162"/>
  <c r="I145" i="162"/>
  <c r="J143" i="162"/>
  <c r="I143" i="162"/>
  <c r="J142" i="162"/>
  <c r="I142" i="162"/>
  <c r="J141" i="162"/>
  <c r="I141" i="162"/>
  <c r="J140" i="162"/>
  <c r="I140" i="162"/>
  <c r="J137" i="162"/>
  <c r="I137" i="162"/>
  <c r="J136" i="162"/>
  <c r="I136" i="162"/>
  <c r="J135" i="162"/>
  <c r="I135" i="162"/>
  <c r="J134" i="162"/>
  <c r="I134" i="162"/>
  <c r="J133" i="162"/>
  <c r="I133" i="162"/>
  <c r="J132" i="162"/>
  <c r="I132" i="162"/>
  <c r="J130" i="162"/>
  <c r="I130" i="162"/>
  <c r="J129" i="162"/>
  <c r="I129" i="162"/>
  <c r="J128" i="162"/>
  <c r="I128" i="162"/>
  <c r="J127" i="162"/>
  <c r="I127" i="162"/>
  <c r="J124" i="162"/>
  <c r="I124" i="162"/>
  <c r="J123" i="162"/>
  <c r="I123" i="162"/>
  <c r="J122" i="162"/>
  <c r="I122" i="162"/>
  <c r="J121" i="162"/>
  <c r="I121" i="162"/>
  <c r="J120" i="162"/>
  <c r="I120" i="162"/>
  <c r="J119" i="162"/>
  <c r="I119" i="162"/>
  <c r="J118" i="162"/>
  <c r="I118" i="162"/>
  <c r="J115" i="162"/>
  <c r="I115" i="162"/>
  <c r="J114" i="162"/>
  <c r="I114" i="162"/>
  <c r="J113" i="162"/>
  <c r="I113" i="162"/>
  <c r="J112" i="162"/>
  <c r="I112" i="162"/>
  <c r="J111" i="162"/>
  <c r="I111" i="162"/>
  <c r="J110" i="162"/>
  <c r="I110" i="162"/>
  <c r="J109" i="162"/>
  <c r="I109" i="162"/>
  <c r="I104" i="162"/>
  <c r="J104" i="162"/>
  <c r="I105" i="162"/>
  <c r="J105" i="162"/>
  <c r="I106" i="162"/>
  <c r="J106" i="162"/>
  <c r="J103" i="162"/>
  <c r="I103" i="162"/>
  <c r="J102" i="162"/>
  <c r="I102" i="162"/>
  <c r="J101" i="162"/>
  <c r="I101" i="162"/>
  <c r="J100" i="162"/>
  <c r="I100" i="162"/>
  <c r="J97" i="162"/>
  <c r="I97" i="162"/>
  <c r="J96" i="162"/>
  <c r="I96" i="162"/>
  <c r="J94" i="162"/>
  <c r="I94" i="162"/>
  <c r="J93" i="162"/>
  <c r="I93" i="162"/>
  <c r="J92" i="162"/>
  <c r="I92" i="162"/>
  <c r="I86" i="162"/>
  <c r="J86" i="162"/>
  <c r="I87" i="162"/>
  <c r="J87" i="162"/>
  <c r="I88" i="162"/>
  <c r="J88" i="162"/>
  <c r="I89" i="162"/>
  <c r="J89" i="162"/>
  <c r="J85" i="162"/>
  <c r="I85" i="162"/>
  <c r="J84" i="162"/>
  <c r="I84" i="162"/>
  <c r="J83" i="162"/>
  <c r="I83" i="162"/>
  <c r="J81" i="162"/>
  <c r="I81" i="162"/>
  <c r="J80" i="162"/>
  <c r="I80" i="162"/>
  <c r="J79" i="162"/>
  <c r="I79" i="162"/>
  <c r="J78" i="162"/>
  <c r="I78" i="162"/>
  <c r="J76" i="162"/>
  <c r="I76" i="162"/>
  <c r="J75" i="162"/>
  <c r="I75" i="162"/>
  <c r="J74" i="162"/>
  <c r="I74" i="162"/>
  <c r="J73" i="162"/>
  <c r="I73" i="162"/>
  <c r="J72" i="162"/>
  <c r="I72" i="162"/>
  <c r="I69" i="162"/>
  <c r="J69" i="162"/>
  <c r="I70" i="162"/>
  <c r="J70" i="162"/>
  <c r="J68" i="162"/>
  <c r="I68" i="162"/>
  <c r="J67" i="162"/>
  <c r="I67" i="162"/>
  <c r="J66" i="162"/>
  <c r="I66" i="162"/>
  <c r="J63" i="162"/>
  <c r="I63" i="162"/>
  <c r="J62" i="162"/>
  <c r="I62" i="162"/>
  <c r="J61" i="162"/>
  <c r="I61" i="162"/>
  <c r="J59" i="162"/>
  <c r="I59" i="162"/>
  <c r="J58" i="162"/>
  <c r="I58" i="162"/>
  <c r="J57" i="162"/>
  <c r="I57" i="162"/>
  <c r="J55" i="162"/>
  <c r="I55" i="162"/>
  <c r="J54" i="162"/>
  <c r="I54" i="162"/>
  <c r="J53" i="162"/>
  <c r="I53" i="162"/>
  <c r="J51" i="162"/>
  <c r="I51" i="162"/>
  <c r="J50" i="162"/>
  <c r="I50" i="162"/>
  <c r="J49" i="162"/>
  <c r="I49" i="162"/>
  <c r="J48" i="162"/>
  <c r="I48" i="162"/>
  <c r="I43" i="162"/>
  <c r="J43" i="162"/>
  <c r="I44" i="162"/>
  <c r="J44" i="162"/>
  <c r="I45" i="162"/>
  <c r="J45" i="162"/>
  <c r="J42" i="162"/>
  <c r="I42" i="162"/>
  <c r="J41" i="162"/>
  <c r="I41" i="162"/>
  <c r="J38" i="162"/>
  <c r="I38" i="162"/>
  <c r="J37" i="162"/>
  <c r="I37" i="162"/>
  <c r="J36" i="162"/>
  <c r="I36" i="162"/>
  <c r="I31" i="162"/>
  <c r="J31" i="162"/>
  <c r="I32" i="162"/>
  <c r="J32" i="162"/>
  <c r="I33" i="162"/>
  <c r="J33" i="162"/>
  <c r="J30" i="162"/>
  <c r="I30" i="162"/>
  <c r="J29" i="162"/>
  <c r="I29" i="162"/>
  <c r="J28" i="162"/>
  <c r="I28" i="162"/>
  <c r="J26" i="162"/>
  <c r="I26" i="162"/>
  <c r="J25" i="162"/>
  <c r="I25" i="162"/>
  <c r="J24" i="162"/>
  <c r="I24" i="162"/>
  <c r="J23" i="162"/>
  <c r="I23" i="162"/>
  <c r="J21" i="162"/>
  <c r="I21" i="162"/>
  <c r="J20" i="162"/>
  <c r="I20" i="162"/>
  <c r="J19" i="162"/>
  <c r="I19" i="162"/>
  <c r="J18" i="162"/>
  <c r="I18" i="162"/>
  <c r="C3" i="162"/>
  <c r="C4" i="162"/>
  <c r="C5" i="162"/>
  <c r="C6" i="162"/>
  <c r="C7" i="162"/>
  <c r="C8" i="162"/>
  <c r="C9" i="162"/>
  <c r="C10" i="162"/>
  <c r="C11" i="162"/>
  <c r="C12" i="162"/>
  <c r="C13" i="162"/>
  <c r="C2" i="162"/>
  <c r="N41" i="162"/>
  <c r="N42" i="162"/>
  <c r="N43" i="162"/>
  <c r="N44" i="162"/>
  <c r="N45" i="162"/>
  <c r="P158" i="162"/>
  <c r="O158" i="162"/>
  <c r="N158" i="162"/>
  <c r="M158" i="162"/>
  <c r="P152" i="162"/>
  <c r="O152" i="162"/>
  <c r="N152" i="162"/>
  <c r="M152" i="162"/>
  <c r="P144" i="162"/>
  <c r="O144" i="162"/>
  <c r="N144" i="162"/>
  <c r="M144" i="162"/>
  <c r="P139" i="162"/>
  <c r="O139" i="162"/>
  <c r="N139" i="162"/>
  <c r="M139" i="162"/>
  <c r="P131" i="162"/>
  <c r="O131" i="162"/>
  <c r="N131" i="162"/>
  <c r="M131" i="162"/>
  <c r="P126" i="162"/>
  <c r="O126" i="162"/>
  <c r="N126" i="162"/>
  <c r="M126" i="162"/>
  <c r="P117" i="162"/>
  <c r="O117" i="162"/>
  <c r="N117" i="162"/>
  <c r="M117" i="162"/>
  <c r="P108" i="162"/>
  <c r="O108" i="162"/>
  <c r="N108" i="162"/>
  <c r="M108" i="162"/>
  <c r="P99" i="162"/>
  <c r="O99" i="162"/>
  <c r="N99" i="162"/>
  <c r="M99" i="162"/>
  <c r="P95" i="162"/>
  <c r="O95" i="162"/>
  <c r="N95" i="162"/>
  <c r="M95" i="162"/>
  <c r="P91" i="162"/>
  <c r="O91" i="162"/>
  <c r="N91" i="162"/>
  <c r="M91" i="162"/>
  <c r="P82" i="162"/>
  <c r="O82" i="162"/>
  <c r="N82" i="162"/>
  <c r="M82" i="162"/>
  <c r="P77" i="162"/>
  <c r="O77" i="162"/>
  <c r="N77" i="162"/>
  <c r="M77" i="162"/>
  <c r="P71" i="162"/>
  <c r="O71" i="162"/>
  <c r="N71" i="162"/>
  <c r="M71" i="162"/>
  <c r="P65" i="162"/>
  <c r="O65" i="162"/>
  <c r="N65" i="162"/>
  <c r="M65" i="162"/>
  <c r="P60" i="162"/>
  <c r="O60" i="162"/>
  <c r="N60" i="162"/>
  <c r="M60" i="162"/>
  <c r="P56" i="162"/>
  <c r="O56" i="162"/>
  <c r="N56" i="162"/>
  <c r="M56" i="162"/>
  <c r="P52" i="162"/>
  <c r="O52" i="162"/>
  <c r="N52" i="162"/>
  <c r="M52" i="162"/>
  <c r="M40" i="162"/>
  <c r="P40" i="162"/>
  <c r="P41" i="162"/>
  <c r="O40" i="162"/>
  <c r="O43" i="162"/>
  <c r="P47" i="162"/>
  <c r="O47" i="162"/>
  <c r="N47" i="162"/>
  <c r="M47" i="162"/>
  <c r="P35" i="162"/>
  <c r="O35" i="162"/>
  <c r="N35" i="162"/>
  <c r="M35" i="162"/>
  <c r="P27" i="162"/>
  <c r="O27" i="162"/>
  <c r="N27" i="162"/>
  <c r="M27" i="162"/>
  <c r="P22" i="162"/>
  <c r="O22" i="162"/>
  <c r="N22" i="162"/>
  <c r="M22" i="162"/>
  <c r="N17" i="162"/>
  <c r="O17" i="162"/>
  <c r="P17" i="162"/>
  <c r="M17" i="162"/>
  <c r="F165" i="162"/>
  <c r="F164" i="162"/>
  <c r="F163" i="162"/>
  <c r="F162" i="162"/>
  <c r="F161" i="162"/>
  <c r="F160" i="162"/>
  <c r="F159" i="162"/>
  <c r="F155" i="162"/>
  <c r="F156" i="162"/>
  <c r="F157" i="162"/>
  <c r="F154" i="162"/>
  <c r="F153" i="162"/>
  <c r="F135" i="162"/>
  <c r="F136" i="162"/>
  <c r="F137" i="162"/>
  <c r="F134" i="162"/>
  <c r="F133" i="162"/>
  <c r="F132" i="162"/>
  <c r="F130" i="162"/>
  <c r="F129" i="162"/>
  <c r="F128" i="162"/>
  <c r="F127" i="162"/>
  <c r="F119" i="162"/>
  <c r="F120" i="162"/>
  <c r="F121" i="162"/>
  <c r="F122" i="162"/>
  <c r="F123" i="162"/>
  <c r="F124" i="162"/>
  <c r="F118" i="162"/>
  <c r="F101" i="162"/>
  <c r="F102" i="162"/>
  <c r="F103" i="162"/>
  <c r="F104" i="162"/>
  <c r="F105" i="162"/>
  <c r="F106" i="162"/>
  <c r="F100" i="162"/>
  <c r="D158" i="162"/>
  <c r="D151" i="162"/>
  <c r="D152" i="162"/>
  <c r="C151" i="162"/>
  <c r="D144" i="162"/>
  <c r="D139" i="162"/>
  <c r="D138" i="162"/>
  <c r="C138" i="162"/>
  <c r="D131" i="162"/>
  <c r="D126" i="162"/>
  <c r="C125" i="162"/>
  <c r="D117" i="162"/>
  <c r="D116" i="162"/>
  <c r="C116" i="162"/>
  <c r="D108" i="162"/>
  <c r="D107" i="162"/>
  <c r="C107" i="162"/>
  <c r="D99" i="162"/>
  <c r="D98" i="162"/>
  <c r="C98" i="162"/>
  <c r="F97" i="162"/>
  <c r="F96" i="162"/>
  <c r="F93" i="162"/>
  <c r="F94" i="162"/>
  <c r="F92" i="162"/>
  <c r="F63" i="162"/>
  <c r="F62" i="162"/>
  <c r="F61" i="162"/>
  <c r="F59" i="162"/>
  <c r="F58" i="162"/>
  <c r="F57" i="162"/>
  <c r="F55" i="162"/>
  <c r="F54" i="162"/>
  <c r="F53" i="162"/>
  <c r="F49" i="162"/>
  <c r="F50" i="162"/>
  <c r="F51" i="162"/>
  <c r="F48" i="162"/>
  <c r="D60" i="162"/>
  <c r="D56" i="162"/>
  <c r="F42" i="162"/>
  <c r="F43" i="162"/>
  <c r="F44" i="162"/>
  <c r="F45" i="162"/>
  <c r="F41" i="162"/>
  <c r="F33" i="162"/>
  <c r="F32" i="162"/>
  <c r="F31" i="162"/>
  <c r="F30" i="162"/>
  <c r="F29" i="162"/>
  <c r="F28" i="162"/>
  <c r="F26" i="162"/>
  <c r="F25" i="162"/>
  <c r="F24" i="162"/>
  <c r="F23" i="162"/>
  <c r="F19" i="162"/>
  <c r="F20" i="162"/>
  <c r="F21" i="162"/>
  <c r="F18" i="162"/>
  <c r="M43" i="162"/>
  <c r="M44" i="162"/>
  <c r="M45" i="162"/>
  <c r="O41" i="162"/>
  <c r="C1" i="155"/>
  <c r="P41" i="145"/>
  <c r="V18" i="146"/>
  <c r="V38" i="146"/>
  <c r="V67" i="146"/>
  <c r="V79" i="146"/>
  <c r="V92" i="146"/>
  <c r="V104" i="146"/>
  <c r="V114" i="146"/>
  <c r="V126" i="146"/>
  <c r="V150" i="146"/>
  <c r="V174" i="146"/>
  <c r="V348" i="146"/>
  <c r="V386" i="146"/>
  <c r="V408" i="146"/>
  <c r="V438" i="146"/>
  <c r="V504" i="146"/>
  <c r="V1017" i="146"/>
  <c r="T9" i="146"/>
  <c r="U9" i="146" a="1"/>
  <c r="U9" i="146"/>
  <c r="Q9" i="146"/>
  <c r="D125" i="162"/>
  <c r="P43" i="162"/>
  <c r="O44" i="162"/>
  <c r="O42" i="162"/>
  <c r="P45" i="162"/>
  <c r="O45" i="162"/>
  <c r="P44" i="162"/>
  <c r="P42" i="162"/>
  <c r="M42" i="162"/>
  <c r="M41" i="162"/>
  <c r="A4" i="145"/>
  <c r="I4" i="145"/>
  <c r="N7" i="145"/>
  <c r="H7" i="145"/>
  <c r="L7" i="145"/>
  <c r="J7" i="145"/>
  <c r="T7" i="145"/>
  <c r="U7" i="145"/>
  <c r="K112" i="162"/>
  <c r="L112" i="162"/>
  <c r="K111" i="162"/>
  <c r="L111" i="162"/>
  <c r="K140" i="162"/>
  <c r="L140" i="162"/>
  <c r="K149" i="162"/>
  <c r="L149" i="162"/>
  <c r="K147" i="162"/>
  <c r="L147" i="162"/>
  <c r="K145" i="162"/>
  <c r="L145" i="162"/>
  <c r="K110" i="162"/>
  <c r="L110" i="162"/>
  <c r="K143" i="162"/>
  <c r="L143" i="162"/>
  <c r="K142" i="162"/>
  <c r="L142" i="162"/>
  <c r="K141" i="162"/>
  <c r="L141" i="162"/>
  <c r="K146" i="162"/>
  <c r="L146" i="162"/>
  <c r="K150" i="162"/>
  <c r="K144" i="162"/>
  <c r="K115" i="162"/>
  <c r="L115" i="162"/>
  <c r="K148" i="162"/>
  <c r="L148" i="162"/>
  <c r="K113" i="162"/>
  <c r="L113" i="162"/>
  <c r="V148" i="146"/>
  <c r="U101" i="146" a="1"/>
  <c r="U101" i="146"/>
  <c r="Q101" i="146"/>
  <c r="V89" i="146"/>
  <c r="V221" i="146"/>
  <c r="V420" i="146"/>
  <c r="U24" i="146" a="1"/>
  <c r="U24" i="146"/>
  <c r="Q24" i="146"/>
  <c r="U231" i="146" a="1"/>
  <c r="U231" i="146"/>
  <c r="Q231" i="146"/>
  <c r="U243" i="146" a="1"/>
  <c r="U243" i="146"/>
  <c r="Q243" i="146"/>
  <c r="V866" i="146"/>
  <c r="V818" i="146"/>
  <c r="V410" i="146"/>
  <c r="V326" i="146"/>
  <c r="U326" i="146" a="1"/>
  <c r="U326" i="146"/>
  <c r="Q326" i="146"/>
  <c r="U314" i="146" a="1"/>
  <c r="U314" i="146"/>
  <c r="Q314" i="146"/>
  <c r="V254" i="146"/>
  <c r="V850" i="146"/>
  <c r="V130" i="146"/>
  <c r="K9" i="180"/>
  <c r="J9" i="180"/>
  <c r="U863" i="146" a="1"/>
  <c r="U863" i="146"/>
  <c r="V863" i="146"/>
  <c r="V599" i="146"/>
  <c r="U551" i="146" a="1"/>
  <c r="U551" i="146"/>
  <c r="Q551" i="146"/>
  <c r="U527" i="146" a="1"/>
  <c r="U527" i="146"/>
  <c r="Q527" i="146"/>
  <c r="U491" i="146" a="1"/>
  <c r="U491" i="146"/>
  <c r="Q491" i="146"/>
  <c r="V491" i="146"/>
  <c r="U455" i="146" a="1"/>
  <c r="U455" i="146"/>
  <c r="Q455" i="146"/>
  <c r="V455" i="146"/>
  <c r="U431" i="146" a="1"/>
  <c r="U431" i="146"/>
  <c r="Q431" i="146"/>
  <c r="V431" i="146"/>
  <c r="V407" i="146"/>
  <c r="U371" i="146" a="1"/>
  <c r="U371" i="146"/>
  <c r="Q371" i="146"/>
  <c r="V335" i="146"/>
  <c r="V119" i="146"/>
  <c r="V71" i="146"/>
  <c r="U59" i="146" a="1"/>
  <c r="U59" i="146"/>
  <c r="Q59" i="146"/>
  <c r="V59" i="146"/>
  <c r="U47" i="146" a="1"/>
  <c r="U47" i="146"/>
  <c r="Q47" i="146"/>
  <c r="V47" i="146"/>
  <c r="V685" i="146"/>
  <c r="U637" i="146" a="1"/>
  <c r="U637" i="146"/>
  <c r="Q637" i="146"/>
  <c r="U373" i="146"/>
  <c r="Q373" i="146"/>
  <c r="V373" i="146"/>
  <c r="V37" i="146"/>
  <c r="U817" i="146" a="1"/>
  <c r="U817" i="146"/>
  <c r="Q817" i="146"/>
  <c r="V505" i="146"/>
  <c r="U253" i="146" a="1"/>
  <c r="U253" i="146"/>
  <c r="Q253" i="146"/>
  <c r="V253" i="146"/>
  <c r="K109" i="162"/>
  <c r="L109" i="162"/>
  <c r="K114" i="162"/>
  <c r="L114" i="162"/>
  <c r="V639" i="146"/>
  <c r="U639" i="146" a="1"/>
  <c r="U639" i="146"/>
  <c r="Q639" i="146"/>
  <c r="V711" i="146"/>
  <c r="U567" i="146" a="1"/>
  <c r="U567" i="146"/>
  <c r="Q567" i="146"/>
  <c r="V543" i="146"/>
  <c r="U363" i="146" a="1"/>
  <c r="U363" i="146"/>
  <c r="Q363" i="146"/>
  <c r="V363" i="146"/>
  <c r="U339" i="146" a="1"/>
  <c r="U339" i="146"/>
  <c r="Q339" i="146"/>
  <c r="V339" i="146"/>
  <c r="U315" i="146" a="1"/>
  <c r="U315" i="146"/>
  <c r="Q315" i="146"/>
  <c r="V315" i="146"/>
  <c r="V303" i="146"/>
  <c r="U303" i="146" a="1"/>
  <c r="U303" i="146"/>
  <c r="Q303" i="146"/>
  <c r="V255" i="146"/>
  <c r="U255" i="146" a="1"/>
  <c r="U255" i="146"/>
  <c r="Q255" i="146"/>
  <c r="V207" i="146"/>
  <c r="V195" i="146"/>
  <c r="V171" i="146"/>
  <c r="U108" i="146" a="1"/>
  <c r="U108" i="146"/>
  <c r="Q108" i="146"/>
  <c r="U72" i="146" a="1"/>
  <c r="U72" i="146"/>
  <c r="Q72" i="146"/>
  <c r="V72" i="146"/>
  <c r="U48" i="146" a="1"/>
  <c r="U48" i="146"/>
  <c r="Q48" i="146"/>
  <c r="V48" i="146"/>
  <c r="V485" i="146"/>
  <c r="V842" i="146"/>
  <c r="V279" i="146"/>
  <c r="U279" i="146" a="1"/>
  <c r="U279" i="146"/>
  <c r="Q279" i="146"/>
  <c r="V336" i="146"/>
  <c r="U336" i="146" a="1"/>
  <c r="U336" i="146"/>
  <c r="Q336" i="146"/>
  <c r="V670" i="146"/>
  <c r="V529" i="146"/>
  <c r="V837" i="146"/>
  <c r="U37" i="180" a="1"/>
  <c r="U37" i="180"/>
  <c r="V36" i="180" a="1"/>
  <c r="V36" i="180"/>
  <c r="V41" i="180" a="1"/>
  <c r="V41" i="180"/>
  <c r="V38" i="180" a="1"/>
  <c r="V38" i="180"/>
  <c r="U41" i="180" a="1"/>
  <c r="U41" i="180"/>
  <c r="V37" i="180" a="1"/>
  <c r="V37" i="180"/>
  <c r="T40" i="145"/>
  <c r="V40" i="180" a="1"/>
  <c r="V40" i="180"/>
  <c r="U40" i="180" a="1"/>
  <c r="U40" i="180"/>
  <c r="U36" i="180" a="1"/>
  <c r="U36" i="180"/>
  <c r="V35" i="180" a="1"/>
  <c r="V35" i="180"/>
  <c r="H8" i="180"/>
  <c r="U35" i="180" a="1"/>
  <c r="U35" i="180"/>
  <c r="U34" i="180" a="1"/>
  <c r="U34" i="180"/>
  <c r="F4" i="180"/>
  <c r="H9" i="180"/>
  <c r="V34" i="180" a="1"/>
  <c r="V34" i="180"/>
  <c r="U40" i="145"/>
  <c r="I9" i="180"/>
  <c r="U39" i="180" a="1"/>
  <c r="U39" i="180"/>
  <c r="J8" i="180"/>
  <c r="V39" i="180" a="1"/>
  <c r="V39" i="180"/>
  <c r="A5" i="180"/>
  <c r="V8" i="180" a="1"/>
  <c r="V8" i="180"/>
  <c r="U38" i="180" a="1"/>
  <c r="U38" i="180"/>
  <c r="U8" i="180" a="1"/>
  <c r="U8" i="180"/>
  <c r="U36" i="146" a="1"/>
  <c r="U36" i="146"/>
  <c r="Q36" i="146"/>
  <c r="V36" i="146"/>
  <c r="V754" i="146"/>
  <c r="V240" i="146"/>
  <c r="U1164" i="146" a="1"/>
  <c r="U1164" i="146"/>
  <c r="V241" i="146"/>
  <c r="U248" i="146" a="1"/>
  <c r="U248" i="146"/>
  <c r="Q248" i="146"/>
  <c r="U147" i="146" a="1"/>
  <c r="U147" i="146"/>
  <c r="Q147" i="146"/>
  <c r="V106" i="146"/>
  <c r="V688" i="146"/>
  <c r="V208" i="146"/>
  <c r="U208" i="146" a="1"/>
  <c r="U208" i="146"/>
  <c r="Q208" i="146"/>
  <c r="U587" i="146" a="1"/>
  <c r="U587" i="146"/>
  <c r="Q587" i="146"/>
  <c r="U252" i="146" a="1"/>
  <c r="U252" i="146"/>
  <c r="Q252" i="146"/>
  <c r="V252" i="146"/>
  <c r="U244" i="146" a="1"/>
  <c r="U244" i="146"/>
  <c r="Q244" i="146"/>
  <c r="U472" i="146" a="1"/>
  <c r="U472" i="146"/>
  <c r="Q472" i="146"/>
  <c r="U172" i="146" a="1"/>
  <c r="U172" i="146"/>
  <c r="Q172" i="146"/>
  <c r="V172" i="146"/>
  <c r="U12" i="146" a="1"/>
  <c r="U12" i="146"/>
  <c r="Q12" i="146"/>
  <c r="V12" i="146"/>
  <c r="V755" i="146"/>
  <c r="U755" i="146" a="1"/>
  <c r="U755" i="146"/>
  <c r="Q755" i="146"/>
  <c r="U507" i="146" a="1"/>
  <c r="U507" i="146"/>
  <c r="Q507" i="146"/>
  <c r="V496" i="146"/>
  <c r="V316" i="146"/>
  <c r="U316" i="146" a="1"/>
  <c r="U316" i="146"/>
  <c r="Q316" i="146"/>
  <c r="U32" i="146" a="1"/>
  <c r="U32" i="146"/>
  <c r="Q32" i="146"/>
  <c r="U65" i="146" a="1"/>
  <c r="U65" i="146"/>
  <c r="Q65" i="146"/>
  <c r="V494" i="146"/>
  <c r="U1235" i="146" a="1"/>
  <c r="U1235" i="146"/>
  <c r="V1235" i="146"/>
  <c r="V230" i="146"/>
  <c r="V358" i="146"/>
  <c r="V456" i="146"/>
  <c r="V41" i="146"/>
  <c r="V216" i="146"/>
  <c r="V686" i="146"/>
  <c r="V828" i="146"/>
  <c r="V44" i="146"/>
  <c r="V160" i="146"/>
  <c r="U188" i="146" a="1"/>
  <c r="U188" i="146"/>
  <c r="Q188" i="146"/>
  <c r="V489" i="146"/>
  <c r="V112" i="146"/>
  <c r="U219" i="146" a="1"/>
  <c r="U219" i="146"/>
  <c r="Q219" i="146"/>
  <c r="V219" i="146"/>
  <c r="V185" i="146"/>
  <c r="V137" i="146"/>
  <c r="U137" i="146" a="1"/>
  <c r="U137" i="146"/>
  <c r="Q137" i="146"/>
  <c r="V115" i="146"/>
  <c r="U115" i="146" a="1"/>
  <c r="U115" i="146"/>
  <c r="Q115" i="146"/>
  <c r="V444" i="146"/>
  <c r="U479" i="146" a="1"/>
  <c r="U479" i="146"/>
  <c r="Q479" i="146"/>
  <c r="V29" i="146"/>
  <c r="V972" i="146"/>
  <c r="U516" i="146" a="1"/>
  <c r="U516" i="146"/>
  <c r="Q516" i="146"/>
  <c r="V516" i="146"/>
  <c r="U482" i="146" a="1"/>
  <c r="U482" i="146"/>
  <c r="Q482" i="146"/>
  <c r="U447" i="146" a="1"/>
  <c r="U447" i="146"/>
  <c r="Q447" i="146"/>
  <c r="V480" i="146"/>
  <c r="V411" i="146"/>
  <c r="U17" i="146" a="1"/>
  <c r="U17" i="146"/>
  <c r="Q17" i="146"/>
  <c r="V17" i="146"/>
  <c r="U84" i="146" a="1"/>
  <c r="U84" i="146"/>
  <c r="Q84" i="146"/>
  <c r="V84" i="146"/>
  <c r="V60" i="146"/>
  <c r="U60" i="146" a="1"/>
  <c r="U60" i="146"/>
  <c r="Q60" i="146"/>
  <c r="U432" i="146" a="1"/>
  <c r="U432" i="146"/>
  <c r="Q432" i="146"/>
  <c r="V432" i="146"/>
  <c r="U343" i="146" a="1"/>
  <c r="U343" i="146"/>
  <c r="Q343" i="146"/>
  <c r="V722" i="146"/>
  <c r="V651" i="146"/>
  <c r="U651" i="146" a="1"/>
  <c r="U651" i="146"/>
  <c r="Q651" i="146"/>
  <c r="V442" i="146"/>
  <c r="U164" i="146" a="1"/>
  <c r="U164" i="146"/>
  <c r="Q164" i="146"/>
  <c r="V164" i="146"/>
  <c r="V152" i="146"/>
  <c r="V118" i="146"/>
  <c r="U1019" i="146" a="1"/>
  <c r="U1019" i="146"/>
  <c r="V1209" i="146"/>
  <c r="V173" i="146"/>
  <c r="V42" i="146"/>
  <c r="U421" i="146" a="1"/>
  <c r="U421" i="146"/>
  <c r="Q421" i="146"/>
  <c r="V218" i="146"/>
  <c r="U210" i="146" a="1"/>
  <c r="U210" i="146"/>
  <c r="Q210" i="146"/>
  <c r="V275" i="146"/>
  <c r="V66" i="146"/>
  <c r="U66" i="146" a="1"/>
  <c r="U66" i="146"/>
  <c r="Q66" i="146"/>
  <c r="U55" i="146" a="1"/>
  <c r="U55" i="146"/>
  <c r="Q55" i="146"/>
  <c r="V454" i="146"/>
  <c r="U151" i="146" a="1"/>
  <c r="U151" i="146"/>
  <c r="Q151" i="146"/>
  <c r="V19" i="146"/>
  <c r="U19" i="146" a="1"/>
  <c r="U19" i="146"/>
  <c r="Q19" i="146"/>
  <c r="V591" i="146"/>
  <c r="U603" i="146" a="1"/>
  <c r="U603" i="146"/>
  <c r="Q603" i="146"/>
  <c r="U396" i="146" a="1"/>
  <c r="U396" i="146"/>
  <c r="Q396" i="146"/>
  <c r="V396" i="146"/>
  <c r="V647" i="146"/>
  <c r="V462" i="146"/>
  <c r="V658" i="146"/>
  <c r="U765" i="146" a="1"/>
  <c r="U765" i="146"/>
  <c r="Q765" i="146"/>
  <c r="V765" i="146"/>
  <c r="U753" i="146" a="1"/>
  <c r="U753" i="146"/>
  <c r="Q753" i="146"/>
  <c r="U312" i="146" a="1"/>
  <c r="U312" i="146"/>
  <c r="Q312" i="146"/>
  <c r="V312" i="146"/>
  <c r="U830" i="146" a="1"/>
  <c r="U830" i="146"/>
  <c r="Q830" i="146"/>
  <c r="U1007" i="146" a="1"/>
  <c r="U1007" i="146"/>
  <c r="V1007" i="146"/>
  <c r="U988" i="146" a="1"/>
  <c r="U988" i="146"/>
  <c r="U68" i="146" a="1"/>
  <c r="U68" i="146"/>
  <c r="Q68" i="146"/>
  <c r="V68" i="146"/>
  <c r="V34" i="146"/>
  <c r="V159" i="146"/>
  <c r="U159" i="146" a="1"/>
  <c r="U159" i="146"/>
  <c r="Q159" i="146"/>
  <c r="V90" i="146"/>
  <c r="U90" i="146" a="1"/>
  <c r="U90" i="146"/>
  <c r="Q90" i="146"/>
  <c r="V719" i="146"/>
  <c r="U852" i="146" a="1"/>
  <c r="U852" i="146"/>
  <c r="Q852" i="146"/>
  <c r="U76" i="146" a="1"/>
  <c r="U76" i="146"/>
  <c r="Q76" i="146"/>
  <c r="U362" i="146" a="1"/>
  <c r="U362" i="146"/>
  <c r="Q362" i="146"/>
  <c r="V840" i="146"/>
  <c r="U936" i="146" a="1"/>
  <c r="U936" i="146"/>
  <c r="V936" i="146"/>
  <c r="U933" i="146" a="1"/>
  <c r="U933" i="146"/>
  <c r="V1031" i="146"/>
  <c r="U265" i="146" a="1"/>
  <c r="U265" i="146"/>
  <c r="Q265" i="146"/>
  <c r="V265" i="146"/>
  <c r="V287" i="146"/>
  <c r="U287" i="146" a="1"/>
  <c r="U287" i="146"/>
  <c r="Q287" i="146"/>
  <c r="U875" i="146" a="1"/>
  <c r="U875" i="146"/>
  <c r="V875" i="146"/>
  <c r="V20" i="146"/>
  <c r="U385" i="146" a="1"/>
  <c r="U385" i="146"/>
  <c r="Q385" i="146"/>
  <c r="V385" i="146"/>
  <c r="V83" i="146"/>
  <c r="U83" i="146" a="1"/>
  <c r="U83" i="146"/>
  <c r="Q83" i="146"/>
  <c r="T28" i="145"/>
  <c r="U28" i="145"/>
  <c r="U29" i="145"/>
  <c r="T29" i="145"/>
  <c r="T30" i="145"/>
  <c r="U30" i="145"/>
  <c r="U31" i="145"/>
  <c r="T31" i="145"/>
  <c r="U33" i="145"/>
  <c r="T33" i="145"/>
  <c r="U32" i="145"/>
  <c r="T32" i="145"/>
  <c r="T34" i="145"/>
  <c r="U34" i="145"/>
  <c r="T35" i="145"/>
  <c r="U35" i="145"/>
  <c r="U37" i="145"/>
  <c r="T37" i="145"/>
  <c r="U36" i="145"/>
  <c r="T36" i="145"/>
  <c r="T38" i="145"/>
  <c r="U38" i="145"/>
  <c r="U1150" i="146" a="1"/>
  <c r="U1150" i="146"/>
  <c r="V1150" i="146"/>
  <c r="U897" i="146" a="1"/>
  <c r="U897" i="146"/>
  <c r="U305" i="146" a="1"/>
  <c r="U305" i="146"/>
  <c r="Q305" i="146"/>
  <c r="V305" i="146"/>
  <c r="U113" i="146" a="1"/>
  <c r="U113" i="146"/>
  <c r="Q113" i="146"/>
  <c r="V113" i="146"/>
  <c r="U80" i="146" a="1"/>
  <c r="U80" i="146"/>
  <c r="Q80" i="146"/>
  <c r="V80" i="146"/>
  <c r="U770" i="146" a="1"/>
  <c r="U770" i="146"/>
  <c r="Q770" i="146"/>
  <c r="V770" i="146"/>
  <c r="V555" i="146"/>
  <c r="U555" i="146" a="1"/>
  <c r="U555" i="146"/>
  <c r="Q555" i="146"/>
  <c r="V56" i="146"/>
  <c r="U56" i="146" a="1"/>
  <c r="U56" i="146"/>
  <c r="Q56" i="146"/>
  <c r="V876" i="146"/>
  <c r="U501" i="146"/>
  <c r="Q501" i="146"/>
  <c r="U443" i="146" a="1"/>
  <c r="U443" i="146"/>
  <c r="Q443" i="146"/>
  <c r="V443" i="146"/>
  <c r="U387" i="146" a="1"/>
  <c r="U387" i="146"/>
  <c r="Q387" i="146"/>
  <c r="V387" i="146"/>
  <c r="V375" i="146"/>
  <c r="U375" i="146" a="1"/>
  <c r="U375" i="146"/>
  <c r="Q375" i="146"/>
  <c r="V354" i="146"/>
  <c r="U35" i="146" a="1"/>
  <c r="U35" i="146"/>
  <c r="Q35" i="146"/>
  <c r="V35" i="146"/>
  <c r="U324" i="146" a="1"/>
  <c r="U324" i="146"/>
  <c r="Q324" i="146"/>
  <c r="U300" i="146" a="1"/>
  <c r="U300" i="146"/>
  <c r="Q300" i="146"/>
  <c r="V300" i="146"/>
  <c r="U234" i="146" a="1"/>
  <c r="U234" i="146"/>
  <c r="Q234" i="146"/>
  <c r="V557" i="146"/>
  <c r="V502" i="146"/>
  <c r="V53" i="146"/>
  <c r="U53" i="146" a="1"/>
  <c r="U53" i="146"/>
  <c r="Q53" i="146"/>
  <c r="V789" i="146"/>
  <c r="V1259" i="146"/>
  <c r="V735" i="146"/>
  <c r="U290" i="146" a="1"/>
  <c r="U290" i="146"/>
  <c r="Q290" i="146"/>
  <c r="U359" i="146" a="1"/>
  <c r="U359" i="146"/>
  <c r="Q359" i="146"/>
  <c r="U299" i="146" a="1"/>
  <c r="U299" i="146"/>
  <c r="Q299" i="146"/>
  <c r="V299" i="146"/>
  <c r="U288" i="146" a="1"/>
  <c r="U288" i="146"/>
  <c r="Q288" i="146"/>
  <c r="V288" i="146"/>
  <c r="U131" i="146" a="1"/>
  <c r="U131" i="146"/>
  <c r="Q131" i="146"/>
  <c r="V131" i="146"/>
  <c r="U1137" i="146" a="1"/>
  <c r="U1137" i="146"/>
  <c r="V1137" i="146"/>
  <c r="U136" i="146" a="1"/>
  <c r="U136" i="146"/>
  <c r="Q136" i="146"/>
  <c r="U198" i="146" a="1"/>
  <c r="U198" i="146"/>
  <c r="Q198" i="146"/>
  <c r="U176" i="146" a="1"/>
  <c r="U176" i="146"/>
  <c r="Q176" i="146"/>
  <c r="V731" i="146"/>
  <c r="U731" i="146" a="1"/>
  <c r="U731" i="146"/>
  <c r="Q731" i="146"/>
  <c r="U277" i="146" a="1"/>
  <c r="U277" i="146"/>
  <c r="Q277" i="146"/>
  <c r="V277" i="146"/>
  <c r="V614" i="146"/>
  <c r="U614" i="146" a="1"/>
  <c r="U614" i="146"/>
  <c r="Q614" i="146"/>
  <c r="U100" i="146" a="1"/>
  <c r="U100" i="146"/>
  <c r="Q100" i="146"/>
  <c r="V294" i="146"/>
  <c r="U767" i="146" a="1"/>
  <c r="U767" i="146"/>
  <c r="Q767" i="146"/>
  <c r="V1271" i="146"/>
  <c r="U477" i="146" a="1"/>
  <c r="U477" i="146"/>
  <c r="Q477" i="146"/>
  <c r="V103" i="146"/>
  <c r="U778" i="146" a="1"/>
  <c r="U778" i="146"/>
  <c r="Q778" i="146"/>
  <c r="V352" i="146"/>
  <c r="V222" i="146"/>
  <c r="U276" i="146" a="1"/>
  <c r="U276" i="146"/>
  <c r="Q276" i="146"/>
  <c r="V276" i="146"/>
  <c r="U242" i="146" a="1"/>
  <c r="U242" i="146"/>
  <c r="Q242" i="146"/>
  <c r="V242" i="146"/>
  <c r="V184" i="146"/>
  <c r="U184" i="146" a="1"/>
  <c r="U184" i="146"/>
  <c r="Q184" i="146"/>
  <c r="U140" i="146" a="1"/>
  <c r="U140" i="146"/>
  <c r="Q140" i="146"/>
  <c r="V140" i="146"/>
  <c r="U95" i="146" a="1"/>
  <c r="U95" i="146"/>
  <c r="Q95" i="146"/>
  <c r="V95" i="146"/>
  <c r="V246" i="146"/>
  <c r="U212" i="146" a="1"/>
  <c r="U212" i="146"/>
  <c r="Q212" i="146"/>
  <c r="V212" i="146"/>
  <c r="V269" i="146"/>
  <c r="U325" i="146" a="1"/>
  <c r="U325" i="146"/>
  <c r="Q325" i="146"/>
  <c r="U313" i="146" a="1"/>
  <c r="U313" i="146"/>
  <c r="Q313" i="146"/>
  <c r="V313" i="146"/>
  <c r="V745" i="146"/>
  <c r="U23" i="146" a="1"/>
  <c r="U23" i="146"/>
  <c r="Q23" i="146"/>
  <c r="U224" i="146" a="1"/>
  <c r="U224" i="146"/>
  <c r="Q224" i="146"/>
  <c r="U301" i="146" a="1"/>
  <c r="U301" i="146"/>
  <c r="Q301" i="146"/>
  <c r="V981" i="146"/>
  <c r="U183" i="146" a="1"/>
  <c r="U183" i="146"/>
  <c r="Q183" i="146"/>
  <c r="V183" i="146"/>
  <c r="U779" i="146" a="1"/>
  <c r="U779" i="146"/>
  <c r="Q779" i="146"/>
  <c r="V779" i="146"/>
  <c r="U756" i="146" a="1"/>
  <c r="U756" i="146"/>
  <c r="Q756" i="146"/>
  <c r="V756" i="146"/>
  <c r="V1258" i="146"/>
  <c r="U659" i="146" a="1"/>
  <c r="U659" i="146"/>
  <c r="Q659" i="146"/>
  <c r="U467" i="146" a="1"/>
  <c r="U467" i="146"/>
  <c r="Q467" i="146"/>
  <c r="V91" i="146"/>
  <c r="U923" i="146" a="1"/>
  <c r="U923" i="146"/>
  <c r="U414" i="146" a="1"/>
  <c r="U414" i="146"/>
  <c r="Q414" i="146"/>
  <c r="V414" i="146"/>
  <c r="V311" i="146"/>
  <c r="V245" i="146"/>
  <c r="U397" i="146" a="1"/>
  <c r="U397" i="146"/>
  <c r="Q397" i="146"/>
  <c r="V397" i="146"/>
  <c r="U829" i="146" a="1"/>
  <c r="U829" i="146"/>
  <c r="Q829" i="146"/>
  <c r="V323" i="146"/>
  <c r="V235" i="146"/>
  <c r="U267" i="146" a="1"/>
  <c r="U267" i="146"/>
  <c r="Q267" i="146"/>
  <c r="V925" i="146"/>
  <c r="U304" i="146" a="1"/>
  <c r="U304" i="146"/>
  <c r="Q304" i="146"/>
  <c r="V304" i="146"/>
  <c r="U257" i="146" a="1"/>
  <c r="U257" i="146"/>
  <c r="Q257" i="146"/>
  <c r="V289" i="146"/>
  <c r="V135" i="146"/>
  <c r="U887" i="146" a="1"/>
  <c r="U887" i="146"/>
  <c r="V887" i="146"/>
  <c r="U699" i="146" a="1"/>
  <c r="U699" i="146"/>
  <c r="Q699" i="146"/>
  <c r="V699" i="146"/>
  <c r="V334" i="146"/>
  <c r="U576" i="146" a="1"/>
  <c r="U576" i="146"/>
  <c r="Q576" i="146"/>
  <c r="V125" i="146"/>
  <c r="U125" i="146" a="1"/>
  <c r="U125" i="146"/>
  <c r="Q125" i="146"/>
  <c r="V138" i="146"/>
  <c r="U138" i="146" a="1"/>
  <c r="U138" i="146"/>
  <c r="Q138" i="146"/>
  <c r="V116" i="146"/>
  <c r="U116" i="146" a="1"/>
  <c r="U116" i="146"/>
  <c r="Q116" i="146"/>
  <c r="U11" i="146" a="1"/>
  <c r="U11" i="146"/>
  <c r="Q11" i="146"/>
  <c r="V97" i="146"/>
  <c r="U539" i="146" a="1"/>
  <c r="U539" i="146"/>
  <c r="Q539" i="146"/>
  <c r="U139" i="146" a="1"/>
  <c r="U139" i="146"/>
  <c r="Q139" i="146"/>
  <c r="V149" i="146"/>
  <c r="V550" i="146"/>
  <c r="U107" i="146" a="1"/>
  <c r="U107" i="146"/>
  <c r="Q107" i="146"/>
  <c r="V346" i="146"/>
  <c r="U1043" i="146" a="1"/>
  <c r="U1043" i="146"/>
  <c r="V1114" i="146"/>
  <c r="V419" i="146"/>
  <c r="V367" i="146"/>
  <c r="U355" i="146" a="1"/>
  <c r="U355" i="146"/>
  <c r="Q355" i="146"/>
  <c r="U30" i="146" a="1"/>
  <c r="U30" i="146"/>
  <c r="Q30" i="146"/>
  <c r="V30" i="146"/>
  <c r="V1125" i="146"/>
  <c r="V1185" i="146"/>
  <c r="V902" i="146"/>
  <c r="U841" i="146" a="1"/>
  <c r="U841" i="146"/>
  <c r="Q841" i="146"/>
  <c r="V398" i="146"/>
  <c r="U161" i="146" a="1"/>
  <c r="U161" i="146"/>
  <c r="Q161" i="146"/>
  <c r="U128" i="146" a="1"/>
  <c r="U128" i="146"/>
  <c r="Q128" i="146"/>
  <c r="V21" i="146"/>
  <c r="U1223" i="146" a="1"/>
  <c r="U1223" i="146"/>
  <c r="V1223" i="146"/>
  <c r="U8" i="145"/>
  <c r="S9" i="145"/>
  <c r="U9" i="145"/>
  <c r="S10" i="145"/>
  <c r="T9" i="145"/>
  <c r="U9" i="180" a="1"/>
  <c r="U9" i="180"/>
  <c r="T10" i="180"/>
  <c r="V205" i="146"/>
  <c r="V228" i="146"/>
  <c r="V169" i="146"/>
  <c r="U181" i="146" a="1"/>
  <c r="U181" i="146"/>
  <c r="Q181" i="146"/>
  <c r="U250" i="146" a="1"/>
  <c r="U250" i="146"/>
  <c r="Q250" i="146"/>
  <c r="U1236" i="146" a="1"/>
  <c r="U1236" i="146"/>
  <c r="V1224" i="146"/>
  <c r="V864" i="146"/>
  <c r="V193" i="146"/>
  <c r="V733" i="146"/>
  <c r="U709" i="146" a="1"/>
  <c r="U709" i="146"/>
  <c r="Q709" i="146"/>
  <c r="V1117" i="146"/>
  <c r="V793" i="146"/>
  <c r="U1057" i="146" a="1"/>
  <c r="U1057" i="146"/>
  <c r="U1248" i="146" a="1"/>
  <c r="U1248" i="146"/>
  <c r="V1033" i="146"/>
  <c r="V723" i="146"/>
  <c r="U746" i="146" a="1"/>
  <c r="U746" i="146"/>
  <c r="Q746" i="146"/>
  <c r="V734" i="146"/>
  <c r="U1021" i="146" a="1"/>
  <c r="U1021" i="146"/>
  <c r="V663" i="146"/>
  <c r="V217" i="146"/>
  <c r="V401" i="146"/>
  <c r="V648" i="146"/>
  <c r="V319" i="146"/>
  <c r="V579" i="146"/>
  <c r="U26" i="146" a="1"/>
  <c r="U26" i="146"/>
  <c r="Q26" i="146"/>
  <c r="V461" i="146"/>
  <c r="V624" i="146"/>
  <c r="V521" i="146"/>
  <c r="U50" i="146" a="1"/>
  <c r="U50" i="146"/>
  <c r="Q50" i="146"/>
  <c r="V158" i="146"/>
  <c r="U229" i="146" a="1"/>
  <c r="U229" i="146"/>
  <c r="Q229" i="146"/>
  <c r="V182" i="146"/>
  <c r="V636" i="146"/>
  <c r="U484" i="146" a="1"/>
  <c r="U484" i="146"/>
  <c r="Q484" i="146"/>
  <c r="V170" i="146"/>
  <c r="U239" i="146" a="1"/>
  <c r="U239" i="146"/>
  <c r="Q239" i="146"/>
  <c r="V601" i="146"/>
  <c r="V590" i="146"/>
  <c r="V251" i="146"/>
  <c r="V194" i="146"/>
  <c r="V486" i="146"/>
  <c r="V206" i="146"/>
  <c r="V660" i="146"/>
  <c r="U260" i="146" a="1"/>
  <c r="U260" i="146"/>
  <c r="Q260" i="146"/>
  <c r="U578" i="146" a="1"/>
  <c r="U578" i="146"/>
  <c r="Q578" i="146"/>
  <c r="U474" i="146" a="1"/>
  <c r="U474" i="146"/>
  <c r="Q474" i="146"/>
  <c r="U683" i="146" a="1"/>
  <c r="U683" i="146"/>
  <c r="Q683" i="146"/>
  <c r="V998" i="146"/>
  <c r="V399" i="146"/>
  <c r="U526" i="146" a="1"/>
  <c r="U526" i="146"/>
  <c r="Q526" i="146"/>
  <c r="U365" i="146" a="1"/>
  <c r="U365" i="146"/>
  <c r="Q365" i="146"/>
  <c r="V469" i="146"/>
  <c r="V1174" i="146"/>
  <c r="U854" i="146" a="1"/>
  <c r="U854" i="146"/>
  <c r="U997" i="146" a="1"/>
  <c r="U997" i="146"/>
  <c r="V481" i="146"/>
  <c r="U914" i="146" a="1"/>
  <c r="U914" i="146"/>
  <c r="V1163" i="146"/>
  <c r="V707" i="146"/>
  <c r="V376" i="146"/>
  <c r="V1069" i="146"/>
  <c r="V493" i="146"/>
  <c r="V517" i="146"/>
  <c r="V434" i="146"/>
  <c r="U388" i="146" a="1"/>
  <c r="U388" i="146"/>
  <c r="Q388" i="146"/>
  <c r="V926" i="146"/>
  <c r="V1198" i="146"/>
  <c r="U13" i="146" a="1"/>
  <c r="U13" i="146"/>
  <c r="Q13" i="146"/>
  <c r="U687" i="146" a="1"/>
  <c r="U687" i="146"/>
  <c r="Q687" i="146"/>
  <c r="V985" i="146"/>
  <c r="V912" i="146"/>
  <c r="V853" i="146"/>
  <c r="V983" i="146"/>
  <c r="U1213" i="146" a="1"/>
  <c r="U1213" i="146"/>
  <c r="V1129" i="146"/>
  <c r="V888" i="146"/>
  <c r="U1221" i="146" a="1"/>
  <c r="U1221" i="146"/>
  <c r="U899" i="146" a="1"/>
  <c r="U899" i="146"/>
  <c r="V650" i="146"/>
  <c r="V1078" i="146"/>
  <c r="U63" i="146" a="1"/>
  <c r="U63" i="146"/>
  <c r="Q63" i="146"/>
  <c r="U662" i="146" a="1"/>
  <c r="U662" i="146"/>
  <c r="Q662" i="146"/>
  <c r="V27" i="146"/>
  <c r="U383" i="146" a="1"/>
  <c r="U383" i="146"/>
  <c r="Q383" i="146"/>
  <c r="U98" i="146" a="1"/>
  <c r="U98" i="146"/>
  <c r="Q98" i="146"/>
  <c r="V180" i="146"/>
  <c r="U768" i="146" a="1"/>
  <c r="U768" i="146"/>
  <c r="Q768" i="146"/>
  <c r="V1177" i="146"/>
  <c r="V900" i="146"/>
  <c r="U123" i="146" a="1"/>
  <c r="U123" i="146"/>
  <c r="Q123" i="146"/>
  <c r="U360" i="146" a="1"/>
  <c r="U360" i="146"/>
  <c r="Q360" i="146"/>
  <c r="V39" i="146"/>
  <c r="V349" i="146"/>
  <c r="U167" i="146" a="1"/>
  <c r="U167" i="146"/>
  <c r="Q167" i="146"/>
  <c r="U74" i="146" a="1"/>
  <c r="U74" i="146"/>
  <c r="Q74" i="146"/>
  <c r="V890" i="146"/>
  <c r="V1239" i="146"/>
  <c r="V1251" i="146"/>
  <c r="U934" i="146" a="1"/>
  <c r="U934" i="146"/>
  <c r="U947" i="146" a="1"/>
  <c r="U947" i="146"/>
  <c r="V156" i="146"/>
  <c r="V1165" i="146"/>
  <c r="U935" i="146" a="1"/>
  <c r="U935" i="146"/>
  <c r="V51" i="146"/>
  <c r="V361" i="146"/>
  <c r="U146" i="146" a="1"/>
  <c r="U146" i="146"/>
  <c r="Q146" i="146"/>
  <c r="V328" i="146"/>
  <c r="U272" i="146" a="1"/>
  <c r="U272" i="146"/>
  <c r="Q272" i="146"/>
  <c r="V329" i="146"/>
  <c r="U792" i="146" a="1"/>
  <c r="U792" i="146"/>
  <c r="Q792" i="146"/>
  <c r="U563" i="146" a="1"/>
  <c r="U563" i="146"/>
  <c r="Q563" i="146"/>
  <c r="U1056" i="146" a="1"/>
  <c r="U1056" i="146"/>
  <c r="V111" i="146"/>
  <c r="V805" i="146"/>
  <c r="V508" i="146"/>
  <c r="V946" i="146"/>
  <c r="V889" i="146"/>
  <c r="V340" i="146"/>
  <c r="U191" i="146" a="1"/>
  <c r="U191" i="146"/>
  <c r="Q191" i="146"/>
  <c r="V134" i="146"/>
  <c r="V826" i="146"/>
  <c r="U575" i="146" a="1"/>
  <c r="U575" i="146"/>
  <c r="Q575" i="146"/>
  <c r="U638" i="146" a="1"/>
  <c r="U638" i="146"/>
  <c r="Q638" i="146"/>
  <c r="V564" i="146"/>
  <c r="U625" i="146" a="1"/>
  <c r="U625" i="146"/>
  <c r="Q625" i="146"/>
  <c r="V901" i="146"/>
  <c r="V350" i="146"/>
  <c r="V204" i="146"/>
  <c r="V283" i="146"/>
  <c r="V1126" i="146"/>
  <c r="V498" i="146"/>
  <c r="V540" i="146"/>
  <c r="U626" i="146" a="1"/>
  <c r="U626" i="146"/>
  <c r="Q626" i="146"/>
  <c r="U911" i="146" a="1"/>
  <c r="U911" i="146"/>
  <c r="U341" i="146" a="1"/>
  <c r="U341" i="146"/>
  <c r="Q341" i="146"/>
  <c r="V86" i="146"/>
  <c r="V15" i="146"/>
  <c r="V236" i="146"/>
  <c r="V1066" i="146"/>
  <c r="V296" i="146"/>
  <c r="U1176" i="146" a="1"/>
  <c r="U1176" i="146"/>
  <c r="V552" i="146"/>
  <c r="V804" i="146"/>
  <c r="U757" i="146" a="1"/>
  <c r="U757" i="146"/>
  <c r="Q757" i="146"/>
  <c r="V758" i="146"/>
  <c r="U1189" i="146" a="1"/>
  <c r="U1189" i="146"/>
  <c r="V227" i="146"/>
  <c r="V168" i="146"/>
  <c r="V1233" i="146"/>
  <c r="V28" i="146"/>
  <c r="V806" i="146"/>
  <c r="V163" i="146"/>
  <c r="U422" i="146" a="1"/>
  <c r="U422" i="146"/>
  <c r="Q422" i="146"/>
  <c r="V433" i="146"/>
  <c r="U995" i="146" a="1"/>
  <c r="U995" i="146"/>
  <c r="U75" i="146" a="1"/>
  <c r="U75" i="146"/>
  <c r="Q75" i="146"/>
  <c r="U220" i="146" a="1"/>
  <c r="U220" i="146"/>
  <c r="Q220" i="146"/>
  <c r="V400" i="146"/>
  <c r="V64" i="146"/>
  <c r="U445" i="146" a="1"/>
  <c r="U445" i="146"/>
  <c r="Q445" i="146"/>
  <c r="U520" i="146" a="1"/>
  <c r="U520" i="146"/>
  <c r="Q520" i="146"/>
  <c r="V1080" i="146"/>
  <c r="V528" i="146"/>
  <c r="U87" i="146" a="1"/>
  <c r="U87" i="146"/>
  <c r="Q87" i="146"/>
  <c r="V646" i="146"/>
  <c r="V815" i="146"/>
  <c r="U197" i="146" a="1"/>
  <c r="U197" i="146"/>
  <c r="Q197" i="146"/>
  <c r="U110" i="146" a="1"/>
  <c r="U110" i="146"/>
  <c r="Q110" i="146"/>
  <c r="U602" i="146" a="1"/>
  <c r="U602" i="146"/>
  <c r="Q602" i="146"/>
  <c r="U99" i="146" a="1"/>
  <c r="U99" i="146"/>
  <c r="Q99" i="146"/>
  <c r="V52" i="146"/>
  <c r="V338" i="146"/>
  <c r="V186" i="146"/>
  <c r="V144" i="146"/>
  <c r="V369" i="146"/>
  <c r="V327" i="146"/>
  <c r="V613" i="146"/>
  <c r="U317" i="146" a="1"/>
  <c r="U317" i="146"/>
  <c r="Q317" i="146"/>
  <c r="V743" i="146"/>
  <c r="V175" i="146"/>
  <c r="U209" i="146" a="1"/>
  <c r="U209" i="146"/>
  <c r="Q209" i="146"/>
  <c r="V1141" i="146"/>
  <c r="V1152" i="146"/>
  <c r="V40" i="146"/>
  <c r="V78" i="146"/>
  <c r="U78" i="146" a="1"/>
  <c r="U78" i="146"/>
  <c r="Q78" i="146"/>
  <c r="U838" i="146" a="1"/>
  <c r="U838" i="146"/>
  <c r="Q838" i="146"/>
  <c r="V838" i="146"/>
  <c r="U827" i="146" a="1"/>
  <c r="U827" i="146"/>
  <c r="Q827" i="146"/>
  <c r="V827" i="146"/>
  <c r="U673" i="146" a="1"/>
  <c r="U673" i="146"/>
  <c r="Q673" i="146"/>
  <c r="V673" i="146"/>
  <c r="U1269" i="146" a="1"/>
  <c r="U1269" i="146"/>
  <c r="U682" i="146" a="1"/>
  <c r="U682" i="146"/>
  <c r="Q682" i="146"/>
  <c r="V10" i="180" a="1"/>
  <c r="V10" i="180"/>
  <c r="T11" i="180"/>
  <c r="U10" i="180" a="1"/>
  <c r="U10" i="180"/>
  <c r="T12" i="180"/>
  <c r="U11" i="180" a="1"/>
  <c r="U11" i="180"/>
  <c r="V11" i="180" a="1"/>
  <c r="V11" i="180"/>
  <c r="V12" i="180" a="1"/>
  <c r="V12" i="180"/>
  <c r="U12" i="180" a="1"/>
  <c r="U12" i="180"/>
  <c r="T13" i="180"/>
  <c r="U13" i="180" a="1"/>
  <c r="U13" i="180"/>
  <c r="T14" i="180"/>
  <c r="V13" i="180" a="1"/>
  <c r="V13" i="180"/>
  <c r="U14" i="180" a="1"/>
  <c r="U14" i="180"/>
  <c r="T15" i="180"/>
  <c r="V14" i="180" a="1"/>
  <c r="V14" i="180"/>
  <c r="V15" i="180" a="1"/>
  <c r="V15" i="180"/>
  <c r="T16" i="180"/>
  <c r="U15" i="180" a="1"/>
  <c r="U15" i="180"/>
  <c r="U16" i="180" a="1"/>
  <c r="U16" i="180"/>
  <c r="T17" i="180"/>
  <c r="V16" i="180" a="1"/>
  <c r="V16" i="180"/>
  <c r="U17" i="180" a="1"/>
  <c r="U17" i="180"/>
  <c r="V17" i="180" a="1"/>
  <c r="V17" i="180"/>
  <c r="T18" i="180"/>
  <c r="T19" i="180"/>
  <c r="U18" i="180" a="1"/>
  <c r="U18" i="180"/>
  <c r="V18" i="180" a="1"/>
  <c r="V18" i="180"/>
  <c r="T20" i="180"/>
  <c r="V19" i="180" a="1"/>
  <c r="V19" i="180"/>
  <c r="U19" i="180" a="1"/>
  <c r="U19" i="180"/>
  <c r="T21" i="180"/>
  <c r="U20" i="180" a="1"/>
  <c r="U20" i="180"/>
  <c r="V20" i="180" a="1"/>
  <c r="V20" i="180"/>
  <c r="U21" i="180" a="1"/>
  <c r="U21" i="180"/>
  <c r="T22" i="180"/>
  <c r="V21" i="180" a="1"/>
  <c r="V21" i="180"/>
  <c r="U22" i="180" a="1"/>
  <c r="U22" i="180"/>
  <c r="V22" i="180" a="1"/>
  <c r="V22" i="180"/>
  <c r="T23" i="180"/>
  <c r="V23" i="180" a="1"/>
  <c r="V23" i="180"/>
  <c r="L6" i="180"/>
  <c r="T24" i="180"/>
  <c r="U23" i="180" a="1"/>
  <c r="U23" i="180"/>
  <c r="I5" i="180"/>
  <c r="B42" i="180"/>
  <c r="T25" i="180"/>
  <c r="U24" i="180" a="1"/>
  <c r="U24" i="180"/>
  <c r="V24" i="180" a="1"/>
  <c r="V24" i="180"/>
  <c r="T26" i="180"/>
  <c r="V25" i="180" a="1"/>
  <c r="V25" i="180"/>
  <c r="U25" i="180" a="1"/>
  <c r="U25" i="180"/>
  <c r="U26" i="180" a="1"/>
  <c r="U26" i="180"/>
  <c r="V26" i="180" a="1"/>
  <c r="V26" i="180"/>
  <c r="T27" i="180"/>
  <c r="U27" i="180" a="1"/>
  <c r="U27" i="180"/>
  <c r="V27" i="180" a="1"/>
  <c r="V27" i="180"/>
  <c r="T28" i="180"/>
  <c r="T29" i="180"/>
  <c r="U28" i="180" a="1"/>
  <c r="U28" i="180"/>
  <c r="V28" i="180" a="1"/>
  <c r="V28" i="180"/>
  <c r="V29" i="180" a="1"/>
  <c r="V29" i="180"/>
  <c r="T30" i="180"/>
  <c r="U29" i="180" a="1"/>
  <c r="U29" i="180"/>
  <c r="V30" i="180" a="1"/>
  <c r="V30" i="180"/>
  <c r="U30" i="180" a="1"/>
  <c r="U30" i="180"/>
  <c r="T31" i="180"/>
  <c r="T32" i="180"/>
  <c r="U31" i="180" a="1"/>
  <c r="U31" i="180"/>
  <c r="V31" i="180" a="1"/>
  <c r="V31" i="180"/>
  <c r="U32" i="180" a="1"/>
  <c r="U32" i="180"/>
  <c r="V32" i="180" a="1"/>
  <c r="V32" i="180"/>
  <c r="T33" i="180"/>
  <c r="V33" i="180" a="1"/>
  <c r="V33" i="180"/>
  <c r="U33" i="180" a="1"/>
  <c r="U33" i="180"/>
  <c r="V634" i="146"/>
  <c r="V586" i="146"/>
  <c r="V861" i="146"/>
  <c r="V226" i="146"/>
  <c r="U406" i="146" a="1"/>
  <c r="U406" i="146"/>
  <c r="Q406" i="146"/>
  <c r="V873" i="146"/>
  <c r="V706" i="146"/>
  <c r="U1245" i="146" a="1"/>
  <c r="U1245" i="146"/>
  <c r="V1173" i="146"/>
  <c r="V1023" i="146"/>
  <c r="V418" i="146"/>
  <c r="V742" i="146"/>
  <c r="V610" i="146"/>
  <c r="U957" i="146" a="1"/>
  <c r="U957" i="146"/>
  <c r="U640" i="146" a="1"/>
  <c r="U640" i="146"/>
  <c r="Q640" i="146"/>
  <c r="V394" i="146"/>
  <c r="U939" i="146" a="1"/>
  <c r="U939" i="146"/>
  <c r="U532" i="146" a="1"/>
  <c r="U532" i="146"/>
  <c r="Q532" i="146"/>
  <c r="U1257" i="146" a="1"/>
  <c r="U1257" i="146"/>
  <c r="V514" i="146"/>
  <c r="V1029" i="146"/>
  <c r="V969" i="146"/>
  <c r="V1194" i="146"/>
  <c r="V885" i="146"/>
  <c r="V1197" i="146"/>
  <c r="V1041" i="146"/>
  <c r="V777" i="146"/>
  <c r="V574" i="146"/>
  <c r="U282" i="146" a="1"/>
  <c r="U282" i="146"/>
  <c r="Q282" i="146"/>
  <c r="V538" i="146"/>
  <c r="V298" i="146"/>
  <c r="V1149" i="146"/>
  <c r="V82" i="146"/>
  <c r="V466" i="146"/>
  <c r="V430" i="146"/>
  <c r="V849" i="146"/>
  <c r="V478" i="146"/>
  <c r="V382" i="146"/>
  <c r="U94" i="146" a="1"/>
  <c r="U94" i="146"/>
  <c r="Q94" i="146"/>
  <c r="V921" i="146"/>
  <c r="V1191" i="146"/>
  <c r="V154" i="146"/>
  <c r="V562" i="146"/>
  <c r="U585" i="146" a="1"/>
  <c r="U585" i="146"/>
  <c r="Q585" i="146"/>
  <c r="V297" i="146"/>
  <c r="V202" i="146"/>
  <c r="V214" i="146"/>
  <c r="V860" i="146"/>
  <c r="U345" i="146" a="1"/>
  <c r="U345" i="146"/>
  <c r="Q345" i="146"/>
  <c r="V561" i="146"/>
  <c r="U597" i="146" a="1"/>
  <c r="U597" i="146"/>
  <c r="Q597" i="146"/>
  <c r="V274" i="146"/>
  <c r="V262" i="146"/>
  <c r="V178" i="146"/>
  <c r="V46" i="146"/>
  <c r="V465" i="146"/>
  <c r="V357" i="146"/>
  <c r="V441" i="146"/>
  <c r="V429" i="146"/>
  <c r="V1201" i="146"/>
  <c r="V501" i="146"/>
  <c r="V190" i="146"/>
  <c r="V70" i="146"/>
  <c r="U166" i="146" a="1"/>
  <c r="U166" i="146"/>
  <c r="Q166" i="146"/>
  <c r="V58" i="146"/>
  <c r="V238" i="146"/>
  <c r="V633" i="146"/>
  <c r="V573" i="146"/>
  <c r="V453" i="146"/>
  <c r="V549" i="146"/>
  <c r="V309" i="146"/>
  <c r="V333" i="146"/>
  <c r="U405" i="146" a="1"/>
  <c r="U405" i="146"/>
  <c r="Q405" i="146"/>
  <c r="U286" i="146" a="1"/>
  <c r="U286" i="146"/>
  <c r="Q286" i="146"/>
  <c r="U393" i="146" a="1"/>
  <c r="U393" i="146"/>
  <c r="Q393" i="146"/>
  <c r="U992" i="146" a="1"/>
  <c r="U992" i="146"/>
  <c r="V944" i="146"/>
  <c r="U1232" i="146" a="1"/>
  <c r="U1232" i="146"/>
  <c r="V908" i="146"/>
  <c r="V896" i="146"/>
  <c r="V932" i="146"/>
  <c r="V621" i="146"/>
  <c r="V1028" i="146"/>
  <c r="V1244" i="146"/>
  <c r="U824" i="146" a="1"/>
  <c r="U824" i="146"/>
  <c r="Q824" i="146"/>
  <c r="U872" i="146" a="1"/>
  <c r="U872" i="146"/>
  <c r="V800" i="146"/>
  <c r="V1052" i="146"/>
  <c r="V764" i="146"/>
  <c r="V776" i="146"/>
  <c r="V788" i="146"/>
  <c r="V980" i="146"/>
  <c r="V1256" i="146"/>
  <c r="V1040" i="146"/>
  <c r="V752" i="146"/>
  <c r="V884" i="146"/>
  <c r="V848" i="146"/>
  <c r="U741" i="146" a="1"/>
  <c r="U741" i="146"/>
  <c r="Q741" i="146"/>
  <c r="V1140" i="146"/>
  <c r="V1188" i="146"/>
  <c r="V404" i="146"/>
  <c r="V1272" i="146"/>
  <c r="U1260" i="146" a="1"/>
  <c r="U1260" i="146"/>
  <c r="V1153" i="146"/>
  <c r="V747" i="146"/>
  <c r="V1156" i="146"/>
  <c r="V1081" i="146"/>
  <c r="U865" i="146" a="1"/>
  <c r="U865" i="146"/>
  <c r="V426" i="146"/>
  <c r="V1012" i="146"/>
  <c r="V690" i="146"/>
  <c r="U605" i="146" a="1"/>
  <c r="U605" i="146"/>
  <c r="Q605" i="146"/>
  <c r="V1108" i="146"/>
  <c r="V1155" i="146"/>
  <c r="U823" i="146" a="1"/>
  <c r="U823" i="146"/>
  <c r="Q823" i="146"/>
  <c r="V775" i="146"/>
  <c r="V500" i="146"/>
  <c r="V871" i="146"/>
  <c r="V488" i="146"/>
  <c r="U1039" i="146" a="1"/>
  <c r="U1039" i="146"/>
  <c r="U1231" i="146" a="1"/>
  <c r="U1231" i="146"/>
  <c r="V955" i="146"/>
  <c r="V560" i="146"/>
  <c r="U1195" i="146" a="1"/>
  <c r="U1195" i="146"/>
  <c r="V1087" i="146"/>
  <c r="U524" i="146" a="1"/>
  <c r="U524" i="146"/>
  <c r="Q524" i="146"/>
  <c r="U943" i="146" a="1"/>
  <c r="U943" i="146"/>
  <c r="V1182" i="146"/>
  <c r="U512" i="146" a="1"/>
  <c r="U512" i="146"/>
  <c r="Q512" i="146"/>
  <c r="U1099" i="146" a="1"/>
  <c r="U1099" i="146"/>
  <c r="V847" i="146"/>
  <c r="U919" i="146" a="1"/>
  <c r="U919" i="146"/>
  <c r="V544" i="146"/>
  <c r="V751" i="146"/>
  <c r="V787" i="146"/>
  <c r="V883" i="146"/>
  <c r="V927" i="146"/>
  <c r="U979" i="146" a="1"/>
  <c r="U979" i="146"/>
  <c r="U907" i="146" a="1"/>
  <c r="U907" i="146"/>
  <c r="V692" i="146"/>
  <c r="U416" i="146" a="1"/>
  <c r="U416" i="146"/>
  <c r="Q416" i="146"/>
  <c r="V1171" i="146"/>
  <c r="V632" i="146"/>
  <c r="U476" i="146" a="1"/>
  <c r="U476" i="146"/>
  <c r="Q476" i="146"/>
  <c r="V712" i="146"/>
  <c r="V895" i="146"/>
  <c r="V652" i="146"/>
  <c r="V859" i="146"/>
  <c r="V628" i="146"/>
  <c r="V1159" i="146"/>
  <c r="U967" i="146" a="1"/>
  <c r="U967" i="146"/>
  <c r="U664" i="146" a="1"/>
  <c r="U664" i="146"/>
  <c r="Q664" i="146"/>
  <c r="U464" i="146" a="1"/>
  <c r="U464" i="146"/>
  <c r="Q464" i="146"/>
  <c r="V991" i="146"/>
  <c r="V1063" i="146"/>
  <c r="V536" i="146"/>
  <c r="V1183" i="146"/>
  <c r="V1119" i="146"/>
  <c r="U736" i="146" a="1"/>
  <c r="U736" i="146"/>
  <c r="Q736" i="146"/>
  <c r="V440" i="146"/>
  <c r="V1015" i="146"/>
  <c r="U763" i="146" a="1"/>
  <c r="U763" i="146"/>
  <c r="Q763" i="146"/>
  <c r="U452" i="146" a="1"/>
  <c r="U452" i="146"/>
  <c r="Q452" i="146"/>
  <c r="V668" i="146"/>
  <c r="V620" i="146"/>
  <c r="U680" i="146" a="1"/>
  <c r="U680" i="146"/>
  <c r="Q680" i="146"/>
  <c r="V700" i="146"/>
  <c r="U392" i="146" a="1"/>
  <c r="U392" i="146"/>
  <c r="Q392" i="146"/>
  <c r="U608" i="146" a="1"/>
  <c r="U608" i="146"/>
  <c r="Q608" i="146"/>
  <c r="V1075" i="146"/>
  <c r="V1051" i="146"/>
  <c r="V724" i="146"/>
  <c r="V656" i="146"/>
  <c r="V740" i="146"/>
  <c r="V548" i="146"/>
  <c r="V704" i="146"/>
  <c r="V1143" i="146"/>
  <c r="V799" i="146"/>
  <c r="U759" i="146" a="1"/>
  <c r="U759" i="146"/>
  <c r="Q759" i="146"/>
  <c r="U616" i="146" a="1"/>
  <c r="U616" i="146"/>
  <c r="Q616" i="146"/>
  <c r="V556" i="146"/>
  <c r="V1111" i="146"/>
  <c r="V428" i="146"/>
  <c r="U1003" i="146" a="1"/>
  <c r="U1003" i="146"/>
  <c r="U835" i="146" a="1"/>
  <c r="U835" i="146"/>
  <c r="Q835" i="146"/>
  <c r="V580" i="146"/>
  <c r="U716" i="146" a="1"/>
  <c r="U716" i="146"/>
  <c r="Q716" i="146"/>
  <c r="U568" i="146" a="1"/>
  <c r="U568" i="146"/>
  <c r="Q568" i="146"/>
  <c r="U606" i="146" a="1"/>
  <c r="U606" i="146"/>
  <c r="Q606" i="146"/>
  <c r="V318" i="146"/>
  <c r="U271" i="146" a="1"/>
  <c r="U271" i="146"/>
  <c r="Q271" i="146"/>
  <c r="V1206" i="146"/>
  <c r="U1050" i="146" a="1"/>
  <c r="U1050" i="146"/>
  <c r="U1062" i="146" a="1"/>
  <c r="U1062" i="146"/>
  <c r="V882" i="146"/>
  <c r="V618" i="146"/>
  <c r="U1122" i="146" a="1"/>
  <c r="U1122" i="146"/>
  <c r="U509" i="146" a="1"/>
  <c r="U509" i="146"/>
  <c r="Q509" i="146"/>
  <c r="U1026" i="146" a="1"/>
  <c r="U1026" i="146"/>
  <c r="U522" i="146" a="1"/>
  <c r="U522" i="146"/>
  <c r="Q522" i="146"/>
  <c r="U449" i="146" a="1"/>
  <c r="U449" i="146"/>
  <c r="Q449" i="146"/>
  <c r="U187" i="146" a="1"/>
  <c r="U187" i="146"/>
  <c r="Q187" i="146"/>
  <c r="V534" i="146"/>
  <c r="V199" i="146"/>
  <c r="U702" i="146" a="1"/>
  <c r="U702" i="146"/>
  <c r="Q702" i="146"/>
  <c r="V630" i="146"/>
  <c r="V510" i="146"/>
  <c r="V1218" i="146"/>
  <c r="V966" i="146"/>
  <c r="V1168" i="146"/>
  <c r="V654" i="146"/>
  <c r="U678" i="146" a="1"/>
  <c r="U678" i="146"/>
  <c r="Q678" i="146"/>
  <c r="U916" i="146" a="1"/>
  <c r="U916" i="146"/>
  <c r="U545" i="146" a="1"/>
  <c r="U545" i="146"/>
  <c r="Q545" i="146"/>
  <c r="U569" i="146" a="1"/>
  <c r="U569" i="146"/>
  <c r="Q569" i="146"/>
  <c r="U127" i="146" a="1"/>
  <c r="U127" i="146"/>
  <c r="Q127" i="146"/>
  <c r="U497" i="146" a="1"/>
  <c r="U497" i="146"/>
  <c r="Q497" i="146"/>
  <c r="V473" i="146"/>
  <c r="V930" i="146"/>
  <c r="V1230" i="146"/>
  <c r="U978" i="146" a="1"/>
  <c r="U978" i="146"/>
  <c r="V642" i="146"/>
  <c r="V1133" i="146"/>
  <c r="V762" i="146"/>
  <c r="V881" i="146"/>
  <c r="V581" i="146"/>
  <c r="V366" i="146"/>
  <c r="V307" i="146"/>
  <c r="V1110" i="146"/>
  <c r="U284" i="146" a="1"/>
  <c r="U284" i="146"/>
  <c r="Q284" i="146"/>
  <c r="V904" i="146"/>
  <c r="U1204" i="146" a="1"/>
  <c r="U1204" i="146"/>
  <c r="V1170" i="146"/>
  <c r="U1098" i="146" a="1"/>
  <c r="U1098" i="146"/>
  <c r="V377" i="146"/>
  <c r="V331" i="146"/>
  <c r="V259" i="146"/>
  <c r="V593" i="146"/>
  <c r="V1242" i="146"/>
  <c r="V738" i="146"/>
  <c r="U954" i="146" a="1"/>
  <c r="U954" i="146"/>
  <c r="V450" i="146"/>
  <c r="V820" i="146"/>
  <c r="U1120" i="146" a="1"/>
  <c r="U1120" i="146"/>
  <c r="V976" i="146"/>
  <c r="V1144" i="146"/>
  <c r="U1132" i="146" a="1"/>
  <c r="U1132" i="146"/>
  <c r="V1084" i="146"/>
  <c r="V1276" i="146"/>
  <c r="U1048" i="146" a="1"/>
  <c r="U1048" i="146"/>
  <c r="V940" i="146"/>
  <c r="U725" i="146" a="1"/>
  <c r="U725" i="146"/>
  <c r="Q725" i="146"/>
  <c r="U1180" i="146" a="1"/>
  <c r="U1180" i="146"/>
  <c r="U844" i="146" a="1"/>
  <c r="U844" i="146"/>
  <c r="Q844" i="146"/>
  <c r="V1266" i="146"/>
  <c r="V964" i="146"/>
  <c r="V583" i="146"/>
  <c r="U1013" i="146" a="1"/>
  <c r="U1013" i="146"/>
  <c r="V834" i="146"/>
  <c r="V1097" i="146"/>
  <c r="U929" i="146" a="1"/>
  <c r="U929" i="146"/>
  <c r="V1241" i="146"/>
  <c r="U1277" i="146" a="1"/>
  <c r="U1277" i="146"/>
  <c r="U93" i="146" a="1"/>
  <c r="U93" i="146"/>
  <c r="Q93" i="146"/>
  <c r="V1073" i="146"/>
  <c r="U571" i="146" a="1"/>
  <c r="U571" i="146"/>
  <c r="Q571" i="146"/>
  <c r="U786" i="146" a="1"/>
  <c r="U786" i="146"/>
  <c r="Q786" i="146"/>
  <c r="V547" i="146"/>
  <c r="U607" i="146" a="1"/>
  <c r="U607" i="146"/>
  <c r="Q607" i="146"/>
  <c r="V631" i="146"/>
  <c r="V918" i="146"/>
  <c r="U858" i="146" a="1"/>
  <c r="U858" i="146"/>
  <c r="V846" i="146"/>
  <c r="V1061" i="146"/>
  <c r="U906" i="146" a="1"/>
  <c r="U906" i="146"/>
  <c r="U439" i="146" a="1"/>
  <c r="U439" i="146"/>
  <c r="Q439" i="146"/>
  <c r="U81" i="146" a="1"/>
  <c r="U81" i="146"/>
  <c r="Q81" i="146"/>
  <c r="V798" i="146"/>
  <c r="U1037" i="146" a="1"/>
  <c r="U1037" i="146"/>
  <c r="V595" i="146"/>
  <c r="V1265" i="146"/>
  <c r="U894" i="146" a="1"/>
  <c r="U894" i="146"/>
  <c r="V1109" i="146"/>
  <c r="V1085" i="146"/>
  <c r="U989" i="146" a="1"/>
  <c r="U989" i="146"/>
  <c r="U822" i="146" a="1"/>
  <c r="U822" i="146"/>
  <c r="Q822" i="146"/>
  <c r="V810" i="146"/>
  <c r="V774" i="146"/>
  <c r="V1145" i="146"/>
  <c r="V941" i="146"/>
  <c r="V1181" i="146"/>
  <c r="V9" i="146"/>
  <c r="V1157" i="146"/>
  <c r="V953" i="146"/>
  <c r="V153" i="146"/>
  <c r="U1001" i="146" a="1"/>
  <c r="U1001" i="146"/>
  <c r="V1121" i="146"/>
  <c r="V559" i="146"/>
  <c r="V870" i="146"/>
  <c r="U1049" i="146" a="1"/>
  <c r="U1049" i="146"/>
  <c r="V977" i="146"/>
  <c r="V965" i="146"/>
  <c r="U1214" i="146" a="1"/>
  <c r="U1214" i="146"/>
  <c r="U57" i="146" a="1"/>
  <c r="U57" i="146"/>
  <c r="Q57" i="146"/>
  <c r="V986" i="146"/>
  <c r="U653" i="146" a="1"/>
  <c r="U653" i="146"/>
  <c r="Q653" i="146"/>
  <c r="V475" i="146"/>
  <c r="U781" i="146" a="1"/>
  <c r="U781" i="146"/>
  <c r="Q781" i="146"/>
  <c r="V867" i="146"/>
  <c r="V1237" i="146"/>
  <c r="V389" i="146"/>
  <c r="U1130" i="146" a="1"/>
  <c r="U1130" i="146"/>
  <c r="V201" i="146"/>
  <c r="U330" i="146" a="1"/>
  <c r="U330" i="146"/>
  <c r="Q330" i="146"/>
  <c r="V948" i="146"/>
  <c r="V819" i="146"/>
  <c r="U105" i="146" a="1"/>
  <c r="U105" i="146"/>
  <c r="Q105" i="146"/>
  <c r="U675" i="146" a="1"/>
  <c r="U675" i="146"/>
  <c r="Q675" i="146"/>
  <c r="V403" i="146"/>
  <c r="U379" i="146" a="1"/>
  <c r="U379" i="146"/>
  <c r="Q379" i="146"/>
  <c r="V499" i="146"/>
  <c r="V1154" i="146"/>
  <c r="U391" i="146" a="1"/>
  <c r="U391" i="146"/>
  <c r="Q391" i="146"/>
  <c r="V760" i="146"/>
  <c r="U713" i="146" a="1"/>
  <c r="U713" i="146"/>
  <c r="Q713" i="146"/>
  <c r="V177" i="146"/>
  <c r="U1142" i="146" a="1"/>
  <c r="U1142" i="146"/>
  <c r="U129" i="146" a="1"/>
  <c r="U129" i="146"/>
  <c r="Q129" i="146"/>
  <c r="V141" i="146"/>
  <c r="V189" i="146"/>
  <c r="V1070" i="146"/>
  <c r="V511" i="146"/>
  <c r="V1202" i="146"/>
  <c r="U795" i="146" a="1"/>
  <c r="U795" i="146"/>
  <c r="Q795" i="146"/>
  <c r="V535" i="146"/>
  <c r="V523" i="146"/>
  <c r="V45" i="146"/>
  <c r="V487" i="146"/>
  <c r="U737" i="146" a="1"/>
  <c r="U737" i="146"/>
  <c r="Q737" i="146"/>
  <c r="V213" i="146"/>
  <c r="V1010" i="146"/>
  <c r="V594" i="146"/>
  <c r="V701" i="146"/>
  <c r="U1034" i="146" a="1"/>
  <c r="U1034" i="146"/>
  <c r="U1106" i="146" a="1"/>
  <c r="U1106" i="146"/>
  <c r="V463" i="146"/>
  <c r="U1022" i="146" a="1"/>
  <c r="U1022" i="146"/>
  <c r="V33" i="146"/>
  <c r="V641" i="146"/>
  <c r="V629" i="146"/>
  <c r="U1082" i="146" a="1"/>
  <c r="U1082" i="146"/>
  <c r="V427" i="146"/>
  <c r="V117" i="146"/>
  <c r="U843" i="146" a="1"/>
  <c r="U843" i="146"/>
  <c r="Q843" i="146"/>
  <c r="V689" i="146"/>
  <c r="V69" i="146"/>
  <c r="U807" i="146" a="1"/>
  <c r="U807" i="146"/>
  <c r="Q807" i="146"/>
  <c r="V974" i="146"/>
  <c r="V1225" i="146"/>
  <c r="U665" i="146" a="1"/>
  <c r="U665" i="146"/>
  <c r="Q665" i="146"/>
  <c r="V451" i="146"/>
  <c r="U1190" i="146" a="1"/>
  <c r="U1190" i="146"/>
  <c r="V677" i="146"/>
  <c r="V582" i="146"/>
  <c r="V891" i="146"/>
  <c r="V1166" i="146"/>
  <c r="V962" i="146"/>
  <c r="V831" i="146"/>
  <c r="U1273" i="146" a="1"/>
  <c r="U1273" i="146"/>
  <c r="V748" i="146"/>
  <c r="V1011" i="146"/>
  <c r="V1219" i="146"/>
  <c r="U1088" i="146" a="1"/>
  <c r="U1088" i="146"/>
  <c r="U679" i="146" a="1"/>
  <c r="U679" i="146"/>
  <c r="Q679" i="146"/>
  <c r="U917" i="146" a="1"/>
  <c r="U917" i="146"/>
  <c r="U1064" i="146" a="1"/>
  <c r="U1064" i="146"/>
  <c r="V945" i="146"/>
  <c r="U537" i="146" a="1"/>
  <c r="U537" i="146"/>
  <c r="Q537" i="146"/>
  <c r="U506" i="146" a="1"/>
  <c r="U506" i="146"/>
  <c r="Q506" i="146"/>
  <c r="V596" i="146"/>
  <c r="U1255" i="146" a="1"/>
  <c r="U1255" i="146"/>
  <c r="V905" i="146"/>
  <c r="V1124" i="146"/>
  <c r="V1016" i="146"/>
  <c r="V672" i="146"/>
  <c r="V612" i="146"/>
  <c r="V862" i="146"/>
  <c r="V1215" i="146"/>
  <c r="U766" i="146" a="1"/>
  <c r="U766" i="146"/>
  <c r="Q766" i="146"/>
  <c r="U999" i="146" a="1"/>
  <c r="U999" i="146"/>
  <c r="V295" i="146"/>
  <c r="V922" i="146"/>
  <c r="V1083" i="146"/>
  <c r="U342" i="146" a="1"/>
  <c r="U342" i="146"/>
  <c r="Q342" i="146"/>
  <c r="V1192" i="146"/>
  <c r="V423" i="146"/>
  <c r="U1136" i="146" a="1"/>
  <c r="U1136" i="146"/>
  <c r="U1203" i="146" a="1"/>
  <c r="U1203" i="146"/>
  <c r="U518" i="146" a="1"/>
  <c r="U518" i="146"/>
  <c r="Q518" i="146"/>
  <c r="V1167" i="146"/>
  <c r="V337" i="146"/>
  <c r="V572" i="146"/>
  <c r="V715" i="146"/>
  <c r="V530" i="146"/>
  <c r="V910" i="146"/>
  <c r="U667" i="146" a="1"/>
  <c r="U667" i="146"/>
  <c r="Q667" i="146"/>
  <c r="V589" i="146"/>
  <c r="U435" i="146" a="1"/>
  <c r="U435" i="146"/>
  <c r="Q435" i="146"/>
  <c r="U1216" i="146" a="1"/>
  <c r="U1216" i="146"/>
  <c r="V278" i="146"/>
  <c r="V1000" i="146"/>
  <c r="U619" i="146" a="1"/>
  <c r="U619" i="146"/>
  <c r="Q619" i="146"/>
  <c r="U266" i="146" a="1"/>
  <c r="U266" i="146"/>
  <c r="Q266" i="146"/>
  <c r="V1262" i="146"/>
  <c r="U1131" i="146" a="1"/>
  <c r="U1131" i="146"/>
  <c r="U720" i="146" a="1"/>
  <c r="U720" i="146"/>
  <c r="Q720" i="146"/>
  <c r="V684" i="146"/>
  <c r="V1095" i="146"/>
  <c r="V696" i="146"/>
  <c r="U691" i="146" a="1"/>
  <c r="U691" i="146"/>
  <c r="Q691" i="146"/>
  <c r="V963" i="146"/>
  <c r="V727" i="146"/>
  <c r="U1267" i="146" a="1"/>
  <c r="U1267" i="146"/>
  <c r="V802" i="146"/>
  <c r="V247" i="146"/>
  <c r="V951" i="146"/>
  <c r="U893" i="146" a="1"/>
  <c r="U893" i="146"/>
  <c r="V1059" i="146"/>
  <c r="V1148" i="146"/>
  <c r="U987" i="146" a="1"/>
  <c r="U987" i="146"/>
  <c r="V814" i="146"/>
  <c r="U1175" i="146" a="1"/>
  <c r="U1175" i="146"/>
  <c r="V1270" i="146"/>
  <c r="V1127" i="146"/>
  <c r="U784" i="146" a="1"/>
  <c r="U784" i="146"/>
  <c r="Q784" i="146"/>
  <c r="V1044" i="146"/>
  <c r="V1115" i="146"/>
  <c r="V1091" i="146"/>
  <c r="V1032" i="146"/>
  <c r="U1020" i="146" a="1"/>
  <c r="U1020" i="146"/>
  <c r="U1187" i="146" a="1"/>
  <c r="U1187" i="146"/>
  <c r="U749" i="146" a="1"/>
  <c r="U749" i="146"/>
  <c r="Q749" i="146"/>
  <c r="U1151" i="146" a="1"/>
  <c r="U1151" i="146"/>
  <c r="V726" i="146"/>
  <c r="V1211" i="146"/>
  <c r="V808" i="146"/>
  <c r="U1103" i="146" a="1"/>
  <c r="U1103" i="146"/>
  <c r="V772" i="146"/>
  <c r="V1055" i="146"/>
  <c r="V832" i="146"/>
  <c r="V1008" i="146"/>
  <c r="V879" i="146"/>
  <c r="U1222" i="146" a="1"/>
  <c r="U1222" i="146"/>
  <c r="V1067" i="146"/>
  <c r="U796" i="146" a="1"/>
  <c r="U796" i="146"/>
  <c r="Q796" i="146"/>
  <c r="U856" i="146" a="1"/>
  <c r="U856" i="146"/>
  <c r="V949" i="146"/>
  <c r="V714" i="146"/>
  <c r="V1234" i="146"/>
  <c r="V938" i="146"/>
  <c r="V996" i="146"/>
  <c r="V1134" i="146"/>
  <c r="U424" i="146" a="1"/>
  <c r="U424" i="146"/>
  <c r="Q424" i="146"/>
  <c r="V402" i="146"/>
  <c r="U1018" i="146" a="1"/>
  <c r="U1018" i="146"/>
  <c r="U657" i="146" a="1"/>
  <c r="U657" i="146"/>
  <c r="Q657" i="146"/>
  <c r="U577" i="146" a="1"/>
  <c r="U577" i="146"/>
  <c r="Q577" i="146"/>
  <c r="U261" i="146" a="1"/>
  <c r="U261" i="146"/>
  <c r="Q261" i="146"/>
  <c r="U215" i="146" a="1"/>
  <c r="U215" i="146"/>
  <c r="Q215" i="146"/>
  <c r="V880" i="146"/>
  <c r="U892" i="146" a="1"/>
  <c r="U892" i="146"/>
  <c r="U1205" i="146" a="1"/>
  <c r="U1205" i="146"/>
  <c r="V1053" i="146"/>
  <c r="U729" i="146" a="1"/>
  <c r="U729" i="146"/>
  <c r="Q729" i="146"/>
  <c r="V145" i="146"/>
  <c r="U1217" i="146" a="1"/>
  <c r="U1217" i="146"/>
  <c r="U413" i="146" a="1"/>
  <c r="U413" i="146"/>
  <c r="Q413" i="146"/>
  <c r="V192" i="146"/>
  <c r="V1100" i="146"/>
  <c r="V285" i="146"/>
  <c r="V705" i="146"/>
  <c r="V773" i="146"/>
  <c r="U61" i="146" a="1"/>
  <c r="U61" i="146"/>
  <c r="Q61" i="146"/>
  <c r="V1112" i="146"/>
  <c r="U495" i="146" a="1"/>
  <c r="U495" i="146"/>
  <c r="Q495" i="146"/>
  <c r="V1228" i="146"/>
  <c r="V356" i="146"/>
  <c r="U1123" i="146" a="1"/>
  <c r="U1123" i="146"/>
  <c r="V903" i="146"/>
  <c r="U460" i="146" a="1"/>
  <c r="U460" i="146"/>
  <c r="Q460" i="146"/>
  <c r="U681" i="146" a="1"/>
  <c r="U681" i="146"/>
  <c r="Q681" i="146"/>
  <c r="V565" i="146"/>
  <c r="U344" i="146" a="1"/>
  <c r="U344" i="146"/>
  <c r="Q344" i="146"/>
  <c r="V669" i="146"/>
  <c r="U785" i="146" a="1"/>
  <c r="U785" i="146"/>
  <c r="Q785" i="146"/>
  <c r="V203" i="146"/>
  <c r="U49" i="146" a="1"/>
  <c r="U49" i="146"/>
  <c r="Q49" i="146"/>
  <c r="V1240" i="146"/>
  <c r="V797" i="146"/>
  <c r="V320" i="146"/>
  <c r="U971" i="146" a="1"/>
  <c r="U971" i="146"/>
  <c r="V623" i="146"/>
  <c r="V645" i="146"/>
  <c r="V588" i="146"/>
  <c r="V390" i="146"/>
  <c r="V1077" i="146"/>
  <c r="V635" i="146"/>
  <c r="U761" i="146" a="1"/>
  <c r="U761" i="146"/>
  <c r="Q761" i="146"/>
  <c r="U378" i="146" a="1"/>
  <c r="U378" i="146"/>
  <c r="Q378" i="146"/>
  <c r="U25" i="146" a="1"/>
  <c r="U25" i="146"/>
  <c r="Q25" i="146"/>
  <c r="U541" i="146" a="1"/>
  <c r="U541" i="146"/>
  <c r="Q541" i="146"/>
  <c r="U14" i="146" a="1"/>
  <c r="U14" i="146"/>
  <c r="Q14" i="146"/>
  <c r="V1042" i="146"/>
  <c r="U483" i="146" a="1"/>
  <c r="U483" i="146"/>
  <c r="Q483" i="146"/>
  <c r="U693" i="146" a="1"/>
  <c r="U693" i="146"/>
  <c r="Q693" i="146"/>
  <c r="U833" i="146" a="1"/>
  <c r="U833" i="146"/>
  <c r="Q833" i="146"/>
  <c r="U368" i="146" a="1"/>
  <c r="U368" i="146"/>
  <c r="Q368" i="146"/>
  <c r="V1146" i="146"/>
  <c r="V809" i="146"/>
  <c r="V1030" i="146"/>
  <c r="V915" i="146"/>
  <c r="U237" i="146" a="1"/>
  <c r="U237" i="146"/>
  <c r="Q237" i="146"/>
  <c r="U717" i="146" a="1"/>
  <c r="U717" i="146"/>
  <c r="Q717" i="146"/>
  <c r="U157" i="146" a="1"/>
  <c r="U157" i="146"/>
  <c r="Q157" i="146"/>
  <c r="U332" i="146" a="1"/>
  <c r="U332" i="146"/>
  <c r="Q332" i="146"/>
  <c r="V225" i="146"/>
  <c r="V471" i="146"/>
  <c r="V553" i="146"/>
  <c r="V959" i="146"/>
  <c r="U109" i="146" a="1"/>
  <c r="U109" i="146"/>
  <c r="Q109" i="146"/>
  <c r="V121" i="146"/>
  <c r="V249" i="146"/>
  <c r="U519" i="146" a="1"/>
  <c r="U519" i="146"/>
  <c r="Q519" i="146"/>
  <c r="V821" i="146"/>
  <c r="V308" i="146"/>
  <c r="V600" i="146"/>
  <c r="U1263" i="146" a="1"/>
  <c r="U1263" i="146"/>
  <c r="V937" i="146"/>
  <c r="U380" i="146" a="1"/>
  <c r="U380" i="146"/>
  <c r="Q380" i="146"/>
  <c r="V627" i="146"/>
  <c r="V1104" i="146"/>
  <c r="U370" i="146" a="1"/>
  <c r="U370" i="146"/>
  <c r="Q370" i="146"/>
  <c r="U85" i="146" a="1"/>
  <c r="U85" i="146"/>
  <c r="Q85" i="146"/>
  <c r="V515" i="146"/>
  <c r="U1036" i="146" a="1"/>
  <c r="U1036" i="146"/>
  <c r="V1014" i="146"/>
  <c r="V1184" i="146"/>
  <c r="V909" i="146"/>
  <c r="V1138" i="146"/>
  <c r="U794" i="146" a="1"/>
  <c r="U794" i="146"/>
  <c r="Q794" i="146"/>
  <c r="V1196" i="146"/>
  <c r="V16" i="146"/>
  <c r="V179" i="146"/>
  <c r="V1071" i="146"/>
  <c r="V1002" i="146"/>
  <c r="U1253" i="146" a="1"/>
  <c r="U1253" i="146"/>
  <c r="U615" i="146" a="1"/>
  <c r="U615" i="146"/>
  <c r="Q615" i="146"/>
  <c r="U958" i="146" a="1"/>
  <c r="U958" i="146"/>
  <c r="V982" i="146"/>
  <c r="U898" i="146" a="1"/>
  <c r="U898" i="146"/>
  <c r="V1038" i="146"/>
  <c r="V1207" i="146"/>
  <c r="U839" i="146" a="1"/>
  <c r="U839" i="146"/>
  <c r="Q839" i="146"/>
  <c r="V1275" i="146"/>
  <c r="V1005" i="146"/>
  <c r="V120" i="146"/>
  <c r="V615" i="146"/>
  <c r="U558" i="146" a="1"/>
  <c r="U558" i="146"/>
  <c r="Q558" i="146"/>
  <c r="V1093" i="146"/>
  <c r="V347" i="146"/>
  <c r="V1193" i="146"/>
  <c r="V415" i="146"/>
  <c r="V1060" i="146"/>
  <c r="U928" i="146" a="1"/>
  <c r="U928" i="146"/>
  <c r="V503" i="146"/>
  <c r="V874" i="146"/>
  <c r="U570" i="146" a="1"/>
  <c r="U570" i="146"/>
  <c r="Q570" i="146"/>
  <c r="V970" i="146"/>
  <c r="V886" i="146"/>
  <c r="V920" i="146"/>
  <c r="V649" i="146"/>
  <c r="V990" i="146"/>
  <c r="V1250" i="146"/>
  <c r="V96" i="146"/>
  <c r="V1047" i="146"/>
  <c r="V200" i="146"/>
  <c r="V816" i="146"/>
  <c r="V1101" i="146"/>
  <c r="U268" i="146" a="1"/>
  <c r="U268" i="146"/>
  <c r="Q268" i="146"/>
  <c r="V73" i="146"/>
  <c r="V1068" i="146"/>
  <c r="V458" i="146"/>
  <c r="V62" i="146"/>
  <c r="V961" i="146"/>
  <c r="U1079" i="146" a="1"/>
  <c r="U1079" i="146"/>
  <c r="V1172" i="146"/>
  <c r="U661" i="146" a="1"/>
  <c r="U661" i="146"/>
  <c r="Q661" i="146"/>
  <c r="V718" i="146"/>
  <c r="V1090" i="146"/>
  <c r="V695" i="146"/>
  <c r="V604" i="146"/>
  <c r="U1227" i="146" a="1"/>
  <c r="U1227" i="146"/>
  <c r="V132" i="146"/>
  <c r="V671" i="146"/>
  <c r="U1879" i="146" a="1"/>
  <c r="U1879" i="146"/>
  <c r="Q1879" i="146"/>
  <c r="V1027" i="146"/>
  <c r="U783" i="146" a="1"/>
  <c r="U783" i="146"/>
  <c r="Q783" i="146"/>
  <c r="U1264" i="146" a="1"/>
  <c r="U1264" i="146"/>
  <c r="U292" i="146" a="1"/>
  <c r="U292" i="146"/>
  <c r="Q292" i="146"/>
  <c r="V851" i="146"/>
  <c r="U256" i="146" a="1"/>
  <c r="U256" i="146"/>
  <c r="Q256" i="146"/>
  <c r="V592" i="146"/>
  <c r="U546" i="146" a="1"/>
  <c r="U546" i="146"/>
  <c r="Q546" i="146"/>
  <c r="U211" i="146" a="1"/>
  <c r="U211" i="146"/>
  <c r="Q211" i="146"/>
  <c r="V1161" i="146"/>
  <c r="V436" i="146"/>
  <c r="U1178" i="146" a="1"/>
  <c r="U1178" i="146"/>
  <c r="V1178" i="146"/>
  <c r="U1076" i="146" a="1"/>
  <c r="U1076" i="146"/>
  <c r="V1076" i="146"/>
  <c r="V1065" i="146"/>
  <c r="U1065" i="146" a="1"/>
  <c r="U1065" i="146"/>
  <c r="U1054" i="146" a="1"/>
  <c r="U1054" i="146"/>
  <c r="V1054" i="146"/>
  <c r="U868" i="146" a="1"/>
  <c r="U868" i="146"/>
  <c r="V868" i="146"/>
  <c r="V857" i="146"/>
  <c r="U857" i="146" a="1"/>
  <c r="U857" i="146"/>
  <c r="U845" i="146" a="1"/>
  <c r="U845" i="146"/>
  <c r="Q845" i="146"/>
  <c r="V845" i="146"/>
  <c r="U666" i="146" a="1"/>
  <c r="U666" i="146"/>
  <c r="Q666" i="146"/>
  <c r="V666" i="146"/>
  <c r="U643" i="146" a="1"/>
  <c r="U643" i="146"/>
  <c r="Q643" i="146"/>
  <c r="V643" i="146"/>
  <c r="U1200" i="146" a="1"/>
  <c r="U1200" i="146"/>
  <c r="V1200" i="146"/>
  <c r="U1086" i="146" a="1"/>
  <c r="U1086" i="146"/>
  <c r="V1086" i="146"/>
  <c r="V374" i="146"/>
  <c r="U374" i="146" a="1"/>
  <c r="U374" i="146"/>
  <c r="Q374" i="146"/>
  <c r="U1199" i="146" a="1"/>
  <c r="U1199" i="146"/>
  <c r="V1199" i="146"/>
  <c r="U924" i="146" a="1"/>
  <c r="U924" i="146"/>
  <c r="V924" i="146"/>
  <c r="U913" i="146" a="1"/>
  <c r="U913" i="146"/>
  <c r="V913" i="146"/>
  <c r="U878" i="146" a="1"/>
  <c r="U878" i="146"/>
  <c r="V878" i="146"/>
  <c r="U710" i="146" a="1"/>
  <c r="U710" i="146"/>
  <c r="Q710" i="146"/>
  <c r="V710" i="146"/>
  <c r="U384" i="146" a="1"/>
  <c r="U384" i="146"/>
  <c r="Q384" i="146"/>
  <c r="V384" i="146"/>
  <c r="U1210" i="146" a="1"/>
  <c r="U1210" i="146"/>
  <c r="V1210" i="146"/>
  <c r="U1107" i="146" a="1"/>
  <c r="U1107" i="146"/>
  <c r="V1107" i="146"/>
  <c r="U395" i="146" a="1"/>
  <c r="U395" i="146"/>
  <c r="Q395" i="146"/>
  <c r="V395" i="146"/>
  <c r="U1243" i="146" a="1"/>
  <c r="U1243" i="146"/>
  <c r="V1243" i="146"/>
  <c r="U1220" i="146" a="1"/>
  <c r="U1220" i="146"/>
  <c r="V1220" i="146"/>
  <c r="U1128" i="146" a="1"/>
  <c r="U1128" i="146"/>
  <c r="V1128" i="146"/>
  <c r="U1118" i="146" a="1"/>
  <c r="U1118" i="146"/>
  <c r="V1118" i="146"/>
  <c r="U984" i="146" a="1"/>
  <c r="U984" i="146"/>
  <c r="V984" i="146"/>
  <c r="U975" i="146" a="1"/>
  <c r="U975" i="146"/>
  <c r="V975" i="146"/>
  <c r="V1254" i="146"/>
  <c r="U1254" i="146" a="1"/>
  <c r="U1254" i="146"/>
  <c r="U1139" i="146" a="1"/>
  <c r="U1139" i="146"/>
  <c r="V1139" i="146"/>
  <c r="V1105" i="146"/>
  <c r="U1105" i="146" a="1"/>
  <c r="U1105" i="146"/>
  <c r="U1094" i="146" a="1"/>
  <c r="U1094" i="146"/>
  <c r="V1094" i="146"/>
  <c r="U1006" i="146" a="1"/>
  <c r="U1006" i="146"/>
  <c r="V1006" i="146"/>
  <c r="V994" i="146"/>
  <c r="U994" i="146" a="1"/>
  <c r="U994" i="146"/>
  <c r="U470" i="146" a="1"/>
  <c r="U470" i="146"/>
  <c r="Q470" i="146"/>
  <c r="V470" i="146"/>
  <c r="V1229" i="146"/>
  <c r="U1229" i="146" a="1"/>
  <c r="U1229" i="146"/>
  <c r="U1116" i="146" a="1"/>
  <c r="U1116" i="146"/>
  <c r="V1116" i="146"/>
  <c r="U993" i="146" a="1"/>
  <c r="U993" i="146"/>
  <c r="V993" i="146"/>
  <c r="U973" i="146" a="1"/>
  <c r="U973" i="146"/>
  <c r="V973" i="146"/>
  <c r="U771" i="146" a="1"/>
  <c r="U771" i="146"/>
  <c r="Q771" i="146"/>
  <c r="V771" i="146"/>
  <c r="U750" i="146" a="1"/>
  <c r="U750" i="146"/>
  <c r="Q750" i="146"/>
  <c r="V750" i="146"/>
  <c r="U739" i="146" a="1"/>
  <c r="U739" i="146"/>
  <c r="Q739" i="146"/>
  <c r="V739" i="146"/>
  <c r="U492" i="146" a="1"/>
  <c r="U492" i="146"/>
  <c r="Q492" i="146"/>
  <c r="V492" i="146"/>
  <c r="U1878" i="146" a="1"/>
  <c r="U1878" i="146"/>
  <c r="Q1878" i="146"/>
  <c r="V1878" i="146"/>
  <c r="U1252" i="146" a="1"/>
  <c r="U1252" i="146"/>
  <c r="V1252" i="146"/>
  <c r="U1160" i="146" a="1"/>
  <c r="U1160" i="146"/>
  <c r="V1160" i="146"/>
  <c r="V782" i="146"/>
  <c r="U782" i="146" a="1"/>
  <c r="U782" i="146"/>
  <c r="Q782" i="146"/>
  <c r="U1025" i="146" a="1"/>
  <c r="U1025" i="146"/>
  <c r="V1025" i="146"/>
  <c r="U513" i="146" a="1"/>
  <c r="U513" i="146"/>
  <c r="Q513" i="146"/>
  <c r="V513" i="146"/>
  <c r="U322" i="146" a="1"/>
  <c r="U322" i="146"/>
  <c r="Q322" i="146"/>
  <c r="V322" i="146"/>
  <c r="V1261" i="146"/>
  <c r="U1261" i="146" a="1"/>
  <c r="U1261" i="146"/>
  <c r="U1169" i="146" a="1"/>
  <c r="U1169" i="146"/>
  <c r="V1169" i="146"/>
  <c r="V1158" i="146"/>
  <c r="U1158" i="146" a="1"/>
  <c r="U1158" i="146"/>
  <c r="U1147" i="146" a="1"/>
  <c r="U1147" i="146"/>
  <c r="V1147" i="146"/>
  <c r="U825" i="146" a="1"/>
  <c r="U825" i="146"/>
  <c r="Q825" i="146"/>
  <c r="V825" i="146"/>
  <c r="V813" i="146"/>
  <c r="U813" i="146" a="1"/>
  <c r="U813" i="146"/>
  <c r="Q813" i="146"/>
  <c r="V791" i="146"/>
  <c r="U791" i="146" a="1"/>
  <c r="U791" i="146"/>
  <c r="Q791" i="146"/>
  <c r="U1046" i="146" a="1"/>
  <c r="U1046" i="146"/>
  <c r="V1046" i="146"/>
  <c r="U1035" i="146" a="1"/>
  <c r="U1035" i="146"/>
  <c r="V1035" i="146"/>
  <c r="U611" i="146" a="1"/>
  <c r="U611" i="146"/>
  <c r="Q611" i="146"/>
  <c r="V611" i="146"/>
  <c r="V566" i="146"/>
  <c r="U566" i="146" a="1"/>
  <c r="U566" i="146"/>
  <c r="Q566" i="146"/>
  <c r="U554" i="146" a="1"/>
  <c r="U554" i="146"/>
  <c r="Q554" i="146"/>
  <c r="V554" i="146"/>
  <c r="U1179" i="146" a="1"/>
  <c r="U1179" i="146"/>
  <c r="V1179" i="146"/>
  <c r="U1045" i="146" a="1"/>
  <c r="U1045" i="146"/>
  <c r="V1045" i="146"/>
  <c r="U622" i="146" a="1"/>
  <c r="U622" i="146"/>
  <c r="Q622" i="146"/>
  <c r="V622" i="146"/>
  <c r="U531" i="146" a="1"/>
  <c r="U531" i="146"/>
  <c r="Q531" i="146"/>
  <c r="U425" i="146" a="1"/>
  <c r="U425" i="146"/>
  <c r="Q425" i="146"/>
  <c r="V302" i="146"/>
  <c r="V54" i="146"/>
  <c r="U310" i="146" a="1"/>
  <c r="U310" i="146"/>
  <c r="Q310" i="146"/>
  <c r="V165" i="146"/>
  <c r="U877" i="146" a="1"/>
  <c r="U877" i="146"/>
  <c r="U790" i="146" a="1"/>
  <c r="U790" i="146"/>
  <c r="Q790" i="146"/>
  <c r="V321" i="146"/>
  <c r="V142" i="146"/>
  <c r="V31" i="146"/>
  <c r="V490" i="146"/>
  <c r="V351" i="146"/>
  <c r="V258" i="146"/>
  <c r="U293" i="146" a="1"/>
  <c r="U293" i="146"/>
  <c r="Q293" i="146"/>
  <c r="V769" i="146"/>
  <c r="V143" i="146"/>
  <c r="V811" i="146"/>
  <c r="U674" i="146" a="1"/>
  <c r="U674" i="146"/>
  <c r="Q674" i="146"/>
  <c r="V88" i="146"/>
  <c r="V598" i="146"/>
  <c r="U77" i="146" a="1"/>
  <c r="U77" i="146"/>
  <c r="Q77" i="146"/>
  <c r="U855" i="146" a="1"/>
  <c r="U855" i="146"/>
  <c r="V232" i="146"/>
  <c r="V372" i="146"/>
  <c r="V801" i="146"/>
  <c r="U43" i="146" a="1"/>
  <c r="U43" i="146"/>
  <c r="Q43" i="146"/>
  <c r="V270" i="146"/>
  <c r="U446" i="146" a="1"/>
  <c r="U446" i="146"/>
  <c r="Q446" i="146"/>
  <c r="U609" i="146" a="1"/>
  <c r="U609" i="146"/>
  <c r="Q609" i="146"/>
  <c r="V280" i="146"/>
  <c r="V122" i="146"/>
  <c r="U196" i="146" a="1"/>
  <c r="U196" i="146"/>
  <c r="Q196" i="146"/>
  <c r="V780" i="146"/>
  <c r="U457" i="146" a="1"/>
  <c r="U457" i="146"/>
  <c r="Q457" i="146"/>
  <c r="V133" i="146"/>
  <c r="V291" i="146"/>
  <c r="V468" i="146"/>
  <c r="U281" i="146" a="1"/>
  <c r="U281" i="146"/>
  <c r="Q281" i="146"/>
  <c r="V730" i="146"/>
  <c r="V223" i="146"/>
  <c r="U233" i="146" a="1"/>
  <c r="U233" i="146"/>
  <c r="Q233" i="146"/>
  <c r="V233" i="146"/>
  <c r="V931" i="146"/>
  <c r="V1102" i="146"/>
  <c r="U721" i="146" a="1"/>
  <c r="U721" i="146"/>
  <c r="Q721" i="146"/>
  <c r="V417" i="146"/>
  <c r="V1268" i="146"/>
  <c r="U437" i="146" a="1"/>
  <c r="U437" i="146"/>
  <c r="Q437" i="146"/>
  <c r="U381" i="146" a="1"/>
  <c r="U381" i="146"/>
  <c r="Q381" i="146"/>
  <c r="V381" i="146"/>
  <c r="U732" i="146" a="1"/>
  <c r="U732" i="146"/>
  <c r="Q732" i="146"/>
  <c r="V676" i="146"/>
  <c r="V542" i="146"/>
  <c r="V1249" i="146"/>
  <c r="V364" i="146"/>
  <c r="V655" i="146"/>
  <c r="U459" i="146" a="1"/>
  <c r="U459" i="146"/>
  <c r="Q459" i="146"/>
  <c r="V10" i="146"/>
  <c r="V155" i="146"/>
  <c r="V950" i="146"/>
  <c r="V353" i="146"/>
  <c r="U22" i="146" a="1"/>
  <c r="U22" i="146"/>
  <c r="Q22" i="146"/>
  <c r="V1024" i="146"/>
  <c r="V1092" i="146"/>
  <c r="V533" i="146"/>
  <c r="U10" i="146" a="1"/>
  <c r="U10" i="146"/>
  <c r="Q10" i="146"/>
  <c r="V803" i="146"/>
  <c r="V1113" i="146"/>
  <c r="U124" i="146" a="1"/>
  <c r="U124" i="146"/>
  <c r="Q124" i="146"/>
  <c r="V124" i="146"/>
  <c r="V448" i="146"/>
  <c r="U644" i="146" a="1"/>
  <c r="U644" i="146"/>
  <c r="Q644" i="146"/>
  <c r="V703" i="146"/>
  <c r="V1058" i="146"/>
  <c r="U2608" i="146" a="1"/>
  <c r="U2608" i="146"/>
  <c r="Q2608" i="146"/>
  <c r="U1703" i="146" a="1"/>
  <c r="U1703" i="146"/>
  <c r="Q1703" i="146"/>
  <c r="V584" i="146"/>
  <c r="U584" i="146" a="1"/>
  <c r="U584" i="146"/>
  <c r="Q584" i="146"/>
  <c r="U694" i="146" a="1"/>
  <c r="U694" i="146"/>
  <c r="Q694" i="146"/>
  <c r="V694" i="146"/>
  <c r="V1877" i="146"/>
  <c r="U1877" i="146" a="1"/>
  <c r="U1877" i="146"/>
  <c r="Q1877" i="146"/>
  <c r="V1074" i="146"/>
  <c r="U1074" i="146" a="1"/>
  <c r="U1074" i="146"/>
  <c r="U728" i="146" a="1"/>
  <c r="U728" i="146"/>
  <c r="Q728" i="146"/>
  <c r="V728" i="146"/>
  <c r="V869" i="146"/>
  <c r="U869" i="146" a="1"/>
  <c r="U869" i="146"/>
  <c r="V836" i="146"/>
  <c r="U836" i="146" a="1"/>
  <c r="U836" i="146"/>
  <c r="Q836" i="146"/>
  <c r="V956" i="146"/>
  <c r="V1238" i="146"/>
  <c r="U942" i="146" a="1"/>
  <c r="U942" i="146"/>
  <c r="V942" i="146"/>
  <c r="V1208" i="146"/>
  <c r="V102" i="146"/>
  <c r="V1004" i="146"/>
  <c r="U2635" i="146" a="1"/>
  <c r="U2635" i="146"/>
  <c r="Q2635" i="146"/>
  <c r="U306" i="146" a="1"/>
  <c r="U306" i="146"/>
  <c r="Q306" i="146"/>
  <c r="V306" i="146"/>
  <c r="S11" i="145"/>
  <c r="U10" i="145"/>
  <c r="T10" i="145"/>
  <c r="K139" i="162"/>
  <c r="U3005" i="146" a="1"/>
  <c r="U3005" i="146"/>
  <c r="Q3005" i="146"/>
  <c r="U11" i="145"/>
  <c r="T11" i="145"/>
  <c r="S12" i="145"/>
  <c r="S13" i="145"/>
  <c r="T12" i="145"/>
  <c r="U12" i="145"/>
  <c r="S14" i="145"/>
  <c r="T13" i="145"/>
  <c r="U13" i="145"/>
  <c r="T14" i="145"/>
  <c r="U14" i="145"/>
  <c r="S15" i="145"/>
  <c r="U15" i="145"/>
  <c r="T15" i="145"/>
  <c r="S16" i="145"/>
  <c r="S17" i="145"/>
  <c r="T16" i="145"/>
  <c r="U16" i="145"/>
  <c r="T17" i="145"/>
  <c r="U17" i="145"/>
  <c r="S18" i="145"/>
  <c r="S19" i="145"/>
  <c r="U18" i="145"/>
  <c r="T18" i="145"/>
  <c r="T19" i="145"/>
  <c r="U19" i="145"/>
  <c r="S20" i="145"/>
  <c r="S21" i="145"/>
  <c r="T20" i="145"/>
  <c r="U20" i="145"/>
  <c r="S22" i="145"/>
  <c r="U21" i="145"/>
  <c r="T21" i="145"/>
  <c r="U22" i="145"/>
  <c r="T22" i="145"/>
  <c r="S23" i="145"/>
  <c r="U23" i="145"/>
  <c r="S24" i="145"/>
  <c r="T23" i="145"/>
  <c r="S25" i="145"/>
  <c r="T24" i="145"/>
  <c r="U24" i="145"/>
  <c r="S26" i="145"/>
  <c r="U25" i="145"/>
  <c r="P4" i="145"/>
  <c r="D15" i="145" a="1"/>
  <c r="D15" i="145"/>
  <c r="T25" i="145"/>
  <c r="O4" i="145"/>
  <c r="T26" i="145"/>
  <c r="S27" i="145"/>
  <c r="U26" i="145"/>
  <c r="T27" i="145"/>
  <c r="U27" i="145"/>
  <c r="C35" i="145" a="1"/>
  <c r="C35" i="145"/>
  <c r="P35" i="145"/>
  <c r="F14" i="145" a="1"/>
  <c r="F14" i="145"/>
  <c r="C20" i="145" a="1"/>
  <c r="C20" i="145"/>
  <c r="P20" i="145"/>
  <c r="D28" i="145" a="1"/>
  <c r="D28" i="145"/>
  <c r="G11" i="145" a="1"/>
  <c r="G11" i="145"/>
  <c r="B16" i="145" a="1"/>
  <c r="B16" i="145"/>
  <c r="G17" i="145" a="1"/>
  <c r="G17" i="145"/>
  <c r="F29" i="145" a="1"/>
  <c r="F29" i="145"/>
  <c r="D29" i="145" a="1"/>
  <c r="D29" i="145"/>
  <c r="G10" i="145" a="1"/>
  <c r="G10" i="145"/>
  <c r="C9" i="145" a="1"/>
  <c r="C9" i="145"/>
  <c r="P9" i="145" a="1"/>
  <c r="P9" i="145"/>
  <c r="F17" i="145" a="1"/>
  <c r="F17" i="145"/>
  <c r="K45" i="162"/>
  <c r="L45" i="162"/>
  <c r="K33" i="162"/>
  <c r="L33" i="162"/>
  <c r="B16" i="180" a="1"/>
  <c r="B16" i="180"/>
  <c r="C38" i="180" a="1"/>
  <c r="C38" i="180"/>
  <c r="B37" i="180" a="1"/>
  <c r="B37" i="180"/>
  <c r="K61" i="162"/>
  <c r="L61" i="162"/>
  <c r="B15" i="180" a="1"/>
  <c r="B15" i="180"/>
  <c r="U1278" i="146" a="1"/>
  <c r="U1278" i="146"/>
  <c r="K85" i="162"/>
  <c r="L85" i="162"/>
  <c r="B35" i="180" a="1"/>
  <c r="B35" i="180"/>
  <c r="K36" i="162"/>
  <c r="L36" i="162"/>
  <c r="G30" i="145" a="1"/>
  <c r="G30" i="145"/>
  <c r="D26" i="145" a="1"/>
  <c r="D26" i="145"/>
  <c r="G20" i="145" a="1"/>
  <c r="G20" i="145"/>
  <c r="C33" i="180" a="1"/>
  <c r="C33" i="180"/>
  <c r="K134" i="162"/>
  <c r="C12" i="180" a="1"/>
  <c r="C12" i="180"/>
  <c r="N12" i="180"/>
  <c r="L127" i="162"/>
  <c r="K55" i="162"/>
  <c r="L55" i="162"/>
  <c r="C26" i="145" a="1"/>
  <c r="C26" i="145"/>
  <c r="P26" i="145"/>
  <c r="F34" i="145" a="1"/>
  <c r="F34" i="145"/>
  <c r="D10" i="145" a="1"/>
  <c r="D10" i="145"/>
  <c r="E26" i="145" a="1"/>
  <c r="E26" i="145"/>
  <c r="B26" i="145" a="1"/>
  <c r="B26" i="145"/>
  <c r="D37" i="155"/>
  <c r="B11" i="180" a="1"/>
  <c r="B11" i="180"/>
  <c r="C19" i="180" a="1"/>
  <c r="C19" i="180"/>
  <c r="K57" i="162"/>
  <c r="L57" i="162"/>
  <c r="D313" i="155"/>
  <c r="B10" i="180" a="1"/>
  <c r="B10" i="180"/>
  <c r="B29" i="180" a="1"/>
  <c r="B29" i="180"/>
  <c r="C30" i="180" a="1"/>
  <c r="C30" i="180"/>
  <c r="C15" i="180" a="1"/>
  <c r="C15" i="180"/>
  <c r="K25" i="162"/>
  <c r="L25" i="162"/>
  <c r="B28" i="180" a="1"/>
  <c r="B28" i="180"/>
  <c r="B11" i="145" a="1"/>
  <c r="B11" i="145"/>
  <c r="C32" i="145" a="1"/>
  <c r="C32" i="145"/>
  <c r="P32" i="145"/>
  <c r="C14" i="180" a="1"/>
  <c r="C14" i="180"/>
  <c r="B18" i="180" a="1"/>
  <c r="B18" i="180"/>
  <c r="B34" i="180" a="1"/>
  <c r="B34" i="180"/>
  <c r="K32" i="162"/>
  <c r="L32" i="162"/>
  <c r="K68" i="162"/>
  <c r="L68" i="162"/>
  <c r="D25" i="145"/>
  <c r="D155" i="155"/>
  <c r="K59" i="162"/>
  <c r="L59" i="162"/>
  <c r="C22" i="180" a="1"/>
  <c r="C22" i="180"/>
  <c r="C18" i="180" a="1"/>
  <c r="C18" i="180"/>
  <c r="G18" i="180"/>
  <c r="C40" i="180" a="1"/>
  <c r="C40" i="180"/>
  <c r="C20" i="180" a="1"/>
  <c r="C20" i="180"/>
  <c r="K50" i="162"/>
  <c r="L50" i="162"/>
  <c r="K51" i="162"/>
  <c r="L51" i="162"/>
  <c r="F20" i="145" a="1"/>
  <c r="F20" i="145"/>
  <c r="B26" i="180" a="1"/>
  <c r="B26" i="180"/>
  <c r="C34" i="180" a="1"/>
  <c r="C34" i="180"/>
  <c r="C35" i="180" a="1"/>
  <c r="C35" i="180"/>
  <c r="B40" i="180" a="1"/>
  <c r="B40" i="180"/>
  <c r="C28" i="180" a="1"/>
  <c r="C28" i="180"/>
  <c r="K20" i="162"/>
  <c r="L20" i="162"/>
  <c r="D50" i="155"/>
  <c r="B33" i="145" a="1"/>
  <c r="B33" i="145"/>
  <c r="B15" i="145" a="1"/>
  <c r="B15" i="145"/>
  <c r="G31" i="145" a="1"/>
  <c r="G31" i="145"/>
  <c r="G12" i="145" a="1"/>
  <c r="G12" i="145"/>
  <c r="D12" i="155"/>
  <c r="D254" i="155"/>
  <c r="K38" i="162"/>
  <c r="L38" i="162"/>
  <c r="B38" i="180" a="1"/>
  <c r="B38" i="180"/>
  <c r="B14" i="180" a="1"/>
  <c r="B14" i="180"/>
  <c r="B22" i="180" a="1"/>
  <c r="B22" i="180"/>
  <c r="K18" i="162"/>
  <c r="Q19" i="162"/>
  <c r="D182" i="155"/>
  <c r="K108" i="162"/>
  <c r="G19" i="180"/>
  <c r="D19" i="180"/>
  <c r="N19" i="180"/>
  <c r="D348" i="155"/>
  <c r="D194" i="155"/>
  <c r="D165" i="155"/>
  <c r="D124" i="155"/>
  <c r="D234" i="155"/>
  <c r="D437" i="155"/>
  <c r="D79" i="155"/>
  <c r="D495" i="155"/>
  <c r="D435" i="155"/>
  <c r="E30" i="180"/>
  <c r="D70" i="155"/>
  <c r="D295" i="155"/>
  <c r="D277" i="155"/>
  <c r="K132" i="162"/>
  <c r="L132" i="162"/>
  <c r="K137" i="162"/>
  <c r="L137" i="162"/>
  <c r="L133" i="162"/>
  <c r="K136" i="162"/>
  <c r="L136" i="162"/>
  <c r="K123" i="162"/>
  <c r="L123" i="162"/>
  <c r="G23" i="145" a="1"/>
  <c r="G23" i="145"/>
  <c r="D12" i="145" a="1"/>
  <c r="D12" i="145"/>
  <c r="C36" i="145" a="1"/>
  <c r="C36" i="145"/>
  <c r="P36" i="145"/>
  <c r="D285" i="155"/>
  <c r="D355" i="155"/>
  <c r="D81" i="155"/>
  <c r="D449" i="155"/>
  <c r="D278" i="155"/>
  <c r="K63" i="162"/>
  <c r="L63" i="162"/>
  <c r="K119" i="162"/>
  <c r="L119" i="162"/>
  <c r="K104" i="162"/>
  <c r="L104" i="162"/>
  <c r="U1852" i="146" a="1"/>
  <c r="U1852" i="146"/>
  <c r="Q1852" i="146"/>
  <c r="D220" i="155"/>
  <c r="D23" i="155"/>
  <c r="D395" i="155"/>
  <c r="D205" i="155"/>
  <c r="D217" i="155"/>
  <c r="D215" i="155"/>
  <c r="D94" i="155"/>
  <c r="D299" i="155"/>
  <c r="D382" i="155"/>
  <c r="G30" i="180"/>
  <c r="D364" i="155"/>
  <c r="D481" i="155"/>
  <c r="D327" i="155"/>
  <c r="D178" i="155"/>
  <c r="D173" i="155"/>
  <c r="M30" i="180"/>
  <c r="D83" i="155"/>
  <c r="D266" i="155"/>
  <c r="D489" i="155"/>
  <c r="D3" i="155"/>
  <c r="D233" i="155"/>
  <c r="D126" i="155"/>
  <c r="D168" i="155"/>
  <c r="D420" i="155"/>
  <c r="D175" i="155"/>
  <c r="D139" i="155"/>
  <c r="D484" i="155"/>
  <c r="D268" i="155"/>
  <c r="D433" i="155"/>
  <c r="D4" i="155"/>
  <c r="D17" i="155"/>
  <c r="D48" i="155"/>
  <c r="D370" i="155"/>
  <c r="D430" i="155"/>
  <c r="D247" i="155"/>
  <c r="D414" i="155"/>
  <c r="D56" i="155"/>
  <c r="D471" i="155"/>
  <c r="D142" i="155"/>
  <c r="D305" i="155"/>
  <c r="D74" i="155"/>
  <c r="D243" i="155"/>
  <c r="D303" i="155"/>
  <c r="D209" i="155"/>
  <c r="D248" i="155"/>
  <c r="D61" i="155"/>
  <c r="D409" i="155"/>
  <c r="D354" i="155"/>
  <c r="D326" i="155"/>
  <c r="D462" i="155"/>
  <c r="D92" i="155"/>
  <c r="D68" i="155"/>
  <c r="D154" i="155"/>
  <c r="D455" i="155"/>
  <c r="D199" i="155"/>
  <c r="D10" i="155"/>
  <c r="D107" i="155"/>
  <c r="D458" i="155"/>
  <c r="D73" i="155"/>
  <c r="D44" i="155"/>
  <c r="D253" i="155"/>
  <c r="K89" i="162"/>
  <c r="L89" i="162"/>
  <c r="K58" i="162"/>
  <c r="L58" i="162"/>
  <c r="K102" i="162"/>
  <c r="K157" i="162"/>
  <c r="L157" i="162"/>
  <c r="K106" i="162"/>
  <c r="L106" i="162"/>
  <c r="K124" i="162"/>
  <c r="L124" i="162"/>
  <c r="K24" i="162"/>
  <c r="L24" i="162"/>
  <c r="K28" i="162"/>
  <c r="L28" i="162"/>
  <c r="K44" i="162"/>
  <c r="L44" i="162"/>
  <c r="K42" i="162"/>
  <c r="L42" i="162"/>
  <c r="B29" i="145" a="1"/>
  <c r="B29" i="145"/>
  <c r="G33" i="145" a="1"/>
  <c r="G33" i="145"/>
  <c r="E38" i="180"/>
  <c r="P38" i="180"/>
  <c r="N15" i="180"/>
  <c r="M15" i="180"/>
  <c r="O15" i="180"/>
  <c r="F24" i="145" a="1"/>
  <c r="F24" i="145"/>
  <c r="E32" i="145" a="1"/>
  <c r="E32" i="145"/>
  <c r="D34" i="145" a="1"/>
  <c r="D34" i="145"/>
  <c r="E25" i="145" a="1"/>
  <c r="E25" i="145"/>
  <c r="B34" i="145" a="1"/>
  <c r="B34" i="145"/>
  <c r="E13" i="145" a="1"/>
  <c r="E13" i="145"/>
  <c r="B12" i="145" a="1"/>
  <c r="B12" i="145"/>
  <c r="B13" i="145" a="1"/>
  <c r="B13" i="145"/>
  <c r="D35" i="145" a="1"/>
  <c r="D35" i="145"/>
  <c r="C27" i="145" a="1"/>
  <c r="C27" i="145"/>
  <c r="P27" i="145"/>
  <c r="C39" i="145" a="1"/>
  <c r="C39" i="145"/>
  <c r="B38" i="145" a="1"/>
  <c r="B38" i="145"/>
  <c r="E37" i="145" a="1"/>
  <c r="E37" i="145"/>
  <c r="E30" i="145" a="1"/>
  <c r="E30" i="145"/>
  <c r="E16" i="145" a="1"/>
  <c r="E16" i="145"/>
  <c r="E34" i="145" a="1"/>
  <c r="E34" i="145"/>
  <c r="B20" i="145" a="1"/>
  <c r="B20" i="145"/>
  <c r="B23" i="145" a="1"/>
  <c r="B23" i="145"/>
  <c r="E10" i="145" a="1"/>
  <c r="E10" i="145"/>
  <c r="D14" i="145" a="1"/>
  <c r="D14" i="145"/>
  <c r="B27" i="145" a="1"/>
  <c r="B27" i="145"/>
  <c r="C38" i="145" a="1"/>
  <c r="C38" i="145"/>
  <c r="C33" i="145" a="1"/>
  <c r="C33" i="145"/>
  <c r="P33" i="145"/>
  <c r="D11" i="145" a="1"/>
  <c r="D11" i="145"/>
  <c r="C17" i="145" a="1"/>
  <c r="C17" i="145"/>
  <c r="P17" i="145"/>
  <c r="G18" i="145" a="1"/>
  <c r="G18" i="145"/>
  <c r="B32" i="145" a="1"/>
  <c r="B32" i="145"/>
  <c r="G13" i="145" a="1"/>
  <c r="G13" i="145"/>
  <c r="E35" i="145" a="1"/>
  <c r="E35" i="145"/>
  <c r="E29" i="145" a="1"/>
  <c r="E29" i="145"/>
  <c r="D18" i="145" a="1"/>
  <c r="D18" i="145"/>
  <c r="G24" i="145" a="1"/>
  <c r="G24" i="145"/>
  <c r="B21" i="145" a="1"/>
  <c r="B21" i="145"/>
  <c r="E14" i="145" a="1"/>
  <c r="E14" i="145"/>
  <c r="E24" i="145" a="1"/>
  <c r="E24" i="145"/>
  <c r="C15" i="145" a="1"/>
  <c r="C15" i="145"/>
  <c r="P15" i="145"/>
  <c r="G14" i="145" a="1"/>
  <c r="G14" i="145"/>
  <c r="F11" i="145" a="1"/>
  <c r="F11" i="145"/>
  <c r="E17" i="145" a="1"/>
  <c r="E17" i="145"/>
  <c r="E31" i="145" a="1"/>
  <c r="E31" i="145"/>
  <c r="C31" i="145" a="1"/>
  <c r="C31" i="145"/>
  <c r="P31" i="145"/>
  <c r="D40" i="145" a="1"/>
  <c r="D40" i="145"/>
  <c r="D22" i="145" a="1"/>
  <c r="D22" i="145"/>
  <c r="B28" i="145" a="1"/>
  <c r="B28" i="145"/>
  <c r="D30" i="145" a="1"/>
  <c r="D30" i="145"/>
  <c r="D9" i="145" a="1"/>
  <c r="D9" i="145"/>
  <c r="E18" i="145" a="1"/>
  <c r="E18" i="145"/>
  <c r="D24" i="145" a="1"/>
  <c r="D24" i="145"/>
  <c r="G34" i="145" a="1"/>
  <c r="G34" i="145"/>
  <c r="B19" i="145" a="1"/>
  <c r="B19" i="145"/>
  <c r="G36" i="145" a="1"/>
  <c r="G36" i="145"/>
  <c r="E40" i="145" a="1"/>
  <c r="E40" i="145"/>
  <c r="C23" i="145" a="1"/>
  <c r="C23" i="145"/>
  <c r="P23" i="145"/>
  <c r="C30" i="145" a="1"/>
  <c r="C30" i="145"/>
  <c r="P30" i="145"/>
  <c r="F32" i="145" a="1"/>
  <c r="F32" i="145"/>
  <c r="E12" i="145" a="1"/>
  <c r="E12" i="145"/>
  <c r="F10" i="145" a="1"/>
  <c r="F10" i="145"/>
  <c r="C25" i="145" a="1"/>
  <c r="C25" i="145"/>
  <c r="P25" i="145"/>
  <c r="G28" i="145" a="1"/>
  <c r="G28" i="145"/>
  <c r="G39" i="145" a="1"/>
  <c r="G39" i="145"/>
  <c r="D21" i="145" a="1"/>
  <c r="D21" i="145"/>
  <c r="F35" i="145" a="1"/>
  <c r="F35" i="145"/>
  <c r="B10" i="145" a="1"/>
  <c r="B10" i="145"/>
  <c r="E23" i="145" a="1"/>
  <c r="E23" i="145"/>
  <c r="E19" i="145" a="1"/>
  <c r="E19" i="145"/>
  <c r="G27" i="145" a="1"/>
  <c r="G27" i="145"/>
  <c r="D31" i="145" a="1"/>
  <c r="D31" i="145"/>
  <c r="E36" i="145" a="1"/>
  <c r="E36" i="145"/>
  <c r="F31" i="145" a="1"/>
  <c r="F31" i="145"/>
  <c r="C14" i="145" a="1"/>
  <c r="C14" i="145"/>
  <c r="P14" i="145"/>
  <c r="C21" i="145" a="1"/>
  <c r="C21" i="145"/>
  <c r="P21" i="145"/>
  <c r="F30" i="145" a="1"/>
  <c r="F30" i="145"/>
  <c r="G40" i="180"/>
  <c r="D40" i="180"/>
  <c r="F20" i="180"/>
  <c r="N20" i="180"/>
  <c r="G20" i="180"/>
  <c r="M20" i="180"/>
  <c r="P20" i="180"/>
  <c r="B14" i="145" a="1"/>
  <c r="B14" i="145"/>
  <c r="C10" i="145" a="1"/>
  <c r="C10" i="145"/>
  <c r="P10" i="145"/>
  <c r="F14" i="180"/>
  <c r="N14" i="180"/>
  <c r="G14" i="180"/>
  <c r="M14" i="180"/>
  <c r="E14" i="180"/>
  <c r="F22" i="145" a="1"/>
  <c r="F22" i="145"/>
  <c r="O22" i="180"/>
  <c r="F22" i="180"/>
  <c r="E22" i="180"/>
  <c r="P22" i="180"/>
  <c r="L134" i="162"/>
  <c r="P12" i="180"/>
  <c r="E12" i="180"/>
  <c r="M12" i="180"/>
  <c r="F12" i="180"/>
  <c r="O14" i="180"/>
  <c r="F12" i="145" a="1"/>
  <c r="F12" i="145"/>
  <c r="D20" i="145" a="1"/>
  <c r="D20" i="145"/>
  <c r="G15" i="145" a="1"/>
  <c r="G15" i="145"/>
  <c r="G22" i="145" a="1"/>
  <c r="G22" i="145"/>
  <c r="C28" i="145" a="1"/>
  <c r="C28" i="145"/>
  <c r="P28" i="145"/>
  <c r="M34" i="180"/>
  <c r="E34" i="180"/>
  <c r="N34" i="180"/>
  <c r="D34" i="180"/>
  <c r="G34" i="180"/>
  <c r="O18" i="180"/>
  <c r="N18" i="180"/>
  <c r="M18" i="180"/>
  <c r="D18" i="180"/>
  <c r="O35" i="180"/>
  <c r="P35" i="180"/>
  <c r="M35" i="180"/>
  <c r="G32" i="145" a="1"/>
  <c r="G32" i="145"/>
  <c r="E20" i="145" a="1"/>
  <c r="E20" i="145"/>
  <c r="M19" i="180"/>
  <c r="F30" i="180"/>
  <c r="P19" i="180"/>
  <c r="D30" i="180"/>
  <c r="O30" i="180"/>
  <c r="F19" i="180"/>
  <c r="K120" i="162"/>
  <c r="L120" i="162"/>
  <c r="K103" i="162"/>
  <c r="L103" i="162"/>
  <c r="F15" i="180"/>
  <c r="D15" i="180"/>
  <c r="P15" i="180"/>
  <c r="N35" i="180"/>
  <c r="D35" i="180"/>
  <c r="E35" i="180"/>
  <c r="F34" i="180"/>
  <c r="P34" i="180"/>
  <c r="O34" i="180"/>
  <c r="L18" i="162"/>
  <c r="O20" i="180"/>
  <c r="E20" i="180"/>
  <c r="D20" i="180"/>
  <c r="M38" i="180"/>
  <c r="D38" i="180"/>
  <c r="F18" i="180"/>
  <c r="P18" i="180"/>
  <c r="E18" i="180"/>
  <c r="D22" i="180"/>
  <c r="G22" i="180"/>
  <c r="N33" i="180"/>
  <c r="E33" i="180"/>
  <c r="M33" i="180"/>
  <c r="F33" i="180"/>
  <c r="D33" i="180"/>
  <c r="G33" i="180"/>
  <c r="O33" i="180"/>
  <c r="P33" i="180"/>
  <c r="N28" i="180"/>
  <c r="E28" i="180"/>
  <c r="P28" i="180"/>
  <c r="O28" i="180"/>
  <c r="D28" i="180"/>
  <c r="F28" i="180"/>
  <c r="G28" i="180"/>
  <c r="D228" i="155"/>
  <c r="D114" i="155"/>
  <c r="D76" i="155"/>
  <c r="D96" i="155"/>
  <c r="D362" i="155"/>
  <c r="D310" i="155"/>
  <c r="D369" i="155"/>
  <c r="D446" i="155"/>
  <c r="D95" i="155"/>
  <c r="D438" i="155"/>
  <c r="D494" i="155"/>
  <c r="D500" i="155"/>
  <c r="D426" i="155"/>
  <c r="D407" i="155"/>
  <c r="D291" i="155"/>
  <c r="D42" i="155"/>
  <c r="D309" i="155"/>
  <c r="D371" i="155"/>
  <c r="D398" i="155"/>
  <c r="D339" i="155"/>
  <c r="D52" i="155"/>
  <c r="D352" i="155"/>
  <c r="D119" i="155"/>
  <c r="D311" i="155"/>
  <c r="D479" i="155"/>
  <c r="D196" i="155"/>
  <c r="D177" i="155"/>
  <c r="D132" i="155"/>
  <c r="D331" i="155"/>
  <c r="D188" i="155"/>
  <c r="D229" i="155"/>
  <c r="D436" i="155"/>
  <c r="D264" i="155"/>
  <c r="D504" i="155"/>
  <c r="D156" i="155"/>
  <c r="D211" i="155"/>
  <c r="D329" i="155"/>
  <c r="D499" i="155"/>
  <c r="D273" i="155"/>
  <c r="D195" i="155"/>
  <c r="D413" i="155"/>
  <c r="D302" i="155"/>
  <c r="D472" i="155"/>
  <c r="D206" i="155"/>
  <c r="D66" i="155"/>
  <c r="U698" i="146" a="1"/>
  <c r="U698" i="146"/>
  <c r="Q698" i="146"/>
  <c r="D98" i="155"/>
  <c r="D144" i="155"/>
  <c r="D186" i="155"/>
  <c r="D198" i="155"/>
  <c r="D112" i="155"/>
  <c r="D283" i="155"/>
  <c r="D204" i="155"/>
  <c r="D82" i="155"/>
  <c r="D373" i="155"/>
  <c r="V698" i="146"/>
  <c r="D151" i="155"/>
  <c r="D383" i="155"/>
  <c r="D55" i="155"/>
  <c r="D351" i="155"/>
  <c r="D225" i="155"/>
  <c r="D160" i="155"/>
  <c r="D117" i="155"/>
  <c r="D223" i="155"/>
  <c r="D470" i="155"/>
  <c r="D317" i="155"/>
  <c r="D280" i="155"/>
  <c r="D14" i="155"/>
  <c r="D334" i="155"/>
  <c r="D375" i="155"/>
  <c r="D5" i="155"/>
  <c r="D319" i="155"/>
  <c r="D40" i="155"/>
  <c r="D235" i="155"/>
  <c r="D365" i="155"/>
  <c r="D288" i="155"/>
  <c r="D8" i="155"/>
  <c r="K94" i="162"/>
  <c r="L94" i="162"/>
  <c r="K73" i="162"/>
  <c r="L73" i="162"/>
  <c r="K70" i="162"/>
  <c r="L70" i="162"/>
  <c r="B39" i="145" a="1"/>
  <c r="B39" i="145"/>
  <c r="K83" i="162"/>
  <c r="L83" i="162"/>
  <c r="K78" i="162"/>
  <c r="K87" i="162"/>
  <c r="L87" i="162"/>
  <c r="K76" i="162"/>
  <c r="L76" i="162"/>
  <c r="K80" i="162"/>
  <c r="L80" i="162"/>
  <c r="K93" i="162"/>
  <c r="L93" i="162"/>
  <c r="K67" i="162"/>
  <c r="L67" i="162"/>
  <c r="K92" i="162"/>
  <c r="F37" i="145" a="1"/>
  <c r="F37" i="145"/>
  <c r="K81" i="162"/>
  <c r="L81" i="162"/>
  <c r="C41" i="180" a="1"/>
  <c r="C41" i="180"/>
  <c r="D497" i="155"/>
  <c r="D475" i="155"/>
  <c r="D236" i="155"/>
  <c r="D32" i="155"/>
  <c r="D429" i="155"/>
  <c r="D230" i="155"/>
  <c r="D487" i="155"/>
  <c r="D459" i="155"/>
  <c r="D405" i="155"/>
  <c r="D137" i="155"/>
  <c r="D463" i="155"/>
  <c r="D141" i="155"/>
  <c r="D392" i="155"/>
  <c r="D25" i="155"/>
  <c r="D294" i="155"/>
  <c r="D174" i="155"/>
  <c r="D298" i="155"/>
  <c r="D377" i="155"/>
  <c r="D237" i="155"/>
  <c r="D99" i="155"/>
  <c r="G40" i="145" a="1"/>
  <c r="G40" i="145"/>
  <c r="D505" i="155"/>
  <c r="G12" i="180"/>
  <c r="K155" i="162"/>
  <c r="L155" i="162"/>
  <c r="D488" i="155"/>
  <c r="D18" i="155"/>
  <c r="D91" i="155"/>
  <c r="D416" i="155"/>
  <c r="D493" i="155"/>
  <c r="D276" i="155"/>
  <c r="D322" i="155"/>
  <c r="D453" i="155"/>
  <c r="D300" i="155"/>
  <c r="D418" i="155"/>
  <c r="D214" i="155"/>
  <c r="D45" i="155"/>
  <c r="K159" i="162"/>
  <c r="D312" i="155"/>
  <c r="D67" i="155"/>
  <c r="D1" i="155"/>
  <c r="E1" i="155"/>
  <c r="D143" i="155"/>
  <c r="D468" i="155"/>
  <c r="D385" i="155"/>
  <c r="D333" i="155"/>
  <c r="D249" i="155"/>
  <c r="D391" i="155"/>
  <c r="D64" i="155"/>
  <c r="D325" i="155"/>
  <c r="D180" i="155"/>
  <c r="K69" i="162"/>
  <c r="L69" i="162"/>
  <c r="D77" i="155"/>
  <c r="D336" i="155"/>
  <c r="D172" i="155"/>
  <c r="D274" i="155"/>
  <c r="K97" i="162"/>
  <c r="L97" i="162"/>
  <c r="D324" i="155"/>
  <c r="K96" i="162"/>
  <c r="D360" i="155"/>
  <c r="F39" i="145" a="1"/>
  <c r="F39" i="145"/>
  <c r="E39" i="145" a="1"/>
  <c r="E39" i="145"/>
  <c r="K84" i="162"/>
  <c r="L84" i="162"/>
  <c r="D80" i="155"/>
  <c r="D408" i="155"/>
  <c r="D162" i="155"/>
  <c r="D474" i="155"/>
  <c r="D445" i="155"/>
  <c r="D296" i="155"/>
  <c r="D270" i="155"/>
  <c r="D378" i="155"/>
  <c r="D259" i="155"/>
  <c r="D60" i="155"/>
  <c r="D501" i="155"/>
  <c r="D368" i="155"/>
  <c r="D388" i="155"/>
  <c r="D34" i="155"/>
  <c r="D179" i="155"/>
  <c r="D108" i="155"/>
  <c r="D450" i="155"/>
  <c r="D386" i="155"/>
  <c r="D167" i="155"/>
  <c r="D422" i="155"/>
  <c r="D115" i="155"/>
  <c r="D231" i="155"/>
  <c r="D39" i="155"/>
  <c r="D27" i="155"/>
  <c r="D57" i="155"/>
  <c r="D192" i="155"/>
  <c r="K88" i="162"/>
  <c r="L88" i="162"/>
  <c r="D218" i="155"/>
  <c r="D7" i="155"/>
  <c r="F38" i="145" a="1"/>
  <c r="F38" i="145"/>
  <c r="K79" i="162"/>
  <c r="L79" i="162"/>
  <c r="D72" i="155"/>
  <c r="D287" i="155"/>
  <c r="D464" i="155"/>
  <c r="D461" i="155"/>
  <c r="D390" i="155"/>
  <c r="D104" i="155"/>
  <c r="D341" i="155"/>
  <c r="D292" i="155"/>
  <c r="D290" i="155"/>
  <c r="D485" i="155"/>
  <c r="D43" i="155"/>
  <c r="D318" i="155"/>
  <c r="D85" i="155"/>
  <c r="D41" i="155"/>
  <c r="D63" i="155"/>
  <c r="D284" i="155"/>
  <c r="D11" i="155"/>
  <c r="D131" i="155"/>
  <c r="D89" i="155"/>
  <c r="D219" i="155"/>
  <c r="D379" i="155"/>
  <c r="D106" i="155"/>
  <c r="D71" i="155"/>
  <c r="D176" i="155"/>
  <c r="D357" i="155"/>
  <c r="D193" i="155"/>
  <c r="D184" i="155"/>
  <c r="D246" i="155"/>
  <c r="D308" i="155"/>
  <c r="D440" i="155"/>
  <c r="D376" i="155"/>
  <c r="D241" i="155"/>
  <c r="D197" i="155"/>
  <c r="D239" i="155"/>
  <c r="K66" i="162"/>
  <c r="D54" i="155"/>
  <c r="D263" i="155"/>
  <c r="D306" i="155"/>
  <c r="D140" i="155"/>
  <c r="D90" i="155"/>
  <c r="D53" i="155"/>
  <c r="D189" i="155"/>
  <c r="D358" i="155"/>
  <c r="D444" i="155"/>
  <c r="D423" i="155"/>
  <c r="D150" i="155"/>
  <c r="D281" i="155"/>
  <c r="D304" i="155"/>
  <c r="D245" i="155"/>
  <c r="D6" i="155"/>
  <c r="D31" i="155"/>
  <c r="D384" i="155"/>
  <c r="D465" i="155"/>
  <c r="D148" i="155"/>
  <c r="D482" i="155"/>
  <c r="D58" i="155"/>
  <c r="D163" i="155"/>
  <c r="D353" i="155"/>
  <c r="D293" i="155"/>
  <c r="D207" i="155"/>
  <c r="D46" i="155"/>
  <c r="D87" i="155"/>
  <c r="D100" i="155"/>
  <c r="D315" i="155"/>
  <c r="D26" i="155"/>
  <c r="K74" i="162"/>
  <c r="L74" i="162"/>
  <c r="D328" i="155"/>
  <c r="D502" i="155"/>
  <c r="D59" i="155"/>
  <c r="K72" i="162"/>
  <c r="D222" i="155"/>
  <c r="N30" i="180"/>
  <c r="P30" i="180"/>
  <c r="D145" i="155"/>
  <c r="D147" i="155"/>
  <c r="K156" i="162"/>
  <c r="L156" i="162"/>
  <c r="D359" i="155"/>
  <c r="D38" i="155"/>
  <c r="D466" i="155"/>
  <c r="D282" i="155"/>
  <c r="D350" i="155"/>
  <c r="D110" i="155"/>
  <c r="D314" i="155"/>
  <c r="D128" i="155"/>
  <c r="D457" i="155"/>
  <c r="D122" i="155"/>
  <c r="D103" i="155"/>
  <c r="D492" i="155"/>
  <c r="D297" i="155"/>
  <c r="D35" i="155"/>
  <c r="D203" i="155"/>
  <c r="D289" i="155"/>
  <c r="D393" i="155"/>
  <c r="D320" i="155"/>
  <c r="D2" i="155"/>
  <c r="D130" i="155"/>
  <c r="D406" i="155"/>
  <c r="D30" i="155"/>
  <c r="D256" i="155"/>
  <c r="D265" i="155"/>
  <c r="D400" i="155"/>
  <c r="C37" i="145" a="1"/>
  <c r="C37" i="145"/>
  <c r="P37" i="145"/>
  <c r="D323" i="155"/>
  <c r="D62" i="155"/>
  <c r="D183" i="155"/>
  <c r="D490" i="155"/>
  <c r="D431" i="155"/>
  <c r="D367" i="155"/>
  <c r="D275" i="155"/>
  <c r="D136" i="155"/>
  <c r="D9" i="155"/>
  <c r="D19" i="155"/>
  <c r="D47" i="155"/>
  <c r="D343" i="155"/>
  <c r="D213" i="155"/>
  <c r="D51" i="155"/>
  <c r="D342" i="155"/>
  <c r="D411" i="155"/>
  <c r="K160" i="162"/>
  <c r="L160" i="162"/>
  <c r="D78" i="155"/>
  <c r="D260" i="155"/>
  <c r="D345" i="155"/>
  <c r="D212" i="155"/>
  <c r="D387" i="155"/>
  <c r="D129" i="155"/>
  <c r="D506" i="155"/>
  <c r="D133" i="155"/>
  <c r="D476" i="155"/>
  <c r="D191" i="155"/>
  <c r="D301" i="155"/>
  <c r="D503" i="155"/>
  <c r="D316" i="155"/>
  <c r="F40" i="145" a="1"/>
  <c r="F40" i="145"/>
  <c r="D20" i="155"/>
  <c r="B41" i="180" a="1"/>
  <c r="B41" i="180"/>
  <c r="D338" i="155"/>
  <c r="D372" i="155"/>
  <c r="D33" i="155"/>
  <c r="D419" i="155"/>
  <c r="D381" i="155"/>
  <c r="D399" i="155"/>
  <c r="D202" i="155"/>
  <c r="D97" i="155"/>
  <c r="D269" i="155"/>
  <c r="D164" i="155"/>
  <c r="D261" i="155"/>
  <c r="D447" i="155"/>
  <c r="D238" i="155"/>
  <c r="D93" i="155"/>
  <c r="D396" i="155"/>
  <c r="D412" i="155"/>
  <c r="D421" i="155"/>
  <c r="D262" i="155"/>
  <c r="D344" i="155"/>
  <c r="D84" i="155"/>
  <c r="D332" i="155"/>
  <c r="D109" i="155"/>
  <c r="D181" i="155"/>
  <c r="D346" i="155"/>
  <c r="D170" i="155"/>
  <c r="D125" i="155"/>
  <c r="D286" i="155"/>
  <c r="D86" i="155"/>
  <c r="D210" i="155"/>
  <c r="D255" i="155"/>
  <c r="D123" i="155"/>
  <c r="D496" i="155"/>
  <c r="D467" i="155"/>
  <c r="D347" i="155"/>
  <c r="D226" i="155"/>
  <c r="D208" i="155"/>
  <c r="D374" i="155"/>
  <c r="D469" i="155"/>
  <c r="D200" i="155"/>
  <c r="D250" i="155"/>
  <c r="D272" i="155"/>
  <c r="D507" i="155"/>
  <c r="D36" i="155"/>
  <c r="D321" i="155"/>
  <c r="D401" i="155"/>
  <c r="D111" i="155"/>
  <c r="D389" i="155"/>
  <c r="D29" i="155"/>
  <c r="D271" i="155"/>
  <c r="D251" i="155"/>
  <c r="D232" i="155"/>
  <c r="R19" i="162"/>
  <c r="D486" i="155"/>
  <c r="D380" i="155"/>
  <c r="D65" i="155"/>
  <c r="K75" i="162"/>
  <c r="L75" i="162"/>
  <c r="D15" i="155"/>
  <c r="D69" i="155"/>
  <c r="D451" i="155"/>
  <c r="D478" i="155"/>
  <c r="D49" i="155"/>
  <c r="D216" i="155"/>
  <c r="K105" i="162"/>
  <c r="L105" i="162"/>
  <c r="U697" i="146" a="1"/>
  <c r="U697" i="146"/>
  <c r="Q697" i="146"/>
  <c r="V697" i="146"/>
  <c r="B19" i="180" a="1"/>
  <c r="B19" i="180"/>
  <c r="B9" i="145" a="1"/>
  <c r="B9" i="145"/>
  <c r="D356" i="155"/>
  <c r="D105" i="155"/>
  <c r="C11" i="180" a="1"/>
  <c r="C11" i="180"/>
  <c r="D152" i="155"/>
  <c r="D349" i="155"/>
  <c r="K43" i="162"/>
  <c r="L43" i="162"/>
  <c r="D403" i="155"/>
  <c r="D448" i="155"/>
  <c r="D428" i="155"/>
  <c r="D127" i="155"/>
  <c r="D102" i="155"/>
  <c r="E11" i="145" a="1"/>
  <c r="E11" i="145"/>
  <c r="B40" i="145" a="1"/>
  <c r="B40" i="145"/>
  <c r="G35" i="145" a="1"/>
  <c r="G35" i="145"/>
  <c r="B36" i="145" a="1"/>
  <c r="B36" i="145"/>
  <c r="D201" i="155"/>
  <c r="U1072" i="146" a="1"/>
  <c r="U1072" i="146"/>
  <c r="V1072" i="146"/>
  <c r="B33" i="180" a="1"/>
  <c r="B33" i="180"/>
  <c r="K101" i="162"/>
  <c r="L101" i="162"/>
  <c r="K49" i="162"/>
  <c r="L49" i="162"/>
  <c r="K154" i="162"/>
  <c r="L154" i="162"/>
  <c r="C25" i="180" a="1"/>
  <c r="C25" i="180"/>
  <c r="D456" i="155"/>
  <c r="D185" i="155"/>
  <c r="C26" i="180" a="1"/>
  <c r="C26" i="180"/>
  <c r="E38" i="145" a="1"/>
  <c r="E38" i="145"/>
  <c r="D432" i="155"/>
  <c r="D149" i="155"/>
  <c r="K164" i="162"/>
  <c r="L164" i="162"/>
  <c r="D88" i="155"/>
  <c r="D491" i="155"/>
  <c r="D267" i="155"/>
  <c r="D13" i="145" a="1"/>
  <c r="D13" i="145"/>
  <c r="D244" i="155"/>
  <c r="C24" i="145" a="1"/>
  <c r="C24" i="145"/>
  <c r="P24" i="145"/>
  <c r="D39" i="145" a="1"/>
  <c r="D39" i="145"/>
  <c r="C19" i="145" a="1"/>
  <c r="C19" i="145"/>
  <c r="P19" i="145"/>
  <c r="F13" i="145" a="1"/>
  <c r="F13" i="145"/>
  <c r="D16" i="145" a="1"/>
  <c r="D16" i="145"/>
  <c r="L150" i="162"/>
  <c r="V1009" i="146"/>
  <c r="U1009" i="146" a="1"/>
  <c r="U1009" i="146"/>
  <c r="C34" i="145" a="1"/>
  <c r="C34" i="145"/>
  <c r="P34" i="145"/>
  <c r="C16" i="145" a="1"/>
  <c r="C16" i="145"/>
  <c r="P16" i="145"/>
  <c r="C13" i="145" a="1"/>
  <c r="C13" i="145"/>
  <c r="P13" i="145"/>
  <c r="D257" i="155"/>
  <c r="V1186" i="146"/>
  <c r="U1186" i="146" a="1"/>
  <c r="U1186" i="146"/>
  <c r="D335" i="155"/>
  <c r="D13" i="155"/>
  <c r="D221" i="155"/>
  <c r="D242" i="155"/>
  <c r="D361" i="155"/>
  <c r="D169" i="155"/>
  <c r="D118" i="155"/>
  <c r="D498" i="155"/>
  <c r="G16" i="145" a="1"/>
  <c r="G16" i="145"/>
  <c r="F28" i="145" a="1"/>
  <c r="F28" i="145"/>
  <c r="B35" i="145" a="1"/>
  <c r="B35" i="145"/>
  <c r="G25" i="145" a="1"/>
  <c r="G25" i="145"/>
  <c r="D424" i="155"/>
  <c r="V708" i="146"/>
  <c r="B30" i="180" a="1"/>
  <c r="B30" i="180"/>
  <c r="B36" i="180" a="1"/>
  <c r="B36" i="180"/>
  <c r="U1246" i="146" a="1"/>
  <c r="U1246" i="146"/>
  <c r="V1246" i="146"/>
  <c r="D37" i="145" a="1"/>
  <c r="D37" i="145"/>
  <c r="K129" i="162"/>
  <c r="L129" i="162"/>
  <c r="B20" i="180" a="1"/>
  <c r="B20" i="180"/>
  <c r="D404" i="155"/>
  <c r="K161" i="162"/>
  <c r="L161" i="162"/>
  <c r="D279" i="155"/>
  <c r="E9" i="145" a="1"/>
  <c r="E9" i="145"/>
  <c r="G38" i="145" a="1"/>
  <c r="G38" i="145"/>
  <c r="B31" i="145" a="1"/>
  <c r="B31" i="145"/>
  <c r="E22" i="145" a="1"/>
  <c r="E22" i="145"/>
  <c r="F25" i="145" a="1"/>
  <c r="F25" i="145"/>
  <c r="D337" i="155"/>
  <c r="C36" i="180" a="1"/>
  <c r="C36" i="180"/>
  <c r="D454" i="155"/>
  <c r="U263" i="146" a="1"/>
  <c r="U263" i="146"/>
  <c r="Q263" i="146"/>
  <c r="V1247" i="146"/>
  <c r="U1089" i="146" a="1"/>
  <c r="U1089" i="146"/>
  <c r="U952" i="146" a="1"/>
  <c r="U952" i="146"/>
  <c r="V952" i="146"/>
  <c r="K53" i="162"/>
  <c r="L53" i="162"/>
  <c r="F26" i="145" a="1"/>
  <c r="F26" i="145"/>
  <c r="K100" i="162"/>
  <c r="L100" i="162"/>
  <c r="K62" i="162"/>
  <c r="L62" i="162"/>
  <c r="B30" i="145" a="1"/>
  <c r="B30" i="145"/>
  <c r="K128" i="162"/>
  <c r="L128" i="162"/>
  <c r="D439" i="155"/>
  <c r="K30" i="162"/>
  <c r="L30" i="162"/>
  <c r="B31" i="180" a="1"/>
  <c r="B31" i="180"/>
  <c r="D252" i="155"/>
  <c r="D116" i="155"/>
  <c r="K130" i="162"/>
  <c r="L130" i="162"/>
  <c r="C21" i="180" a="1"/>
  <c r="C21" i="180"/>
  <c r="D240" i="155"/>
  <c r="G19" i="145" a="1"/>
  <c r="G19" i="145"/>
  <c r="B22" i="145" a="1"/>
  <c r="B22" i="145"/>
  <c r="C18" i="145" a="1"/>
  <c r="C18" i="145"/>
  <c r="P18" i="145"/>
  <c r="D101" i="155"/>
  <c r="B32" i="180" a="1"/>
  <c r="B32" i="180"/>
  <c r="V263" i="146"/>
  <c r="V8" i="146"/>
  <c r="V968" i="146"/>
  <c r="U968" i="146" a="1"/>
  <c r="U968" i="146"/>
  <c r="V960" i="146"/>
  <c r="U960" i="146" a="1"/>
  <c r="U960" i="146"/>
  <c r="C32" i="180" a="1"/>
  <c r="C32" i="180"/>
  <c r="F21" i="145" a="1"/>
  <c r="F21" i="145"/>
  <c r="K19" i="162"/>
  <c r="C17" i="180" a="1"/>
  <c r="C17" i="180"/>
  <c r="D417" i="155"/>
  <c r="G9" i="145" a="1"/>
  <c r="G9" i="145"/>
  <c r="C12" i="145" a="1"/>
  <c r="C12" i="145"/>
  <c r="P12" i="145"/>
  <c r="D19" i="145" a="1"/>
  <c r="D19" i="145"/>
  <c r="D36" i="145" a="1"/>
  <c r="D36" i="145"/>
  <c r="C11" i="145" a="1"/>
  <c r="C11" i="145"/>
  <c r="P11" i="145"/>
  <c r="D38" i="145" a="1"/>
  <c r="D38" i="145"/>
  <c r="E28" i="145" a="1"/>
  <c r="E28" i="145"/>
  <c r="D17" i="145" a="1"/>
  <c r="D17" i="145"/>
  <c r="E15" i="145" a="1"/>
  <c r="E15" i="145"/>
  <c r="C22" i="145" a="1"/>
  <c r="C22" i="145"/>
  <c r="P22" i="145"/>
  <c r="B37" i="145" a="1"/>
  <c r="B37" i="145"/>
  <c r="G21" i="145" a="1"/>
  <c r="G21" i="145"/>
  <c r="F19" i="145" a="1"/>
  <c r="F19" i="145"/>
  <c r="E33" i="145" a="1"/>
  <c r="E33" i="145"/>
  <c r="D434" i="155"/>
  <c r="B24" i="180" a="1"/>
  <c r="B24" i="180"/>
  <c r="U273" i="146" a="1"/>
  <c r="U273" i="146"/>
  <c r="Q273" i="146"/>
  <c r="V617" i="146"/>
  <c r="D394" i="155"/>
  <c r="D113" i="155"/>
  <c r="D483" i="155"/>
  <c r="D159" i="155"/>
  <c r="D146" i="155"/>
  <c r="D21" i="155"/>
  <c r="D442" i="155"/>
  <c r="D158" i="155"/>
  <c r="D330" i="155"/>
  <c r="D138" i="155"/>
  <c r="D166" i="155"/>
  <c r="D32" i="145" a="1"/>
  <c r="D32" i="145"/>
  <c r="D187" i="155"/>
  <c r="F36" i="145" a="1"/>
  <c r="F36" i="145"/>
  <c r="D224" i="155"/>
  <c r="D363" i="155"/>
  <c r="G29" i="145" a="1"/>
  <c r="G29" i="145"/>
  <c r="C23" i="180" a="1"/>
  <c r="C23" i="180"/>
  <c r="D23" i="180"/>
  <c r="D402" i="155"/>
  <c r="D258" i="155"/>
  <c r="D120" i="155"/>
  <c r="B39" i="180" a="1"/>
  <c r="B39" i="180"/>
  <c r="D452" i="155"/>
  <c r="K37" i="162"/>
  <c r="L37" i="162"/>
  <c r="D480" i="155"/>
  <c r="D23" i="145" a="1"/>
  <c r="D23" i="145"/>
  <c r="K153" i="162"/>
  <c r="D307" i="155"/>
  <c r="C27" i="180" a="1"/>
  <c r="C27" i="180"/>
  <c r="D443" i="155"/>
  <c r="F18" i="145" a="1"/>
  <c r="F18" i="145"/>
  <c r="B13" i="180" a="1"/>
  <c r="B13" i="180"/>
  <c r="D75" i="155"/>
  <c r="D24" i="155"/>
  <c r="F9" i="145" a="1"/>
  <c r="F9" i="145"/>
  <c r="B18" i="145" a="1"/>
  <c r="B18" i="145"/>
  <c r="E21" i="145" a="1"/>
  <c r="E21" i="145"/>
  <c r="D441" i="155"/>
  <c r="C29" i="180" a="1"/>
  <c r="C29" i="180"/>
  <c r="K29" i="162"/>
  <c r="U1212" i="146" a="1"/>
  <c r="U1212" i="146"/>
  <c r="V1212" i="146"/>
  <c r="V1162" i="146"/>
  <c r="U1162" i="146" a="1"/>
  <c r="U1162" i="146"/>
  <c r="C13" i="180" a="1"/>
  <c r="C13" i="180"/>
  <c r="D33" i="145" a="1"/>
  <c r="D33" i="145"/>
  <c r="K23" i="162"/>
  <c r="L23" i="162"/>
  <c r="D427" i="155"/>
  <c r="D477" i="155"/>
  <c r="D460" i="155"/>
  <c r="C31" i="180" a="1"/>
  <c r="C31" i="180"/>
  <c r="D157" i="155"/>
  <c r="D153" i="155"/>
  <c r="D340" i="155"/>
  <c r="K162" i="162"/>
  <c r="L162" i="162"/>
  <c r="D190" i="155"/>
  <c r="D27" i="145" a="1"/>
  <c r="D27" i="145"/>
  <c r="C10" i="180" a="1"/>
  <c r="C10" i="180"/>
  <c r="D134" i="155"/>
  <c r="D16" i="155"/>
  <c r="B21" i="180" a="1"/>
  <c r="B21" i="180"/>
  <c r="D135" i="155"/>
  <c r="D171" i="155"/>
  <c r="D227" i="155"/>
  <c r="C39" i="180" a="1"/>
  <c r="C39" i="180"/>
  <c r="D28" i="155"/>
  <c r="C16" i="180" a="1"/>
  <c r="C16" i="180"/>
  <c r="B17" i="180" a="1"/>
  <c r="B17" i="180"/>
  <c r="D366" i="155"/>
  <c r="F16" i="145" a="1"/>
  <c r="F16" i="145"/>
  <c r="F23" i="145" a="1"/>
  <c r="F23" i="145"/>
  <c r="B24" i="145" a="1"/>
  <c r="B24" i="145"/>
  <c r="F27" i="145" a="1"/>
  <c r="F27" i="145"/>
  <c r="F33" i="145" a="1"/>
  <c r="F33" i="145"/>
  <c r="B25" i="145" a="1"/>
  <c r="B25" i="145"/>
  <c r="D161" i="155"/>
  <c r="C37" i="180" a="1"/>
  <c r="C37" i="180"/>
  <c r="K165" i="162"/>
  <c r="L165" i="162"/>
  <c r="V525" i="146"/>
  <c r="V1135" i="146"/>
  <c r="V812" i="146"/>
  <c r="V409" i="146"/>
  <c r="K21" i="162"/>
  <c r="L21" i="162"/>
  <c r="K163" i="162"/>
  <c r="L163" i="162"/>
  <c r="B23" i="180" a="1"/>
  <c r="B23" i="180"/>
  <c r="C24" i="180" a="1"/>
  <c r="C24" i="180"/>
  <c r="K31" i="162"/>
  <c r="L31" i="162"/>
  <c r="D415" i="155"/>
  <c r="D425" i="155"/>
  <c r="B27" i="180" a="1"/>
  <c r="B27" i="180"/>
  <c r="D410" i="155"/>
  <c r="D121" i="155"/>
  <c r="B25" i="180" a="1"/>
  <c r="B25" i="180"/>
  <c r="D473" i="155"/>
  <c r="E27" i="145" a="1"/>
  <c r="E27" i="145"/>
  <c r="F15" i="145" a="1"/>
  <c r="F15" i="145"/>
  <c r="B17" i="145" a="1"/>
  <c r="B17" i="145"/>
  <c r="C40" i="145" a="1"/>
  <c r="C40" i="145"/>
  <c r="P40" i="145"/>
  <c r="G26" i="145" a="1"/>
  <c r="G26" i="145"/>
  <c r="D22" i="155"/>
  <c r="D397" i="155"/>
  <c r="U264" i="146" a="1"/>
  <c r="U264" i="146"/>
  <c r="Q264" i="146"/>
  <c r="V264" i="146"/>
  <c r="K135" i="162"/>
  <c r="G29" i="180"/>
  <c r="D37" i="180"/>
  <c r="M37" i="180"/>
  <c r="K99" i="162"/>
  <c r="L102" i="162"/>
  <c r="F13" i="180"/>
  <c r="P13" i="180"/>
  <c r="M24" i="180"/>
  <c r="N24" i="180"/>
  <c r="E27" i="180"/>
  <c r="N27" i="180"/>
  <c r="G27" i="180"/>
  <c r="O32" i="180"/>
  <c r="O19" i="180"/>
  <c r="E19" i="180"/>
  <c r="D12" i="180"/>
  <c r="O12" i="180"/>
  <c r="E40" i="180"/>
  <c r="F40" i="180"/>
  <c r="E15" i="180"/>
  <c r="G15" i="180"/>
  <c r="G35" i="180"/>
  <c r="F35" i="180"/>
  <c r="N11" i="180"/>
  <c r="P11" i="180"/>
  <c r="M22" i="180"/>
  <c r="N22" i="180"/>
  <c r="N21" i="180"/>
  <c r="O21" i="180"/>
  <c r="O36" i="180"/>
  <c r="D36" i="180"/>
  <c r="M36" i="180"/>
  <c r="G36" i="180"/>
  <c r="P14" i="180"/>
  <c r="D14" i="180"/>
  <c r="N38" i="180"/>
  <c r="O38" i="180"/>
  <c r="G38" i="180"/>
  <c r="F38" i="180"/>
  <c r="R18" i="162"/>
  <c r="M28" i="180"/>
  <c r="K54" i="162"/>
  <c r="L54" i="162"/>
  <c r="G37" i="145" a="1"/>
  <c r="G37" i="145"/>
  <c r="K86" i="162"/>
  <c r="K26" i="162"/>
  <c r="K118" i="162"/>
  <c r="F37" i="180"/>
  <c r="G37" i="180"/>
  <c r="P37" i="180"/>
  <c r="E17" i="180"/>
  <c r="O17" i="180"/>
  <c r="N17" i="180"/>
  <c r="P17" i="180"/>
  <c r="M17" i="180"/>
  <c r="G17" i="180"/>
  <c r="F17" i="180"/>
  <c r="D17" i="180"/>
  <c r="N41" i="180"/>
  <c r="E41" i="180"/>
  <c r="O41" i="180"/>
  <c r="D41" i="180"/>
  <c r="G41" i="180"/>
  <c r="P41" i="180"/>
  <c r="F41" i="180"/>
  <c r="M41" i="180"/>
  <c r="K126" i="162"/>
  <c r="N10" i="180"/>
  <c r="M10" i="180"/>
  <c r="G10" i="180"/>
  <c r="C42" i="180"/>
  <c r="E10" i="180"/>
  <c r="F10" i="180"/>
  <c r="P10" i="180"/>
  <c r="L135" i="162"/>
  <c r="K131" i="162"/>
  <c r="F16" i="180"/>
  <c r="D16" i="180"/>
  <c r="O16" i="180"/>
  <c r="N16" i="180"/>
  <c r="P16" i="180"/>
  <c r="E16" i="180"/>
  <c r="M16" i="180"/>
  <c r="G16" i="180"/>
  <c r="L159" i="162"/>
  <c r="K158" i="162"/>
  <c r="D10" i="180"/>
  <c r="N37" i="180"/>
  <c r="L92" i="162"/>
  <c r="L91" i="162"/>
  <c r="K91" i="162"/>
  <c r="D27" i="180"/>
  <c r="M27" i="180"/>
  <c r="O27" i="180"/>
  <c r="O10" i="180"/>
  <c r="O37" i="180"/>
  <c r="L29" i="162"/>
  <c r="L27" i="162"/>
  <c r="K27" i="162"/>
  <c r="P27" i="180"/>
  <c r="E37" i="180"/>
  <c r="E29" i="180"/>
  <c r="N29" i="180"/>
  <c r="F29" i="180"/>
  <c r="O29" i="180"/>
  <c r="L153" i="162"/>
  <c r="K152" i="162"/>
  <c r="M21" i="180"/>
  <c r="P21" i="180"/>
  <c r="E21" i="180"/>
  <c r="D21" i="180"/>
  <c r="F21" i="180"/>
  <c r="G21" i="180"/>
  <c r="L96" i="162"/>
  <c r="L95" i="162"/>
  <c r="K95" i="162"/>
  <c r="P23" i="180"/>
  <c r="E23" i="180"/>
  <c r="F23" i="180"/>
  <c r="G23" i="180"/>
  <c r="D39" i="180"/>
  <c r="G39" i="180"/>
  <c r="E39" i="180"/>
  <c r="F39" i="180"/>
  <c r="L19" i="162"/>
  <c r="L17" i="162"/>
  <c r="K17" i="162"/>
  <c r="Q20" i="162"/>
  <c r="D31" i="180"/>
  <c r="F31" i="180"/>
  <c r="P31" i="180"/>
  <c r="M31" i="180"/>
  <c r="E31" i="180"/>
  <c r="O31" i="180"/>
  <c r="G31" i="180"/>
  <c r="N31" i="180"/>
  <c r="M23" i="180"/>
  <c r="P29" i="180"/>
  <c r="F24" i="180"/>
  <c r="O24" i="180"/>
  <c r="E24" i="180"/>
  <c r="P24" i="180"/>
  <c r="D24" i="180"/>
  <c r="G24" i="180"/>
  <c r="E32" i="180"/>
  <c r="N32" i="180"/>
  <c r="D32" i="180"/>
  <c r="M32" i="180"/>
  <c r="F32" i="180"/>
  <c r="M11" i="180"/>
  <c r="F11" i="180"/>
  <c r="E11" i="180"/>
  <c r="G11" i="180"/>
  <c r="D11" i="180"/>
  <c r="O11" i="180"/>
  <c r="G32" i="180"/>
  <c r="N23" i="180"/>
  <c r="M29" i="180"/>
  <c r="F26" i="180"/>
  <c r="P26" i="180"/>
  <c r="N26" i="180"/>
  <c r="E26" i="180"/>
  <c r="M26" i="180"/>
  <c r="D26" i="180"/>
  <c r="O26" i="180"/>
  <c r="G26" i="180"/>
  <c r="P32" i="180"/>
  <c r="O23" i="180"/>
  <c r="D29" i="180"/>
  <c r="K65" i="162"/>
  <c r="L66" i="162"/>
  <c r="L65" i="162"/>
  <c r="L72" i="162"/>
  <c r="L71" i="162"/>
  <c r="K71" i="162"/>
  <c r="D25" i="180"/>
  <c r="P25" i="180"/>
  <c r="G25" i="180"/>
  <c r="N25" i="180"/>
  <c r="F25" i="180"/>
  <c r="O25" i="180"/>
  <c r="E25" i="180"/>
  <c r="M25" i="180"/>
  <c r="F27" i="180"/>
  <c r="D13" i="180"/>
  <c r="G13" i="180"/>
  <c r="E13" i="180"/>
  <c r="O13" i="180"/>
  <c r="M13" i="180"/>
  <c r="N13" i="180"/>
  <c r="L78" i="162"/>
  <c r="L77" i="162"/>
  <c r="K77" i="162"/>
  <c r="F36" i="180"/>
  <c r="N36" i="180"/>
  <c r="P36" i="180"/>
  <c r="E36" i="180"/>
  <c r="L118" i="162"/>
  <c r="K117" i="162"/>
  <c r="L26" i="162"/>
  <c r="L22" i="162"/>
  <c r="K22" i="162"/>
  <c r="L86" i="162"/>
  <c r="L82" i="162"/>
  <c r="K82" i="162"/>
  <c r="Q21" i="162"/>
  <c r="R21" i="162"/>
  <c r="Q23" i="162"/>
  <c r="R20" i="162"/>
  <c r="Q24" i="162"/>
  <c r="R23" i="162"/>
  <c r="R24" i="162"/>
  <c r="Q25" i="162"/>
  <c r="Q26" i="162"/>
  <c r="R26" i="162"/>
  <c r="Q28" i="162"/>
  <c r="R25" i="162"/>
  <c r="Q29" i="162"/>
  <c r="R28" i="162"/>
  <c r="Q30" i="162"/>
  <c r="R29" i="162"/>
  <c r="Q31" i="162"/>
  <c r="R30" i="162"/>
  <c r="Q32" i="162"/>
  <c r="R31" i="162"/>
  <c r="Q33" i="162"/>
  <c r="R33" i="162"/>
  <c r="Q36" i="162"/>
  <c r="R32" i="162"/>
  <c r="R36" i="162"/>
  <c r="Q37" i="162"/>
  <c r="Q38" i="162"/>
  <c r="R38" i="162"/>
  <c r="Q41" i="162"/>
  <c r="R37" i="162"/>
  <c r="R41" i="162"/>
  <c r="Q42" i="162"/>
  <c r="Q43" i="162"/>
  <c r="R42" i="162"/>
  <c r="R43" i="162"/>
  <c r="Q44" i="162"/>
  <c r="Q45" i="162"/>
  <c r="R45" i="162"/>
  <c r="Q48" i="162"/>
  <c r="R44" i="162"/>
  <c r="R48" i="162"/>
  <c r="Q49" i="162"/>
  <c r="Q50" i="162"/>
  <c r="R49" i="162"/>
  <c r="R50" i="162"/>
  <c r="Q51" i="162"/>
  <c r="R51" i="162"/>
  <c r="Q53" i="162"/>
  <c r="Q54" i="162"/>
  <c r="R53" i="162"/>
  <c r="Q55" i="162"/>
  <c r="R55" i="162"/>
  <c r="Q57" i="162"/>
  <c r="R54" i="162"/>
  <c r="R57" i="162"/>
  <c r="Q58" i="162"/>
  <c r="Q59" i="162"/>
  <c r="R59" i="162"/>
  <c r="Q61" i="162"/>
  <c r="R58" i="162"/>
  <c r="R61" i="162"/>
  <c r="Q62" i="162"/>
  <c r="Q63" i="162"/>
  <c r="R63" i="162"/>
  <c r="Q66" i="162"/>
  <c r="R62" i="162"/>
  <c r="Q67" i="162"/>
  <c r="R66" i="162"/>
  <c r="Q68" i="162"/>
  <c r="R67" i="162"/>
  <c r="Q69" i="162"/>
  <c r="R68" i="162"/>
  <c r="Q70" i="162"/>
  <c r="R70" i="162"/>
  <c r="Q72" i="162"/>
  <c r="R69" i="162"/>
  <c r="R72" i="162"/>
  <c r="Q73" i="162"/>
  <c r="Q74" i="162"/>
  <c r="R73" i="162"/>
  <c r="R74" i="162"/>
  <c r="Q75" i="162"/>
  <c r="R75" i="162"/>
  <c r="Q76" i="162"/>
  <c r="R76" i="162"/>
  <c r="Q78" i="162"/>
  <c r="R78" i="162"/>
  <c r="Q79" i="162"/>
  <c r="Q80" i="162"/>
  <c r="R79" i="162"/>
  <c r="R80" i="162"/>
  <c r="Q81" i="162"/>
  <c r="R81" i="162"/>
  <c r="Q83" i="162"/>
  <c r="R83" i="162"/>
  <c r="Q84" i="162"/>
  <c r="R84" i="162"/>
  <c r="Q85" i="162"/>
  <c r="Q86" i="162"/>
  <c r="R85" i="162"/>
  <c r="Q87" i="162"/>
  <c r="R86" i="162"/>
  <c r="R87" i="162"/>
  <c r="Q88" i="162"/>
  <c r="Q89" i="162"/>
  <c r="R89" i="162"/>
  <c r="Q92" i="162"/>
  <c r="R88" i="162"/>
  <c r="Q93" i="162"/>
  <c r="R92" i="162"/>
  <c r="R93" i="162"/>
  <c r="Q94" i="162"/>
  <c r="R94" i="162"/>
  <c r="Q96" i="162"/>
  <c r="R96" i="162"/>
  <c r="Q97" i="162"/>
  <c r="R97" i="162"/>
</calcChain>
</file>

<file path=xl/sharedStrings.xml><?xml version="1.0" encoding="utf-8"?>
<sst xmlns="http://schemas.openxmlformats.org/spreadsheetml/2006/main" count="22067" uniqueCount="3378">
  <si>
    <t>CỘNG HÒA XÃ HỘI CHỦ NGHĨA VIỆT NAM</t>
  </si>
  <si>
    <t>TRUNG TÂM GDNN - GDTX</t>
  </si>
  <si>
    <t>Độc lập - Tự do - Hạnh phúc</t>
  </si>
  <si>
    <t>Lớp</t>
  </si>
  <si>
    <t>UBND THÀNH PHỐ THỦ ĐỨC</t>
  </si>
  <si>
    <t>Anh</t>
  </si>
  <si>
    <t>Dũng</t>
  </si>
  <si>
    <t>Đạt</t>
  </si>
  <si>
    <t>Hiền</t>
  </si>
  <si>
    <t>Hiếu</t>
  </si>
  <si>
    <t>Hoàng</t>
  </si>
  <si>
    <t>Huy</t>
  </si>
  <si>
    <t>Khải</t>
  </si>
  <si>
    <t>Khôi</t>
  </si>
  <si>
    <t>Long</t>
  </si>
  <si>
    <t>Mai</t>
  </si>
  <si>
    <t>Minh</t>
  </si>
  <si>
    <t>Nam</t>
  </si>
  <si>
    <t>Ngân</t>
  </si>
  <si>
    <t>Ngọc</t>
  </si>
  <si>
    <t>Nhi</t>
  </si>
  <si>
    <t>Như</t>
  </si>
  <si>
    <t>Quỳnh</t>
  </si>
  <si>
    <t>Sơn</t>
  </si>
  <si>
    <t>Tâm</t>
  </si>
  <si>
    <t>Thái</t>
  </si>
  <si>
    <t>Thanh</t>
  </si>
  <si>
    <t>Thành</t>
  </si>
  <si>
    <t>Thư</t>
  </si>
  <si>
    <t>Trâm</t>
  </si>
  <si>
    <t>Trang</t>
  </si>
  <si>
    <t>Trúc</t>
  </si>
  <si>
    <t>Trung</t>
  </si>
  <si>
    <t>Việt</t>
  </si>
  <si>
    <t>Vy</t>
  </si>
  <si>
    <t>Cường</t>
  </si>
  <si>
    <t>Đức</t>
  </si>
  <si>
    <t>Nguyễn Trường</t>
  </si>
  <si>
    <t>Linh</t>
  </si>
  <si>
    <t>Lợi</t>
  </si>
  <si>
    <t>My</t>
  </si>
  <si>
    <t>Nguyễn Thị Hồng</t>
  </si>
  <si>
    <t>Phát</t>
  </si>
  <si>
    <t>Phương</t>
  </si>
  <si>
    <t>Quang</t>
  </si>
  <si>
    <t>Nguyễn Quang</t>
  </si>
  <si>
    <t>Quý</t>
  </si>
  <si>
    <t>Sang</t>
  </si>
  <si>
    <t>Thắng</t>
  </si>
  <si>
    <t>Thảo</t>
  </si>
  <si>
    <t>Thiện</t>
  </si>
  <si>
    <t>Tú</t>
  </si>
  <si>
    <t>Tuấn</t>
  </si>
  <si>
    <t>Dương</t>
  </si>
  <si>
    <t>Hương</t>
  </si>
  <si>
    <t>Khoa</t>
  </si>
  <si>
    <t>Nguyễn Thị Thu</t>
  </si>
  <si>
    <t>Quân</t>
  </si>
  <si>
    <t>Thịnh</t>
  </si>
  <si>
    <t>Thuận</t>
  </si>
  <si>
    <t>Vân</t>
  </si>
  <si>
    <t>Vinh</t>
  </si>
  <si>
    <t>Yến</t>
  </si>
  <si>
    <t>An</t>
  </si>
  <si>
    <t>Nguyễn Xuân</t>
  </si>
  <si>
    <t>Duy</t>
  </si>
  <si>
    <t>Duyên</t>
  </si>
  <si>
    <t>Huyền</t>
  </si>
  <si>
    <t>Kiệt</t>
  </si>
  <si>
    <t>Ly</t>
  </si>
  <si>
    <t>Phong</t>
  </si>
  <si>
    <t>Phúc</t>
  </si>
  <si>
    <t>Tín</t>
  </si>
  <si>
    <t>Tuyền</t>
  </si>
  <si>
    <t>Vi</t>
  </si>
  <si>
    <t>Ý</t>
  </si>
  <si>
    <t>Ánh</t>
  </si>
  <si>
    <t>Bình</t>
  </si>
  <si>
    <t>Hào</t>
  </si>
  <si>
    <t>Khang</t>
  </si>
  <si>
    <t>Tiên</t>
  </si>
  <si>
    <t>Trân</t>
  </si>
  <si>
    <t>Trọng</t>
  </si>
  <si>
    <t>Bảo</t>
  </si>
  <si>
    <t>Hân</t>
  </si>
  <si>
    <t>Hiển</t>
  </si>
  <si>
    <t>Kim</t>
  </si>
  <si>
    <t>Nguyên</t>
  </si>
  <si>
    <t>Nhung</t>
  </si>
  <si>
    <t>Danh</t>
  </si>
  <si>
    <t>Hòa</t>
  </si>
  <si>
    <t>Hưng</t>
  </si>
  <si>
    <t>Lâm</t>
  </si>
  <si>
    <t>Tài</t>
  </si>
  <si>
    <t>Khánh</t>
  </si>
  <si>
    <t>Tuyết</t>
  </si>
  <si>
    <t>Nghĩa</t>
  </si>
  <si>
    <t>Tân</t>
  </si>
  <si>
    <t>Trinh</t>
  </si>
  <si>
    <t>Vũ</t>
  </si>
  <si>
    <t>Hùng</t>
  </si>
  <si>
    <t>Nghi</t>
  </si>
  <si>
    <t>Nhân</t>
  </si>
  <si>
    <t>Phú</t>
  </si>
  <si>
    <t>Hậu</t>
  </si>
  <si>
    <t>Thi</t>
  </si>
  <si>
    <t>Toàn</t>
  </si>
  <si>
    <t>Châu</t>
  </si>
  <si>
    <t>Ân</t>
  </si>
  <si>
    <t>Đại</t>
  </si>
  <si>
    <t>Tùng</t>
  </si>
  <si>
    <t>Thương</t>
  </si>
  <si>
    <t>Xuân</t>
  </si>
  <si>
    <t>Lan</t>
  </si>
  <si>
    <t>10AT1</t>
  </si>
  <si>
    <t>10AT2</t>
  </si>
  <si>
    <t>Công</t>
  </si>
  <si>
    <t>Tường</t>
  </si>
  <si>
    <t>Nguyễn Quốc</t>
  </si>
  <si>
    <t>Đăng</t>
  </si>
  <si>
    <t>Nguyễn Quỳnh</t>
  </si>
  <si>
    <t>Thu</t>
  </si>
  <si>
    <t>Đặng Minh</t>
  </si>
  <si>
    <t>Số tờ</t>
  </si>
  <si>
    <t>Ký tên</t>
  </si>
  <si>
    <t xml:space="preserve">Giám thị: </t>
  </si>
  <si>
    <t>Ký tên:……………………………..</t>
  </si>
  <si>
    <t>10AS2</t>
  </si>
  <si>
    <t>10AS4</t>
  </si>
  <si>
    <t>Nguyễn Hoàng Anh</t>
  </si>
  <si>
    <t>10AS6</t>
  </si>
  <si>
    <t>10AS7</t>
  </si>
  <si>
    <t>Nguyễn Thị Thảo</t>
  </si>
  <si>
    <t>Phạm Thị Thu</t>
  </si>
  <si>
    <t>10VH1</t>
  </si>
  <si>
    <t>10VH2</t>
  </si>
  <si>
    <t>Nguyễn Hoàng Minh</t>
  </si>
  <si>
    <t>10VH4</t>
  </si>
  <si>
    <t>Nguyễn Ngọc Hồng</t>
  </si>
  <si>
    <t>Lương Ngọc</t>
  </si>
  <si>
    <t>Dung</t>
  </si>
  <si>
    <t>Nguyễn Thị Mỹ</t>
  </si>
  <si>
    <t>Nguyễn Tấn</t>
  </si>
  <si>
    <t>Hà</t>
  </si>
  <si>
    <t>Trương Ngọc</t>
  </si>
  <si>
    <t>Hiệp</t>
  </si>
  <si>
    <t>Nguyễn Bá</t>
  </si>
  <si>
    <t>Ngô Huy</t>
  </si>
  <si>
    <t>Nguyễn Anh</t>
  </si>
  <si>
    <t>Hoàng Anh</t>
  </si>
  <si>
    <t>Trần Tuấn</t>
  </si>
  <si>
    <t>Nguyễn Hoàng</t>
  </si>
  <si>
    <t>Lộc</t>
  </si>
  <si>
    <t>Luân</t>
  </si>
  <si>
    <t>Nguyễn Bảo</t>
  </si>
  <si>
    <t>Nhựt</t>
  </si>
  <si>
    <t>Trần Minh</t>
  </si>
  <si>
    <t>Lê Hoàng</t>
  </si>
  <si>
    <t>Nguyễn Hoàng Gia</t>
  </si>
  <si>
    <t>Lầu Thị Kỳ</t>
  </si>
  <si>
    <t>Nguyễn Thành</t>
  </si>
  <si>
    <t>Thiên</t>
  </si>
  <si>
    <t>Thùy</t>
  </si>
  <si>
    <t>Nguyễn Lê Minh</t>
  </si>
  <si>
    <t>Trường</t>
  </si>
  <si>
    <t>Nguyễn Đức</t>
  </si>
  <si>
    <t>Nguyễn Gia</t>
  </si>
  <si>
    <t>Trần Thanh</t>
  </si>
  <si>
    <t>Trần Quang</t>
  </si>
  <si>
    <t>Bích</t>
  </si>
  <si>
    <t>Nguyễn Ngọc Minh</t>
  </si>
  <si>
    <t>Hải</t>
  </si>
  <si>
    <t>Vũ Đức</t>
  </si>
  <si>
    <t>Hằng</t>
  </si>
  <si>
    <t>Lê Văn</t>
  </si>
  <si>
    <t>Nguyễn Khánh</t>
  </si>
  <si>
    <t>Trần Đức</t>
  </si>
  <si>
    <t>Hoàng Thị Ngọc</t>
  </si>
  <si>
    <t>Phạm Đăng</t>
  </si>
  <si>
    <t>Khương</t>
  </si>
  <si>
    <t>Nguyễn Thị Bảo</t>
  </si>
  <si>
    <t>Oanh</t>
  </si>
  <si>
    <t>Lê Thanh</t>
  </si>
  <si>
    <t>Nguyễn Thanh</t>
  </si>
  <si>
    <t>Nguyễn Duy</t>
  </si>
  <si>
    <t>Phạm Thị Thanh</t>
  </si>
  <si>
    <t>Nguyễn Minh</t>
  </si>
  <si>
    <t>Nguyễn Thái</t>
  </si>
  <si>
    <t>Uyên</t>
  </si>
  <si>
    <t>Vũ Thị Phương</t>
  </si>
  <si>
    <t>Đậu Long</t>
  </si>
  <si>
    <t>Võ Kim</t>
  </si>
  <si>
    <t>Trần Quốc</t>
  </si>
  <si>
    <t>Diệu</t>
  </si>
  <si>
    <t>Hồ Ngọc</t>
  </si>
  <si>
    <t>Vũ Minh</t>
  </si>
  <si>
    <t>Trần Gia</t>
  </si>
  <si>
    <t>Lê Thái</t>
  </si>
  <si>
    <t>Nhàn</t>
  </si>
  <si>
    <t>Phạm Hữu</t>
  </si>
  <si>
    <t>Lê Trung</t>
  </si>
  <si>
    <t>Nguyễn Hữu</t>
  </si>
  <si>
    <t>Nguyễn Chí</t>
  </si>
  <si>
    <t>Nguyễn Ngọc Phương</t>
  </si>
  <si>
    <t>Vũ Thị Thanh</t>
  </si>
  <si>
    <t>Đinh Tiến</t>
  </si>
  <si>
    <t>Trí</t>
  </si>
  <si>
    <t>Phạm Văn</t>
  </si>
  <si>
    <t>Nguyễn Đăng</t>
  </si>
  <si>
    <t>Lê Nguyễn Bảo</t>
  </si>
  <si>
    <t>Võ Minh</t>
  </si>
  <si>
    <t>Thắm</t>
  </si>
  <si>
    <t>Thuỷ</t>
  </si>
  <si>
    <t>Thy</t>
  </si>
  <si>
    <t>Trần Ngọc Bảo</t>
  </si>
  <si>
    <t>Tiến</t>
  </si>
  <si>
    <t>Nguyễn Nhật</t>
  </si>
  <si>
    <t>Hoàng Phước</t>
  </si>
  <si>
    <t>Triết</t>
  </si>
  <si>
    <t>Trần Thảo</t>
  </si>
  <si>
    <t>Võ Thanh</t>
  </si>
  <si>
    <t>Nguyễn Tiến</t>
  </si>
  <si>
    <t>Nguyễn Ngọc</t>
  </si>
  <si>
    <t>Nguyễn Thị Yến</t>
  </si>
  <si>
    <t>Ngô Tấn</t>
  </si>
  <si>
    <t>Trần Ngọc</t>
  </si>
  <si>
    <t>Nguyễn Thị Thanh</t>
  </si>
  <si>
    <t>Nguyễn Thị</t>
  </si>
  <si>
    <t>Nguyễn Trần Bảo</t>
  </si>
  <si>
    <t>Nguyễn Trần Thanh</t>
  </si>
  <si>
    <t>Nguyễn Hoàng Thanh</t>
  </si>
  <si>
    <t>Nguyễn Thị Phương</t>
  </si>
  <si>
    <t>Nguyễn Thị Tuyết</t>
  </si>
  <si>
    <t>Mạnh</t>
  </si>
  <si>
    <t>Nguyễn Trọng</t>
  </si>
  <si>
    <t>Quốc</t>
  </si>
  <si>
    <t>Huỳnh Tấn</t>
  </si>
  <si>
    <t>Lê Bảo</t>
  </si>
  <si>
    <t>Thủy</t>
  </si>
  <si>
    <t>Nguyễn Ngọc Anh</t>
  </si>
  <si>
    <t>Nguyễn Ngọc Thùy</t>
  </si>
  <si>
    <t>Tuyên</t>
  </si>
  <si>
    <t>Nguyễn Ngọc Bảo</t>
  </si>
  <si>
    <t>Đỗ Phương</t>
  </si>
  <si>
    <t>Phạm Tuấn</t>
  </si>
  <si>
    <t>Nguyễn Thị Kim</t>
  </si>
  <si>
    <t>Nguyễn Thị Ngọc</t>
  </si>
  <si>
    <t>Lê Thùy</t>
  </si>
  <si>
    <t>Trần Thị Kim</t>
  </si>
  <si>
    <t>Nguyễn Thiên</t>
  </si>
  <si>
    <t>Bi</t>
  </si>
  <si>
    <t>Lê Thành</t>
  </si>
  <si>
    <t>Nguyễn Huỳnh Kim</t>
  </si>
  <si>
    <t>Nhã</t>
  </si>
  <si>
    <t>Nhật</t>
  </si>
  <si>
    <t>Nguyễn Thị Quỳnh</t>
  </si>
  <si>
    <t>Sáng</t>
  </si>
  <si>
    <t>Lê Minh</t>
  </si>
  <si>
    <t>Nguyễn Ngọc Thanh</t>
  </si>
  <si>
    <t>Nguyễn Thiện</t>
  </si>
  <si>
    <t>Đặng Quốc</t>
  </si>
  <si>
    <t>Chi</t>
  </si>
  <si>
    <t>Trần Quỳnh</t>
  </si>
  <si>
    <t>Lê Thị Thanh</t>
  </si>
  <si>
    <t>Hà Nhật</t>
  </si>
  <si>
    <t>Hồ Thị Mỹ</t>
  </si>
  <si>
    <t>Hoàn</t>
  </si>
  <si>
    <t>Phạm Quang</t>
  </si>
  <si>
    <t>Nguyễn Văn</t>
  </si>
  <si>
    <t>Loan</t>
  </si>
  <si>
    <t>Bùi Ngọc Yến</t>
  </si>
  <si>
    <t>Phi</t>
  </si>
  <si>
    <t>Nguyễn Như</t>
  </si>
  <si>
    <t>Triều</t>
  </si>
  <si>
    <t>Tuệ</t>
  </si>
  <si>
    <t>Lê Thị</t>
  </si>
  <si>
    <t>Nguyễn Trung</t>
  </si>
  <si>
    <t>Ngô Gia</t>
  </si>
  <si>
    <t>Lam</t>
  </si>
  <si>
    <t>Lê</t>
  </si>
  <si>
    <t>Nguyễn Ngọc Kim</t>
  </si>
  <si>
    <t>Trần Khánh</t>
  </si>
  <si>
    <t>Phạm Trọng</t>
  </si>
  <si>
    <t>Vũ Thị Quỳnh</t>
  </si>
  <si>
    <t>Phước</t>
  </si>
  <si>
    <t>Huỳnh Quốc</t>
  </si>
  <si>
    <t>Lê Cẩm</t>
  </si>
  <si>
    <t>Đinh Văn</t>
  </si>
  <si>
    <t>Trần Thị Tuyết</t>
  </si>
  <si>
    <t>Hoàng Đức</t>
  </si>
  <si>
    <t>Nga</t>
  </si>
  <si>
    <t>Trần Ngọc Thiên</t>
  </si>
  <si>
    <t>Phạm Thanh</t>
  </si>
  <si>
    <t>Lê Quốc</t>
  </si>
  <si>
    <t>Phan Thị</t>
  </si>
  <si>
    <t>Phạm Nguyễn Duy</t>
  </si>
  <si>
    <t>Lâm Gia</t>
  </si>
  <si>
    <t>Nguyễn Huỳnh</t>
  </si>
  <si>
    <t>Nguyễn Thị Khánh</t>
  </si>
  <si>
    <t>Nguyễn Đình</t>
  </si>
  <si>
    <t>Trần Thị Bảo</t>
  </si>
  <si>
    <t>Nguyễn Hoài</t>
  </si>
  <si>
    <t>Nguyễn Phong</t>
  </si>
  <si>
    <t>Phạm Ngọc</t>
  </si>
  <si>
    <t>Nguyễn Thế</t>
  </si>
  <si>
    <t>Quyên</t>
  </si>
  <si>
    <t>Phạm Thị</t>
  </si>
  <si>
    <t>Vũ Thị</t>
  </si>
  <si>
    <t>Vũ Thanh</t>
  </si>
  <si>
    <t>Dương Thị</t>
  </si>
  <si>
    <t>Nguyễn Long</t>
  </si>
  <si>
    <t>Kỳ</t>
  </si>
  <si>
    <t>Nguyễn Thị Cẩm</t>
  </si>
  <si>
    <t>Chính</t>
  </si>
  <si>
    <t>Phạm Minh</t>
  </si>
  <si>
    <t>Nguyễn Tuấn</t>
  </si>
  <si>
    <t>Ngô Thị Ngọc</t>
  </si>
  <si>
    <t>Cao Thanh</t>
  </si>
  <si>
    <t>Phan Thanh</t>
  </si>
  <si>
    <t>Phan Anh</t>
  </si>
  <si>
    <t>Đặng Thị Cẩm</t>
  </si>
  <si>
    <t>Nguyễn Ngọc Thảo</t>
  </si>
  <si>
    <t>Lê Hồng</t>
  </si>
  <si>
    <t>Đào</t>
  </si>
  <si>
    <t>Phan Quốc</t>
  </si>
  <si>
    <t>Lê Nguyễn Gia</t>
  </si>
  <si>
    <t>Ngô Văn</t>
  </si>
  <si>
    <t>Nguyễn Phương</t>
  </si>
  <si>
    <t>Nguyễn Thị Như</t>
  </si>
  <si>
    <t>Lê Tấn</t>
  </si>
  <si>
    <t>Nguyễn</t>
  </si>
  <si>
    <t>Lê Đức</t>
  </si>
  <si>
    <t>Ngô Thanh</t>
  </si>
  <si>
    <t>Phạm Đức</t>
  </si>
  <si>
    <t>Hoàng Trung</t>
  </si>
  <si>
    <t>Phạm Đình</t>
  </si>
  <si>
    <t>Phạm Phương</t>
  </si>
  <si>
    <t>Trần Anh</t>
  </si>
  <si>
    <t>Lê Thị Kim</t>
  </si>
  <si>
    <t>Mỹ</t>
  </si>
  <si>
    <t>Hồ Thị Thanh</t>
  </si>
  <si>
    <t>Hà Huy</t>
  </si>
  <si>
    <t>Cảnh</t>
  </si>
  <si>
    <t>Trần Nguyễn Hoàng</t>
  </si>
  <si>
    <t>Lê Duy</t>
  </si>
  <si>
    <t>Trần Nguyễn Minh</t>
  </si>
  <si>
    <t>Trịnh Ngọc</t>
  </si>
  <si>
    <t>Lý Bảo</t>
  </si>
  <si>
    <t>Đỗ Hoàng</t>
  </si>
  <si>
    <t>Phan Hoàng</t>
  </si>
  <si>
    <t>Trần Công</t>
  </si>
  <si>
    <t>Liên</t>
  </si>
  <si>
    <t>Nguyễn Kiều</t>
  </si>
  <si>
    <t>Hóa</t>
  </si>
  <si>
    <t>Trần Hoàng</t>
  </si>
  <si>
    <t>Đặng Văn</t>
  </si>
  <si>
    <t>Nguyễn Thị Kiều</t>
  </si>
  <si>
    <t>Võ Văn</t>
  </si>
  <si>
    <t>Nguyễn Thị Hà</t>
  </si>
  <si>
    <t>Nguyễn Trí</t>
  </si>
  <si>
    <t>TOÁN</t>
  </si>
  <si>
    <t>VĂN</t>
  </si>
  <si>
    <t>TH1</t>
  </si>
  <si>
    <t>TH2</t>
  </si>
  <si>
    <t>TH3</t>
  </si>
  <si>
    <t>TH5</t>
  </si>
  <si>
    <t>TH4</t>
  </si>
  <si>
    <t>LÝ</t>
  </si>
  <si>
    <t>SỬ</t>
  </si>
  <si>
    <t>HÓA</t>
  </si>
  <si>
    <t>KT-PL</t>
  </si>
  <si>
    <t>1A</t>
  </si>
  <si>
    <t>2A</t>
  </si>
  <si>
    <t>3A</t>
  </si>
  <si>
    <t>4A</t>
  </si>
  <si>
    <t>5A</t>
  </si>
  <si>
    <t>6A</t>
  </si>
  <si>
    <t>9A</t>
  </si>
  <si>
    <t>10A</t>
  </si>
  <si>
    <t>11A</t>
  </si>
  <si>
    <t>12A</t>
  </si>
  <si>
    <t>13A</t>
  </si>
  <si>
    <t>14A</t>
  </si>
  <si>
    <t>2B</t>
  </si>
  <si>
    <t>3B</t>
  </si>
  <si>
    <t>4B</t>
  </si>
  <si>
    <t>5B</t>
  </si>
  <si>
    <t>6B</t>
  </si>
  <si>
    <t>7B</t>
  </si>
  <si>
    <t>8B</t>
  </si>
  <si>
    <t>Stt</t>
  </si>
  <si>
    <t>SBD</t>
  </si>
  <si>
    <t>MÔN THI</t>
  </si>
  <si>
    <t>Họ</t>
  </si>
  <si>
    <t>Tên</t>
  </si>
  <si>
    <t>KT. GIÁM ĐỐC</t>
  </si>
  <si>
    <t>PHÓ GIÁM ĐỐC</t>
  </si>
  <si>
    <t>Nguyễn Thị Ngọc Xuân</t>
  </si>
  <si>
    <t>Chưa đóng HP</t>
  </si>
  <si>
    <t>Ghi 
chú</t>
  </si>
  <si>
    <t>Trí tuệ</t>
  </si>
  <si>
    <t>Nhẹ</t>
  </si>
  <si>
    <t>Nhìn</t>
  </si>
  <si>
    <t>Khác</t>
  </si>
  <si>
    <t>Tâm thần</t>
  </si>
  <si>
    <t>Khuyết tật</t>
  </si>
  <si>
    <t>Mức độ</t>
  </si>
  <si>
    <t>Nghỉ học
(NgiH)</t>
  </si>
  <si>
    <t>HN</t>
  </si>
  <si>
    <t>HP</t>
  </si>
  <si>
    <t>Mã đề</t>
  </si>
  <si>
    <t>STT</t>
  </si>
  <si>
    <t>SINH</t>
  </si>
  <si>
    <t>KHỐI 12AS</t>
  </si>
  <si>
    <t>KHỐI 12AT</t>
  </si>
  <si>
    <t>KHỐI 11VH</t>
  </si>
  <si>
    <t>Đ.chiếu DS trộn</t>
  </si>
  <si>
    <t>Tổng cộng số bài  thi:</t>
  </si>
  <si>
    <t>12AS3</t>
  </si>
  <si>
    <t>12AS4</t>
  </si>
  <si>
    <t>Bùi Hoàng</t>
  </si>
  <si>
    <t>12AS1</t>
  </si>
  <si>
    <t>12AS2</t>
  </si>
  <si>
    <t>Nguyễn Thị Vân</t>
  </si>
  <si>
    <t>Lê Xuân</t>
  </si>
  <si>
    <t>Trương Minh</t>
  </si>
  <si>
    <t>Nguyễn Dương Hoàng</t>
  </si>
  <si>
    <t>Bùi Thị Anh</t>
  </si>
  <si>
    <t>Nguyễn Yến</t>
  </si>
  <si>
    <t>Hoàng Gia</t>
  </si>
  <si>
    <t>Hoàng Như</t>
  </si>
  <si>
    <t>Thông</t>
  </si>
  <si>
    <t>Trần Thị Tường</t>
  </si>
  <si>
    <t>12AS5</t>
  </si>
  <si>
    <t>12AS6</t>
  </si>
  <si>
    <t>12AS7</t>
  </si>
  <si>
    <t>12AS8</t>
  </si>
  <si>
    <t>Cơ</t>
  </si>
  <si>
    <t>Bùi Anh</t>
  </si>
  <si>
    <t>Giang</t>
  </si>
  <si>
    <t>Lê Nguyễn Thành</t>
  </si>
  <si>
    <t>Trần Thị Thu</t>
  </si>
  <si>
    <t>Huỳnh Duy</t>
  </si>
  <si>
    <t>Phạm Nguyễn Gia</t>
  </si>
  <si>
    <t>Trần Thị Ngọc</t>
  </si>
  <si>
    <t>Lê Thị Quỳnh</t>
  </si>
  <si>
    <t>Nguyễn Ngọc Quỳnh</t>
  </si>
  <si>
    <t>Nguyễn Hoàng Duy</t>
  </si>
  <si>
    <t>Nguyễn Văn Hoàng</t>
  </si>
  <si>
    <t>Trần Hữu</t>
  </si>
  <si>
    <t>Thoại</t>
  </si>
  <si>
    <t>Trần Thị</t>
  </si>
  <si>
    <t>Đỗ Hồng</t>
  </si>
  <si>
    <t>Phan Minh</t>
  </si>
  <si>
    <t>Trần Thiện</t>
  </si>
  <si>
    <t>Lê Đình</t>
  </si>
  <si>
    <t>Lê Hoàng Ngọc</t>
  </si>
  <si>
    <t>Lê Nguyễn Như</t>
  </si>
  <si>
    <t>Trần Ngọc Hải</t>
  </si>
  <si>
    <t>12AS9</t>
  </si>
  <si>
    <t>12AS12</t>
  </si>
  <si>
    <t>12AS11</t>
  </si>
  <si>
    <t>Nguyễn Thị Minh</t>
  </si>
  <si>
    <t>12AS10</t>
  </si>
  <si>
    <t>Trịnh Gia</t>
  </si>
  <si>
    <t>Vũ Thiên</t>
  </si>
  <si>
    <t>Chinh</t>
  </si>
  <si>
    <t>Trần Thu</t>
  </si>
  <si>
    <t>Huynh</t>
  </si>
  <si>
    <t>Bùi Gia</t>
  </si>
  <si>
    <t>Hồ Thị Kim</t>
  </si>
  <si>
    <t>Nguyễn Ngọc Khánh</t>
  </si>
  <si>
    <t>Bùi Đức</t>
  </si>
  <si>
    <t>Trần Ngọc Phương</t>
  </si>
  <si>
    <t>Trần Huyền</t>
  </si>
  <si>
    <t>12AT2</t>
  </si>
  <si>
    <t>12AT1</t>
  </si>
  <si>
    <t>Võ Chí</t>
  </si>
  <si>
    <t>Hồng</t>
  </si>
  <si>
    <t>Lệ</t>
  </si>
  <si>
    <t>Phạm Khánh</t>
  </si>
  <si>
    <t>Hoàng Thị Hà</t>
  </si>
  <si>
    <t>Trần Nguyễn Phương</t>
  </si>
  <si>
    <t>Nguyễn Triệu</t>
  </si>
  <si>
    <t>Nguyễn Trần Hoàng</t>
  </si>
  <si>
    <t>12AT3</t>
  </si>
  <si>
    <t>Võ Thị Thu</t>
  </si>
  <si>
    <t>Lê Thị Phương</t>
  </si>
  <si>
    <t>Nguyễn Mai</t>
  </si>
  <si>
    <t>Trần Thị Như</t>
  </si>
  <si>
    <t>Bùi Văn</t>
  </si>
  <si>
    <t>9B</t>
  </si>
  <si>
    <t>KHỐI 12VH</t>
  </si>
  <si>
    <t>Tên HV_KT gửi DS</t>
  </si>
  <si>
    <t>Thứ Hai (23/12)</t>
  </si>
  <si>
    <t>Thứ Tư (25/12)</t>
  </si>
  <si>
    <t>PHÒNG THI:</t>
  </si>
  <si>
    <t>Phòng thi</t>
  </si>
  <si>
    <t>Phòng</t>
  </si>
  <si>
    <t>học viên dự thi</t>
  </si>
  <si>
    <t>TP Thủ Đức, ngày 12 tháng 12 năm 2024</t>
  </si>
  <si>
    <t>TH</t>
  </si>
  <si>
    <t>Tối</t>
  </si>
  <si>
    <t>12AS</t>
  </si>
  <si>
    <t>12AT</t>
  </si>
  <si>
    <t>12VH</t>
  </si>
  <si>
    <t>11VH</t>
  </si>
  <si>
    <t>P.thi.Buổi</t>
  </si>
  <si>
    <t>P.1A</t>
  </si>
  <si>
    <t>P.2A</t>
  </si>
  <si>
    <t>P.3A</t>
  </si>
  <si>
    <t>P.4A</t>
  </si>
  <si>
    <t>P.5A</t>
  </si>
  <si>
    <t>P.6A</t>
  </si>
  <si>
    <t>P.9A</t>
  </si>
  <si>
    <t>P.10A</t>
  </si>
  <si>
    <t>P.11A</t>
  </si>
  <si>
    <t>P.12A</t>
  </si>
  <si>
    <t>P.13A</t>
  </si>
  <si>
    <t>P.14A</t>
  </si>
  <si>
    <t>P.2B</t>
  </si>
  <si>
    <t>P.3B</t>
  </si>
  <si>
    <t>P.4B</t>
  </si>
  <si>
    <t>P.5B</t>
  </si>
  <si>
    <t>P.6B</t>
  </si>
  <si>
    <t>P.7B</t>
  </si>
  <si>
    <t>P.8B</t>
  </si>
  <si>
    <t>P.9B</t>
  </si>
  <si>
    <t>Phòng
thi</t>
  </si>
  <si>
    <t>Nghỉ học</t>
  </si>
  <si>
    <t>Lê Tuấn Anh_12AS1</t>
  </si>
  <si>
    <t>Nguyễn Thị Vân Anh_12AS1</t>
  </si>
  <si>
    <t>Phạm Vàng Anh_12AS1</t>
  </si>
  <si>
    <t>Nguyễn Khắc Thái Bảo_12AS1</t>
  </si>
  <si>
    <t>Nguyễn Thị Mỹ Duyên_12AS1</t>
  </si>
  <si>
    <t>Đặng Hoàng Trung Hiếu_12AS1</t>
  </si>
  <si>
    <t>Thái Xuân Hiếu_12AS1</t>
  </si>
  <si>
    <t>Nguyễn Ngọc Trường Huy_12AS1</t>
  </si>
  <si>
    <t>Thái Bá Huy_12AS1</t>
  </si>
  <si>
    <t>Phạm Tuấn Khải_12AS1</t>
  </si>
  <si>
    <t>Nguyễn Dương Hoàng Khang_12AS1</t>
  </si>
  <si>
    <t>Phan Nguyễn Phúc Khang_12AS1</t>
  </si>
  <si>
    <t>Lê Đăng Khoa_12AS1</t>
  </si>
  <si>
    <t>Nguyễn Hà Bích Ngọc_12AS1</t>
  </si>
  <si>
    <t>Nguyễn Thắng Nhanh_12AS1</t>
  </si>
  <si>
    <t>Hoàng Long Nhật_12AS1</t>
  </si>
  <si>
    <t>Nguyễn Ngọc Quỳnh Như_12AS1</t>
  </si>
  <si>
    <t>Kiều Minh Nhựt_12AS1</t>
  </si>
  <si>
    <t>Võ Minh Duy Phúc_12AS1</t>
  </si>
  <si>
    <t>Đặng Minh Quân_12AS1</t>
  </si>
  <si>
    <t>Lâm Chí Tài_12AS1</t>
  </si>
  <si>
    <t>Phan Ngọc Thuỷ Tiên_12AS1</t>
  </si>
  <si>
    <t>Nguyễn Thị Thanh Tuyền_12AS1</t>
  </si>
  <si>
    <t>Oghaekor Jacob Ohiorenua Thành_12AS1</t>
  </si>
  <si>
    <t>Nguyễn Ngọc Thảo_12AS1</t>
  </si>
  <si>
    <t>Nguyễn Cường Thịnh_12AS1</t>
  </si>
  <si>
    <t>Đoàn Nguyễn Minh Thông_12AS1</t>
  </si>
  <si>
    <t>Lê Thị Thùy Trang_12AS1</t>
  </si>
  <si>
    <t>Nguyễn Đoàn Thùy Trang_12AS1</t>
  </si>
  <si>
    <t>Nguyễn Hữu Trọng_12AS1</t>
  </si>
  <si>
    <t>Lê Quang Trung_12AS1</t>
  </si>
  <si>
    <t>Trần Thị Tường Vy_12AS1</t>
  </si>
  <si>
    <t>Trương Ngọc Anh_12AS10</t>
  </si>
  <si>
    <t>Phạm Đăng Bách_12AS10</t>
  </si>
  <si>
    <t>Trần Lê Quốc Bảo_12AS10</t>
  </si>
  <si>
    <t>Vũ Đỗ Ngọc Bình_12AS10</t>
  </si>
  <si>
    <t>Nông Thị Kiều Dân_12AS10</t>
  </si>
  <si>
    <t>Nguyễn Thanh Dịu_12AS10</t>
  </si>
  <si>
    <t>Nguyễn Phạm Quốc Duy_12AS10</t>
  </si>
  <si>
    <t>Nguyễn Duy Hoàn_12AS10</t>
  </si>
  <si>
    <t>Phạm Việt Hùng_12AS10</t>
  </si>
  <si>
    <t>Đặng Đình Tuấn Kiệt_12AS10</t>
  </si>
  <si>
    <t>Trần Minh Khang_12AS10</t>
  </si>
  <si>
    <t>Lý Ngọc Thùy Linh_12AS10</t>
  </si>
  <si>
    <t>Lâm Gia Luật_12AS10</t>
  </si>
  <si>
    <t>Lê Thị Kiều My_12AS10</t>
  </si>
  <si>
    <t>Nguyễn Thị Hà My_12AS10</t>
  </si>
  <si>
    <t>Nguyễn Ngọc Khánh Ngân_12AS10</t>
  </si>
  <si>
    <t>Trần Dương Bảo Ngọc_12AS10</t>
  </si>
  <si>
    <t>Phạm Minh Nhật_12AS10</t>
  </si>
  <si>
    <t>Nguyễn Thị Quỳnh Như_12AS10</t>
  </si>
  <si>
    <t>Nguyễn Thị Cẩm Tú_12AS10</t>
  </si>
  <si>
    <t>Nguyễn Thanh Tuyền_12AS10</t>
  </si>
  <si>
    <t>Đỗ Văn Tưởng_12AS10</t>
  </si>
  <si>
    <t>Nguyễn Thị Thiên Thảo_12AS10</t>
  </si>
  <si>
    <t>Phạm Thanh Thảo_12AS10</t>
  </si>
  <si>
    <t>Lê Thị Thắm_12AS10</t>
  </si>
  <si>
    <t>Lê Thị Anh Thi_12AS10</t>
  </si>
  <si>
    <t>Đào Phương Thuý_12AS10</t>
  </si>
  <si>
    <t>Lê Minh Thư_12AS10</t>
  </si>
  <si>
    <t>Võ Văn Trang_12AS10</t>
  </si>
  <si>
    <t>Nguyễn Đỗ Thanh Trúc_12AS10</t>
  </si>
  <si>
    <t>Nguyễn Thị Minh Anh_12AS11</t>
  </si>
  <si>
    <t>Lương Ngọc Bảo_12AS11</t>
  </si>
  <si>
    <t>Trịnh Gia Bảo_12AS11</t>
  </si>
  <si>
    <t>Vũ Thiên Bảo_12AS11</t>
  </si>
  <si>
    <t>Nguyễn Hữu Cường_12AS11</t>
  </si>
  <si>
    <t>Nguyễn Thành Danh_12AS11</t>
  </si>
  <si>
    <t>Đào Nguyễn Hoàng Duy_12AS11</t>
  </si>
  <si>
    <t>Trần Hoàng Gia_12AS11</t>
  </si>
  <si>
    <t>Mai Hoàng Hôn_12AS11</t>
  </si>
  <si>
    <t>Đặng Võ Ngọc Huyền_12AS11</t>
  </si>
  <si>
    <t>Đặng Tuấn Khang_12AS11</t>
  </si>
  <si>
    <t>Nguyễn Trọng Khang_12AS11</t>
  </si>
  <si>
    <t>Huỳnh Tấn Lâm_12AS11</t>
  </si>
  <si>
    <t>Trần Minh Nguyệt_12AS11</t>
  </si>
  <si>
    <t>Nguyễn Yến Nhi_12AS11</t>
  </si>
  <si>
    <t>Huỳnh Ngọc Như_12AS11</t>
  </si>
  <si>
    <t>Bùi Đức Phát_12AS11</t>
  </si>
  <si>
    <t>Mai Hoàng Phúc_12AS11</t>
  </si>
  <si>
    <t>Nguyễn Thị Nhất Tâm_12AS11</t>
  </si>
  <si>
    <t>Sơ Nưr Tiên_12AS11</t>
  </si>
  <si>
    <t>Nguyễn Thanh Tuyền_12AS11</t>
  </si>
  <si>
    <t>Nguyễn Văn Thành_12AS11</t>
  </si>
  <si>
    <t>Trần Thanh Thảo_12AS11</t>
  </si>
  <si>
    <t>Nguyễn Huỳnh Gia Thư_12AS11</t>
  </si>
  <si>
    <t>Châu Hoàng Hoài Thương_12AS11</t>
  </si>
  <si>
    <t>Vũ Thị Trang_12AS11</t>
  </si>
  <si>
    <t>Lê Thị Thuỳ Uyên_12AS11</t>
  </si>
  <si>
    <t>Trần Thảo Vy_12AS11</t>
  </si>
  <si>
    <t>Nguyễn Quỳnh Anh_12AS12</t>
  </si>
  <si>
    <t>Nguyễn Nguyên Bảo_12AS12</t>
  </si>
  <si>
    <t>Bùi Hùng Cường_12AS12</t>
  </si>
  <si>
    <t>Trương Đặng Minh Châu_12AS12</t>
  </si>
  <si>
    <t>Phạm Hoàng Thuỳ Dung_12AS12</t>
  </si>
  <si>
    <t>Nguyễn Vũ Trường Đại_12AS12</t>
  </si>
  <si>
    <t>Đặng Hồng Khánh Đoan_12AS12</t>
  </si>
  <si>
    <t>Trần Thu Hiền_12AS12</t>
  </si>
  <si>
    <t>Trương Minh Hiếu_12AS12</t>
  </si>
  <si>
    <t>Lê Danh Hoàng_12AS12</t>
  </si>
  <si>
    <t>Nguyễn Trí Huy_12AS12</t>
  </si>
  <si>
    <t>Giáp Huy Hoàng Huynh_12AS12</t>
  </si>
  <si>
    <t>Nguyễn Anh Kiệt_12AS12</t>
  </si>
  <si>
    <t>Lê Thị Thuỳ Linh_12AS12</t>
  </si>
  <si>
    <t>Bùi Gia Lộc_12AS12</t>
  </si>
  <si>
    <t>Lê Thành Nhân_12AS12</t>
  </si>
  <si>
    <t>Phạm Tuyết Nhi_12AS12</t>
  </si>
  <si>
    <t>Trương Huỳnh Như_12AS12</t>
  </si>
  <si>
    <t>Đào Đức Tiến_12AS12</t>
  </si>
  <si>
    <t>Nguyễn Xuân Tiến_12AS12</t>
  </si>
  <si>
    <t>Trần Huyền Trang_12AS12</t>
  </si>
  <si>
    <t>Nguyễn Tuấn Vũ_12AS12</t>
  </si>
  <si>
    <t>Nguyễn Hữu Anh_12AS2</t>
  </si>
  <si>
    <t>Nguyễn Rô Bi_12AS2</t>
  </si>
  <si>
    <t>Lê Sỹ Cường_12AS2</t>
  </si>
  <si>
    <t>Nguyễn Thị Diệu_12AS2</t>
  </si>
  <si>
    <t>Lý Thành Đạt_12AS2</t>
  </si>
  <si>
    <t>Ngô Huy Hoàng_12AS2</t>
  </si>
  <si>
    <t>Trần Gia Hưng_12AS2</t>
  </si>
  <si>
    <t>Nguyễn Quỳnh Hương_12AS2</t>
  </si>
  <si>
    <t>Bùi Thị Anh Khoa_12AS2</t>
  </si>
  <si>
    <t>Thái Thị Nguyên My_12AS2</t>
  </si>
  <si>
    <t>Thạch Thị Bích Ngân_12AS2</t>
  </si>
  <si>
    <t>Trần Thuỵ Mỹ Ngọc_12AS2</t>
  </si>
  <si>
    <t>Đặng Thảo Nguyên_12AS2</t>
  </si>
  <si>
    <t>Nguyễn Yến Nhi_12AS2</t>
  </si>
  <si>
    <t>Trần Quỳnh Như_12AS2</t>
  </si>
  <si>
    <t>Tạ Thị Hoài Phương_12AS2</t>
  </si>
  <si>
    <t>Đặng Minh Quân_12AS2</t>
  </si>
  <si>
    <t>Nguyễn Đức Sang_12AS2</t>
  </si>
  <si>
    <t>Trần Tấn Tài_12AS2</t>
  </si>
  <si>
    <t>Đặng Thu Tâm_12AS2</t>
  </si>
  <si>
    <t>Trần Thị Trúc Tiên_12AS2</t>
  </si>
  <si>
    <t>Nguyễn Trí Toàn_12AS2</t>
  </si>
  <si>
    <t>Phạm Phú Thành_12AS2</t>
  </si>
  <si>
    <t>Trương Thị Anh Thư_12AS2</t>
  </si>
  <si>
    <t>Bùi Ngọc Yến Trang_12AS2</t>
  </si>
  <si>
    <t>Nguyễn Trọng Trí_12AS2</t>
  </si>
  <si>
    <t>Võ Thị Kim Vân_12AS2</t>
  </si>
  <si>
    <t>Nguyễn Ngọc Tường Vi_12AS2</t>
  </si>
  <si>
    <t>Trương Trần Quốc Anh_12AS3</t>
  </si>
  <si>
    <t>Phan Công Bình_12AS3</t>
  </si>
  <si>
    <t>Phan Quốc Cường_12AS3</t>
  </si>
  <si>
    <t>Trần Công Danh_12AS3</t>
  </si>
  <si>
    <t>Triệu Chu Khánh Duy_12AS3</t>
  </si>
  <si>
    <t>Nguyễn Thị Dương_12AS3</t>
  </si>
  <si>
    <t>Vũ Gia Thành Đạt_12AS3</t>
  </si>
  <si>
    <t>Lê Xuân Đô_12AS3</t>
  </si>
  <si>
    <t>Trần Nguyễn Ngân Hà_12AS3</t>
  </si>
  <si>
    <t>Nguyễn Gia Huy_12AS3</t>
  </si>
  <si>
    <t>Thái Quốc Huy_12AS3</t>
  </si>
  <si>
    <t>Nguyễn Tuấn Kiệt_12AS3</t>
  </si>
  <si>
    <t>Lê Chung Khôi_12AS3</t>
  </si>
  <si>
    <t>Nguyễn Hoàng Ngọc_12AS3</t>
  </si>
  <si>
    <t>Trần Hồng Minh Nguyệt_12AS3</t>
  </si>
  <si>
    <t>Lê Thành Nhân_12AS3</t>
  </si>
  <si>
    <t>Mai Thảo Quỳnh Như_12AS3</t>
  </si>
  <si>
    <t>Nguyễn Thị Huỳnh Như_12AS3</t>
  </si>
  <si>
    <t>Hoàng Gia Phát_12AS3</t>
  </si>
  <si>
    <t>Phạm Văn Phước_12AS3</t>
  </si>
  <si>
    <t>Đồng Ngọc Thu Phương_12AS3</t>
  </si>
  <si>
    <t>Nguyễn Thanh Quang_12AS3</t>
  </si>
  <si>
    <t>Nguyễn Văn Minh Quân_12AS3</t>
  </si>
  <si>
    <t>Vũ Thị Phương Tú_12AS3</t>
  </si>
  <si>
    <t>Lê Công Thành_12AS3</t>
  </si>
  <si>
    <t>Bùi Thị Minh Thư_12AS3</t>
  </si>
  <si>
    <t>Nguyễn Văn Thừa_12AS3</t>
  </si>
  <si>
    <t>Lý Thị Huỳnh Trân_12AS3</t>
  </si>
  <si>
    <t>Nguyễn Minh Huệ Trinh_12AS3</t>
  </si>
  <si>
    <t>Trương Ngọc Tường Vy_12AS3</t>
  </si>
  <si>
    <t>Huỳnh Quốc Anh_12AS4</t>
  </si>
  <si>
    <t>Nguyễn Thị Vân Anh_12AS4</t>
  </si>
  <si>
    <t>Lê Văn Bút_12AS4</t>
  </si>
  <si>
    <t>Ngô Thị Lợi Danh_12AS4</t>
  </si>
  <si>
    <t>Nguyễn Tấn Dương_12AS4</t>
  </si>
  <si>
    <t>Chu Toàn Đức_12AS4</t>
  </si>
  <si>
    <t>Nguyễn Thị Thu Hà_12AS4</t>
  </si>
  <si>
    <t>Phạm Thị Thu Hằng_12AS4</t>
  </si>
  <si>
    <t>Phạm Thị Thanh Hiền_12AS4</t>
  </si>
  <si>
    <t>Trần Duy Khải_12AS4</t>
  </si>
  <si>
    <t>Trần An Khang_12AS4</t>
  </si>
  <si>
    <t>Hoàng Trang Kim Khánh_12AS4</t>
  </si>
  <si>
    <t>Trịnh Tiến Long_12AS4</t>
  </si>
  <si>
    <t>Trần Lê Xuân Mai_12AS4</t>
  </si>
  <si>
    <t>Lê Vàng Kim Nga_12AS4</t>
  </si>
  <si>
    <t>Nguyễn Thanh Nhân_12AS4</t>
  </si>
  <si>
    <t>Tạ Hoàng Trung Nhân_12AS4</t>
  </si>
  <si>
    <t>Hoàng Văn Nhất_12AS4</t>
  </si>
  <si>
    <t>Nguyễn Thị Tuyết Nhung_12AS4</t>
  </si>
  <si>
    <t>Dương Lâm Như_12AS4</t>
  </si>
  <si>
    <t>Nguyễn Mậu Phú_12AS4</t>
  </si>
  <si>
    <t>La Thị Mai Phương_12AS4</t>
  </si>
  <si>
    <t>Lê Viên Hồng Phương_12AS4</t>
  </si>
  <si>
    <t>Vương Ngọc Quyền_12AS4</t>
  </si>
  <si>
    <t>Trần Ngọc Quỳnh_12AS4</t>
  </si>
  <si>
    <t>Lê Trường Sơn_12AS4</t>
  </si>
  <si>
    <t>Vũ Đức Toàn_12AS4</t>
  </si>
  <si>
    <t>Mai Thanh Thuý_12AS4</t>
  </si>
  <si>
    <t>Nguyễn Thị Quỳnh Trang_12AS4</t>
  </si>
  <si>
    <t>Nguyễn Ngọc Trinh_12AS4</t>
  </si>
  <si>
    <t>Đặng Thị Thanh Trúc_12AS4</t>
  </si>
  <si>
    <t>Lê Ngọc Kiều Vy_12AS4</t>
  </si>
  <si>
    <t>Lưu Ánh Vy_12AS4</t>
  </si>
  <si>
    <t>Nguyễn Hoàng Yến Vy_12AS4</t>
  </si>
  <si>
    <t>Đinh Trường Xuân_12AS4</t>
  </si>
  <si>
    <t>Lê Thị Ánh Xuân_12AS4</t>
  </si>
  <si>
    <t>Nguyễn Lê Bảo Anh_12AS5</t>
  </si>
  <si>
    <t>Trần Nguyễn Hoàng Anh_12AS5</t>
  </si>
  <si>
    <t>Trần Lê Hồng Ân_12AS5</t>
  </si>
  <si>
    <t>Nguyễn Dương Quế Chi_12AS5</t>
  </si>
  <si>
    <t>Tô Nguyễn Phước Duy_12AS5</t>
  </si>
  <si>
    <t>Trương Quang Điệp_12AS5</t>
  </si>
  <si>
    <t>Phạm Minh Giang_12AS5</t>
  </si>
  <si>
    <t>Nguyễn Minh Hiếu_12AS5</t>
  </si>
  <si>
    <t>Nguyễn Hoàng Gia Huy_12AS5</t>
  </si>
  <si>
    <t>Nguyễn Thành Luân_12AS5</t>
  </si>
  <si>
    <t>Phạm Yến Mai_12AS5</t>
  </si>
  <si>
    <t>Hoàng Xuân Minh_12AS5</t>
  </si>
  <si>
    <t>Cao Nhật Nam_12AS5</t>
  </si>
  <si>
    <t>Nguyễn Diệp Ngọc Kim Ngân_12AS5</t>
  </si>
  <si>
    <t>Trương Kim Ngọc_12AS5</t>
  </si>
  <si>
    <t>Phạm Thị Thanh Nhàn_12AS5</t>
  </si>
  <si>
    <t>Đậu Long Nhật_12AS5</t>
  </si>
  <si>
    <t>Nguyễn Thị Yến Nhi_12AS5</t>
  </si>
  <si>
    <t>Trần Quốc Phong_12AS5</t>
  </si>
  <si>
    <t>Đoàn Lê Thanh Phúc_12AS5</t>
  </si>
  <si>
    <t>Nguyễn Thị Như Quỳnh_12AS5</t>
  </si>
  <si>
    <t>Nguyễn Văn Tài_12AS5</t>
  </si>
  <si>
    <t>Chu Thị Phương Thảo_12AS5</t>
  </si>
  <si>
    <t>Nguyễn Phúc Thoại_12AS5</t>
  </si>
  <si>
    <t>Nguyễn Ngọc Phương Thuỳ_12AS5</t>
  </si>
  <si>
    <t>Đỗ Hồng Thư_12AS5</t>
  </si>
  <si>
    <t>Trương Thị Kiều Thy_12AS5</t>
  </si>
  <si>
    <t>Nguyễn Thị Yến Trang_12AS5</t>
  </si>
  <si>
    <t>Nguyễn Thanh Trâm_12AS5</t>
  </si>
  <si>
    <t>Nguyễn Minh Trung_12AS5</t>
  </si>
  <si>
    <t>Nguyễn Thị Mỹ Trường_12AS5</t>
  </si>
  <si>
    <t>Hứa Nguyễn Trường Uy_12AS5</t>
  </si>
  <si>
    <t>Nguyễn Văn Việt_12AS5</t>
  </si>
  <si>
    <t>Lê Trúc Vy_12AS5</t>
  </si>
  <si>
    <t>Nguyễn Ngọc Kim Yến_12AS5</t>
  </si>
  <si>
    <t>Phạm Hải Yến_12AS5</t>
  </si>
  <si>
    <t>Nguyễn Phương An_12AS6</t>
  </si>
  <si>
    <t>Võ Thụy Thái An_12AS6</t>
  </si>
  <si>
    <t>Nguyễn Minh Duy_12AS6</t>
  </si>
  <si>
    <t>Võ Thành Đạt_12AS6</t>
  </si>
  <si>
    <t>Phạm Việt Đức_12AS6</t>
  </si>
  <si>
    <t>Trần Đức Hoàng Gia_12AS6</t>
  </si>
  <si>
    <t>Chìu Lềnh Hoà_12AS6</t>
  </si>
  <si>
    <t>Lê Quốc Huy_12AS6</t>
  </si>
  <si>
    <t>Nguyễn Hồ Tuấn Khang_12AS6</t>
  </si>
  <si>
    <t>Trịnh Hoài Bảo Linh_12AS6</t>
  </si>
  <si>
    <t>Nguyễn Xuân Mai_12AS6</t>
  </si>
  <si>
    <t>Vũ Phạm Diệu My_12AS6</t>
  </si>
  <si>
    <t>Đinh Thị Tuyết Ngân_12AS6</t>
  </si>
  <si>
    <t>Nguyễn Thị Yến Nhi_12AS6</t>
  </si>
  <si>
    <t>Bạch Thành Tâm Phước_12AS6</t>
  </si>
  <si>
    <t>Nguyễn Kim Hồng Phượng_12AS6</t>
  </si>
  <si>
    <t>Nguyễn Minh Quý_12AS6</t>
  </si>
  <si>
    <t>Nguyễn Hoàng Duy Tân_12AS6</t>
  </si>
  <si>
    <t>Mai Thị Kiều Tiên_12AS6</t>
  </si>
  <si>
    <t>Phan Nguyễn Mỹ Tiên_12AS6</t>
  </si>
  <si>
    <t>Vũ Thanh Tùng_12AS6</t>
  </si>
  <si>
    <t>Đỗ Thu Thảo_12AS6</t>
  </si>
  <si>
    <t>Nguyễn Diệu Thảo_12AS6</t>
  </si>
  <si>
    <t>Mai Nguyễn Anh Thư_12AS6</t>
  </si>
  <si>
    <t>Huỳnh Thị Thuỳ Trinh_12AS6</t>
  </si>
  <si>
    <t>Nguyễn Hữu Trọng_12AS6</t>
  </si>
  <si>
    <t>Vũ Phương Uyên_12AS6</t>
  </si>
  <si>
    <t>Kiều Tuyết Vân_12AS6</t>
  </si>
  <si>
    <t>Bùi Thị Hải Vy_12AS6</t>
  </si>
  <si>
    <t>Nguyễn Đoàn Vy_12AS6</t>
  </si>
  <si>
    <t>Lê Nguyễn Như Yến_12AS6</t>
  </si>
  <si>
    <t>Võ Trâm Anh_12AS7</t>
  </si>
  <si>
    <t>Đào Nguyễn Anh Cơ_12AS7</t>
  </si>
  <si>
    <t>Trần Đình Dũng_12AS7</t>
  </si>
  <si>
    <t>Hoàng Xuân Duy_12AS7</t>
  </si>
  <si>
    <t>Lê Trúc Duy_12AS7</t>
  </si>
  <si>
    <t>Trần Mỹ Duyên_12AS7</t>
  </si>
  <si>
    <t>Phan Đàm Vĩnh Đạt_12AS7</t>
  </si>
  <si>
    <t>Trần Thế Hậu_12AS7</t>
  </si>
  <si>
    <t>Phạm Thị Thanh Huyền_12AS7</t>
  </si>
  <si>
    <t>Vũ Thị Quỳnh Hương_12AS7</t>
  </si>
  <si>
    <t>Trần Nguyệt Kỳ_12AS7</t>
  </si>
  <si>
    <t>Huỳnh Duy Khánh_12AS7</t>
  </si>
  <si>
    <t>Nguyễn Đào Yến Linh_12AS7</t>
  </si>
  <si>
    <t>Trần Thị Quý My_12AS7</t>
  </si>
  <si>
    <t>Cao Hạnh Mỹ_12AS7</t>
  </si>
  <si>
    <t>Nguyễn Thanh Ngân_12AS7</t>
  </si>
  <si>
    <t>Phạm Trần Minh Nghĩa_12AS7</t>
  </si>
  <si>
    <t>Lê Ngọc Tuyết Nhi_12AS7</t>
  </si>
  <si>
    <t>Trần Ngọc Hoàng Oanh_12AS7</t>
  </si>
  <si>
    <t>Phạm Minh Phong_12AS7</t>
  </si>
  <si>
    <t>Trần Anh Quân_12AS7</t>
  </si>
  <si>
    <t>Hồ Thị Mỹ Quyền_12AS7</t>
  </si>
  <si>
    <t>Nguyễn Hữu Tài_12AS7</t>
  </si>
  <si>
    <t>Phan Minh Tuấn_12AS7</t>
  </si>
  <si>
    <t>Trần Ngọc Cát Tuyền_12AS7</t>
  </si>
  <si>
    <t>Nguyễn Long Thành_12AS7</t>
  </si>
  <si>
    <t>Hoàng Phước Thiện_12AS7</t>
  </si>
  <si>
    <t>Trần Thị Thuỳ_12AS7</t>
  </si>
  <si>
    <t>Vương Thị Thủy_12AS7</t>
  </si>
  <si>
    <t>Nguyễn Giang Thư_12AS7</t>
  </si>
  <si>
    <t>Khổng Hà Phương Trang_12AS7</t>
  </si>
  <si>
    <t>Nguyễn Ngọc Thanh Trân_12AS7</t>
  </si>
  <si>
    <t>Nguyễn Lê Phương Uyên_12AS7</t>
  </si>
  <si>
    <t>Trần Ngọc Hải Yến_12AS7</t>
  </si>
  <si>
    <t>Trần Thanh An_12AS8</t>
  </si>
  <si>
    <t>Trần Đức Anh_12AS8</t>
  </si>
  <si>
    <t>Trần Hoàng Bảo_12AS8</t>
  </si>
  <si>
    <t>Trang Nguyễn Thành Danh_12AS8</t>
  </si>
  <si>
    <t>Trần Hoàng Duyên_12AS8</t>
  </si>
  <si>
    <t>Vũ Thị Thanh Giang_12AS8</t>
  </si>
  <si>
    <t>Trần Khánh Long_12AS8</t>
  </si>
  <si>
    <t>Phan Thị Mỹ_12AS8</t>
  </si>
  <si>
    <t>Nguyễn Văn Nam_12AS8</t>
  </si>
  <si>
    <t>Nguyễn Thị Mỹ Nguyên_12AS8</t>
  </si>
  <si>
    <t>Nguyễn Ngọc Quỳnh Như_12AS8</t>
  </si>
  <si>
    <t>Hoàng Tấn Phát_12AS8</t>
  </si>
  <si>
    <t>Trương Thái Bảo Phương_12AS8</t>
  </si>
  <si>
    <t>Nguyễn Thị Thuý Quỳnh_12AS8</t>
  </si>
  <si>
    <t>Nguyễn Đức Tuấn_12AS8</t>
  </si>
  <si>
    <t>Nguyễn Đức Thiện_12AS8</t>
  </si>
  <si>
    <t>Phạm Thanh Thủy_12AS8</t>
  </si>
  <si>
    <t>Trần Thị Huyền Trang_12AS8</t>
  </si>
  <si>
    <t>Nguyễn Phương Ngọc Trâm_12AS8</t>
  </si>
  <si>
    <t>Nguyễn Thị Phương Trinh_12AS8</t>
  </si>
  <si>
    <t>Bạch Thảo Vy_12AS8</t>
  </si>
  <si>
    <t>Bùi Ngọc Yến Vy_12AS8</t>
  </si>
  <si>
    <t>Nguyễn Nguyên Lan Vy_12AS8</t>
  </si>
  <si>
    <t>Dương Ngọc Tú Anh_12AS9</t>
  </si>
  <si>
    <t>Nguyễn Ngọc Quỳnh Anh_12AS9</t>
  </si>
  <si>
    <t>Vũ Gia Bảo_12AS9</t>
  </si>
  <si>
    <t>Mai Đào Thanh Bình_12AS9</t>
  </si>
  <si>
    <t>Nguyễn Anh Đức_12AS9</t>
  </si>
  <si>
    <t>Cao Thanh Hải_12AS9</t>
  </si>
  <si>
    <t>Tôn Nữ Ái Hoà_12AS9</t>
  </si>
  <si>
    <t>Lê Quốc Huy_12AS9</t>
  </si>
  <si>
    <t>Châu Tuấn Kiệt_12AS9</t>
  </si>
  <si>
    <t>Ngô Gia Kiệt_12AS9</t>
  </si>
  <si>
    <t>Nguyễn Đăng Khoa_12AS9</t>
  </si>
  <si>
    <t>Bùi Khánh Linh_12AS9</t>
  </si>
  <si>
    <t>Nguyễn Lê Phi Long_12AS9</t>
  </si>
  <si>
    <t>Hồ Thị Kim Ngân_12AS9</t>
  </si>
  <si>
    <t>Lê Bảo Ngọc_12AS9</t>
  </si>
  <si>
    <t>Đặng Long Nhật_12AS9</t>
  </si>
  <si>
    <t>Lê Xuân Phát_12AS9</t>
  </si>
  <si>
    <t>Nguyễn Hưng Phát_12AS9</t>
  </si>
  <si>
    <t>Vũ Thị Kim Phượng_12AS9</t>
  </si>
  <si>
    <t>Lương Đổng Quang_12AS9</t>
  </si>
  <si>
    <t>Trần Anh Quân_12AS9</t>
  </si>
  <si>
    <t>Tạ Hồ Đức Tiến_12AS9</t>
  </si>
  <si>
    <t>Nguyễn Hữu Thiên Thanh_12AS9</t>
  </si>
  <si>
    <t>Nguyễn Quang Thiên_12AS9</t>
  </si>
  <si>
    <t>Hà Thị Thuỳ Trang_12AS9</t>
  </si>
  <si>
    <t>Nguyễn Ngọc Hồng Trinh_12AS9</t>
  </si>
  <si>
    <t>Đỗ Nguyễn Phương Trúc_12AS9</t>
  </si>
  <si>
    <t>Phan Bùi Thanh Trúc_12AS9</t>
  </si>
  <si>
    <t>Liêu Minh Trung_12AS9</t>
  </si>
  <si>
    <t>Nguyễn Khánh Vy_12AS9</t>
  </si>
  <si>
    <t>Trần Ngọc Như Ý_12AS9</t>
  </si>
  <si>
    <t>Hồ Hoàng Anh_12AT1</t>
  </si>
  <si>
    <t>Lê Thị Trâm Anh_12AT1</t>
  </si>
  <si>
    <t>Nguyễn Minh Anh_12AT1</t>
  </si>
  <si>
    <t>Nguyễn Phương Anh_12AT1</t>
  </si>
  <si>
    <t>Nguyễn Gia Bảo_12AT1</t>
  </si>
  <si>
    <t>Phạm Thái Bình_12AT1</t>
  </si>
  <si>
    <t>Ma Thị Chánh_12AT1</t>
  </si>
  <si>
    <t>Võ Văn Chính_12AT1</t>
  </si>
  <si>
    <t>Dương Thị Mỹ Dung_12AT1</t>
  </si>
  <si>
    <t>Phạm Hoàng Duy_12AT1</t>
  </si>
  <si>
    <t>Nguyễn Tấn Đạt_12AT1</t>
  </si>
  <si>
    <t>Phạm Hữu Đức_12AT1</t>
  </si>
  <si>
    <t>Hoàng Thị Hằng_12AT1</t>
  </si>
  <si>
    <t>Nguyễn Huỳnh Thanh Hiệp_12AT1</t>
  </si>
  <si>
    <t>Bạch Đình Huy Hoàng_12AT1</t>
  </si>
  <si>
    <t>Trần Vĩnh Hồng_12AT1</t>
  </si>
  <si>
    <t>Lương Tuấn Kiệt_12AT1</t>
  </si>
  <si>
    <t>Y Khổ_12AT1</t>
  </si>
  <si>
    <t>Phan Anh Khôi_12AT1</t>
  </si>
  <si>
    <t>Bùi Thành Lâm_12AT1</t>
  </si>
  <si>
    <t>Nguyễn Ngọc Thuỳ Linh_12AT1</t>
  </si>
  <si>
    <t>Trần Nguyễn Ngọc Linh_12AT1</t>
  </si>
  <si>
    <t>Nguyễn Thị Ái Mỹ_12AT1</t>
  </si>
  <si>
    <t>Huỳnh Vương Tín Nghĩa_12AT1</t>
  </si>
  <si>
    <t>Nguyễn Thị Bảo Ngọc_12AT1</t>
  </si>
  <si>
    <t>Phạm Phương Uyên Nhi_12AT1</t>
  </si>
  <si>
    <t>Nguyễn Ngọc Anh Tuấn_12AT1</t>
  </si>
  <si>
    <t>Lê Xuân Thành_12AT1</t>
  </si>
  <si>
    <t>Phan Văn Thoại_12AT1</t>
  </si>
  <si>
    <t>Nguyễn Trần Xuân Trà_12AT1</t>
  </si>
  <si>
    <t>Trần Thị Trang_12AT1</t>
  </si>
  <si>
    <t>Nguyễn Thị Phương Uyên_12AT1</t>
  </si>
  <si>
    <t>Nguyễn Hoàng An_12AT2</t>
  </si>
  <si>
    <t>Nguyễn Mỹ Lan Anh_12AT2</t>
  </si>
  <si>
    <t>Phạm Phương Anh_12AT2</t>
  </si>
  <si>
    <t>Huỳnh Lê Gia Bảo_12AT2</t>
  </si>
  <si>
    <t>Võ Chí Cường_12AT2</t>
  </si>
  <si>
    <t>Bùi Thị Hồng Duyên_12AT2</t>
  </si>
  <si>
    <t>Võ Thanh Anh Điển_12AT2</t>
  </si>
  <si>
    <t>Nguyễn Trọng Đô_12AT2</t>
  </si>
  <si>
    <t>Bùi Xuân Hà_12AT2</t>
  </si>
  <si>
    <t>Cao Thị Như Hằng_12AT2</t>
  </si>
  <si>
    <t>Nguyễn Thái Hòa_12AT2</t>
  </si>
  <si>
    <t>Nguyễn Ngọc Minh Huy_12AT2</t>
  </si>
  <si>
    <t>Bùi Thị Huyền_12AT2</t>
  </si>
  <si>
    <t>Hồ Thị Lan Hương_12AT2</t>
  </si>
  <si>
    <t>Trần Nguyễn Anh Kiều_12AT2</t>
  </si>
  <si>
    <t>Lê Văn Khang_12AT2</t>
  </si>
  <si>
    <t>Cao Thị Mỹ Lệ_12AT2</t>
  </si>
  <si>
    <t>Phạm Khánh Linh_12AT2</t>
  </si>
  <si>
    <t>Lê Thị Hoàng Mến_12AT2</t>
  </si>
  <si>
    <t>Hoàng Thị Hà My_12AT2</t>
  </si>
  <si>
    <t>Trần Nguyễn Phương Nam_12AT2</t>
  </si>
  <si>
    <t>Nguyễn Triệu Nghi_12AT2</t>
  </si>
  <si>
    <t>Nguyễn Hoàng Khôi Nguyên_12AT2</t>
  </si>
  <si>
    <t>Vũ Thị Tuyết Nhi_12AT2</t>
  </si>
  <si>
    <t>Nguyễn Phạm Kiều Oanh_12AT2</t>
  </si>
  <si>
    <t>Nguyễn Phúc Tài_12AT2</t>
  </si>
  <si>
    <t>Vũ Nguyễn Đức Tính_12AT2</t>
  </si>
  <si>
    <t>Võ Văn Toàn_12AT2</t>
  </si>
  <si>
    <t>Phan Thị Tuyết_12AT2</t>
  </si>
  <si>
    <t>Nguyễn Chí Thanh_12AT2</t>
  </si>
  <si>
    <t>Phạm Thị Thanh Thi_12AT2</t>
  </si>
  <si>
    <t>Trần Anh Thu_12AT2</t>
  </si>
  <si>
    <t>Nguyễn Ngọc Huyền Trân_12AT2</t>
  </si>
  <si>
    <t>Diên Văn Trí_12AT2</t>
  </si>
  <si>
    <t>Nguyễn Thành Trung_12AT2</t>
  </si>
  <si>
    <t>Huỳnh Nhật Trường_12AT2</t>
  </si>
  <si>
    <t>Y Uyên_12AT2</t>
  </si>
  <si>
    <t>Nguyễn Trần Thanh Vy_12AT2</t>
  </si>
  <si>
    <t>Võ Thị Thu An_12AT3</t>
  </si>
  <si>
    <t>Huỳnh Vũ Thanh Bình_12AT3</t>
  </si>
  <si>
    <t>Thẩm Thị Dịu_12AT3</t>
  </si>
  <si>
    <t>Võ Hải Duy_12AT3</t>
  </si>
  <si>
    <t>Lầu Thị Kỳ Duyên_12AT3</t>
  </si>
  <si>
    <t>Nguyễn Hoàng Thái Dương_12AT3</t>
  </si>
  <si>
    <t>Phan Thị Hồng Đào_12AT3</t>
  </si>
  <si>
    <t>Nguyễn Trần Thanh Đạt_12AT3</t>
  </si>
  <si>
    <t>Nguyễn Lưu Giang_12AT3</t>
  </si>
  <si>
    <t>Y Hăng_12AT3</t>
  </si>
  <si>
    <t>Lê Nguyễn Bảo Hân_12AT3</t>
  </si>
  <si>
    <t>Ung Ngọc Bảo Hân_12AT3</t>
  </si>
  <si>
    <t>Phạm Quang Hiếu_12AT3</t>
  </si>
  <si>
    <t>Nguyễn Văn Hùng_12AT3</t>
  </si>
  <si>
    <t>Nguyễn Anh Huy_12AT3</t>
  </si>
  <si>
    <t>Nguyễn Tấn Hưng_12AT3</t>
  </si>
  <si>
    <t>Lê Nguyễn Tuấn Kiệt_12AT3</t>
  </si>
  <si>
    <t>Nguyễn Khánh Linh_12AT3</t>
  </si>
  <si>
    <t>Huỳnh Ngọc Long_12AT3</t>
  </si>
  <si>
    <t>Thạch Thị Thu Lụa_12AT3</t>
  </si>
  <si>
    <t>Trần Công Minh_12AT3</t>
  </si>
  <si>
    <t>Trần Thị Ngọc_12AT3</t>
  </si>
  <si>
    <t>Nguyễn Minh Nguyệt_12AT3</t>
  </si>
  <si>
    <t>Nguyễn Văn Nhàn_12AT3</t>
  </si>
  <si>
    <t>Nguyễn Yến Nhi_12AT3</t>
  </si>
  <si>
    <t>Đặng Văn Nhiều_12AT3</t>
  </si>
  <si>
    <t>Nguyễn Tấn Phát_12AT3</t>
  </si>
  <si>
    <t>Nguyễn Mai Phương_12AT3</t>
  </si>
  <si>
    <t>Lê Nguyễn Chí Quân_12AT3</t>
  </si>
  <si>
    <t>Lê Thị Như Quỳnh_12AT3</t>
  </si>
  <si>
    <t>Nguyễn Thế Sơn_12AT3</t>
  </si>
  <si>
    <t>Nguyễn Anh Tuấn_12AT3</t>
  </si>
  <si>
    <t>Ngô Tấn Thành_12AT3</t>
  </si>
  <si>
    <t>Nguyễn Đặng Thanh Thảo_12AT3</t>
  </si>
  <si>
    <t>Nguyễn Thị Thu_12AT3</t>
  </si>
  <si>
    <t>Nguyễn Minh Thuận_12AT3</t>
  </si>
  <si>
    <t>Lê Ngọc Thư_12AT3</t>
  </si>
  <si>
    <t>Nguyễn Minh Thư_12AT3</t>
  </si>
  <si>
    <t>Nguyễn Văn Trí_12AT3</t>
  </si>
  <si>
    <t>Đoàn Nguyễn Quốc Trung_12AT3</t>
  </si>
  <si>
    <t>Trần Thúy Vi_12AT3</t>
  </si>
  <si>
    <t>Lê Thị Quế Anh_12AT4</t>
  </si>
  <si>
    <t>Phan Văn Linh Đang_12AT4</t>
  </si>
  <si>
    <t>Phạm Trường Giang_12AT4</t>
  </si>
  <si>
    <t>Y Hạ_12AT4</t>
  </si>
  <si>
    <t>Đinh Văn Hiếu_12AT4</t>
  </si>
  <si>
    <t>Phan Lữ Hiếu_12AT4</t>
  </si>
  <si>
    <t>Nguyễn Hữu Hoàng_12AT4</t>
  </si>
  <si>
    <t>Nguyễn Đăng Huy_12AT4</t>
  </si>
  <si>
    <t>Nguyễn Trường Huy_12AT4</t>
  </si>
  <si>
    <t>Nguyễn Anh Kiệt_12AT4</t>
  </si>
  <si>
    <t>Kơ Tôl Ha Khang_12AT4</t>
  </si>
  <si>
    <t>Nguyễn Thị Thanh Lan_12AT4</t>
  </si>
  <si>
    <t>Lê Đặng Khánh Linh_12AT4</t>
  </si>
  <si>
    <t>Trần Thị Thuỳ Linh_12AT4</t>
  </si>
  <si>
    <t>Bùi Tấn Lộc_12AT4</t>
  </si>
  <si>
    <t>Ngô Quang Minh_12AT4</t>
  </si>
  <si>
    <t>Kơ Tôl Ha Mĩu_12AT4</t>
  </si>
  <si>
    <t>Nguyễn A Ni_12AT4</t>
  </si>
  <si>
    <t>Võ Kim Ngân_12AT4</t>
  </si>
  <si>
    <t>Lê Thị Phương Nghi_12AT4</t>
  </si>
  <si>
    <t>Nguyễn Thị Ngọc_12AT4</t>
  </si>
  <si>
    <t>Nguyễn Tấn Nguyên_12AT4</t>
  </si>
  <si>
    <t>Bùi Thị Hồng Ngự_12AT4</t>
  </si>
  <si>
    <t>Ngô Thị Ngọc Oanh_12AT4</t>
  </si>
  <si>
    <t>Trần Tấn Hoàng Phúc_12AT4</t>
  </si>
  <si>
    <t>Nguyễn Mai Phương_12AT4</t>
  </si>
  <si>
    <t>Trần Thị Như Quỳnh_12AT4</t>
  </si>
  <si>
    <t>Bùi Văn Thanh_12AT4</t>
  </si>
  <si>
    <t>Nguyễn Thị Thảo_12AT4</t>
  </si>
  <si>
    <t>Phan Hoàng Thịnh_12AT4</t>
  </si>
  <si>
    <t>Nguyễn Mai Quỳnh Thư_12AT4</t>
  </si>
  <si>
    <t>Phạm Đình Trung_12AT4</t>
  </si>
  <si>
    <t>Nguyễn Nhật Trường_12AT4</t>
  </si>
  <si>
    <t>Phạm Lâm Khánh Uyên_12AT4</t>
  </si>
  <si>
    <t>16/12</t>
  </si>
  <si>
    <t>02.HN</t>
  </si>
  <si>
    <t>DANH SÁCH KIỂM TRA CUỐI HKI/ NH 25-26</t>
  </si>
  <si>
    <t>NGÀY THI: 23+25/12/2025</t>
  </si>
  <si>
    <t>2025 - 2026</t>
  </si>
  <si>
    <t>25-26</t>
  </si>
  <si>
    <t>Thứ Hai (22/12)</t>
  </si>
  <si>
    <t>Thứ Tư (24/12)</t>
  </si>
  <si>
    <t>Thứ Ba (23/12)</t>
  </si>
  <si>
    <t>Thứ Năm (25/12)</t>
  </si>
  <si>
    <t>NGÀY THI: 22+24/12/2025</t>
  </si>
  <si>
    <t>NGÀY THI: 22+23/12/2025</t>
  </si>
  <si>
    <t>DANH SÁCH GIAO NHẬN BÀI KIỂM TRA CUỐI HỌC KỲ I - NH 2025-2026</t>
  </si>
  <si>
    <t>7A</t>
  </si>
  <si>
    <t>01.HN</t>
  </si>
  <si>
    <r>
      <t xml:space="preserve">TỔ HỢP 1 </t>
    </r>
    <r>
      <rPr>
        <b/>
        <sz val="10"/>
        <color indexed="60"/>
        <rFont val="Times New Roman"/>
        <family val="1"/>
      </rPr>
      <t>(12AS1,2,3)</t>
    </r>
  </si>
  <si>
    <r>
      <t xml:space="preserve">TỔ HỢP 2 </t>
    </r>
    <r>
      <rPr>
        <b/>
        <sz val="10"/>
        <color indexed="60"/>
        <rFont val="Times New Roman"/>
        <family val="1"/>
      </rPr>
      <t>(12AS4,5,6)</t>
    </r>
  </si>
  <si>
    <r>
      <t xml:space="preserve">TỔ HỢP 3 </t>
    </r>
    <r>
      <rPr>
        <b/>
        <sz val="10"/>
        <color indexed="60"/>
        <rFont val="Times New Roman"/>
        <family val="1"/>
      </rPr>
      <t>(12AS7,8)</t>
    </r>
  </si>
  <si>
    <r>
      <t xml:space="preserve">TỔ HỢP 1 </t>
    </r>
    <r>
      <rPr>
        <b/>
        <sz val="10"/>
        <color indexed="60"/>
        <rFont val="Times New Roman"/>
        <family val="1"/>
      </rPr>
      <t>(12AT1,2)</t>
    </r>
  </si>
  <si>
    <r>
      <t xml:space="preserve">TỔ HỢP 2 </t>
    </r>
    <r>
      <rPr>
        <b/>
        <sz val="10"/>
        <color indexed="60"/>
        <rFont val="Times New Roman"/>
        <family val="1"/>
      </rPr>
      <t>(12AT3)</t>
    </r>
  </si>
  <si>
    <t>12KT</t>
  </si>
  <si>
    <t>10VH</t>
  </si>
  <si>
    <t>10KT</t>
  </si>
  <si>
    <t>SÁNG</t>
  </si>
  <si>
    <t>TỐI</t>
  </si>
  <si>
    <t>CHIỀU</t>
  </si>
  <si>
    <t>10AT</t>
  </si>
  <si>
    <t>11AT</t>
  </si>
  <si>
    <t>10AS</t>
  </si>
  <si>
    <t>11AS</t>
  </si>
  <si>
    <t>11KT</t>
  </si>
  <si>
    <t>KHỐI 10AS</t>
  </si>
  <si>
    <r>
      <t xml:space="preserve">TỔ HỢP 2 </t>
    </r>
    <r>
      <rPr>
        <b/>
        <sz val="10"/>
        <color indexed="60"/>
        <rFont val="Times New Roman"/>
        <family val="1"/>
      </rPr>
      <t>(10AS1,2)</t>
    </r>
  </si>
  <si>
    <t>KHỐI 10AT</t>
  </si>
  <si>
    <t>KHỐI 11AT</t>
  </si>
  <si>
    <t>KHỐI 11AS</t>
  </si>
  <si>
    <t>13 phòng</t>
  </si>
  <si>
    <t>KHỐI 10KT</t>
  </si>
  <si>
    <t>HT2-1</t>
  </si>
  <si>
    <t>HT2-2</t>
  </si>
  <si>
    <t>HT2-3</t>
  </si>
  <si>
    <t>A0.13</t>
  </si>
  <si>
    <t>A0.15</t>
  </si>
  <si>
    <t>A1.10</t>
  </si>
  <si>
    <t>A1.11</t>
  </si>
  <si>
    <t>KHỐI 11KT</t>
  </si>
  <si>
    <t>KHỐI 12KT</t>
  </si>
  <si>
    <t>A1.12</t>
  </si>
  <si>
    <t>KHỐI 10VH</t>
  </si>
  <si>
    <r>
      <t xml:space="preserve">TỔ HỢP 4 </t>
    </r>
    <r>
      <rPr>
        <b/>
        <sz val="9"/>
        <color indexed="60"/>
        <rFont val="Times New Roman"/>
        <family val="1"/>
      </rPr>
      <t>(10KT1,2,3,4)</t>
    </r>
  </si>
  <si>
    <r>
      <t xml:space="preserve">TỔ HỢP 4 </t>
    </r>
    <r>
      <rPr>
        <b/>
        <sz val="9"/>
        <color indexed="60"/>
        <rFont val="Times New Roman"/>
        <family val="1"/>
      </rPr>
      <t>(11KT1,2,3,4)</t>
    </r>
  </si>
  <si>
    <r>
      <t xml:space="preserve">TỔ HỢP 4 </t>
    </r>
    <r>
      <rPr>
        <b/>
        <sz val="9"/>
        <color indexed="60"/>
        <rFont val="Times New Roman"/>
        <family val="1"/>
      </rPr>
      <t>(12KT1,2,3,4)</t>
    </r>
  </si>
  <si>
    <r>
      <t xml:space="preserve">TỔ HỢP 4 </t>
    </r>
    <r>
      <rPr>
        <b/>
        <sz val="9"/>
        <color indexed="60"/>
        <rFont val="Times New Roman"/>
        <family val="1"/>
      </rPr>
      <t>(10VH1,2)</t>
    </r>
  </si>
  <si>
    <r>
      <t xml:space="preserve">TỔ HỢP 5 </t>
    </r>
    <r>
      <rPr>
        <b/>
        <sz val="9"/>
        <color indexed="60"/>
        <rFont val="Times New Roman"/>
        <family val="1"/>
      </rPr>
      <t>(10VH3,4,5)</t>
    </r>
  </si>
  <si>
    <r>
      <t xml:space="preserve">TỔ HỢP 4 </t>
    </r>
    <r>
      <rPr>
        <b/>
        <sz val="9"/>
        <color indexed="60"/>
        <rFont val="Times New Roman"/>
        <family val="1"/>
      </rPr>
      <t>(11VH1,2)</t>
    </r>
  </si>
  <si>
    <r>
      <t xml:space="preserve">TỔ HỢP 5 </t>
    </r>
    <r>
      <rPr>
        <b/>
        <sz val="9"/>
        <color indexed="60"/>
        <rFont val="Times New Roman"/>
        <family val="1"/>
      </rPr>
      <t>(11VH3,4,5)</t>
    </r>
  </si>
  <si>
    <r>
      <t xml:space="preserve">TỔ HỢP 4 </t>
    </r>
    <r>
      <rPr>
        <b/>
        <sz val="9"/>
        <color indexed="60"/>
        <rFont val="Times New Roman"/>
        <family val="1"/>
      </rPr>
      <t>(12VH1,2,3)</t>
    </r>
  </si>
  <si>
    <r>
      <t xml:space="preserve">TỔ HỢP 5 </t>
    </r>
    <r>
      <rPr>
        <b/>
        <sz val="9"/>
        <color indexed="60"/>
        <rFont val="Times New Roman"/>
        <family val="1"/>
      </rPr>
      <t>(12VH4,5,6,7)</t>
    </r>
  </si>
  <si>
    <t>Chênh lệch</t>
  </si>
  <si>
    <r>
      <t xml:space="preserve">TỔ HỢP 5 </t>
    </r>
    <r>
      <rPr>
        <b/>
        <sz val="7"/>
        <color indexed="60"/>
        <rFont val="Times New Roman"/>
        <family val="1"/>
      </rPr>
      <t>(12AS9,10,11,12)</t>
    </r>
  </si>
  <si>
    <r>
      <t xml:space="preserve">TỔ HỢP 3 </t>
    </r>
    <r>
      <rPr>
        <b/>
        <sz val="10"/>
        <color indexed="60"/>
        <rFont val="Times New Roman"/>
        <family val="1"/>
      </rPr>
      <t>(10AS3,4)</t>
    </r>
  </si>
  <si>
    <r>
      <t xml:space="preserve">TỔ HỢP 4 </t>
    </r>
    <r>
      <rPr>
        <b/>
        <sz val="10"/>
        <color indexed="60"/>
        <rFont val="Times New Roman"/>
        <family val="1"/>
      </rPr>
      <t>(10AS5,6,7)</t>
    </r>
  </si>
  <si>
    <r>
      <t xml:space="preserve">TỔ HỢP 4 </t>
    </r>
    <r>
      <rPr>
        <b/>
        <sz val="10"/>
        <color indexed="60"/>
        <rFont val="Times New Roman"/>
        <family val="1"/>
      </rPr>
      <t>(10AT1,2)</t>
    </r>
  </si>
  <si>
    <r>
      <t xml:space="preserve">TỔ HỢP 4 </t>
    </r>
    <r>
      <rPr>
        <b/>
        <sz val="10"/>
        <color indexed="60"/>
        <rFont val="Times New Roman"/>
        <family val="1"/>
      </rPr>
      <t>(11AS1,2,3)</t>
    </r>
  </si>
  <si>
    <r>
      <t xml:space="preserve">TỔ HỢP 1 </t>
    </r>
    <r>
      <rPr>
        <b/>
        <sz val="10"/>
        <color indexed="60"/>
        <rFont val="Times New Roman"/>
        <family val="1"/>
      </rPr>
      <t>(11AT1,2)</t>
    </r>
  </si>
  <si>
    <r>
      <t xml:space="preserve">TỔ HỢP 2 </t>
    </r>
    <r>
      <rPr>
        <b/>
        <sz val="10"/>
        <color indexed="60"/>
        <rFont val="Times New Roman"/>
        <family val="1"/>
      </rPr>
      <t>(11AT3,4)</t>
    </r>
  </si>
  <si>
    <r>
      <t xml:space="preserve">TỔ HỢP 3 </t>
    </r>
    <r>
      <rPr>
        <b/>
        <sz val="10"/>
        <color indexed="60"/>
        <rFont val="Times New Roman"/>
        <family val="1"/>
      </rPr>
      <t>(11AT5,6)</t>
    </r>
  </si>
  <si>
    <r>
      <t xml:space="preserve">TỔ HỢP 5 </t>
    </r>
    <r>
      <rPr>
        <b/>
        <sz val="10"/>
        <color indexed="60"/>
        <rFont val="Times New Roman"/>
        <family val="1"/>
      </rPr>
      <t>(11AT7,8)</t>
    </r>
  </si>
  <si>
    <t>14 phòng</t>
  </si>
  <si>
    <t>3 phòng</t>
  </si>
  <si>
    <t>5 phòng</t>
  </si>
  <si>
    <t>21 phòng</t>
  </si>
  <si>
    <t>SỞ GD&amp;ĐT TP HỒ CHÍ MINH</t>
  </si>
  <si>
    <t>TRUNG TÂM GDNN - GDTX THỦ ĐỨC</t>
  </si>
  <si>
    <t>10AS1</t>
  </si>
  <si>
    <t>Trần Xuân Thái</t>
  </si>
  <si>
    <t>Ngô Quốc</t>
  </si>
  <si>
    <t>Nguyễn Bá Đức</t>
  </si>
  <si>
    <t>Phạm Ngọc Lan</t>
  </si>
  <si>
    <t>Đặng Duy</t>
  </si>
  <si>
    <t>Lê Công Gia</t>
  </si>
  <si>
    <t>Vũ Thị Ngọc</t>
  </si>
  <si>
    <t>Diễm</t>
  </si>
  <si>
    <t>Nguyễn Chương</t>
  </si>
  <si>
    <t>Nguyễn Khương</t>
  </si>
  <si>
    <t>Huỳnh Ngọc Mỹ</t>
  </si>
  <si>
    <t>Nguyễn Huỳnh Thành</t>
  </si>
  <si>
    <t>Phạm Tiến</t>
  </si>
  <si>
    <t>Lê Nguyễn Ngọc</t>
  </si>
  <si>
    <t>Lại Ngọc Gia</t>
  </si>
  <si>
    <t>Vũ Nguyễn Trung</t>
  </si>
  <si>
    <t>Nguyễn Ngô Thanh</t>
  </si>
  <si>
    <t>Hoa</t>
  </si>
  <si>
    <t>Trần Việt</t>
  </si>
  <si>
    <t>Trần Thị Thanh</t>
  </si>
  <si>
    <t>Trần Hoàng Bảo</t>
  </si>
  <si>
    <t>Kiên</t>
  </si>
  <si>
    <t>Đào Thị Khánh</t>
  </si>
  <si>
    <t>Nguyễn Thùy</t>
  </si>
  <si>
    <t>Bùi Xuân</t>
  </si>
  <si>
    <t>Dương Trọng Tuấn</t>
  </si>
  <si>
    <t>Nguyễn Thị Trà</t>
  </si>
  <si>
    <t>Kiều Trần Vân</t>
  </si>
  <si>
    <t>Trần Bảo</t>
  </si>
  <si>
    <t>Phạm Thị Kim</t>
  </si>
  <si>
    <t>Vương Hoàng</t>
  </si>
  <si>
    <t>Hà Nguyễn Tuệ</t>
  </si>
  <si>
    <t>Trương Thị Hồng</t>
  </si>
  <si>
    <t>Huỳnh Gia</t>
  </si>
  <si>
    <t>Nguyễn Phạm Yến</t>
  </si>
  <si>
    <t>Võ Hoàng Tấn</t>
  </si>
  <si>
    <t>Đặng Hoàng</t>
  </si>
  <si>
    <t>Phạm Võ Hoài</t>
  </si>
  <si>
    <t>Văn Trường</t>
  </si>
  <si>
    <t>Nguyễn Thị Lan</t>
  </si>
  <si>
    <t>Bùi Minh</t>
  </si>
  <si>
    <t>Mai Hồng</t>
  </si>
  <si>
    <t>Châu Ngọc Băng</t>
  </si>
  <si>
    <t>Nguyễn Quý Ngọc</t>
  </si>
  <si>
    <t>Thăng</t>
  </si>
  <si>
    <t>Phạm Mai</t>
  </si>
  <si>
    <t>Võ Thị Khánh</t>
  </si>
  <si>
    <t>Kim Thị Anh</t>
  </si>
  <si>
    <t>Tho</t>
  </si>
  <si>
    <t>Nguyễn Hoàng Kim</t>
  </si>
  <si>
    <t>Thơ</t>
  </si>
  <si>
    <t>Nguyễn Hữu Anh</t>
  </si>
  <si>
    <t>Mai Thùy Yến</t>
  </si>
  <si>
    <t>Trăm</t>
  </si>
  <si>
    <t>Trương Đoàn Phương</t>
  </si>
  <si>
    <t>Đậu Thị Hoài</t>
  </si>
  <si>
    <t>Phạm Thu</t>
  </si>
  <si>
    <t>Huỳnh Như Cẩm</t>
  </si>
  <si>
    <t>Nguyễn Dương Anh</t>
  </si>
  <si>
    <t>Phạm Quốc</t>
  </si>
  <si>
    <t>Hồ Đức</t>
  </si>
  <si>
    <t>Nguyễn Hoàng Ái</t>
  </si>
  <si>
    <t>Nguyễn Thị Tường</t>
  </si>
  <si>
    <t>Trịnh Thị Như</t>
  </si>
  <si>
    <t>Bùi Thị Kim</t>
  </si>
  <si>
    <t>Trịnh Duy</t>
  </si>
  <si>
    <t>10AS3</t>
  </si>
  <si>
    <t>Hoàng Ngọc Phương</t>
  </si>
  <si>
    <t>Lý Quốc</t>
  </si>
  <si>
    <t>Nguyễn Thị Trâm</t>
  </si>
  <si>
    <t>Phan Thị Lan</t>
  </si>
  <si>
    <t>Cổ Thiên</t>
  </si>
  <si>
    <t>Băng</t>
  </si>
  <si>
    <t>Bùi Thị Ngọc</t>
  </si>
  <si>
    <t>Nguyễn Mỹ</t>
  </si>
  <si>
    <t>Lê Nguyễn Ánh</t>
  </si>
  <si>
    <t>Trần Thuỳ</t>
  </si>
  <si>
    <t>Nguyễn Trần Phúc</t>
  </si>
  <si>
    <t>Trần Thiên Lộc</t>
  </si>
  <si>
    <t>Hồ Thị Cẩm</t>
  </si>
  <si>
    <t>Nguyễn Hương</t>
  </si>
  <si>
    <t>Nguyễn Phúc Hoàng</t>
  </si>
  <si>
    <t>Huế</t>
  </si>
  <si>
    <t>Lê Lâm Quỳnh</t>
  </si>
  <si>
    <t>Lê Nhựt</t>
  </si>
  <si>
    <t>Khanh</t>
  </si>
  <si>
    <t>Nguyễn Trần Gia</t>
  </si>
  <si>
    <t>Phạm La Khánh</t>
  </si>
  <si>
    <t>Trần Ngọc Khánh</t>
  </si>
  <si>
    <t>Thạch Ngọc</t>
  </si>
  <si>
    <t>Nguyễn Công</t>
  </si>
  <si>
    <t>Đinh Thị Trà</t>
  </si>
  <si>
    <t>Nguyễn Thanh Trà</t>
  </si>
  <si>
    <t>Lê Thuý</t>
  </si>
  <si>
    <t>Ngô Thị Bích</t>
  </si>
  <si>
    <t>Nguyễn Huỳnh Khánh</t>
  </si>
  <si>
    <t>Dương Yến</t>
  </si>
  <si>
    <t>Lê Phạm Yến</t>
  </si>
  <si>
    <t>Trần Tuyết</t>
  </si>
  <si>
    <t>Phạm Nguyễn Bảo</t>
  </si>
  <si>
    <t>Trần Thị Yến</t>
  </si>
  <si>
    <t>Nguyễn Phúc Minh</t>
  </si>
  <si>
    <t>Nguyễn Thị Ánh</t>
  </si>
  <si>
    <t>Nguyễn Thị Hoài</t>
  </si>
  <si>
    <t>Văn Thị Hồng</t>
  </si>
  <si>
    <t>Nguyễn Việt</t>
  </si>
  <si>
    <t>Phạm Ái</t>
  </si>
  <si>
    <t>Nguyễn Ngọc Tố</t>
  </si>
  <si>
    <t>Thạch Thị Bảo</t>
  </si>
  <si>
    <t>Nguyễn Sỹ</t>
  </si>
  <si>
    <t>Dương Đức</t>
  </si>
  <si>
    <t>Hà Thị Thanh</t>
  </si>
  <si>
    <t>Lê Thị Thu</t>
  </si>
  <si>
    <t>Trần Thị Phương</t>
  </si>
  <si>
    <t>Hoàng Nhật</t>
  </si>
  <si>
    <t>Nguyễn Trần Hoàng Chí</t>
  </si>
  <si>
    <t>Nguyễn Thái Hoàng</t>
  </si>
  <si>
    <t>Phạm Thị Minh</t>
  </si>
  <si>
    <t>Đinh Trung</t>
  </si>
  <si>
    <t>Dương Trọng</t>
  </si>
  <si>
    <t>Nguyễn Lê Thuỳ</t>
  </si>
  <si>
    <t>Võ Ái</t>
  </si>
  <si>
    <t>Ngô Trần Tường</t>
  </si>
  <si>
    <t>Huỳnh Phan Anh</t>
  </si>
  <si>
    <t>Vượng</t>
  </si>
  <si>
    <t>Hoàng Ngọc Ánh</t>
  </si>
  <si>
    <t>Lê Trần Thảo</t>
  </si>
  <si>
    <t>Nguyễn Tường</t>
  </si>
  <si>
    <t>Phạm Hoài Phương</t>
  </si>
  <si>
    <t>Nguyễn Hoàng Như</t>
  </si>
  <si>
    <t>Nguyễn Hồ Gia</t>
  </si>
  <si>
    <t>10AS5</t>
  </si>
  <si>
    <t>Bùi Quốc</t>
  </si>
  <si>
    <t>Đỗ Hà Trúc</t>
  </si>
  <si>
    <t>Lê Khả</t>
  </si>
  <si>
    <t>Nguyễn Lại Phương</t>
  </si>
  <si>
    <t>Triệu Nguyễn Ngọc</t>
  </si>
  <si>
    <t>Phạm Băng</t>
  </si>
  <si>
    <t>Huỳnh Hà Bảo</t>
  </si>
  <si>
    <t>Lê Ngọc Minh</t>
  </si>
  <si>
    <t>Chiến</t>
  </si>
  <si>
    <t>Nguyễn Hồ Bảo</t>
  </si>
  <si>
    <t>Trần Phương</t>
  </si>
  <si>
    <t>Đặng Nguyễn Tùng</t>
  </si>
  <si>
    <t>Lê Hà Thùy</t>
  </si>
  <si>
    <t>Nguyễn Thị Thùy</t>
  </si>
  <si>
    <t>Trần Thành</t>
  </si>
  <si>
    <t>Nguyễn Khắc Minh</t>
  </si>
  <si>
    <t>Trịnh Nguyễn Thành</t>
  </si>
  <si>
    <t>Trần Nhựt</t>
  </si>
  <si>
    <t>Đỗ Thụy Ngọc</t>
  </si>
  <si>
    <t>Nguyễn Ngọc Gia</t>
  </si>
  <si>
    <t>Lại Văn</t>
  </si>
  <si>
    <t>Ngô Trần Trọng</t>
  </si>
  <si>
    <t>Nguyễn Thu</t>
  </si>
  <si>
    <t>Lê Nhật Gia</t>
  </si>
  <si>
    <t>Phạm Nguyễn Huy</t>
  </si>
  <si>
    <t>Hoàng Thị Thu</t>
  </si>
  <si>
    <t>Phùng Nguyễn Quốc</t>
  </si>
  <si>
    <t>Tạ Quang</t>
  </si>
  <si>
    <t>Phạm Thành</t>
  </si>
  <si>
    <t>Phan Bảo</t>
  </si>
  <si>
    <t>Nguyễn Hoàng Mai</t>
  </si>
  <si>
    <t>Hồ Minh</t>
  </si>
  <si>
    <t>Phạm Trần Duy</t>
  </si>
  <si>
    <t>Trịnh Nguyễn Hoàng</t>
  </si>
  <si>
    <t>Võ Hoàng</t>
  </si>
  <si>
    <t>Huỳnh Đăng</t>
  </si>
  <si>
    <t>Hứa Đức</t>
  </si>
  <si>
    <t>Lê Anh</t>
  </si>
  <si>
    <t>Cao Nguyễn Phương</t>
  </si>
  <si>
    <t>Ngô Phương</t>
  </si>
  <si>
    <t>Nguyễn Thị Hương</t>
  </si>
  <si>
    <t>Đinh Ngọc</t>
  </si>
  <si>
    <t>Lê Ngọc Khánh</t>
  </si>
  <si>
    <t>Văn Thị Thùy</t>
  </si>
  <si>
    <t>Huỳnh Thanh</t>
  </si>
  <si>
    <t>Nguyễn Thái Thành</t>
  </si>
  <si>
    <t>Trần Lý Trúc</t>
  </si>
  <si>
    <t>Trần Nguyễn Đức</t>
  </si>
  <si>
    <t>Trần Nhật</t>
  </si>
  <si>
    <t>Đỗ Ngọc Trà</t>
  </si>
  <si>
    <t>Cao Bảo</t>
  </si>
  <si>
    <t>Mai Trung</t>
  </si>
  <si>
    <t>Phạm Bảo</t>
  </si>
  <si>
    <t>Phạm Vũ Tuấn</t>
  </si>
  <si>
    <t>Trần Hồng Hải</t>
  </si>
  <si>
    <t>Ngà</t>
  </si>
  <si>
    <t>Trần Vũ Gia</t>
  </si>
  <si>
    <t>Hồ Dương Như</t>
  </si>
  <si>
    <t>Ngô Khánh</t>
  </si>
  <si>
    <t>Trần Như</t>
  </si>
  <si>
    <t>Lê Ngọc Thảo</t>
  </si>
  <si>
    <t>Ngô Xuân</t>
  </si>
  <si>
    <t>Nguyễn Lương Minh</t>
  </si>
  <si>
    <t>Đặng Thị Yến</t>
  </si>
  <si>
    <t>Lê Trần Yến</t>
  </si>
  <si>
    <t>Nguyễn Lê Uyên</t>
  </si>
  <si>
    <t>Mạc Đăng</t>
  </si>
  <si>
    <t>Huỳnh Nguyễn Minh</t>
  </si>
  <si>
    <t>Phan Nguyễn Minh</t>
  </si>
  <si>
    <t>Đào Ngọc Diễm</t>
  </si>
  <si>
    <t>Lục Đình</t>
  </si>
  <si>
    <t>Phạm Trần Phương</t>
  </si>
  <si>
    <t>Nguyễn Viết</t>
  </si>
  <si>
    <t>Thạch Huy</t>
  </si>
  <si>
    <t>Bùi Bá</t>
  </si>
  <si>
    <t>Hoàng Thị Hoài</t>
  </si>
  <si>
    <t>Lê Nguyễn Minh</t>
  </si>
  <si>
    <t>Trần Thị Anh</t>
  </si>
  <si>
    <t>Trần Nguyễn Duy</t>
  </si>
  <si>
    <t>Thức</t>
  </si>
  <si>
    <t>Vũ Thị Bảo</t>
  </si>
  <si>
    <t>Châu Hoàng Minh</t>
  </si>
  <si>
    <t>Dương Cẩm</t>
  </si>
  <si>
    <t>Chu Nguyễn</t>
  </si>
  <si>
    <t>Ngân Nhật</t>
  </si>
  <si>
    <t>Danh Nguyễn Phúc</t>
  </si>
  <si>
    <t>Đỗ Tú</t>
  </si>
  <si>
    <t>Trịnh Thị Mỹ</t>
  </si>
  <si>
    <t>Phạm Nguyễn Tuyết</t>
  </si>
  <si>
    <t>Võ Bùi Thanh</t>
  </si>
  <si>
    <t>Vàng</t>
  </si>
  <si>
    <t>Phạm Hoàng Quốc</t>
  </si>
  <si>
    <t>Thiều Quang</t>
  </si>
  <si>
    <t>Võ</t>
  </si>
  <si>
    <t>Vương</t>
  </si>
  <si>
    <t>Lê Nguyễn Tường</t>
  </si>
  <si>
    <t>Nguyễn Phi</t>
  </si>
  <si>
    <t>Kpuih Cưm</t>
  </si>
  <si>
    <t>A</t>
  </si>
  <si>
    <t>Lê Nguyễn Quỳnh</t>
  </si>
  <si>
    <t>Nguyễn Thọ Tuấn</t>
  </si>
  <si>
    <t>Nguyễn Trịnh Hoài</t>
  </si>
  <si>
    <t>Châu Gia</t>
  </si>
  <si>
    <t>Trịnh Quốc</t>
  </si>
  <si>
    <t>Vũ Quý Công</t>
  </si>
  <si>
    <t>Cao Hà Thùy</t>
  </si>
  <si>
    <t>Lưu Tuyết</t>
  </si>
  <si>
    <t>Lê Châu Tuấn</t>
  </si>
  <si>
    <t>Vũ Tấn</t>
  </si>
  <si>
    <t>Kpuih H</t>
  </si>
  <si>
    <t>Ha</t>
  </si>
  <si>
    <t>Chu Ngọc</t>
  </si>
  <si>
    <t>Lương Thái</t>
  </si>
  <si>
    <t>Trần Trấn</t>
  </si>
  <si>
    <t>Hiên</t>
  </si>
  <si>
    <t>Đặng Khải</t>
  </si>
  <si>
    <t>Trương Khắc</t>
  </si>
  <si>
    <t>Võ Nguyễn Hoàng</t>
  </si>
  <si>
    <t>Nguyễn Thị Mộng</t>
  </si>
  <si>
    <t>Phan Lê Duy</t>
  </si>
  <si>
    <t>Lưu Vũ Anh</t>
  </si>
  <si>
    <t>Mai Minh</t>
  </si>
  <si>
    <t>Trần Thị Mỹ</t>
  </si>
  <si>
    <t>Cao Hùng</t>
  </si>
  <si>
    <t>Liêm</t>
  </si>
  <si>
    <t>Nguyễn Minh Ngọc</t>
  </si>
  <si>
    <t>Mai Văn</t>
  </si>
  <si>
    <t>Trần Vũ</t>
  </si>
  <si>
    <t>Mẫn</t>
  </si>
  <si>
    <t>Ngô Nguyễn Hà</t>
  </si>
  <si>
    <t>Chu Thị Bích</t>
  </si>
  <si>
    <t>Diệp Văn Nhật</t>
  </si>
  <si>
    <t>Nguyễn Thị Diễm</t>
  </si>
  <si>
    <t>Nguyễn Hiếu</t>
  </si>
  <si>
    <t>Đinh Thị Hồng</t>
  </si>
  <si>
    <t>Hoàng Bảo</t>
  </si>
  <si>
    <t>Nguyễn Trần Bích</t>
  </si>
  <si>
    <t>Huỳnh Nguyễn Khôi</t>
  </si>
  <si>
    <t>Phạm Hoàng Minh</t>
  </si>
  <si>
    <t>Cao Ngọc Băng</t>
  </si>
  <si>
    <t>Đào Ngọc Yến</t>
  </si>
  <si>
    <t>Văn Ngọc Phương</t>
  </si>
  <si>
    <t>Trần Phạm Hữu</t>
  </si>
  <si>
    <t>Nguyễn Hồng</t>
  </si>
  <si>
    <t>Nguyễn Xuân Nhật</t>
  </si>
  <si>
    <t>Nguyễn Thị Anh</t>
  </si>
  <si>
    <t>Trần Nguyễn Thuỷ</t>
  </si>
  <si>
    <t>Bùi Viết</t>
  </si>
  <si>
    <t>Dương Ngọc Kim</t>
  </si>
  <si>
    <t>Phạm Chí</t>
  </si>
  <si>
    <t>Phạm Thị Hồng</t>
  </si>
  <si>
    <t>Huỳnh Tường</t>
  </si>
  <si>
    <t>Lê Phúc Thảo</t>
  </si>
  <si>
    <t>Lâm Thị Hải</t>
  </si>
  <si>
    <t>Đỗ Thị Lan</t>
  </si>
  <si>
    <t>11AS1</t>
  </si>
  <si>
    <t>11AS2</t>
  </si>
  <si>
    <t>Huỳnh Phạm Trúc</t>
  </si>
  <si>
    <t>Lê Ngọc Quỳnh</t>
  </si>
  <si>
    <t>11AS3</t>
  </si>
  <si>
    <t>Lư Hoàng</t>
  </si>
  <si>
    <t>Lương Hồng</t>
  </si>
  <si>
    <t>Nguyễn Lâm</t>
  </si>
  <si>
    <t>Nguyễn Vũ Hoài</t>
  </si>
  <si>
    <t>Nguyễn Vũ Quỳnh</t>
  </si>
  <si>
    <t>Phạm Nguyễn Thiên</t>
  </si>
  <si>
    <t>Đặng Thị Ngọc</t>
  </si>
  <si>
    <t>Trần Lê Thế</t>
  </si>
  <si>
    <t>Nguyễn Phạm Khánh</t>
  </si>
  <si>
    <t>Lê Quế</t>
  </si>
  <si>
    <t>Lưu Quốc</t>
  </si>
  <si>
    <t>Phạm Thị Ngọc</t>
  </si>
  <si>
    <t>Lê Phan Quang</t>
  </si>
  <si>
    <t>Nguyễn Cảnh</t>
  </si>
  <si>
    <t>Phan Đức</t>
  </si>
  <si>
    <t>Mai Ngọc Thuỳ</t>
  </si>
  <si>
    <t>Phạm Trần Mỹ</t>
  </si>
  <si>
    <t>Hoàng Diên</t>
  </si>
  <si>
    <t>Phạm Nguyễn Hoàng</t>
  </si>
  <si>
    <t>Đoàn Thế Quốc</t>
  </si>
  <si>
    <t>Nguyễn Thị Thúy</t>
  </si>
  <si>
    <t>Dương Thành</t>
  </si>
  <si>
    <t>Trần Thị Hồng</t>
  </si>
  <si>
    <t>Mai Quang</t>
  </si>
  <si>
    <t>Hồ Ngọc Khánh</t>
  </si>
  <si>
    <t>Đỗ Tấn</t>
  </si>
  <si>
    <t>Đoàn Dương Tấn</t>
  </si>
  <si>
    <t>Lâm Chánh</t>
  </si>
  <si>
    <t>Thạch Duy</t>
  </si>
  <si>
    <t>Đoàn Anh</t>
  </si>
  <si>
    <t>Nguyễn Nguyên Nhã</t>
  </si>
  <si>
    <t>Nguyễn Đỗ Tùng</t>
  </si>
  <si>
    <t>Nguyễn Thị Nguyệt</t>
  </si>
  <si>
    <t>Trần Nguyễn Gia</t>
  </si>
  <si>
    <t>Lê Viết</t>
  </si>
  <si>
    <t>Đinh Thành</t>
  </si>
  <si>
    <t>Võ Thị</t>
  </si>
  <si>
    <t>Thái Nguyễn Ngọc</t>
  </si>
  <si>
    <t>Hà Thảo</t>
  </si>
  <si>
    <t>Lâm Ngọc Kiều</t>
  </si>
  <si>
    <t>Lê Thảo</t>
  </si>
  <si>
    <t>Lư Trà</t>
  </si>
  <si>
    <t>Nguyễn Ngọc Trà</t>
  </si>
  <si>
    <t>Nguyễn Thảo</t>
  </si>
  <si>
    <t>Võ Thảo</t>
  </si>
  <si>
    <t>Hoàng Nguyễn Quý</t>
  </si>
  <si>
    <t>Khương Mạnh</t>
  </si>
  <si>
    <t>Nguyễn Huy Mỹ</t>
  </si>
  <si>
    <t>Nguyễn Thái Ngọc</t>
  </si>
  <si>
    <t>Lê Nguyễn Thanh Trúc</t>
  </si>
  <si>
    <t>Lê Hoàng Khánh</t>
  </si>
  <si>
    <t>Nguyễn Ánh</t>
  </si>
  <si>
    <t>Đặng Ngọc Tuyết</t>
  </si>
  <si>
    <t>Lê Uyên</t>
  </si>
  <si>
    <t>Nguyễn Ngọc Uyên</t>
  </si>
  <si>
    <t>Thạch Mỹ</t>
  </si>
  <si>
    <t>Lê Thị Tâm</t>
  </si>
  <si>
    <t>Mai Quỳnh</t>
  </si>
  <si>
    <t>Phạm Quỳnh</t>
  </si>
  <si>
    <t>Hà Triệu</t>
  </si>
  <si>
    <t>Hoàng Lưu Hồng</t>
  </si>
  <si>
    <t>Nguyễn Nguyễn Gia</t>
  </si>
  <si>
    <t>Võ Gia</t>
  </si>
  <si>
    <t>Hồ Thanh Hoàng</t>
  </si>
  <si>
    <t>Trần Thái Mai</t>
  </si>
  <si>
    <t>Đinh Thị Như</t>
  </si>
  <si>
    <t>Nguyễn Tất</t>
  </si>
  <si>
    <t>Huỳnh Công</t>
  </si>
  <si>
    <t>Trần Hoàng Minh</t>
  </si>
  <si>
    <t>Trịnh Ngọc Thanh</t>
  </si>
  <si>
    <t>Vũ Đỗ Minh</t>
  </si>
  <si>
    <t>Đỗ Nhật</t>
  </si>
  <si>
    <t>Dương Hoài</t>
  </si>
  <si>
    <t>Huỳnh Lê Minh</t>
  </si>
  <si>
    <t>Huỳnh Thị Minh</t>
  </si>
  <si>
    <t>Lê Hà Anh</t>
  </si>
  <si>
    <t>Lý Minh</t>
  </si>
  <si>
    <t>Nguyễn Kim</t>
  </si>
  <si>
    <t>Phạm Thủy</t>
  </si>
  <si>
    <t>Trương Lê Ngọc Bảo</t>
  </si>
  <si>
    <t>Vũ Mạnh</t>
  </si>
  <si>
    <t>Hoàng Nguyễn Hà</t>
  </si>
  <si>
    <t>Ngô Thị Kim</t>
  </si>
  <si>
    <t>Nguyễn Trương Ngọc Bảo</t>
  </si>
  <si>
    <t>Nguyễn Võ Anh</t>
  </si>
  <si>
    <t>Nguyễn Khoa Anh</t>
  </si>
  <si>
    <t>Chu Hoàng</t>
  </si>
  <si>
    <t>Hoàng Đặng Quang</t>
  </si>
  <si>
    <t>Phan Diễm Như</t>
  </si>
  <si>
    <t>Nguyễn Thị Hải</t>
  </si>
  <si>
    <t>Nguyễn Điễn Văn</t>
  </si>
  <si>
    <t>11AT1</t>
  </si>
  <si>
    <t>Lê Phan</t>
  </si>
  <si>
    <t>11AT2</t>
  </si>
  <si>
    <t>Nguyễn Kỳ</t>
  </si>
  <si>
    <t>Nguyễn Thanh Tú</t>
  </si>
  <si>
    <t>Nguyễn Thị Hoàng</t>
  </si>
  <si>
    <t>Phạm Trần Gia</t>
  </si>
  <si>
    <t>Trần Nguyễn Chi</t>
  </si>
  <si>
    <t>Kim Hùng</t>
  </si>
  <si>
    <t>Lê Thị Thúy</t>
  </si>
  <si>
    <t>Diền</t>
  </si>
  <si>
    <t>Huỳnh Cẩm</t>
  </si>
  <si>
    <t>Vũ Đăng Ngọc</t>
  </si>
  <si>
    <t>Lê Nguyễn Khánh</t>
  </si>
  <si>
    <t>Đan</t>
  </si>
  <si>
    <t>Dương Phạm Trí</t>
  </si>
  <si>
    <t>Phan Thị Thu</t>
  </si>
  <si>
    <t>Huệ</t>
  </si>
  <si>
    <t>Lê Hoàng Gia</t>
  </si>
  <si>
    <t>Đặng Hoàng Gia</t>
  </si>
  <si>
    <t>Đỗ Duy</t>
  </si>
  <si>
    <t>Nguyễn Trần Minh</t>
  </si>
  <si>
    <t>Lê Hoàng Anh</t>
  </si>
  <si>
    <t>Võ Ngọc Thiên</t>
  </si>
  <si>
    <t>Lê Nguyễn Hoàng</t>
  </si>
  <si>
    <t>Lê Nguyễn Xuân</t>
  </si>
  <si>
    <t>Hoàng Thị Trà</t>
  </si>
  <si>
    <t>Phạm Trà</t>
  </si>
  <si>
    <t>Nguyễn Khoa</t>
  </si>
  <si>
    <t>Lưu Thiên</t>
  </si>
  <si>
    <t>Đinh Ngọc Uyên</t>
  </si>
  <si>
    <t>Đoàn Ngọc Xuân</t>
  </si>
  <si>
    <t>Nguyễn Ngọc Đông</t>
  </si>
  <si>
    <t>Thái Văn</t>
  </si>
  <si>
    <t>Nghiệm</t>
  </si>
  <si>
    <t>Dương Nguyễn Kim</t>
  </si>
  <si>
    <t>Ngô Hà Minh</t>
  </si>
  <si>
    <t>Doãn Thị Thảo</t>
  </si>
  <si>
    <t>Nhất</t>
  </si>
  <si>
    <t>Đào Thị Yến</t>
  </si>
  <si>
    <t>Vũ Ngọc Nguyệt</t>
  </si>
  <si>
    <t>Trần Nam</t>
  </si>
  <si>
    <t>Dương Hoàng</t>
  </si>
  <si>
    <t>Phụng</t>
  </si>
  <si>
    <t>Bùi Diễm Ngọc</t>
  </si>
  <si>
    <t>Hoàng Hữu</t>
  </si>
  <si>
    <t>Dương Hồng</t>
  </si>
  <si>
    <t>Lưu Thanh</t>
  </si>
  <si>
    <t>Cao Thị Phương</t>
  </si>
  <si>
    <t>Trần Thị Mai</t>
  </si>
  <si>
    <t>Trần Phước</t>
  </si>
  <si>
    <t>Đặng Huy</t>
  </si>
  <si>
    <t>Đặng Khánh</t>
  </si>
  <si>
    <t>Hoàng Thu</t>
  </si>
  <si>
    <t>Dương Anh</t>
  </si>
  <si>
    <t>Vũ Ngọc Minh</t>
  </si>
  <si>
    <t>Nguyễn Võ Bảo</t>
  </si>
  <si>
    <t>Vũ Thùy</t>
  </si>
  <si>
    <t>Nguyễn Phạm Bảo</t>
  </si>
  <si>
    <t>Đào Thụy Nhã</t>
  </si>
  <si>
    <t>Nghiêm Huỳnh Thanh</t>
  </si>
  <si>
    <t>Trần Yến Thanh</t>
  </si>
  <si>
    <t>Nguyễn Lê Tỷ</t>
  </si>
  <si>
    <t>Tỷ</t>
  </si>
  <si>
    <t>Lê Mai Thảo</t>
  </si>
  <si>
    <t>Phan Đình</t>
  </si>
  <si>
    <t>Trịnh Khắc</t>
  </si>
  <si>
    <t>Vu</t>
  </si>
  <si>
    <t>Phan Thị Tường</t>
  </si>
  <si>
    <t>Trương Thị Như</t>
  </si>
  <si>
    <t>Lê Nguyễn Trường</t>
  </si>
  <si>
    <t>11AT3</t>
  </si>
  <si>
    <t>Trịnh Thành</t>
  </si>
  <si>
    <t>11AT4</t>
  </si>
  <si>
    <t>Đặng Vân</t>
  </si>
  <si>
    <t>Hồ Nguyễn Quốc</t>
  </si>
  <si>
    <t>Lê Trương Thị Quỳnh</t>
  </si>
  <si>
    <t>Phạm Nguyễn Quỳnh</t>
  </si>
  <si>
    <t>Trịnh Duy Đức</t>
  </si>
  <si>
    <t>Lê Dương</t>
  </si>
  <si>
    <t>Phan Gia</t>
  </si>
  <si>
    <t>Hoàng Việt</t>
  </si>
  <si>
    <t>Mã Quốc</t>
  </si>
  <si>
    <t>Nguyễn Bình</t>
  </si>
  <si>
    <t>Thân Lê Hoàng</t>
  </si>
  <si>
    <t>Nguyễn Hoàng Tấn</t>
  </si>
  <si>
    <t>Nguyễn Trương Mỹ</t>
  </si>
  <si>
    <t>Vũ Ngọc</t>
  </si>
  <si>
    <t>Đỗ Huỳnh Thanh</t>
  </si>
  <si>
    <t>Lưu Ngọc Quỳnh</t>
  </si>
  <si>
    <t>Đặng Thị Mỹ</t>
  </si>
  <si>
    <t>Hợp</t>
  </si>
  <si>
    <t>Phạm Thiên</t>
  </si>
  <si>
    <t>Tăng Văn</t>
  </si>
  <si>
    <t>Võ Thị Trúc</t>
  </si>
  <si>
    <t>Phạm Bùi Phương</t>
  </si>
  <si>
    <t>Trần Trúc</t>
  </si>
  <si>
    <t>Trần Huệ</t>
  </si>
  <si>
    <t>Mi</t>
  </si>
  <si>
    <t>Hà Thị Diễm</t>
  </si>
  <si>
    <t>Vương Thị Trà</t>
  </si>
  <si>
    <t>Đào Ngọc</t>
  </si>
  <si>
    <t>Huỳnh Thị Mỹ</t>
  </si>
  <si>
    <t>Lê Trần Bảo</t>
  </si>
  <si>
    <t>Nguyễn Ánh Dương</t>
  </si>
  <si>
    <t>Đinh Hoàng Yến</t>
  </si>
  <si>
    <t>Nguyễn Ngọc Yến</t>
  </si>
  <si>
    <t>Nhiên</t>
  </si>
  <si>
    <t>Trần</t>
  </si>
  <si>
    <t>Nguyễn Vĩnh Thiên</t>
  </si>
  <si>
    <t>Nguyễn Phúc Xuyên</t>
  </si>
  <si>
    <t>P.7A</t>
  </si>
  <si>
    <t>Quyết</t>
  </si>
  <si>
    <t>Phạm Đinh Ngọc Nhã</t>
  </si>
  <si>
    <t>Thạch Phan Minh</t>
  </si>
  <si>
    <t>Lý Lã Nhật</t>
  </si>
  <si>
    <t>Lê Thị Hoài</t>
  </si>
  <si>
    <t>Lê Cao Chánh</t>
  </si>
  <si>
    <t>Phạm Lâm Thuỷ</t>
  </si>
  <si>
    <t>Huỳnh Văn</t>
  </si>
  <si>
    <t>Tiền</t>
  </si>
  <si>
    <t>Phùng Bảo</t>
  </si>
  <si>
    <t>Trịnh Công</t>
  </si>
  <si>
    <t>Trần Thị Cẩm</t>
  </si>
  <si>
    <t>Lâm Văn</t>
  </si>
  <si>
    <t>Võ Anh</t>
  </si>
  <si>
    <t>Vũ Ngọc Huy</t>
  </si>
  <si>
    <t>Nguyễn Thị Cát</t>
  </si>
  <si>
    <t>Vũ Tường</t>
  </si>
  <si>
    <t>Tô</t>
  </si>
  <si>
    <t>Vỹ</t>
  </si>
  <si>
    <t>Nguyễn Hoàng Nhã</t>
  </si>
  <si>
    <t>11AT5</t>
  </si>
  <si>
    <t>Huỳnh Thị Diệu</t>
  </si>
  <si>
    <t>11AT6</t>
  </si>
  <si>
    <t>Võ Nguyễn Minh</t>
  </si>
  <si>
    <t>Biển</t>
  </si>
  <si>
    <t>Nguyễn Thị Huyền</t>
  </si>
  <si>
    <t>Dủng</t>
  </si>
  <si>
    <t>Nguyễn Trần Nam</t>
  </si>
  <si>
    <t>Nguyễn Hoàng Quốc</t>
  </si>
  <si>
    <t>Cao Thị Thu</t>
  </si>
  <si>
    <t>Lương Văn</t>
  </si>
  <si>
    <t>Hồ</t>
  </si>
  <si>
    <t>Huân</t>
  </si>
  <si>
    <t>Bùi Quang</t>
  </si>
  <si>
    <t>Đoàn Vĩnh</t>
  </si>
  <si>
    <t>Huỳnh Bá</t>
  </si>
  <si>
    <t>Bùi Lê Ngọc</t>
  </si>
  <si>
    <t>Khuê</t>
  </si>
  <si>
    <t>Hồ Yến</t>
  </si>
  <si>
    <t>Đặng Phương</t>
  </si>
  <si>
    <t>Phan Hoài Trúc</t>
  </si>
  <si>
    <t>Trần Thị Thùy</t>
  </si>
  <si>
    <t>Vũ Tiến</t>
  </si>
  <si>
    <t>Mai Thị Ngọc</t>
  </si>
  <si>
    <t>Nguyễn Tín</t>
  </si>
  <si>
    <t>Trần Đại</t>
  </si>
  <si>
    <t>Trịnh Trọng</t>
  </si>
  <si>
    <t>Mai Khánh</t>
  </si>
  <si>
    <t>Nguyễn Ngô Nguyên</t>
  </si>
  <si>
    <t>Bùi Thị Hoàng</t>
  </si>
  <si>
    <t>Đào Thị Quỳnh</t>
  </si>
  <si>
    <t>Trần Ngọc Tâm</t>
  </si>
  <si>
    <t>Nguyễn Thành Thuỷ</t>
  </si>
  <si>
    <t>Nguyễn Huỳnh Như</t>
  </si>
  <si>
    <t>Phạm Hoàng Yến</t>
  </si>
  <si>
    <t>Huỳnh Trúc</t>
  </si>
  <si>
    <t>Trần Thị Thảo</t>
  </si>
  <si>
    <t>Trần Tố</t>
  </si>
  <si>
    <t>Sỹ</t>
  </si>
  <si>
    <t>Đoàn Công</t>
  </si>
  <si>
    <t>Thoa</t>
  </si>
  <si>
    <t>Huỳnh Ngọc Bảo</t>
  </si>
  <si>
    <t>Trần Đặng Trúc</t>
  </si>
  <si>
    <t>Hà Hải Khánh</t>
  </si>
  <si>
    <t>Nguyễn Đặng Mỹ</t>
  </si>
  <si>
    <t>Thái Đỗ Hoàng</t>
  </si>
  <si>
    <t>Tổng</t>
  </si>
  <si>
    <t>Nguyễn Thị Hiền</t>
  </si>
  <si>
    <t>Nguyễn Huy Mạnh</t>
  </si>
  <si>
    <t>Lữ Huỳnh Tinh</t>
  </si>
  <si>
    <t>Dương Thị Bích</t>
  </si>
  <si>
    <t>Thạch Thị Cẩm</t>
  </si>
  <si>
    <t>Trương Lê Kim</t>
  </si>
  <si>
    <t>Lê Thị Ánh</t>
  </si>
  <si>
    <t>Đồng Võ Uyên</t>
  </si>
  <si>
    <t>Hà Thị Khánh</t>
  </si>
  <si>
    <t>Dương Phạm Hải</t>
  </si>
  <si>
    <t>Tống Cát Hoàng</t>
  </si>
  <si>
    <t>11AT7</t>
  </si>
  <si>
    <t>Hà Kiều</t>
  </si>
  <si>
    <t>Lê Đoàn Thái</t>
  </si>
  <si>
    <t>Chung</t>
  </si>
  <si>
    <t>Nguyễn Trần Tấn</t>
  </si>
  <si>
    <t>Nguyễn Hải</t>
  </si>
  <si>
    <t>Trà Thị Ngọc</t>
  </si>
  <si>
    <t>Giàu</t>
  </si>
  <si>
    <t>Nguyễn Thanh Thu</t>
  </si>
  <si>
    <t>Hoài</t>
  </si>
  <si>
    <t>Đào Sĩ</t>
  </si>
  <si>
    <t>Đỗ Hữu Gia</t>
  </si>
  <si>
    <t>Nguyễn Lê Quỳnh</t>
  </si>
  <si>
    <t>Lê Phương</t>
  </si>
  <si>
    <t>Lê Thị Tuyết</t>
  </si>
  <si>
    <t>Nguyễn Trương Gia</t>
  </si>
  <si>
    <t>Phạm Trần Ngọc</t>
  </si>
  <si>
    <t>Nguyễn Hoàng Bảo</t>
  </si>
  <si>
    <t>Võ Thị Cẩm</t>
  </si>
  <si>
    <t>Nguyễn Lê An</t>
  </si>
  <si>
    <t>Lê Lưu Tiến</t>
  </si>
  <si>
    <t>Lê Đoàn Phương</t>
  </si>
  <si>
    <t>Lê Nhật</t>
  </si>
  <si>
    <t>Nguyễn Trần Tuấn</t>
  </si>
  <si>
    <t>Nguyễn Lê Ngọc</t>
  </si>
  <si>
    <t>Lê Ngọc Thuý</t>
  </si>
  <si>
    <t>11AT8</t>
  </si>
  <si>
    <t>Khiếu Nguyễn Phương</t>
  </si>
  <si>
    <t>Ngô Tuấn</t>
  </si>
  <si>
    <t>Lê Dương Nguyên</t>
  </si>
  <si>
    <t>Ao Thanh</t>
  </si>
  <si>
    <t>Phạm Đào Thùy</t>
  </si>
  <si>
    <t>Lê Nguyễn Quốc</t>
  </si>
  <si>
    <t>Phạm Mỹ Hồng</t>
  </si>
  <si>
    <t>Lê Tam</t>
  </si>
  <si>
    <t>Đoàn Nguyễn Thanh</t>
  </si>
  <si>
    <t>Võ Công</t>
  </si>
  <si>
    <t>Huỳnh</t>
  </si>
  <si>
    <t>Võ Thiên</t>
  </si>
  <si>
    <t>Mai Thị Bích</t>
  </si>
  <si>
    <t>Trần Vũ Minh</t>
  </si>
  <si>
    <t>Phạm Thị Phương</t>
  </si>
  <si>
    <t>Nguyễn Ngọc Như</t>
  </si>
  <si>
    <t>Võ Thái</t>
  </si>
  <si>
    <t>Bùi Hồ Minh</t>
  </si>
  <si>
    <t>Phạm Thuỳ</t>
  </si>
  <si>
    <t>Trần Thị Quỳnh</t>
  </si>
  <si>
    <t>Dương Bùi Ngọc</t>
  </si>
  <si>
    <t>Hoàng Thị Ánh</t>
  </si>
  <si>
    <t>Nguyễn Quang Tiến</t>
  </si>
  <si>
    <t>Trần Tiến</t>
  </si>
  <si>
    <t>Hồ Nguyễn Ngọc</t>
  </si>
  <si>
    <t>Hạnh</t>
  </si>
  <si>
    <t>Đoàn Trần Ngọc</t>
  </si>
  <si>
    <t>Trần Trọng</t>
  </si>
  <si>
    <t>Trần Huỳnh</t>
  </si>
  <si>
    <t>Tô Nhật</t>
  </si>
  <si>
    <t>Nguyễn Lê Trung</t>
  </si>
  <si>
    <t>Trần Hồng Hạnh</t>
  </si>
  <si>
    <t>Hoàng Đại</t>
  </si>
  <si>
    <t>Trần Văn Tuấn</t>
  </si>
  <si>
    <t>Võ Hồng</t>
  </si>
  <si>
    <t>Đinh Nguyễn Minh</t>
  </si>
  <si>
    <t>Trần Mai</t>
  </si>
  <si>
    <t>Ngô Tùng</t>
  </si>
  <si>
    <t>Phạm Quyết</t>
  </si>
  <si>
    <t>Thọ</t>
  </si>
  <si>
    <t>Dương Hoàng Minh</t>
  </si>
  <si>
    <t>Trần Vũ Chí</t>
  </si>
  <si>
    <t>Lưu Huyền</t>
  </si>
  <si>
    <t>Nguyễn Trần Ánh</t>
  </si>
  <si>
    <t>Nguyễn Đặng Anh</t>
  </si>
  <si>
    <t>Nguyễn Hữu Thanh</t>
  </si>
  <si>
    <t>Lâm Ngọc Thanh</t>
  </si>
  <si>
    <t>Dương Bình</t>
  </si>
  <si>
    <t>Hồ Thị Quỳnh</t>
  </si>
  <si>
    <t>Dương Gia</t>
  </si>
  <si>
    <t>Chu Đăng</t>
  </si>
  <si>
    <t>Trần Nhựt Minh</t>
  </si>
  <si>
    <t>Dương Thu</t>
  </si>
  <si>
    <t>Tôn Thất Anh</t>
  </si>
  <si>
    <t>Đinh Thị</t>
  </si>
  <si>
    <t>Nguyễn Võ Phương</t>
  </si>
  <si>
    <t>Trịnh Minh</t>
  </si>
  <si>
    <t>Trần Thị Hà</t>
  </si>
  <si>
    <t>Trương Triệu</t>
  </si>
  <si>
    <t>Bùi Trần Tuấn</t>
  </si>
  <si>
    <t>Nguyễn Phạm Nhật</t>
  </si>
  <si>
    <t>Mai Huỳnh Khôi</t>
  </si>
  <si>
    <t>Bùi Thị Yến</t>
  </si>
  <si>
    <t>Lê Đào Quỳnh</t>
  </si>
  <si>
    <t>Lê Thiện Tấn</t>
  </si>
  <si>
    <t>Lý Gia</t>
  </si>
  <si>
    <t>Phạm Lê Hoàng</t>
  </si>
  <si>
    <t>Hà Anh</t>
  </si>
  <si>
    <t>Huỳnh Diễm</t>
  </si>
  <si>
    <t>Mai Như</t>
  </si>
  <si>
    <t>Vũ Bảo</t>
  </si>
  <si>
    <t>Thúy</t>
  </si>
  <si>
    <t>Văn Uyên</t>
  </si>
  <si>
    <t>Chặc Gia</t>
  </si>
  <si>
    <t>Trần Đức Tuấn</t>
  </si>
  <si>
    <t>Trần Xuân</t>
  </si>
  <si>
    <t>Đoàn Trung</t>
  </si>
  <si>
    <t>Pyo IL</t>
  </si>
  <si>
    <t>Hwan</t>
  </si>
  <si>
    <t>Lê Nguyễn Hữu</t>
  </si>
  <si>
    <t>Bùi Thị Tuyết</t>
  </si>
  <si>
    <t>Dương Quang</t>
  </si>
  <si>
    <t>Tạ Tuyết</t>
  </si>
  <si>
    <t>Trần Thị Khánh</t>
  </si>
  <si>
    <t>Ninh</t>
  </si>
  <si>
    <t>Trần Ngọc Thanh</t>
  </si>
  <si>
    <t>Hoàng Chí</t>
  </si>
  <si>
    <t>Lương Ngọc Phương</t>
  </si>
  <si>
    <t>Nguyễn Bùi Bảo</t>
  </si>
  <si>
    <t>Nguyễn Ái Phương</t>
  </si>
  <si>
    <t>Nguyễn Mai Kiều</t>
  </si>
  <si>
    <t>Thuyết</t>
  </si>
  <si>
    <t>Phan Ngọc Minh</t>
  </si>
  <si>
    <t>Phạm Thị Huyền</t>
  </si>
  <si>
    <t>Trần Lê Thanh</t>
  </si>
  <si>
    <t>Lê Xuân Anh</t>
  </si>
  <si>
    <t>Trịnh Ngọc Yến</t>
  </si>
  <si>
    <t>Đoàn Minh</t>
  </si>
  <si>
    <t>Lê Viết Việt</t>
  </si>
  <si>
    <t>Hồ Gia</t>
  </si>
  <si>
    <t>Nguyễn Lâm Chấn</t>
  </si>
  <si>
    <t>Đông</t>
  </si>
  <si>
    <t>Trịnh Thị Khánh</t>
  </si>
  <si>
    <t>Đoàn Quang</t>
  </si>
  <si>
    <t>Nguyễn Ngọc Tuấn</t>
  </si>
  <si>
    <t>Hoàng Nguyễn Khánh</t>
  </si>
  <si>
    <t>Nguyễn Quỳnh Yến</t>
  </si>
  <si>
    <t>Phạm Thị Yến</t>
  </si>
  <si>
    <t>Phan Trần Ngọc</t>
  </si>
  <si>
    <t>Nguyễn Thị Úc</t>
  </si>
  <si>
    <t>Lynh</t>
  </si>
  <si>
    <t>Nguyễn Huỳnh Thảo</t>
  </si>
  <si>
    <t>Võ Nguyễn Thanh</t>
  </si>
  <si>
    <t>Lâm Thị Tâm</t>
  </si>
  <si>
    <t>Thân Trọng</t>
  </si>
  <si>
    <t>Phạm Nhã</t>
  </si>
  <si>
    <t>Phạm Vũ Hoài</t>
  </si>
  <si>
    <t>Lê An</t>
  </si>
  <si>
    <t>Lương Anh</t>
  </si>
  <si>
    <t>Trần Thị Kiều</t>
  </si>
  <si>
    <t>Trương Thị Hà</t>
  </si>
  <si>
    <t>Đinh Văn Hoàng</t>
  </si>
  <si>
    <t>Tăng Ngọc</t>
  </si>
  <si>
    <t>Lê Tường</t>
  </si>
  <si>
    <t>Nguyễn Thị Bình</t>
  </si>
  <si>
    <t>Trần Ngọc Minh</t>
  </si>
  <si>
    <t>Đặng Ngọc Minh</t>
  </si>
  <si>
    <t>Đoàn Nguyên Hoàng</t>
  </si>
  <si>
    <t>Sơn Nguyễn Ngọc</t>
  </si>
  <si>
    <t>Trần Đỗ Gia</t>
  </si>
  <si>
    <t>Trương Tôn</t>
  </si>
  <si>
    <t>Phan Nhựt</t>
  </si>
  <si>
    <t>Nguyễn Trần Ngọc</t>
  </si>
  <si>
    <t>Đào Quang</t>
  </si>
  <si>
    <t>Nguyễn Trúc</t>
  </si>
  <si>
    <t>Phan Khánh</t>
  </si>
  <si>
    <t>Phan Thị Tuyết</t>
  </si>
  <si>
    <t>Lê Nguyễn Thanh</t>
  </si>
  <si>
    <t>Đinh Thị Yến</t>
  </si>
  <si>
    <t>Phan Thị Thảo</t>
  </si>
  <si>
    <t>Trần Kim Trúc</t>
  </si>
  <si>
    <t>Phan Như</t>
  </si>
  <si>
    <t>Đỗ Thị Nguyên</t>
  </si>
  <si>
    <t>Trịnh Lê</t>
  </si>
  <si>
    <t>Phạm Xuân</t>
  </si>
  <si>
    <t>Nguyễn Lê Thanh</t>
  </si>
  <si>
    <t>Thơm</t>
  </si>
  <si>
    <t>Bạch Thị Thu</t>
  </si>
  <si>
    <t>Phạm Đỗ Minh</t>
  </si>
  <si>
    <t>Lý Kim</t>
  </si>
  <si>
    <t>Đào Nguyễn Minh</t>
  </si>
  <si>
    <t>Vũ Trần Ngọc</t>
  </si>
  <si>
    <t>Phan Lê Thành</t>
  </si>
  <si>
    <t>Đào Ngọc Thanh</t>
  </si>
  <si>
    <t>Nguyễn Hoàng Khánh</t>
  </si>
  <si>
    <t>Nguyễn Hữu Tuấn</t>
  </si>
  <si>
    <t>Mai Đoàn Hồng</t>
  </si>
  <si>
    <t>Bùi Trí</t>
  </si>
  <si>
    <t>Trần Hoàng Chí</t>
  </si>
  <si>
    <t>Nguyễn Thụy Thanh</t>
  </si>
  <si>
    <t>Phan Trung</t>
  </si>
  <si>
    <t>Nguyễn Ích Thanh</t>
  </si>
  <si>
    <t>Bùi Nguyễn Thúy</t>
  </si>
  <si>
    <t>Nguyễn Bảo Gia</t>
  </si>
  <si>
    <t>Phạm Hoài</t>
  </si>
  <si>
    <t>Lữ Huỳnh Anh</t>
  </si>
  <si>
    <t>Lưu Ngọc</t>
  </si>
  <si>
    <t>Nguyễn Trà</t>
  </si>
  <si>
    <t>Đặng Ngọc Uyên</t>
  </si>
  <si>
    <t>Đặng Võ Yến</t>
  </si>
  <si>
    <t>Trần Ngọc Yến</t>
  </si>
  <si>
    <t>Hồ Xuân</t>
  </si>
  <si>
    <t>Lê Mai</t>
  </si>
  <si>
    <t>Trần Phạm Nam</t>
  </si>
  <si>
    <t>Lý Đa</t>
  </si>
  <si>
    <t>Ra</t>
  </si>
  <si>
    <t>Phạm Nguyên</t>
  </si>
  <si>
    <t>Hoàng Thủy</t>
  </si>
  <si>
    <t>Tạ Minh</t>
  </si>
  <si>
    <t>Ngô Thị Quỳnh</t>
  </si>
  <si>
    <t>Ngô Cẩm</t>
  </si>
  <si>
    <t>Thạch Thị Bé</t>
  </si>
  <si>
    <t>Tống Cao Hoài</t>
  </si>
  <si>
    <t>Ngô Hoàng Gia</t>
  </si>
  <si>
    <t>Cừ</t>
  </si>
  <si>
    <t>Phan Gia Thành</t>
  </si>
  <si>
    <t>Trần Trung</t>
  </si>
  <si>
    <t>Đặng Ngọc Kim</t>
  </si>
  <si>
    <t>Nguyễn Vũ</t>
  </si>
  <si>
    <t>Trần Nguyễn Quốc</t>
  </si>
  <si>
    <t>Lê Hoàng Viết</t>
  </si>
  <si>
    <t>Nguyễn Đông</t>
  </si>
  <si>
    <t>Nguyễn Trần Đăng</t>
  </si>
  <si>
    <t>Ngô Anh</t>
  </si>
  <si>
    <t>Lê Đặng Minh</t>
  </si>
  <si>
    <t>Đồng Minh</t>
  </si>
  <si>
    <t>Trần Hồ Thị Diễm</t>
  </si>
  <si>
    <t>Nguyễn Quốc Bảo</t>
  </si>
  <si>
    <t>Đỗ Thị Kim</t>
  </si>
  <si>
    <t>Bùi Ánh</t>
  </si>
  <si>
    <t>Dương Bảo</t>
  </si>
  <si>
    <t>Nguyễn Trần Tuyết</t>
  </si>
  <si>
    <t>Từ Mẫn</t>
  </si>
  <si>
    <t>Phùng Thu</t>
  </si>
  <si>
    <t>Đỗ Đại</t>
  </si>
  <si>
    <t>Trần Nguyễn Lập</t>
  </si>
  <si>
    <t>Trần Phùng Hồng</t>
  </si>
  <si>
    <t>Nguyễn Phương Thanh</t>
  </si>
  <si>
    <t>Phạm Đặng Thu</t>
  </si>
  <si>
    <t>Đỗ Thị Bảo</t>
  </si>
  <si>
    <t>Đoàn Thị Lệ</t>
  </si>
  <si>
    <t>Đỗ Phạm Anh</t>
  </si>
  <si>
    <t>Phạm Thị Thùy</t>
  </si>
  <si>
    <t>Võ Tố Tú</t>
  </si>
  <si>
    <t>Lê Nguyễn Anh</t>
  </si>
  <si>
    <t>Chương</t>
  </si>
  <si>
    <t>Nguyễn Ngô</t>
  </si>
  <si>
    <t>Huỳnh Phạm Hồng</t>
  </si>
  <si>
    <t>Trần Ngọc Hồng</t>
  </si>
  <si>
    <t>Lê Phạm Ngọc</t>
  </si>
  <si>
    <t>Phan Nguyễn Gia</t>
  </si>
  <si>
    <t>Huỳnh Huy</t>
  </si>
  <si>
    <t>Phùng Thị Thu</t>
  </si>
  <si>
    <t>Lưu Đạt</t>
  </si>
  <si>
    <t>Trần Thái</t>
  </si>
  <si>
    <t>Thái Ngọc</t>
  </si>
  <si>
    <t>Nguyễn Vũ Anh</t>
  </si>
  <si>
    <t>Lê Nguyễn Trà</t>
  </si>
  <si>
    <t>Đào Hoàng Kim</t>
  </si>
  <si>
    <t>Phạm Mỹ</t>
  </si>
  <si>
    <t>Đỗ Quỳnh Tâm</t>
  </si>
  <si>
    <t>Võ Thị Thanh</t>
  </si>
  <si>
    <t>Trương Nhật</t>
  </si>
  <si>
    <t>Trần Diễm</t>
  </si>
  <si>
    <t>Phan Thị Thanh</t>
  </si>
  <si>
    <t>Nguyễn Thủy</t>
  </si>
  <si>
    <t>Dương Quốc</t>
  </si>
  <si>
    <t>Phan Phú</t>
  </si>
  <si>
    <t>Tồn</t>
  </si>
  <si>
    <t>Cao Nguyễn Ngọc</t>
  </si>
  <si>
    <t>Đỗ Trần Trí</t>
  </si>
  <si>
    <t>Lê Thị Mỹ</t>
  </si>
  <si>
    <t>Vũ Hoài Phương</t>
  </si>
  <si>
    <t>Hồ Ngọc Bảo</t>
  </si>
  <si>
    <t>Nguyễn Ngô Ngọc</t>
  </si>
  <si>
    <t>Phan Nguyễn Quỳnh</t>
  </si>
  <si>
    <t>Trần Tiểu</t>
  </si>
  <si>
    <t>Phan Trần Hữu</t>
  </si>
  <si>
    <t>Nguyễn Ngọc Bích</t>
  </si>
  <si>
    <t>Nguyễn Phan Minh</t>
  </si>
  <si>
    <t>Phạm Anh</t>
  </si>
  <si>
    <t>Trần Tùng</t>
  </si>
  <si>
    <t>Nguyễn Võ Khánh</t>
  </si>
  <si>
    <t>Ngô Ngọc Kiều</t>
  </si>
  <si>
    <t>Trần Nguyễn Bảo</t>
  </si>
  <si>
    <t>Trần Hoàng Uyển</t>
  </si>
  <si>
    <t>Huỳnh Hữu</t>
  </si>
  <si>
    <t>Cao Yến</t>
  </si>
  <si>
    <t>Nguyễn Ngọc Tâm</t>
  </si>
  <si>
    <t>Nguyễn Thị Trúc</t>
  </si>
  <si>
    <t>Chu Minh</t>
  </si>
  <si>
    <t>Vũ Xuân</t>
  </si>
  <si>
    <t>Nguyễn Tân Hải</t>
  </si>
  <si>
    <t>Hà Nguyễn Cát</t>
  </si>
  <si>
    <t>Huỳnh Ngọc Yến</t>
  </si>
  <si>
    <t>Phạm Ngọc Kim</t>
  </si>
  <si>
    <t>Trần Ngọc Vân</t>
  </si>
  <si>
    <t>Trần Nguyễn Quỳnh</t>
  </si>
  <si>
    <t>Lê Minh Thiên</t>
  </si>
  <si>
    <t>Phạm Trần Thất Bảo</t>
  </si>
  <si>
    <t>Trần Hoàng Khánh</t>
  </si>
  <si>
    <t>Trần Thị Ánh</t>
  </si>
  <si>
    <t>Lại Hoàng Hải</t>
  </si>
  <si>
    <t>Trương Hồng</t>
  </si>
  <si>
    <t>Trần Phạm Gia</t>
  </si>
  <si>
    <t>Hoàng Thị Thảo</t>
  </si>
  <si>
    <t>Đoàn Khánh</t>
  </si>
  <si>
    <t>Hồ Đắc</t>
  </si>
  <si>
    <t>Phạm Mạnh Tùng</t>
  </si>
  <si>
    <t>Nguyễn Đặng Nhật</t>
  </si>
  <si>
    <t>Nguyễn Hạo</t>
  </si>
  <si>
    <t>Nguyễn Lê Tuấn</t>
  </si>
  <si>
    <t>Hoàng Huỳnh</t>
  </si>
  <si>
    <t>Lê Văn Tuấn</t>
  </si>
  <si>
    <t>Châu Ngọc</t>
  </si>
  <si>
    <t>Nguyễn Hùng</t>
  </si>
  <si>
    <t>Lê Thuận</t>
  </si>
  <si>
    <t>Trần Gia Bảo</t>
  </si>
  <si>
    <t>Ngô Thạch Bích</t>
  </si>
  <si>
    <t>Lê Quang Anh</t>
  </si>
  <si>
    <t>Nguyễn Lê Hoàng Anh</t>
  </si>
  <si>
    <t>Võ Trần Thảo</t>
  </si>
  <si>
    <t>Chung Thị Yến</t>
  </si>
  <si>
    <t>Đỗ Huỳnh Yến</t>
  </si>
  <si>
    <t>Nguyễn Lê Trâm</t>
  </si>
  <si>
    <t>Phạm Huỳnh</t>
  </si>
  <si>
    <t>Tất Như</t>
  </si>
  <si>
    <t>Lê Hùng Thái</t>
  </si>
  <si>
    <t>Phạm Tấn</t>
  </si>
  <si>
    <t>Lý Thị Mỹ</t>
  </si>
  <si>
    <t>Dương Xuân</t>
  </si>
  <si>
    <t>Nguyễn Thị Trung</t>
  </si>
  <si>
    <t>Nguyễn Huỳnh Trầm</t>
  </si>
  <si>
    <t>Lê Hoàng Đăng</t>
  </si>
  <si>
    <t>Huỳnh Ngọc Vũ</t>
  </si>
  <si>
    <t>Lê Vũ Ánh</t>
  </si>
  <si>
    <t>Nguyễn Hoàng Hương</t>
  </si>
  <si>
    <t>Doãn Thanh Châu</t>
  </si>
  <si>
    <t>Phan Thị Kim</t>
  </si>
  <si>
    <t>Vũ Hoàng Minh</t>
  </si>
  <si>
    <t>Trương Phan Ngọc</t>
  </si>
  <si>
    <t>Nguyễn Lâm Phương</t>
  </si>
  <si>
    <t>Nguyễn Hồ Ngọc</t>
  </si>
  <si>
    <t>Lê Nguyễn Hoài</t>
  </si>
  <si>
    <t>Nguyễn Thị Thủy</t>
  </si>
  <si>
    <t>Đinh Thị Thùy</t>
  </si>
  <si>
    <t>Nguyễn Thị Bích</t>
  </si>
  <si>
    <t>Trương</t>
  </si>
  <si>
    <t>Cao Anh</t>
  </si>
  <si>
    <t>Võ Thị Hải</t>
  </si>
  <si>
    <t>Võ Quốc</t>
  </si>
  <si>
    <t>Nguyễn Hữu Hùng</t>
  </si>
  <si>
    <t>Lê Đặng Anh</t>
  </si>
  <si>
    <t>Lưu Nguyễn Gia</t>
  </si>
  <si>
    <t>Nguyễn Huy</t>
  </si>
  <si>
    <t>Nguyễn Huỳnh Đăng</t>
  </si>
  <si>
    <t>Bạch Ngọc Duy</t>
  </si>
  <si>
    <t>Võ Tuyết</t>
  </si>
  <si>
    <t>Phan Hữu</t>
  </si>
  <si>
    <t>Phạm Nguyễn Hồng</t>
  </si>
  <si>
    <t>Nguyễn Lê Khánh</t>
  </si>
  <si>
    <t>Nguyễn Trương Yến</t>
  </si>
  <si>
    <t>Hà Nguyễn Đức</t>
  </si>
  <si>
    <t>Lương Quang</t>
  </si>
  <si>
    <t>Trần Võ Minh</t>
  </si>
  <si>
    <t>Nguyễn Mai Gia Phú</t>
  </si>
  <si>
    <t>Danh Hùng</t>
  </si>
  <si>
    <t>Nguyễn Lê Nhật</t>
  </si>
  <si>
    <t>Đỗ Đức</t>
  </si>
  <si>
    <t>Trịnh Hoàng Thanh</t>
  </si>
  <si>
    <t>Bùi Nguyễn Kiều</t>
  </si>
  <si>
    <t>Tô Thạnh</t>
  </si>
  <si>
    <t>Nguyễn Tú</t>
  </si>
  <si>
    <t>Trần Thị Vân</t>
  </si>
  <si>
    <t>Trần Huỳnh Thanh</t>
  </si>
  <si>
    <t>Rah Lan</t>
  </si>
  <si>
    <t>Hin</t>
  </si>
  <si>
    <t>Hồ Tiến</t>
  </si>
  <si>
    <t>Phan Đặng Thiên</t>
  </si>
  <si>
    <t>Cao Ngọc</t>
  </si>
  <si>
    <t>Huỳnh Nguyễn Tuyết</t>
  </si>
  <si>
    <t>Võ Trần Bảo</t>
  </si>
  <si>
    <t>Dư Gia</t>
  </si>
  <si>
    <t>Trần Nguyễn</t>
  </si>
  <si>
    <t>Kpă</t>
  </si>
  <si>
    <t>Lê Nguyễn Phú</t>
  </si>
  <si>
    <t>Lâm Hữu</t>
  </si>
  <si>
    <t>Thuật</t>
  </si>
  <si>
    <t>Hoàng Lệ</t>
  </si>
  <si>
    <t>Ngô Thị Cẩm</t>
  </si>
  <si>
    <t>Châu Bá</t>
  </si>
  <si>
    <t>Lê Yến Trân</t>
  </si>
  <si>
    <t>Võ Ngọc Thanh</t>
  </si>
  <si>
    <t>Nguyễn Võ Yến</t>
  </si>
  <si>
    <t>Hồ Vân</t>
  </si>
  <si>
    <t>Nguyễn Vân</t>
  </si>
  <si>
    <t>Đỗ Ngọc</t>
  </si>
  <si>
    <t>Lê Huy</t>
  </si>
  <si>
    <t>Hồ Nguyễn Văn Tiến</t>
  </si>
  <si>
    <t>Hồ Thị</t>
  </si>
  <si>
    <t>Lại Thị Minh</t>
  </si>
  <si>
    <t>Tống Trung</t>
  </si>
  <si>
    <t>Nguyễn Tống Anh</t>
  </si>
  <si>
    <t>Nguyễn Hương Li</t>
  </si>
  <si>
    <t>Li</t>
  </si>
  <si>
    <t>Nguyễn Thái Thùy</t>
  </si>
  <si>
    <t>Hoàng Hải</t>
  </si>
  <si>
    <t>Huỳnh Nguyễn Bảo</t>
  </si>
  <si>
    <t>Lê Thị Hằng</t>
  </si>
  <si>
    <t>Nguyễn Đặng Thảo</t>
  </si>
  <si>
    <t>Phạm Thị Tuyết</t>
  </si>
  <si>
    <t>Trầm Ngọc Bảo</t>
  </si>
  <si>
    <t>Võ Đức</t>
  </si>
  <si>
    <t>Võ Nguyễn Hoài</t>
  </si>
  <si>
    <t>Lê Đoàn Anh</t>
  </si>
  <si>
    <t>Đinh</t>
  </si>
  <si>
    <t>Un</t>
  </si>
  <si>
    <t>Lê Thanh Thúy</t>
  </si>
  <si>
    <t>Hoàng Khắc</t>
  </si>
  <si>
    <t>Trần Thị Trân</t>
  </si>
  <si>
    <t>DŨM</t>
  </si>
  <si>
    <t>Lê Thu</t>
  </si>
  <si>
    <t>Bùi Phi</t>
  </si>
  <si>
    <t>Thạch Tuấn</t>
  </si>
  <si>
    <t>Siu</t>
  </si>
  <si>
    <t>Lanh</t>
  </si>
  <si>
    <t>Nguyễn Thị Gia</t>
  </si>
  <si>
    <t>MAH</t>
  </si>
  <si>
    <t>Ngô Vũ Trúc</t>
  </si>
  <si>
    <t>Đào Phạm Quốc</t>
  </si>
  <si>
    <t>Nguyễn Phạm Trúc</t>
  </si>
  <si>
    <t>Võ Phương Hoài</t>
  </si>
  <si>
    <t>Dương Đắc Bảo</t>
  </si>
  <si>
    <t>Nguyễn Đoàn Thu</t>
  </si>
  <si>
    <t>Trần Văn</t>
  </si>
  <si>
    <t>Ngữ</t>
  </si>
  <si>
    <t>Võ Thị Kiều</t>
  </si>
  <si>
    <t>Danh Minh</t>
  </si>
  <si>
    <t>THIÊP</t>
  </si>
  <si>
    <t>Trần Thị Thủy</t>
  </si>
  <si>
    <t>Lã Nguyễn Ngọc</t>
  </si>
  <si>
    <t>Nguyễn Hoàng Ngọc</t>
  </si>
  <si>
    <t>Nặng</t>
  </si>
  <si>
    <t>Trí tuệ, nói</t>
  </si>
  <si>
    <t>COPPY T.KÊ P.THI</t>
  </si>
  <si>
    <t>TỰ LÀM</t>
  </si>
  <si>
    <t>TỔ HỢP 4 (10VH1,2)</t>
  </si>
  <si>
    <t>TỔ HỢP 5 (10VH3,4,5)</t>
  </si>
  <si>
    <r>
      <t xml:space="preserve">TỔ HỢP 3 </t>
    </r>
    <r>
      <rPr>
        <b/>
        <sz val="10"/>
        <color indexed="60"/>
        <rFont val="Times New Roman"/>
        <family val="1"/>
      </rPr>
      <t>(10AS3,4)</t>
    </r>
  </si>
  <si>
    <r>
      <t xml:space="preserve">TỔ HỢP 4 </t>
    </r>
    <r>
      <rPr>
        <b/>
        <sz val="10"/>
        <color indexed="60"/>
        <rFont val="Times New Roman"/>
        <family val="1"/>
      </rPr>
      <t>(10AS5,6,7)</t>
    </r>
  </si>
  <si>
    <r>
      <t xml:space="preserve">TỔ HỢP 4 </t>
    </r>
    <r>
      <rPr>
        <b/>
        <sz val="10"/>
        <color indexed="60"/>
        <rFont val="Times New Roman"/>
        <family val="1"/>
      </rPr>
      <t>(10AT1,2)</t>
    </r>
  </si>
  <si>
    <r>
      <t xml:space="preserve">TỔ HỢP 4 </t>
    </r>
    <r>
      <rPr>
        <b/>
        <sz val="10"/>
        <color indexed="60"/>
        <rFont val="Times New Roman"/>
        <family val="1"/>
      </rPr>
      <t>(11AS1,2,3)</t>
    </r>
  </si>
  <si>
    <r>
      <t xml:space="preserve">TỔ HỢP 1 </t>
    </r>
    <r>
      <rPr>
        <b/>
        <sz val="10"/>
        <color indexed="60"/>
        <rFont val="Times New Roman"/>
        <family val="1"/>
      </rPr>
      <t>(11AT1,2)</t>
    </r>
  </si>
  <si>
    <r>
      <t xml:space="preserve">TỔ HỢP 2 </t>
    </r>
    <r>
      <rPr>
        <b/>
        <sz val="10"/>
        <color indexed="60"/>
        <rFont val="Times New Roman"/>
        <family val="1"/>
      </rPr>
      <t>(11AT3,4)</t>
    </r>
  </si>
  <si>
    <r>
      <t xml:space="preserve">TỔ HỢP 3 </t>
    </r>
    <r>
      <rPr>
        <b/>
        <sz val="10"/>
        <color indexed="60"/>
        <rFont val="Times New Roman"/>
        <family val="1"/>
      </rPr>
      <t>(11AT5,6)</t>
    </r>
  </si>
  <si>
    <r>
      <t xml:space="preserve">TỔ HỢP 5 </t>
    </r>
    <r>
      <rPr>
        <b/>
        <sz val="10"/>
        <color indexed="60"/>
        <rFont val="Times New Roman"/>
        <family val="1"/>
      </rPr>
      <t>(11AT7,8)</t>
    </r>
  </si>
  <si>
    <t>Cột 1</t>
  </si>
  <si>
    <t>Cột 2</t>
  </si>
  <si>
    <t>Cột 3</t>
  </si>
  <si>
    <t>Cột 4</t>
  </si>
  <si>
    <t>Cột 5</t>
  </si>
  <si>
    <t>Cột 6</t>
  </si>
  <si>
    <t>Cột 7</t>
  </si>
  <si>
    <t>Cột 8</t>
  </si>
  <si>
    <t>Cột 9</t>
  </si>
  <si>
    <t>Cột 10</t>
  </si>
  <si>
    <t>Cột 11</t>
  </si>
  <si>
    <t>Cột 12</t>
  </si>
  <si>
    <t>Cột 13</t>
  </si>
  <si>
    <t>Cột 14</t>
  </si>
  <si>
    <t>Cột 15</t>
  </si>
  <si>
    <t>Cột 16</t>
  </si>
  <si>
    <t>Cột 17</t>
  </si>
  <si>
    <t>Cột 18</t>
  </si>
  <si>
    <t>Cột 19</t>
  </si>
  <si>
    <t>Cột 20</t>
  </si>
  <si>
    <t>KH/phòng</t>
  </si>
  <si>
    <t>KH/Phòng</t>
  </si>
  <si>
    <t>K10</t>
  </si>
  <si>
    <t>K11</t>
  </si>
  <si>
    <t>K12</t>
  </si>
  <si>
    <t>VH</t>
  </si>
  <si>
    <t>KT</t>
  </si>
  <si>
    <t>KH/PHÒNG</t>
  </si>
  <si>
    <t>TỪ</t>
  </si>
  <si>
    <t>ĐẾN</t>
  </si>
  <si>
    <t>P.202</t>
  </si>
  <si>
    <t>Đào Nguyễn Thúy</t>
  </si>
  <si>
    <t>Nguyễn Ngọc Thúy</t>
  </si>
  <si>
    <t>Bùi Trần Hồng</t>
  </si>
  <si>
    <t>Lê Ngọc Trâm</t>
  </si>
  <si>
    <t>Trần Lê Hoàng</t>
  </si>
  <si>
    <t>Trịnh Hoàng Nhật</t>
  </si>
  <si>
    <t>Hà Thiên</t>
  </si>
  <si>
    <t>Lưu Gia</t>
  </si>
  <si>
    <t>Khổng Thị</t>
  </si>
  <si>
    <t>Dân</t>
  </si>
  <si>
    <t>Lê Trúc</t>
  </si>
  <si>
    <t>Nguyễn Phi Nguyên</t>
  </si>
  <si>
    <t>Khưu Anh</t>
  </si>
  <si>
    <t>Phạm Phú</t>
  </si>
  <si>
    <t>Quí</t>
  </si>
  <si>
    <t>P.203</t>
  </si>
  <si>
    <t>Lê Trần Thanh</t>
  </si>
  <si>
    <t>Cao Hoàng</t>
  </si>
  <si>
    <t>Khưu Nguyễn Gia</t>
  </si>
  <si>
    <t>Chu Tiến</t>
  </si>
  <si>
    <t>Lê Ngọc Quốc</t>
  </si>
  <si>
    <t>Hồ Duy</t>
  </si>
  <si>
    <t>Khiết</t>
  </si>
  <si>
    <t>Võ Trần Anh</t>
  </si>
  <si>
    <t>Phùng Gia</t>
  </si>
  <si>
    <t>Lê Thị Hà</t>
  </si>
  <si>
    <t>Trịnh Thùy</t>
  </si>
  <si>
    <t>Võ Thị Yến</t>
  </si>
  <si>
    <t>Nguyễn Lê Bảo</t>
  </si>
  <si>
    <t>Nguyễn Lê Nhất</t>
  </si>
  <si>
    <t>Lê Hoàng Thảo</t>
  </si>
  <si>
    <t>Trương Hồ Diễm</t>
  </si>
  <si>
    <t>Lê Phước</t>
  </si>
  <si>
    <t>Lý Dương Thảo</t>
  </si>
  <si>
    <t>Nguyễn Quỳnh Bảo</t>
  </si>
  <si>
    <t>P.204</t>
  </si>
  <si>
    <t>Cao Việt</t>
  </si>
  <si>
    <t>Võ Nhựt</t>
  </si>
  <si>
    <t>Cao Thế</t>
  </si>
  <si>
    <t>Nguyễn Văn Vũ</t>
  </si>
  <si>
    <t>Trần Đình</t>
  </si>
  <si>
    <t>Nguyễn Lê Hiền</t>
  </si>
  <si>
    <t>Nguyễn Đào Thanh</t>
  </si>
  <si>
    <t>Trần Đức Thanh</t>
  </si>
  <si>
    <t>Trần Đăng</t>
  </si>
  <si>
    <t>La Dư</t>
  </si>
  <si>
    <t>Trịnh Thị Kim</t>
  </si>
  <si>
    <t>Sương</t>
  </si>
  <si>
    <t>Đặng Trần Chí</t>
  </si>
  <si>
    <t>Tấn</t>
  </si>
  <si>
    <t>P.205</t>
  </si>
  <si>
    <t>Trương Minh Anh</t>
  </si>
  <si>
    <t>Đinh Gia</t>
  </si>
  <si>
    <t>Hoàng Trần Phương</t>
  </si>
  <si>
    <t>Lữ Trần Nhật</t>
  </si>
  <si>
    <t>Đào Quốc</t>
  </si>
  <si>
    <t>Thiết</t>
  </si>
  <si>
    <t>Huỳnh Nguyễn Anh</t>
  </si>
  <si>
    <t>Huỳnh Nguyễn Ngọc</t>
  </si>
  <si>
    <t>Huỳnh Võ Minh</t>
  </si>
  <si>
    <t>Văn Tấn Hoàng</t>
  </si>
  <si>
    <t>Võ Thị Thiên</t>
  </si>
  <si>
    <t>Lương Thị Bích</t>
  </si>
  <si>
    <t>Bùi Thái</t>
  </si>
  <si>
    <t>Trương Hải</t>
  </si>
  <si>
    <t>Danh Thị Thùy</t>
  </si>
  <si>
    <t>Nguyễn Hoàng Hoa</t>
  </si>
  <si>
    <t>Thạch Phương</t>
  </si>
  <si>
    <t>Đỗ Ngọc Phương</t>
  </si>
  <si>
    <t>Huỳnh Thị Ngọc</t>
  </si>
  <si>
    <t>P.206</t>
  </si>
  <si>
    <t>Bùi Thúy</t>
  </si>
  <si>
    <t>Đặng La Hòa</t>
  </si>
  <si>
    <t>10VH5</t>
  </si>
  <si>
    <t>10VH3</t>
  </si>
  <si>
    <t>Hoàng Quỳnh</t>
  </si>
  <si>
    <t>Khổng Kiều</t>
  </si>
  <si>
    <t>Nguyễn Văn Đức</t>
  </si>
  <si>
    <t>Lê Ngọc Gia</t>
  </si>
  <si>
    <t>Phạm Gia</t>
  </si>
  <si>
    <t>Chí</t>
  </si>
  <si>
    <t>Lê Thiện</t>
  </si>
  <si>
    <t>Đinh Nhật</t>
  </si>
  <si>
    <t>Hồ Thanh</t>
  </si>
  <si>
    <t>P.302</t>
  </si>
  <si>
    <t>Bùi Đại</t>
  </si>
  <si>
    <t>Bùi Tấn</t>
  </si>
  <si>
    <t>Phạm Văn Thành</t>
  </si>
  <si>
    <t>Đào Xuân</t>
  </si>
  <si>
    <t>Giáp</t>
  </si>
  <si>
    <t>Lê Ngọc</t>
  </si>
  <si>
    <t>Trần Vũ Ngân</t>
  </si>
  <si>
    <t>Trần Đinh Mạnh</t>
  </si>
  <si>
    <t>Thạch Thị Hồng</t>
  </si>
  <si>
    <t>Ngô Ngọc Bảo</t>
  </si>
  <si>
    <t>Đào Thị Thảo</t>
  </si>
  <si>
    <t>Phan Huy</t>
  </si>
  <si>
    <t>Võ Ngọc Tuyết</t>
  </si>
  <si>
    <t>Lê Khang</t>
  </si>
  <si>
    <t>Lưu Đức</t>
  </si>
  <si>
    <t>Phạm Đoàn Ngọc</t>
  </si>
  <si>
    <t>P.303</t>
  </si>
  <si>
    <t>Diệp Hữu</t>
  </si>
  <si>
    <t>Lâm Thái</t>
  </si>
  <si>
    <t>Trầm Tuấn</t>
  </si>
  <si>
    <t>Huỳnh Vũ Anh</t>
  </si>
  <si>
    <t>Võ Hoàng Tuấn</t>
  </si>
  <si>
    <t>Kiều</t>
  </si>
  <si>
    <t>Dương Lâm Mỹ</t>
  </si>
  <si>
    <t>Ngô Giang</t>
  </si>
  <si>
    <t>Phan Tài</t>
  </si>
  <si>
    <t>Hồ Trịnh Bình</t>
  </si>
  <si>
    <t>Lê Quang</t>
  </si>
  <si>
    <t>Nguyễn Viết Hoàng</t>
  </si>
  <si>
    <t>P.304</t>
  </si>
  <si>
    <t>Trịnh Hoàng</t>
  </si>
  <si>
    <t>Đỗ Thành</t>
  </si>
  <si>
    <t>Nguyễn An</t>
  </si>
  <si>
    <t>Hoàng Châu Kim</t>
  </si>
  <si>
    <t>Nguyễn Trần Hiếu</t>
  </si>
  <si>
    <t>Nguyễn Dương Hồng</t>
  </si>
  <si>
    <t>Nguyễn Đình Thiện</t>
  </si>
  <si>
    <t>Giang Minh</t>
  </si>
  <si>
    <t>Võ Thị Huỳnh</t>
  </si>
  <si>
    <t>Khổng Minh</t>
  </si>
  <si>
    <t>Đỗ Lâm Bảo</t>
  </si>
  <si>
    <t>Ni</t>
  </si>
  <si>
    <t>Lý Đào Thanh</t>
  </si>
  <si>
    <t>Nguyễn Trần Huy</t>
  </si>
  <si>
    <t>Hồ Vương Gia</t>
  </si>
  <si>
    <t>P.305</t>
  </si>
  <si>
    <t>Lê Hưng</t>
  </si>
  <si>
    <t>Huỳnh Thị Thanh</t>
  </si>
  <si>
    <t>Tạ Phương</t>
  </si>
  <si>
    <t>Trần Hạo</t>
  </si>
  <si>
    <t>Lư Ngọc</t>
  </si>
  <si>
    <t>Diệp Đức Kim</t>
  </si>
  <si>
    <t>Lê Trương Bảo</t>
  </si>
  <si>
    <t>Lương Lê Bảo</t>
  </si>
  <si>
    <t>P.306</t>
  </si>
  <si>
    <t>Phan Thị Huyền</t>
  </si>
  <si>
    <t>Hoàng Minh</t>
  </si>
  <si>
    <t>Nguyễn Tường Minh</t>
  </si>
  <si>
    <t>Đỗ Minh</t>
  </si>
  <si>
    <t>Nguyễn Thương</t>
  </si>
  <si>
    <t>Tăng Hoàng</t>
  </si>
  <si>
    <t>Nguyễn Lê Anh</t>
  </si>
  <si>
    <t>Tuyến</t>
  </si>
  <si>
    <t>Phạm Triệu</t>
  </si>
  <si>
    <t>Nguyễn Hoàng Phương</t>
  </si>
  <si>
    <t>Văn</t>
  </si>
  <si>
    <t>Ngô Thị Kiều</t>
  </si>
  <si>
    <t>Lưu Thị Hải</t>
  </si>
  <si>
    <t>Huỳnh Ngọc Thùy</t>
  </si>
  <si>
    <t>11VH2</t>
  </si>
  <si>
    <t>Phạm Đỗ Châu</t>
  </si>
  <si>
    <t>11VH1</t>
  </si>
  <si>
    <t>Trần Phan Thục</t>
  </si>
  <si>
    <t>Lê Thiên</t>
  </si>
  <si>
    <t>Mai Thanh</t>
  </si>
  <si>
    <t>Nguyễn Linh</t>
  </si>
  <si>
    <t>Phạm Hoàng Bảo</t>
  </si>
  <si>
    <t>Bùi Tiến</t>
  </si>
  <si>
    <t>Cù Đại Hoàng</t>
  </si>
  <si>
    <t>Gia</t>
  </si>
  <si>
    <t>Đoàn Phúc</t>
  </si>
  <si>
    <t>Lữ Đức</t>
  </si>
  <si>
    <t>Bùi Tuấn</t>
  </si>
  <si>
    <t>Đặng Phúc Khánh</t>
  </si>
  <si>
    <t>Ngô Quang</t>
  </si>
  <si>
    <t>Bùi Thị Thanh</t>
  </si>
  <si>
    <t>Bùi Sơn</t>
  </si>
  <si>
    <t>Nguyễn Trần Quang</t>
  </si>
  <si>
    <t>Nguyễn Huỳnh Gia</t>
  </si>
  <si>
    <t>Đỗ Hoàng Minh</t>
  </si>
  <si>
    <t>Đồng Tuấn</t>
  </si>
  <si>
    <t>Dương Lê Anh</t>
  </si>
  <si>
    <t>Trần Thị Trúc</t>
  </si>
  <si>
    <t>Khương Tài</t>
  </si>
  <si>
    <t>Lâm Hoàng Phi</t>
  </si>
  <si>
    <t>Nguyễn Trần Phi</t>
  </si>
  <si>
    <t>Tô Hoàng Đăng</t>
  </si>
  <si>
    <t>Doãn Văn</t>
  </si>
  <si>
    <t>Dương Tuệ</t>
  </si>
  <si>
    <t>Trần Ngọc Thảo</t>
  </si>
  <si>
    <t>Hứa Thị Tuyết</t>
  </si>
  <si>
    <t>Phạm Lê Ngọc</t>
  </si>
  <si>
    <t>Võ Thị Ngọc</t>
  </si>
  <si>
    <t>Lê Hoàng Kim</t>
  </si>
  <si>
    <t>Nguyễn Trần Quỳnh</t>
  </si>
  <si>
    <t>Phan Thị Bích</t>
  </si>
  <si>
    <t>Lê Trọng</t>
  </si>
  <si>
    <t>Nguyễn Kiêm Bích</t>
  </si>
  <si>
    <t>Nguyễn Phạm Hoàng</t>
  </si>
  <si>
    <t>Trương Tấn</t>
  </si>
  <si>
    <t>Thân Hoàng Thiên</t>
  </si>
  <si>
    <t>Tô Bảo</t>
  </si>
  <si>
    <t>Trần Hoàng Ánh</t>
  </si>
  <si>
    <t>Hồ Hữu</t>
  </si>
  <si>
    <t>Đặng Ngọc Gia</t>
  </si>
  <si>
    <t>Quy</t>
  </si>
  <si>
    <t>Phạm Ngọc Mai</t>
  </si>
  <si>
    <t>Nguyễn Phạm Quang</t>
  </si>
  <si>
    <t>Sắc</t>
  </si>
  <si>
    <t>Trương Quốc</t>
  </si>
  <si>
    <t>Lê Công</t>
  </si>
  <si>
    <t>Tạ Ngọc</t>
  </si>
  <si>
    <t>Đỗ Phú</t>
  </si>
  <si>
    <t>Lê Trần Cường</t>
  </si>
  <si>
    <t>Đỗ Thái Hoàng</t>
  </si>
  <si>
    <t>Nguyễn Võ Thanh</t>
  </si>
  <si>
    <t>Văn Thụy Mai</t>
  </si>
  <si>
    <t>Lê Ngọc Bảo</t>
  </si>
  <si>
    <t>Lê Trần</t>
  </si>
  <si>
    <t>Trương Hồ Bảo</t>
  </si>
  <si>
    <t>Lý Trần Bảo</t>
  </si>
  <si>
    <t>Phạm Nguyễn Minh</t>
  </si>
  <si>
    <t>Thái Thanh</t>
  </si>
  <si>
    <t>Hồ Thị Ngọc</t>
  </si>
  <si>
    <t>Nguyễn Dương Thanh</t>
  </si>
  <si>
    <t>Hà Quang</t>
  </si>
  <si>
    <t>Võ Nguyễn Bão</t>
  </si>
  <si>
    <t>Trần Quân</t>
  </si>
  <si>
    <t>Phạm Hoàng</t>
  </si>
  <si>
    <t>Đỗ Ngọc Thảo</t>
  </si>
  <si>
    <t>Hoàng Thị Như</t>
  </si>
  <si>
    <t>Lê Ngọc Như</t>
  </si>
  <si>
    <t>Lê Khắc Đại</t>
  </si>
  <si>
    <t>11VH3</t>
  </si>
  <si>
    <t>Lã Hồng</t>
  </si>
  <si>
    <t>11VH4</t>
  </si>
  <si>
    <t>11VH5</t>
  </si>
  <si>
    <t>Lê Hữu</t>
  </si>
  <si>
    <t>Bá</t>
  </si>
  <si>
    <t>Chung Hoàng</t>
  </si>
  <si>
    <t>Bách</t>
  </si>
  <si>
    <t>Bùi Ngọc Gia</t>
  </si>
  <si>
    <t>Bùi Thanh</t>
  </si>
  <si>
    <t>Nguyễn Phước</t>
  </si>
  <si>
    <t>Quách Vương</t>
  </si>
  <si>
    <t>Nguyễn Quý</t>
  </si>
  <si>
    <t>Trần Khả</t>
  </si>
  <si>
    <t>Di</t>
  </si>
  <si>
    <t>Dũ</t>
  </si>
  <si>
    <t>Hồ Đỗ Trí</t>
  </si>
  <si>
    <t>Nguyễn Mạnh</t>
  </si>
  <si>
    <t>Nguyễn Nhựt Hoàng</t>
  </si>
  <si>
    <t>Văn Ngọc</t>
  </si>
  <si>
    <t>Nguyễn Phạm Hải</t>
  </si>
  <si>
    <t>Chung Thành</t>
  </si>
  <si>
    <t>Nông Trần Tiến</t>
  </si>
  <si>
    <t>Vũ Cao</t>
  </si>
  <si>
    <t>Nguyễn Hà Thanh</t>
  </si>
  <si>
    <t>Nguyễn Phạm Đình</t>
  </si>
  <si>
    <t>Tạ Đình</t>
  </si>
  <si>
    <t>Hảo</t>
  </si>
  <si>
    <t>Trần Ngô Bảo</t>
  </si>
  <si>
    <t>Dương Thị Thanh</t>
  </si>
  <si>
    <t>Lý Công</t>
  </si>
  <si>
    <t>Nguyễn Hoàng Hiếu</t>
  </si>
  <si>
    <t>Châu Trung</t>
  </si>
  <si>
    <t>Đặng Ngô Đông</t>
  </si>
  <si>
    <t>Nguyễn Trương Minh</t>
  </si>
  <si>
    <t>Nguyễn Lê</t>
  </si>
  <si>
    <t>Trần Minh Anh Trạch</t>
  </si>
  <si>
    <t>Huỳnh Đoàn Minh</t>
  </si>
  <si>
    <t>Phạm Ngọc Tuấn</t>
  </si>
  <si>
    <t>Hà Nguyễn Anh</t>
  </si>
  <si>
    <t>Trần Hồng</t>
  </si>
  <si>
    <t>Đặng Thiện Minh</t>
  </si>
  <si>
    <t>Lâm Ái</t>
  </si>
  <si>
    <t>Hồ Ngọc Ánh</t>
  </si>
  <si>
    <t>Nguyễn Thị Nhật</t>
  </si>
  <si>
    <t>Lực</t>
  </si>
  <si>
    <t>Kim Vũ</t>
  </si>
  <si>
    <t>Võ Ngọc Trà</t>
  </si>
  <si>
    <t>Phùng Hồ Hải</t>
  </si>
  <si>
    <t>Cao Nguyễn Gia</t>
  </si>
  <si>
    <t>Lê Huỳnh Thiện</t>
  </si>
  <si>
    <t>Trần Dương Hải</t>
  </si>
  <si>
    <t>Hồ Nguyễn Yến</t>
  </si>
  <si>
    <t>Trương Ngọc Yến</t>
  </si>
  <si>
    <t>Trương Nguyễn Ý</t>
  </si>
  <si>
    <t>Trần Nguyễn Hồng</t>
  </si>
  <si>
    <t>Bùi Thị Quỳnh</t>
  </si>
  <si>
    <t>Châu Minh</t>
  </si>
  <si>
    <t>Phan Tấn</t>
  </si>
  <si>
    <t>Lê Tạ Tấn</t>
  </si>
  <si>
    <t>Nghiêm Tuấn</t>
  </si>
  <si>
    <t>Nguyễn Chánh Kim</t>
  </si>
  <si>
    <t>Phạm Duy</t>
  </si>
  <si>
    <t>Nguyễn Nhật Trúc</t>
  </si>
  <si>
    <t>Trương Anh</t>
  </si>
  <si>
    <t>Nguyễn Thành Yến</t>
  </si>
  <si>
    <t>Phan Ngọc Như</t>
  </si>
  <si>
    <t>Bùi Lê Minh</t>
  </si>
  <si>
    <t>Lê Công Đức</t>
  </si>
  <si>
    <t>Hồ Đặng Xuân</t>
  </si>
  <si>
    <t>Nguyễn Thanh Phương</t>
  </si>
  <si>
    <t>Chềnh Quốc</t>
  </si>
  <si>
    <t>Bùi Ngọc</t>
  </si>
  <si>
    <t>Ngô Nguyễn Thanh</t>
  </si>
  <si>
    <t>Đỗ Vũ Minh</t>
  </si>
  <si>
    <t>Đoàn Thị Kim</t>
  </si>
  <si>
    <t>Võ Trúc Anh</t>
  </si>
  <si>
    <t>Võ Tuyết Anh</t>
  </si>
  <si>
    <t>Vũ Ngọc Thiên</t>
  </si>
  <si>
    <t>Nguyễn Đăng Hà</t>
  </si>
  <si>
    <t>Lê Thị Huyền</t>
  </si>
  <si>
    <t>Nguyễn Đỗ Ngọc</t>
  </si>
  <si>
    <t>Đoàn Dương Minh</t>
  </si>
  <si>
    <t>Cao Minh</t>
  </si>
  <si>
    <t>Đỗ Lê Anh</t>
  </si>
  <si>
    <t>Nguyễn Vũ Minh</t>
  </si>
  <si>
    <t>Vương Trần Quốc</t>
  </si>
  <si>
    <t>Nguyễn Phạm Cát</t>
  </si>
  <si>
    <t>Nguyễn Cao Kiều</t>
  </si>
  <si>
    <t>Phùng Thị Thúy</t>
  </si>
  <si>
    <t>Đoàn Thảo</t>
  </si>
  <si>
    <t>Lưu Nguyễn Khánh</t>
  </si>
  <si>
    <t>Tăng Thị Yến</t>
  </si>
  <si>
    <t>Trịnh Nguyễn Phương</t>
  </si>
  <si>
    <t>Phạm Huỳnh Như</t>
  </si>
  <si>
    <t>Nguyễn Thúy</t>
  </si>
  <si>
    <t>12VH1</t>
  </si>
  <si>
    <t>12VH2</t>
  </si>
  <si>
    <t>Trần Bình</t>
  </si>
  <si>
    <t>12VH3</t>
  </si>
  <si>
    <t>Nguyễn Hoàng Kỳ</t>
  </si>
  <si>
    <t>Nguyễn Ngọc Mai</t>
  </si>
  <si>
    <t>Dương Tôn</t>
  </si>
  <si>
    <t>Nguyễn Lê Gia</t>
  </si>
  <si>
    <t>Thiều Thọ Đại</t>
  </si>
  <si>
    <t>Mai Thị Thùy</t>
  </si>
  <si>
    <t>Lê Nguyễn Tấn</t>
  </si>
  <si>
    <t>Trần Thế</t>
  </si>
  <si>
    <t>Trần Dương Ngọc</t>
  </si>
  <si>
    <t>Kim Thị Thúy</t>
  </si>
  <si>
    <t>Đỗ Tiến</t>
  </si>
  <si>
    <t>Liêu Quốc</t>
  </si>
  <si>
    <t>Lê Hải</t>
  </si>
  <si>
    <t>Trần Hải</t>
  </si>
  <si>
    <t>Bách Thành Công</t>
  </si>
  <si>
    <t>Định</t>
  </si>
  <si>
    <t>Nguyễn Đoàn Minh</t>
  </si>
  <si>
    <t>Trần Hiếu</t>
  </si>
  <si>
    <t>Nguyễn Lê Vinh</t>
  </si>
  <si>
    <t>Huỳnh Trần Tấn</t>
  </si>
  <si>
    <t>Huỳnh Minh</t>
  </si>
  <si>
    <t>Hoành</t>
  </si>
  <si>
    <t>Phạm Ngọc Phi</t>
  </si>
  <si>
    <t>Tăng Quang</t>
  </si>
  <si>
    <t>Đặng Trần Hoàng</t>
  </si>
  <si>
    <t>Nguyễn Hoàng An</t>
  </si>
  <si>
    <t>Lê Ngọc An</t>
  </si>
  <si>
    <t>Đào Tuấn</t>
  </si>
  <si>
    <t>Lưu Thị Hồng</t>
  </si>
  <si>
    <t>Lê Hà Mỹ</t>
  </si>
  <si>
    <t>Nguyễn Hoàng Mỹ</t>
  </si>
  <si>
    <t>Trương Thành</t>
  </si>
  <si>
    <t>Huỳnh Thị Trúc</t>
  </si>
  <si>
    <t>Võ Lê Kiều</t>
  </si>
  <si>
    <t>Phan Hải</t>
  </si>
  <si>
    <t>Cao Mai Phương</t>
  </si>
  <si>
    <t>Trần Phượng</t>
  </si>
  <si>
    <t>Đoàn Thiện</t>
  </si>
  <si>
    <t>Mai Thị Hồng</t>
  </si>
  <si>
    <t>Võ Hữu</t>
  </si>
  <si>
    <t>Đặng Thị Phương</t>
  </si>
  <si>
    <t>Nguyễn Võ Quỳnh</t>
  </si>
  <si>
    <t>Tô Phúc</t>
  </si>
  <si>
    <t>Nguyễn Tôn Anh</t>
  </si>
  <si>
    <t>Trần Lê Minh</t>
  </si>
  <si>
    <t>Đinh Lê Hoàng</t>
  </si>
  <si>
    <t>Hà Hoàng</t>
  </si>
  <si>
    <t>Kiều Diễm</t>
  </si>
  <si>
    <t>Ngô Lương Hoài</t>
  </si>
  <si>
    <t>Trần Đình Hoàng</t>
  </si>
  <si>
    <t>Trương Đông</t>
  </si>
  <si>
    <t>Trương Sơn</t>
  </si>
  <si>
    <t>Hồ Phương</t>
  </si>
  <si>
    <t>Sinh</t>
  </si>
  <si>
    <t>Trần Trịnh Hồng</t>
  </si>
  <si>
    <t>Tá</t>
  </si>
  <si>
    <t>Ngô Thành</t>
  </si>
  <si>
    <t>Lê Thái Minh</t>
  </si>
  <si>
    <t>Trần Đoàn Xuân</t>
  </si>
  <si>
    <t>Lê Phạm Thanh</t>
  </si>
  <si>
    <t>Nguyễn Hồ Chí</t>
  </si>
  <si>
    <t>Lưu Thy</t>
  </si>
  <si>
    <t>Trần Lê Thủy</t>
  </si>
  <si>
    <t>Hứa Hữu</t>
  </si>
  <si>
    <t>Tình</t>
  </si>
  <si>
    <t>Nguyễn Sầm Quốc</t>
  </si>
  <si>
    <t>Trần Hoài</t>
  </si>
  <si>
    <t>Đỗ Huỳnh Bảo</t>
  </si>
  <si>
    <t>Lê Tri</t>
  </si>
  <si>
    <t>Túc</t>
  </si>
  <si>
    <t>Huỳnh Dĩ</t>
  </si>
  <si>
    <t>Tống Nguyễn Uyên</t>
  </si>
  <si>
    <t>Viễn</t>
  </si>
  <si>
    <t>Hà Đức</t>
  </si>
  <si>
    <t>Trần Đoàn Khánh</t>
  </si>
  <si>
    <t>Trần Ngọc Như</t>
  </si>
  <si>
    <t>Trần Nguyễn Hải</t>
  </si>
  <si>
    <t>Bùi Sơn Lê</t>
  </si>
  <si>
    <t>12VH4</t>
  </si>
  <si>
    <t>Lê Niê Bảo</t>
  </si>
  <si>
    <t>12VH5</t>
  </si>
  <si>
    <t>Bùi Khắc Hoàng</t>
  </si>
  <si>
    <t>12VH7</t>
  </si>
  <si>
    <t>Đỗ Nguyễn Kim</t>
  </si>
  <si>
    <t>Đỗ Nguyễn Quan</t>
  </si>
  <si>
    <t>12VH6</t>
  </si>
  <si>
    <t>Lê Huỳnh Duy</t>
  </si>
  <si>
    <t>Phùng Việt</t>
  </si>
  <si>
    <t>Trương Ngọc Bảo</t>
  </si>
  <si>
    <t>Đoàn Hoài</t>
  </si>
  <si>
    <t>Võ Phan Thiên</t>
  </si>
  <si>
    <t>Đoàn Gia</t>
  </si>
  <si>
    <t>Nguyễn Tấn Hoàng</t>
  </si>
  <si>
    <t>Võ Thành</t>
  </si>
  <si>
    <t>Ngô Nguyễn Thành</t>
  </si>
  <si>
    <t>Tống Hương</t>
  </si>
  <si>
    <t>Nguyễn Thuận</t>
  </si>
  <si>
    <t>Trương Công Lê</t>
  </si>
  <si>
    <t>Duẩn</t>
  </si>
  <si>
    <t>Trần Lê</t>
  </si>
  <si>
    <t>Trần Đạt</t>
  </si>
  <si>
    <t>Nguyễn Tùng</t>
  </si>
  <si>
    <t>Trần Phan Lan</t>
  </si>
  <si>
    <t>Đài</t>
  </si>
  <si>
    <t>Cao Tấn</t>
  </si>
  <si>
    <t>Dương Tiến</t>
  </si>
  <si>
    <t>Vũ Quốc</t>
  </si>
  <si>
    <t>Giao</t>
  </si>
  <si>
    <t>Phạm Thị Mỹ</t>
  </si>
  <si>
    <t>Lê Phạm Bảo</t>
  </si>
  <si>
    <t>Võ Trọng</t>
  </si>
  <si>
    <t>Huỳnh Nguyễn Huy</t>
  </si>
  <si>
    <t>Nguyễn Lê Quốc</t>
  </si>
  <si>
    <t>Phạm Trần Quốc</t>
  </si>
  <si>
    <t>Nguyễn Lệ</t>
  </si>
  <si>
    <t>Huyên</t>
  </si>
  <si>
    <t>Đỗ Nguyễn Quang</t>
  </si>
  <si>
    <t>Bùi Ngọc Hùng</t>
  </si>
  <si>
    <t>Chí Minh</t>
  </si>
  <si>
    <t>Hà Tuấn</t>
  </si>
  <si>
    <t>Nguyễn Hồng Duy</t>
  </si>
  <si>
    <t>Trần Mai Thế</t>
  </si>
  <si>
    <t>Khiêm</t>
  </si>
  <si>
    <t>Phạm Hoàng Đăng</t>
  </si>
  <si>
    <t>Võ Hoàng Thiên</t>
  </si>
  <si>
    <t>Lý Thị Hồng</t>
  </si>
  <si>
    <t>Lân</t>
  </si>
  <si>
    <t>Hoàng Thị Yến</t>
  </si>
  <si>
    <t>Trần Hà</t>
  </si>
  <si>
    <t>Trương Vũ Khánh</t>
  </si>
  <si>
    <t>Nguyễn Minh Trường</t>
  </si>
  <si>
    <t>Phan Xuân Hoàng</t>
  </si>
  <si>
    <t>Huỳnh Phúc</t>
  </si>
  <si>
    <t>Huỳnh Đào Tư</t>
  </si>
  <si>
    <t>Lượng</t>
  </si>
  <si>
    <t>Nguyễn Lê Trà</t>
  </si>
  <si>
    <t>Phạm Thảo</t>
  </si>
  <si>
    <t>Mai Hữu</t>
  </si>
  <si>
    <t>Na</t>
  </si>
  <si>
    <t>Trần Nghĩa</t>
  </si>
  <si>
    <t>Nguyễn Trần Kim</t>
  </si>
  <si>
    <t>Trần Kim</t>
  </si>
  <si>
    <t>Dương Đông</t>
  </si>
  <si>
    <t>Bùi Trọng</t>
  </si>
  <si>
    <t>Đinh Bảo</t>
  </si>
  <si>
    <t>Lê Hoàng Bảo</t>
  </si>
  <si>
    <t>Vũ Thị Hồng</t>
  </si>
  <si>
    <t>Nguyễn Thạch Thảo</t>
  </si>
  <si>
    <t>Phạm Trần Khôi</t>
  </si>
  <si>
    <t>Trần Phúc</t>
  </si>
  <si>
    <t>Đồng Thái</t>
  </si>
  <si>
    <t>Nguyễn Hoàng Linh</t>
  </si>
  <si>
    <t>Vũ Hoàng Uyên</t>
  </si>
  <si>
    <t>Nguyễn Thiên Ngọc Quý</t>
  </si>
  <si>
    <t>Nhơn</t>
  </si>
  <si>
    <t>Võ Huỳnh Ái</t>
  </si>
  <si>
    <t>Hồ Long</t>
  </si>
  <si>
    <t>Phan Thị Kiều</t>
  </si>
  <si>
    <t>Ngô Hào</t>
  </si>
  <si>
    <t>Trần Công Thanh</t>
  </si>
  <si>
    <t>Quyền</t>
  </si>
  <si>
    <t>P.310</t>
  </si>
  <si>
    <t>Nguyễn Võ Như</t>
  </si>
  <si>
    <t>Lê Thế</t>
  </si>
  <si>
    <t>Lê Duy Đức</t>
  </si>
  <si>
    <t>Võ Ngọc</t>
  </si>
  <si>
    <t>Thạch</t>
  </si>
  <si>
    <t>Phạm Lưu Quang</t>
  </si>
  <si>
    <t>Tháng Hoàng</t>
  </si>
  <si>
    <t>Tống Thiên</t>
  </si>
  <si>
    <t>Đỗ Mạnh</t>
  </si>
  <si>
    <t>Nguyễn Đức Duy</t>
  </si>
  <si>
    <t>Thuần</t>
  </si>
  <si>
    <t>Cao Phạm Bảo</t>
  </si>
  <si>
    <t>Nguyễn Vũ Thông</t>
  </si>
  <si>
    <t>Nguyễn Huỳnh Thịnh</t>
  </si>
  <si>
    <t>Phạm Nguyễn Ngọc</t>
  </si>
  <si>
    <t>Trà</t>
  </si>
  <si>
    <t>P.311</t>
  </si>
  <si>
    <t>Thạch Cao Minh</t>
  </si>
  <si>
    <t>Hoàng Thành</t>
  </si>
  <si>
    <t>Huỳnh Ngọc Anh</t>
  </si>
  <si>
    <t>Dương Nguyễn Ngọc</t>
  </si>
  <si>
    <t>Phương Hữu Đức</t>
  </si>
  <si>
    <t>Nguyễn Ngọc Tú</t>
  </si>
  <si>
    <t>Lương Thanh</t>
  </si>
  <si>
    <t>Lê Trần Phương</t>
  </si>
  <si>
    <t>Phạm Dương Tường</t>
  </si>
  <si>
    <t>Võ Trần Như</t>
  </si>
  <si>
    <t>Chiều</t>
  </si>
  <si>
    <t>Vận động</t>
  </si>
  <si>
    <t>Trần Ngọc Nhân</t>
  </si>
  <si>
    <t>Ái</t>
  </si>
  <si>
    <t>Đàm Ngọc Mỹ</t>
  </si>
  <si>
    <t>Huỳnh Nhựt</t>
  </si>
  <si>
    <t>Nguyễn Ngọc Trâm</t>
  </si>
  <si>
    <t>Nguyễn Dương Ngọc</t>
  </si>
  <si>
    <t>Nguyễn Trần Thiên</t>
  </si>
  <si>
    <t>Lê Xuân Gia</t>
  </si>
  <si>
    <t>Nguyễn Trịnh Quốc</t>
  </si>
  <si>
    <t>Thái Băng</t>
  </si>
  <si>
    <t>Nguyễn Phương Nhật</t>
  </si>
  <si>
    <t>Thái Đình</t>
  </si>
  <si>
    <t>Đào Nguyễn Anh</t>
  </si>
  <si>
    <t>Thân Hoàng</t>
  </si>
  <si>
    <t>Trần Lạc Hải</t>
  </si>
  <si>
    <t>Đồng</t>
  </si>
  <si>
    <t>Nguyễn Ngọc Trí</t>
  </si>
  <si>
    <t>Gấm</t>
  </si>
  <si>
    <t>Ngô Nguyễn Hoàng</t>
  </si>
  <si>
    <t>Tạ Hữu Trường</t>
  </si>
  <si>
    <t>Nguyễn Thụy Quỳnh</t>
  </si>
  <si>
    <t>Trần Bích</t>
  </si>
  <si>
    <t>Trịnh Thị Thu</t>
  </si>
  <si>
    <t>Hoàng Thanh</t>
  </si>
  <si>
    <t>Mai Trần Quỳnh</t>
  </si>
  <si>
    <t>Lê Đinh Vương</t>
  </si>
  <si>
    <t>Trần Nguyễn Hữu</t>
  </si>
  <si>
    <t>Đặng Lê Tuấn</t>
  </si>
  <si>
    <t>Dương Minh</t>
  </si>
  <si>
    <t>Lê Vũ Văn</t>
  </si>
  <si>
    <t>Nguyễn Cao Kiến</t>
  </si>
  <si>
    <t>Nguyễn Hồ Minh</t>
  </si>
  <si>
    <t>Đặng Phạm Tuấn</t>
  </si>
  <si>
    <t>Dương Chấn</t>
  </si>
  <si>
    <t>Nguyễn Huỳnh Nhựt</t>
  </si>
  <si>
    <t>Bạch Duy</t>
  </si>
  <si>
    <t>Mai Nguyễn Đăng</t>
  </si>
  <si>
    <t>Trương Lê Minh</t>
  </si>
  <si>
    <t>Đinh Tuấn</t>
  </si>
  <si>
    <t>Đỗ Tuấn</t>
  </si>
  <si>
    <t>Phạm Minh Tuấn</t>
  </si>
  <si>
    <t>Trịnh Trần Tuấn</t>
  </si>
  <si>
    <t>Chu Sỹ Thanh</t>
  </si>
  <si>
    <t>Nguyễn Hoài Vương</t>
  </si>
  <si>
    <t>Vũ Đỗ Trường</t>
  </si>
  <si>
    <t>Lê Hữu Phước</t>
  </si>
  <si>
    <t>Nguyễn Huỳnh Thanh</t>
  </si>
  <si>
    <t>Phạm Thị Hà</t>
  </si>
  <si>
    <t>Lê Phạm Quang</t>
  </si>
  <si>
    <t>Cù Hải Quý</t>
  </si>
  <si>
    <t>Mùi</t>
  </si>
  <si>
    <t>Trần Thị Na</t>
  </si>
  <si>
    <t>Huỳnh Trung</t>
  </si>
  <si>
    <t>Nguyễn Ngọc Trúc</t>
  </si>
  <si>
    <t>Nguyễn Ung Kim</t>
  </si>
  <si>
    <t>Phan Phương</t>
  </si>
  <si>
    <t>Tô Trọng</t>
  </si>
  <si>
    <t>Y Lê Trung</t>
  </si>
  <si>
    <t>Trần Yến</t>
  </si>
  <si>
    <t>Mai Lê Thành</t>
  </si>
  <si>
    <t>Lê Song Quỳnh</t>
  </si>
  <si>
    <t>Danh Hoàng</t>
  </si>
  <si>
    <t>Cao Quốc</t>
  </si>
  <si>
    <t>Nguyễn Hoàng Đình</t>
  </si>
  <si>
    <t>Đào Nguyễn Duy</t>
  </si>
  <si>
    <t>Lê Danh Thiên</t>
  </si>
  <si>
    <t>Mai Tấn</t>
  </si>
  <si>
    <t>Nguyễn Trần Trọng</t>
  </si>
  <si>
    <t>Đặng Võ Nguyên</t>
  </si>
  <si>
    <t>Đinh Lưu</t>
  </si>
  <si>
    <t>Phan Thị Trúc</t>
  </si>
  <si>
    <t>Tạ Trường</t>
  </si>
  <si>
    <t>Lâm Tấn</t>
  </si>
  <si>
    <t>Đoàn Nguyễn Thành</t>
  </si>
  <si>
    <t>Dương Phạm Anh</t>
  </si>
  <si>
    <t>Tô Vũ</t>
  </si>
  <si>
    <t>Dương Khắc</t>
  </si>
  <si>
    <t>Đinh Thị Thu</t>
  </si>
  <si>
    <t>Trương Văn</t>
  </si>
  <si>
    <t>Nguyễn Lê Thuận</t>
  </si>
  <si>
    <t>Đào Đức Minh</t>
  </si>
  <si>
    <t>Cao Thái</t>
  </si>
  <si>
    <t>Chu Thị Anh</t>
  </si>
  <si>
    <t>Trần Ngọc Anh</t>
  </si>
  <si>
    <t>Trần Nguyễn Anh</t>
  </si>
  <si>
    <t>Lê Hoài</t>
  </si>
  <si>
    <t>Cao Nguyễn Hạnh</t>
  </si>
  <si>
    <t>Đinh Ngọc Thủy</t>
  </si>
  <si>
    <t>Lê Thị Thủy</t>
  </si>
  <si>
    <t>Phạm Quách Thùy</t>
  </si>
  <si>
    <t>Lê Mỹ</t>
  </si>
  <si>
    <t>Lý Thanh</t>
  </si>
  <si>
    <t>Phan Lê Nhật</t>
  </si>
  <si>
    <t>Nguyễn Hà Quốc</t>
  </si>
  <si>
    <t>Tống Khánh Bảo</t>
  </si>
  <si>
    <t>Trần Lê Quốc</t>
  </si>
  <si>
    <t>Lê Phan Cát</t>
  </si>
  <si>
    <t>Ngô Việt Thanh</t>
  </si>
  <si>
    <t>Nguyễn Khánh Hà</t>
  </si>
  <si>
    <t>La Yến</t>
  </si>
  <si>
    <t>Nguyễn Lý Phương</t>
  </si>
  <si>
    <t>Trương Bảo</t>
  </si>
  <si>
    <t>Đinh Thị Mỹ</t>
  </si>
  <si>
    <t>Hoàng Vũ Lan</t>
  </si>
  <si>
    <t>Lê Bá Tuấn</t>
  </si>
  <si>
    <t>Phạm Ngô Trâm</t>
  </si>
  <si>
    <t>Quách Hoàng</t>
  </si>
  <si>
    <t>Trần Ngọc Quỳnh</t>
  </si>
  <si>
    <t>Võ Huỳnh Thị Ngọc</t>
  </si>
  <si>
    <t>Đặng Nguyễn</t>
  </si>
  <si>
    <t>Võ Khánh</t>
  </si>
  <si>
    <t>Lim Yam</t>
  </si>
  <si>
    <t>Nguyễn Mậu</t>
  </si>
  <si>
    <t>Nguyễn Võ Thành</t>
  </si>
  <si>
    <t>Đặng Trung</t>
  </si>
  <si>
    <t>Viên Nguyễn Tấn</t>
  </si>
  <si>
    <t>Huỳnh Hà Thanh</t>
  </si>
  <si>
    <t>Huỳnh Khánh</t>
  </si>
  <si>
    <t>Huỳnh Nguyễn Khánh</t>
  </si>
  <si>
    <t>Phan Thị Thúy</t>
  </si>
  <si>
    <t>Trần Nguyễn Thanh</t>
  </si>
  <si>
    <t>Trần Lê Thành</t>
  </si>
  <si>
    <t>Vũ Duy</t>
  </si>
  <si>
    <t>Ngô Công</t>
  </si>
  <si>
    <t>Đào Ngọc Bảo</t>
  </si>
  <si>
    <t>Lê Gia</t>
  </si>
  <si>
    <t>Lữ Gia</t>
  </si>
  <si>
    <t>Huỳnh Long</t>
  </si>
  <si>
    <t>Lương Việt</t>
  </si>
  <si>
    <t>Nguyễn Hữu Huy</t>
  </si>
  <si>
    <t>Phạm Công</t>
  </si>
  <si>
    <t>Bùi Đỗ Khoa</t>
  </si>
  <si>
    <t>Mai Nhật</t>
  </si>
  <si>
    <t>Võ Lưu Nhật</t>
  </si>
  <si>
    <t>Đỗ Gia</t>
  </si>
  <si>
    <t>Phạm Công Quốc</t>
  </si>
  <si>
    <t>Phạm Thị Huỳnh</t>
  </si>
  <si>
    <t>Lại Trọng</t>
  </si>
  <si>
    <t>Nguyễn Hoàng Tuấn</t>
  </si>
  <si>
    <t>Phạm Lê Minh</t>
  </si>
  <si>
    <t>Đào Đăng</t>
  </si>
  <si>
    <t>Đoàn Nguyễn Anh</t>
  </si>
  <si>
    <t>Phạm Trần Anh</t>
  </si>
  <si>
    <t>Nguyễn Bá Mai</t>
  </si>
  <si>
    <t>Nguyễn Tiến Trung</t>
  </si>
  <si>
    <t>Chu khánh</t>
  </si>
  <si>
    <t>Phạm Hoàng Khánh</t>
  </si>
  <si>
    <t>Lương Đào Tiểu</t>
  </si>
  <si>
    <t>Ngô Đức Thiên</t>
  </si>
  <si>
    <t>Trương Dương Hoàng</t>
  </si>
  <si>
    <t>Mai Thành</t>
  </si>
  <si>
    <t>Phan Thị Tiểu</t>
  </si>
  <si>
    <t>Nguyễn Hoàng Triệu</t>
  </si>
  <si>
    <t>Đoàn Đỗ Hà</t>
  </si>
  <si>
    <t>Đoàn Lê Uyển</t>
  </si>
  <si>
    <t>Lâm Tuyết</t>
  </si>
  <si>
    <t>Hồ Đình Hoàng</t>
  </si>
  <si>
    <t>Mai Trần Chí</t>
  </si>
  <si>
    <t>Chung Khánh</t>
  </si>
  <si>
    <t>Thạch Bành Thanh</t>
  </si>
  <si>
    <t>Trần Thị Thuỳ</t>
  </si>
  <si>
    <t>Nhứt</t>
  </si>
  <si>
    <t>Trần Chấn</t>
  </si>
  <si>
    <t>Trần Tài</t>
  </si>
  <si>
    <t>Huỳnh Nguyễn Duy</t>
  </si>
  <si>
    <t>Trương Hoàng</t>
  </si>
  <si>
    <t>Ngô Trường</t>
  </si>
  <si>
    <t>Nguyễn Kế</t>
  </si>
  <si>
    <t>Trịnh Lý Ngọc</t>
  </si>
  <si>
    <t>Hoàng Trần Nguyên</t>
  </si>
  <si>
    <t>Nguyễn Hoàng Yến</t>
  </si>
  <si>
    <t>Thái Hoàng Anh</t>
  </si>
  <si>
    <t>Huỳnh Nguyễn An</t>
  </si>
  <si>
    <t>Phạm Hữu Anh</t>
  </si>
  <si>
    <t>Kim Hoàng</t>
  </si>
  <si>
    <t>Lê Trần Hoàng</t>
  </si>
  <si>
    <t>Đỗ Trọng</t>
  </si>
  <si>
    <t>Lưu Trần Phước</t>
  </si>
  <si>
    <t>Yến Ngọc Thanh</t>
  </si>
  <si>
    <t>Trần Ngô Phục</t>
  </si>
  <si>
    <t>Đoàn Chí</t>
  </si>
  <si>
    <t>Hồ Tuệ</t>
  </si>
  <si>
    <t>Hoàng Phước Quảng</t>
  </si>
  <si>
    <t>Phan Văn</t>
  </si>
  <si>
    <t>Trịnh Xuân</t>
  </si>
  <si>
    <t>Nguyễn Lê Nguyên</t>
  </si>
  <si>
    <t>Đoàn Quốc</t>
  </si>
  <si>
    <t>Hồ Nguyễn Thái</t>
  </si>
  <si>
    <t>Hồ Lê Đức</t>
  </si>
  <si>
    <t>Thái Nguyễn Anh</t>
  </si>
  <si>
    <t>Nguyễn Ngọc Trang</t>
  </si>
  <si>
    <t>Mai Hoàng</t>
  </si>
  <si>
    <t>Nguyễn Bá Mạnh</t>
  </si>
  <si>
    <t>Lê Kim</t>
  </si>
  <si>
    <t>Đinh Xuân</t>
  </si>
  <si>
    <t>Nghiêm Hà Anh</t>
  </si>
  <si>
    <t>Phạm Thái</t>
  </si>
  <si>
    <t>Lê Phạm Mỹ</t>
  </si>
  <si>
    <t>Trần Cao Cát</t>
  </si>
  <si>
    <t>Nguyễn Ngọc Đan</t>
  </si>
  <si>
    <t>Bùi Đình</t>
  </si>
  <si>
    <t>Trần Huy</t>
  </si>
  <si>
    <t>Lương Lê Trúc</t>
  </si>
  <si>
    <t>Nguyễn Bùi Khánh</t>
  </si>
  <si>
    <t>Nguyễn Bùi Thảo</t>
  </si>
  <si>
    <t>Nguyễn Vân Phi</t>
  </si>
  <si>
    <t>Nguyễn Hoàng Việt</t>
  </si>
  <si>
    <t>Nguyễn Huỳnh Lan</t>
  </si>
  <si>
    <t>Trần Đông</t>
  </si>
  <si>
    <t>Vũ Thái</t>
  </si>
  <si>
    <t>Đặng Huỳnh Gia</t>
  </si>
  <si>
    <t>Hoàng Trần Gia</t>
  </si>
  <si>
    <t>Nguyễn Thiên Gia</t>
  </si>
  <si>
    <t>Bằng</t>
  </si>
  <si>
    <t>Đỗ Quang</t>
  </si>
  <si>
    <t>Phan Võ Thành</t>
  </si>
  <si>
    <t>Lê Nhất</t>
  </si>
  <si>
    <t>Đặng Ánh</t>
  </si>
  <si>
    <t>Lào Thị Thùy</t>
  </si>
  <si>
    <t>Nguyễn Trọng Nguyên</t>
  </si>
  <si>
    <t>Phạm Thị Ánh</t>
  </si>
  <si>
    <t>Võ Ánh</t>
  </si>
  <si>
    <t>Nguyễn Hà Khánh</t>
  </si>
  <si>
    <t>Đoàn Hải</t>
  </si>
  <si>
    <t>Trịnh Thị Hồng</t>
  </si>
  <si>
    <t>Nguyễn Lý Nhật</t>
  </si>
  <si>
    <t>Trần Chí</t>
  </si>
  <si>
    <t>Châu Nguyễn Ngọc</t>
  </si>
  <si>
    <t>Lâm Ngọc</t>
  </si>
  <si>
    <t>Lê Đăng</t>
  </si>
  <si>
    <t>Phùng Văn</t>
  </si>
  <si>
    <t>Đinh Thế Quốc</t>
  </si>
  <si>
    <t>Phạm Hoàng Nhật</t>
  </si>
  <si>
    <t>Viên Gia</t>
  </si>
  <si>
    <t>Nguyễn Bùi Nhật</t>
  </si>
  <si>
    <t>Lê Phúc</t>
  </si>
  <si>
    <t>Thạch Nhất</t>
  </si>
  <si>
    <t>Lâm Đăng</t>
  </si>
  <si>
    <t>Hồ Trần Minh</t>
  </si>
  <si>
    <t>Trịnh Đình</t>
  </si>
  <si>
    <t>Đinh Anh</t>
  </si>
  <si>
    <t>Đỗ Quốc</t>
  </si>
  <si>
    <t>Vòng Vĩnh</t>
  </si>
  <si>
    <t>Đàm Hoàng Khánh</t>
  </si>
  <si>
    <t>Lưu Giang</t>
  </si>
  <si>
    <t>Trần Hồ Khánh</t>
  </si>
  <si>
    <t>Vũ Thị Hạ</t>
  </si>
  <si>
    <t>Đồng Thiên</t>
  </si>
  <si>
    <t>Hồ Thành</t>
  </si>
  <si>
    <t>Lê Bá</t>
  </si>
  <si>
    <t>K' Thị</t>
  </si>
  <si>
    <t>Luyến</t>
  </si>
  <si>
    <t>Dương Đỗ Gia</t>
  </si>
  <si>
    <t>Phạm Hà Bảo</t>
  </si>
  <si>
    <t>Đỗ Lê Quốc</t>
  </si>
  <si>
    <t>Lữ Ngô Hoài</t>
  </si>
  <si>
    <t>Vũ Đức Tuấn</t>
  </si>
  <si>
    <t>Lê Hồng Khánh</t>
  </si>
  <si>
    <t>Trần Hoàng Phương</t>
  </si>
  <si>
    <t>Bùi Như</t>
  </si>
  <si>
    <t>Lê Thị Bảo</t>
  </si>
  <si>
    <t>Phạm Hoàng Kim</t>
  </si>
  <si>
    <t>Tăng Bảo</t>
  </si>
  <si>
    <t>Trần Hoài Bảo</t>
  </si>
  <si>
    <t>Vũ Hoàng Thanh</t>
  </si>
  <si>
    <t>Lê Phạm Hoàng</t>
  </si>
  <si>
    <t>Võ Thị Ánh</t>
  </si>
  <si>
    <t>Nguyệt</t>
  </si>
  <si>
    <t>Lê Hoàng Cao</t>
  </si>
  <si>
    <t>Cao Phương</t>
  </si>
  <si>
    <t>Thân Trọng Yến</t>
  </si>
  <si>
    <t>Trịnh Vũ Yến</t>
  </si>
  <si>
    <t>Diệp Mai Tuyết</t>
  </si>
  <si>
    <t>Đỗ Huỳnh</t>
  </si>
  <si>
    <t>Phạm Thị Cẩm</t>
  </si>
  <si>
    <t>Lý Hoàng</t>
  </si>
  <si>
    <t>Mai Đặng Tiến</t>
  </si>
  <si>
    <t>Đào Thiên</t>
  </si>
  <si>
    <t>Huỳnh Hoàng</t>
  </si>
  <si>
    <t>Huỳnh Hồng</t>
  </si>
  <si>
    <t>Văn Thanh</t>
  </si>
  <si>
    <t>Đoàn Ngọc Băng</t>
  </si>
  <si>
    <t>Trịnh Bảo</t>
  </si>
  <si>
    <t>Hồ Phạm Ngọc</t>
  </si>
  <si>
    <t>Nguyễn Nam</t>
  </si>
  <si>
    <t>Dương Trí</t>
  </si>
  <si>
    <t>Nguyễn Nhã</t>
  </si>
  <si>
    <t>Ngô Nhứt</t>
  </si>
  <si>
    <t>Nguyễn Nhựt</t>
  </si>
  <si>
    <t>Lò Thị Thanh</t>
  </si>
  <si>
    <t>Lê Thị Anh</t>
  </si>
  <si>
    <t>Quách Mỹ</t>
  </si>
  <si>
    <t>Vũ Thị Thùy</t>
  </si>
  <si>
    <t>Thân Ngọc Kiều</t>
  </si>
  <si>
    <t>Đỗ Thị Hải Trân</t>
  </si>
  <si>
    <t>Từ Nguyễn Ngọc</t>
  </si>
  <si>
    <t>Thiều Nhật Hoàng</t>
  </si>
  <si>
    <t>Võ Đặng Kim</t>
  </si>
  <si>
    <t>Lê Tất Anh</t>
  </si>
  <si>
    <t>Nguyễn Phan Anh</t>
  </si>
  <si>
    <t>Lê Ngọc Kim</t>
  </si>
  <si>
    <t>Phan Tú</t>
  </si>
  <si>
    <t>Lê Hoàng Nhất</t>
  </si>
  <si>
    <t>Cao Lê Tường</t>
  </si>
  <si>
    <t>Nguyễn Cảnh Thảo</t>
  </si>
  <si>
    <t>Mai Thị Bảo</t>
  </si>
  <si>
    <t>Xuyên</t>
  </si>
  <si>
    <t>Nguyễn Hữu Như</t>
  </si>
  <si>
    <t>Lê Thị Hải</t>
  </si>
  <si>
    <t>10KT1</t>
  </si>
  <si>
    <t>10KT2</t>
  </si>
  <si>
    <t>10KT3</t>
  </si>
  <si>
    <t>10KT4</t>
  </si>
  <si>
    <t>11KT3</t>
  </si>
  <si>
    <t>11KT2</t>
  </si>
  <si>
    <t>11KT1</t>
  </si>
  <si>
    <t>11KT4</t>
  </si>
  <si>
    <t>12KT3</t>
  </si>
  <si>
    <t>12KT4</t>
  </si>
  <si>
    <t>12KT2</t>
  </si>
  <si>
    <t>12KT1</t>
  </si>
  <si>
    <t>Nghe, nói. Trí tuệ</t>
  </si>
  <si>
    <t>P.HT2-1</t>
  </si>
  <si>
    <t>P.HT2-2</t>
  </si>
  <si>
    <t>P.HT2-3</t>
  </si>
  <si>
    <t>P.A0.13</t>
  </si>
  <si>
    <t>P.A0.15</t>
  </si>
  <si>
    <t>P.A1.10</t>
  </si>
  <si>
    <t>P.A1.11</t>
  </si>
  <si>
    <t>P.A1.12</t>
  </si>
  <si>
    <t>SỞ GIÁO DỤC VÀ ĐÀO TẠO THÀNH PHỐ HỒ CHÍ MINH</t>
  </si>
  <si>
    <t>TT GDNN-GDTX THÀNH PHỐ THỦ ĐỨC</t>
  </si>
  <si>
    <t xml:space="preserve">DANH SÁCH THÔNG TIN HỒ SƠ - KẾT QUẢ HỌC TẬP HỌC SINH </t>
  </si>
  <si>
    <t>Năm học: 2025-2026</t>
  </si>
  <si>
    <t>Lớp học</t>
  </si>
  <si>
    <t>Họ tên</t>
  </si>
  <si>
    <t>Ngày sinh</t>
  </si>
  <si>
    <t>Giới tính</t>
  </si>
  <si>
    <t>Dân tộc</t>
  </si>
  <si>
    <t>Trạng thái</t>
  </si>
  <si>
    <t>Huỳnh Thị Ngọc Anh</t>
  </si>
  <si>
    <t>07/09/2010</t>
  </si>
  <si>
    <t>Nữ</t>
  </si>
  <si>
    <t>Kinh</t>
  </si>
  <si>
    <t>Thôi học kỳ 1</t>
  </si>
  <si>
    <t>Nguyễn Quý Ngọc Thiện</t>
  </si>
  <si>
    <t>16/09/2007</t>
  </si>
  <si>
    <t>Trương Tiến Dũng</t>
  </si>
  <si>
    <t>24/06/2010</t>
  </si>
  <si>
    <t>Đỗ Thiên Hồng Anh</t>
  </si>
  <si>
    <t>30/08/2008</t>
  </si>
  <si>
    <t>Phạm Hoàng Bảo Quý</t>
  </si>
  <si>
    <t>23/01/2010</t>
  </si>
  <si>
    <t>Mường</t>
  </si>
  <si>
    <t>Phan Văn Vũ Khang</t>
  </si>
  <si>
    <t>05/10/2010</t>
  </si>
  <si>
    <t>Lê Thanh Lâm</t>
  </si>
  <si>
    <t>25/05/2009</t>
  </si>
  <si>
    <t>Lê Châu Tuấn Đạt</t>
  </si>
  <si>
    <t>18/08/1999</t>
  </si>
  <si>
    <t>Lê Quốc Huy</t>
  </si>
  <si>
    <t>01/09/2009</t>
  </si>
  <si>
    <t>Lê Lợi</t>
  </si>
  <si>
    <t>09/07/2000</t>
  </si>
  <si>
    <t>Đỗ Minh Phụng</t>
  </si>
  <si>
    <t>23/10/1996</t>
  </si>
  <si>
    <t>Đinh Tuấn Anh</t>
  </si>
  <si>
    <t>02/06/2008</t>
  </si>
  <si>
    <t>02/06/1980</t>
  </si>
  <si>
    <t>Lê Trung Hiếu</t>
  </si>
  <si>
    <t>12/03/2007</t>
  </si>
  <si>
    <t>Lâm Văn Phong</t>
  </si>
  <si>
    <t>10/09/2005</t>
  </si>
  <si>
    <t>24/11/1999</t>
  </si>
  <si>
    <t>Nguyễn Thị Thanh Thúy</t>
  </si>
  <si>
    <t>18/03/2009</t>
  </si>
  <si>
    <t>Lê Tùng Viên</t>
  </si>
  <si>
    <t>23/07/2000</t>
  </si>
  <si>
    <t>Nguyễn Thị Kim Cúc</t>
  </si>
  <si>
    <t>10/08/2007</t>
  </si>
  <si>
    <t>Nguyễn Anh Tuấn</t>
  </si>
  <si>
    <t>28/07/2009</t>
  </si>
  <si>
    <t>Phan Quốc Minh</t>
  </si>
  <si>
    <t>11/09/2010</t>
  </si>
  <si>
    <t>Trần Đức Toàn</t>
  </si>
  <si>
    <t>20/08/2010</t>
  </si>
  <si>
    <t>Nguyễn Thị Nhã Uyên</t>
  </si>
  <si>
    <t>30/01/2008</t>
  </si>
  <si>
    <t>Nguyễn Thị Minh Kiều</t>
  </si>
  <si>
    <t>29/08/2000</t>
  </si>
  <si>
    <t>Huỳnh Thanh Nghệ</t>
  </si>
  <si>
    <t>17/09/2010</t>
  </si>
  <si>
    <t>Lý Thanh Phúc</t>
  </si>
  <si>
    <t>23/03/2008</t>
  </si>
  <si>
    <t>Phan Hải Trí</t>
  </si>
  <si>
    <t>06/12/2008</t>
  </si>
  <si>
    <t>Nguyễn Phùng Duy</t>
  </si>
  <si>
    <t>04/06/2010</t>
  </si>
  <si>
    <t>Nguyễn Quốc Đạt</t>
  </si>
  <si>
    <t>09/08/2010</t>
  </si>
  <si>
    <t>Phạm Tường Luân</t>
  </si>
  <si>
    <t>Huỳnh Nguyễn Mẫn Nhi</t>
  </si>
  <si>
    <t>10/07/2009</t>
  </si>
  <si>
    <t>Nguyễn Thanh Trúc</t>
  </si>
  <si>
    <t>06/02/2009</t>
  </si>
  <si>
    <t>Lưu Đức Huy</t>
  </si>
  <si>
    <t>11/07/2009</t>
  </si>
  <si>
    <t>Nguyễn Thành Long</t>
  </si>
  <si>
    <t>24/04/2008</t>
  </si>
  <si>
    <t>Đỗ Thành Nam</t>
  </si>
  <si>
    <t>22/05/2010</t>
  </si>
  <si>
    <t>Nguyễn Văn Trí</t>
  </si>
  <si>
    <t>12/01/2010</t>
  </si>
  <si>
    <t>Nguyễn Tuấn Anh</t>
  </si>
  <si>
    <t>19/12/2009</t>
  </si>
  <si>
    <t>Lương Anh Bình</t>
  </si>
  <si>
    <t>28/12/2007</t>
  </si>
  <si>
    <t>Nguyễn Thành Duy</t>
  </si>
  <si>
    <t>13/08/2010</t>
  </si>
  <si>
    <t>Phạm Trần Anh Đức</t>
  </si>
  <si>
    <t>05/10/2009</t>
  </si>
  <si>
    <t>Nguyễn Quốc Minh</t>
  </si>
  <si>
    <t>31/12/2009</t>
  </si>
  <si>
    <t>Lê Thị Kim Tiền</t>
  </si>
  <si>
    <t>20/07/2010</t>
  </si>
  <si>
    <t>Trần Tuấn Phúc</t>
  </si>
  <si>
    <t>25/12/2008</t>
  </si>
  <si>
    <t>Trần Thành Đạt</t>
  </si>
  <si>
    <t>15/10/2008</t>
  </si>
  <si>
    <t>Trịnh Tuấn Khang</t>
  </si>
  <si>
    <t>15/05/2010</t>
  </si>
  <si>
    <t>Trần Trung Nam</t>
  </si>
  <si>
    <t>03/09/2010</t>
  </si>
  <si>
    <t>Trương Tấn Phát</t>
  </si>
  <si>
    <t>27/08/2010</t>
  </si>
  <si>
    <t>Nguyễn Minh Quân</t>
  </si>
  <si>
    <t>06/11/2010</t>
  </si>
  <si>
    <t>Phan Văn Tuấn Khôi</t>
  </si>
  <si>
    <t>10/02/2009</t>
  </si>
  <si>
    <t>Giáp Thị Như Quỳnh</t>
  </si>
  <si>
    <t>23/01/2009</t>
  </si>
  <si>
    <t>Nguyễn Hồ Uyên Thu</t>
  </si>
  <si>
    <t>22/06/2002</t>
  </si>
  <si>
    <t>Tsìn Bảo Hoài Ân</t>
  </si>
  <si>
    <t>12/10/2008</t>
  </si>
  <si>
    <t>Ninh Thị Ánh Dương</t>
  </si>
  <si>
    <t>16/10/2009</t>
  </si>
  <si>
    <t>Phan Bá Khánh</t>
  </si>
  <si>
    <t>02/11/2008</t>
  </si>
  <si>
    <t>Chuyển đi trong hè</t>
  </si>
  <si>
    <t>Phạm Minh Trí</t>
  </si>
  <si>
    <t>03/06/2008</t>
  </si>
  <si>
    <t>Lê Nhật Anh</t>
  </si>
  <si>
    <t>05/06/2008</t>
  </si>
  <si>
    <t>Trần Thị Nhã Loan</t>
  </si>
  <si>
    <t>11/03/2009</t>
  </si>
  <si>
    <t>Trần Hoàng Nam</t>
  </si>
  <si>
    <t>15/10/2009</t>
  </si>
  <si>
    <t>Nguyễn Huỳnh Phúc</t>
  </si>
  <si>
    <t>23/04/2005</t>
  </si>
  <si>
    <t>Nguyễn Thị Thanh Trúc</t>
  </si>
  <si>
    <t>26/06/2009</t>
  </si>
  <si>
    <t>Điểu Thị Ngọc</t>
  </si>
  <si>
    <t>26/05/2008</t>
  </si>
  <si>
    <t>Xtiêng</t>
  </si>
  <si>
    <t>Nguyễn Thị Kiều Oanh</t>
  </si>
  <si>
    <t>05/10/2004</t>
  </si>
  <si>
    <t>Thôi học trong hè</t>
  </si>
  <si>
    <t>Nguyễn Hoàng Hải Đăng</t>
  </si>
  <si>
    <t>13/03/2009</t>
  </si>
  <si>
    <t>Lê Ngọc Hân</t>
  </si>
  <si>
    <t>12/10/2009</t>
  </si>
  <si>
    <t>Bùi Thanh Thủy</t>
  </si>
  <si>
    <t>16/07/2001</t>
  </si>
  <si>
    <t>Hà Thị Khánh Vy</t>
  </si>
  <si>
    <t>24/11/2009</t>
  </si>
  <si>
    <t>Nguyễn Thị Ngọc Vy</t>
  </si>
  <si>
    <t>18/08/2009</t>
  </si>
  <si>
    <t>Trịnh Nguyễn Tường Lâm</t>
  </si>
  <si>
    <t>14/06/2009</t>
  </si>
  <si>
    <t>Lê Duy Hoàng Tùng</t>
  </si>
  <si>
    <t>18/12/2006</t>
  </si>
  <si>
    <t>Nguyễn Ngọc Minh Vy</t>
  </si>
  <si>
    <t>03/12/2009</t>
  </si>
  <si>
    <t>Nguyễn Thị Uyển Nhi</t>
  </si>
  <si>
    <t>09/09/2006</t>
  </si>
  <si>
    <t>Phạm Quang Khải</t>
  </si>
  <si>
    <t>23/12/2008</t>
  </si>
  <si>
    <t>Lê Hà Gia Kiệt</t>
  </si>
  <si>
    <t>23/04/2007</t>
  </si>
  <si>
    <t>Nguyễn Quang Duy Thành</t>
  </si>
  <si>
    <t>17/05/2007</t>
  </si>
  <si>
    <t>Vũ Đức Thiện</t>
  </si>
  <si>
    <t>27/05/2009</t>
  </si>
  <si>
    <t>Lê Ngọc Thiên Ân</t>
  </si>
  <si>
    <t>15/12/2008</t>
  </si>
  <si>
    <t>Ong Văn Tiến</t>
  </si>
  <si>
    <t>18/01/2009</t>
  </si>
  <si>
    <t>Nguyễn Thiện Khôi</t>
  </si>
  <si>
    <t>12/08/2008</t>
  </si>
  <si>
    <t>Lại Hoàng Trà My</t>
  </si>
  <si>
    <t>16/01/2009</t>
  </si>
  <si>
    <t>Phan Nhật Thiên</t>
  </si>
  <si>
    <t>30/04/2009</t>
  </si>
  <si>
    <t>Nguyễn Hoài An</t>
  </si>
  <si>
    <t>23/04/2009</t>
  </si>
  <si>
    <t>Huỳnh Tuấn Anh</t>
  </si>
  <si>
    <t>14/01/2005</t>
  </si>
  <si>
    <t>Phan Thanh Bình</t>
  </si>
  <si>
    <t>30/04/2008</t>
  </si>
  <si>
    <t>Nguyễn Hoàng Hiệp</t>
  </si>
  <si>
    <t>02/07/2007</t>
  </si>
  <si>
    <t>Nguyễn Bảo Long</t>
  </si>
  <si>
    <t>14/09/2009</t>
  </si>
  <si>
    <t>Nguyễn Ngọc Huỳnh Như</t>
  </si>
  <si>
    <t>15/09/2009</t>
  </si>
  <si>
    <t>Nguyễn Quang Tuấn</t>
  </si>
  <si>
    <t>07/10/2009</t>
  </si>
  <si>
    <t>Lương Hoàng Tâm An</t>
  </si>
  <si>
    <t>02/09/2008</t>
  </si>
  <si>
    <t>Đào Thị Linh Giang</t>
  </si>
  <si>
    <t>21/06/2008</t>
  </si>
  <si>
    <t>Đinh Thị Lan</t>
  </si>
  <si>
    <t>10/11/2009</t>
  </si>
  <si>
    <t>Nguyễn Ngọc Long</t>
  </si>
  <si>
    <t>06/10/2009</t>
  </si>
  <si>
    <t>Nguyễn Thị Cẩm Tiên</t>
  </si>
  <si>
    <t>28/08/2009</t>
  </si>
  <si>
    <t>Chu Đình Thái Hòa</t>
  </si>
  <si>
    <t>24/03/2008</t>
  </si>
  <si>
    <t>Nguyễn Hải Phong</t>
  </si>
  <si>
    <t>10/05/2009</t>
  </si>
  <si>
    <t>Trần Ngọc Mỹ Ngân</t>
  </si>
  <si>
    <t>15/12/2009</t>
  </si>
  <si>
    <t>Nguyễn Tường Vy</t>
  </si>
  <si>
    <t>26/08/2008</t>
  </si>
  <si>
    <t>Lê Hồng Khang</t>
  </si>
  <si>
    <t>01/08/2009</t>
  </si>
  <si>
    <t>Nguyễn Minh Hưng</t>
  </si>
  <si>
    <t>23/01/2006</t>
  </si>
  <si>
    <t>Nguyễn Ngọc Minh Thư</t>
  </si>
  <si>
    <t>05/12/2009</t>
  </si>
  <si>
    <t>Đặng Thùy Dương</t>
  </si>
  <si>
    <t>02/05/2009</t>
  </si>
  <si>
    <t>Nguyễn Giang Thanh</t>
  </si>
  <si>
    <t>25/02/2007</t>
  </si>
  <si>
    <t>Đinh Thị Thanh Trúc</t>
  </si>
  <si>
    <t>10/04/2009</t>
  </si>
  <si>
    <t>Phùng Ngọc Minh</t>
  </si>
  <si>
    <t>19/10/2008</t>
  </si>
  <si>
    <t>Nguyễn Duy Thái</t>
  </si>
  <si>
    <t>Nguyễn Phan Minh Trí</t>
  </si>
  <si>
    <t>Đào Nhật Trường</t>
  </si>
  <si>
    <t>19/03/2008</t>
  </si>
  <si>
    <t>Nguyễn Xuân Bảo</t>
  </si>
  <si>
    <t>14/02/2008</t>
  </si>
  <si>
    <t>Phạm Thị Thu Huyền</t>
  </si>
  <si>
    <t>28/05/2006</t>
  </si>
  <si>
    <t>Trần Nguyễn Nhật Minh</t>
  </si>
  <si>
    <t>19/08/2007</t>
  </si>
  <si>
    <t>Tô Thị Hồng Thương</t>
  </si>
  <si>
    <t>06/02/2003</t>
  </si>
  <si>
    <t>08/03/2005</t>
  </si>
  <si>
    <t>Phạm Gia Duy</t>
  </si>
  <si>
    <t>26/04/2006</t>
  </si>
  <si>
    <t>Nguyễn Thành Gia Huân</t>
  </si>
  <si>
    <t>15/02/2008</t>
  </si>
  <si>
    <t>Nguyễn Đăng Khôi</t>
  </si>
  <si>
    <t>14/09/2008</t>
  </si>
  <si>
    <t>Nguyễn Hoàng Vũ</t>
  </si>
  <si>
    <t>06/01/2008</t>
  </si>
  <si>
    <t>Trần Ngọc Minh Anh</t>
  </si>
  <si>
    <t>22/01/2006</t>
  </si>
  <si>
    <t>Đinh Nguyễn Thái Sơn</t>
  </si>
  <si>
    <t>15/11/2008</t>
  </si>
  <si>
    <t>Vũ Tiến Thành</t>
  </si>
  <si>
    <t>26/11/2008</t>
  </si>
  <si>
    <t>Ngô Thị Quỳnh Trâm</t>
  </si>
  <si>
    <t>04/06/2008</t>
  </si>
  <si>
    <t>Võ Thị Ngọc Hân</t>
  </si>
  <si>
    <t>20/08/2008</t>
  </si>
  <si>
    <t>Trần Nguyễn Quốc Huy</t>
  </si>
  <si>
    <t>04/12/2008</t>
  </si>
  <si>
    <t>Nguyễn Thiên Ân</t>
  </si>
  <si>
    <t>03/10/2008</t>
  </si>
  <si>
    <t>Nguyễn Nguyễn Quốc Nam</t>
  </si>
  <si>
    <t>22/01/2008</t>
  </si>
  <si>
    <t>Trương Quang Lê</t>
  </si>
  <si>
    <t>30/01/2007</t>
  </si>
  <si>
    <t>Dương Trí Tâm</t>
  </si>
  <si>
    <t>08/08/2007</t>
  </si>
  <si>
    <t>Nguyễn Ngọc Bảo Thy</t>
  </si>
  <si>
    <t>22/12/2008</t>
  </si>
  <si>
    <t>Cao Nguyễn Gia Bảo</t>
  </si>
  <si>
    <t>25/11/2008</t>
  </si>
  <si>
    <t>Nguyễn Nhật Duy</t>
  </si>
  <si>
    <t>02/10/2008</t>
  </si>
  <si>
    <t>Đỗ Thị Thu Hiền</t>
  </si>
  <si>
    <t>13/07/1998</t>
  </si>
  <si>
    <t>Nguyễn Đình Thắng</t>
  </si>
  <si>
    <t>17/11/2007</t>
  </si>
  <si>
    <t>Jơ Nưng Sang Tuyết</t>
  </si>
  <si>
    <t>16/11/2007</t>
  </si>
  <si>
    <t>Chu-ru</t>
  </si>
  <si>
    <t>Nguyễn Thành Đạt</t>
  </si>
  <si>
    <t>21/02/2004</t>
  </si>
  <si>
    <t>Đào Minh Hiếu</t>
  </si>
  <si>
    <t>28/02/2006</t>
  </si>
  <si>
    <t>Trần Duy Huấn</t>
  </si>
  <si>
    <t>16/09/2004</t>
  </si>
  <si>
    <t>Lê Tuấn Kiệt</t>
  </si>
  <si>
    <t>19/02/2003</t>
  </si>
  <si>
    <t>Nguyễn Trần Nguyên Lộc</t>
  </si>
  <si>
    <t>02/01/2005</t>
  </si>
  <si>
    <t>Dương Ái Vy</t>
  </si>
  <si>
    <t>04/11/2007</t>
  </si>
  <si>
    <t>Trần Ngọc Tâm Như</t>
  </si>
  <si>
    <t>03/08/2003</t>
  </si>
  <si>
    <t>Nguyễn Thị Cẩm Tú</t>
  </si>
  <si>
    <t>04/03/2007</t>
  </si>
  <si>
    <t>Nguyễn Vũ Mai Nhi</t>
  </si>
  <si>
    <t>27/07/2008</t>
  </si>
  <si>
    <t>Nguyễn Ngọc Hiếu</t>
  </si>
  <si>
    <t>06/07/2007</t>
  </si>
  <si>
    <t>17/11/2008</t>
  </si>
  <si>
    <t>Nguyễn Chí Bình</t>
  </si>
  <si>
    <t>09/12/2008</t>
  </si>
  <si>
    <t>Lê Nguyễn Gia Khang</t>
  </si>
  <si>
    <t>12/12/2007</t>
  </si>
  <si>
    <t>Đinh Ngọc Tuyết Nhi</t>
  </si>
  <si>
    <t>17/07/2008</t>
  </si>
  <si>
    <t>Hoàng Minh Đức</t>
  </si>
  <si>
    <t>Lê Ngọc Hải My</t>
  </si>
  <si>
    <t>18/10/2008</t>
  </si>
  <si>
    <t>Lê Đức Anh Vũ</t>
  </si>
  <si>
    <t>09/03/2007</t>
  </si>
  <si>
    <t>Hồ Thanh Ngọc</t>
  </si>
  <si>
    <t>04/03/2008</t>
  </si>
  <si>
    <t>Huỳnh Hàn Minh Trí</t>
  </si>
  <si>
    <t>09/09/2008</t>
  </si>
  <si>
    <t>Phạm Đỗ Phương Vy</t>
  </si>
  <si>
    <t>08/10/2008</t>
  </si>
  <si>
    <t>Lê Tiến Minh</t>
  </si>
  <si>
    <t>25/07/2007</t>
  </si>
  <si>
    <t>Đoàn Nguyễn Đức Sơn</t>
  </si>
  <si>
    <t>05/11/2008</t>
  </si>
  <si>
    <r>
      <rPr>
        <b/>
        <sz val="12"/>
        <color indexed="8"/>
        <rFont val="Times New Roman"/>
        <family val="1"/>
      </rPr>
      <t>Người lập biểu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indexed="8"/>
        <rFont val="Times New Roman"/>
        <family val="1"/>
      </rPr>
      <t>(Ký và ghi rõ họ tên)</t>
    </r>
  </si>
  <si>
    <t>NgiH</t>
  </si>
  <si>
    <t>Vũ Tường Vi</t>
  </si>
  <si>
    <t>19/09/2009</t>
  </si>
  <si>
    <t>202.C1</t>
  </si>
  <si>
    <t>203.C1</t>
  </si>
  <si>
    <t>204.C1</t>
  </si>
  <si>
    <t>205.C1</t>
  </si>
  <si>
    <t>206.C1</t>
  </si>
  <si>
    <t>302.C1</t>
  </si>
  <si>
    <t>303.C1</t>
  </si>
  <si>
    <t>304.C1</t>
  </si>
  <si>
    <t>305.C1</t>
  </si>
  <si>
    <t>306.C1</t>
  </si>
  <si>
    <t>HT2-1.C1</t>
  </si>
  <si>
    <t>HT2-2.C1</t>
  </si>
  <si>
    <t>HT2-3.C1</t>
  </si>
  <si>
    <t>A0.13.C1</t>
  </si>
  <si>
    <t>A0.15.C1</t>
  </si>
  <si>
    <t>A1.10.C1</t>
  </si>
  <si>
    <t>A1.11.C1</t>
  </si>
  <si>
    <t>TP Hồ Chí Minh, ngày 12 tháng 12 năm 2025</t>
  </si>
  <si>
    <t>1A.S2</t>
  </si>
  <si>
    <t>2A.S2</t>
  </si>
  <si>
    <t>3A.S2</t>
  </si>
  <si>
    <t>4A.S2</t>
  </si>
  <si>
    <t>5A.S2</t>
  </si>
  <si>
    <t>6A.S2</t>
  </si>
  <si>
    <t>7A.S2</t>
  </si>
  <si>
    <t>9A.S2</t>
  </si>
  <si>
    <t>10A.S2</t>
  </si>
  <si>
    <t>11A.S2</t>
  </si>
  <si>
    <t>12A.S2</t>
  </si>
  <si>
    <t>13A.S2</t>
  </si>
  <si>
    <t>14A.S2</t>
  </si>
  <si>
    <t>2B.S2</t>
  </si>
  <si>
    <t>3B.S2</t>
  </si>
  <si>
    <t>4B.S2</t>
  </si>
  <si>
    <t>5B.S2</t>
  </si>
  <si>
    <t>6B.S2</t>
  </si>
  <si>
    <t>7B.S2</t>
  </si>
  <si>
    <t>8B.S2</t>
  </si>
  <si>
    <t>9B.S2</t>
  </si>
  <si>
    <t>tên</t>
  </si>
  <si>
    <t>Họ và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</si>
</sst>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96" formatCode="00"/>
    <numFmt numFmtId="197" formatCode="0.0"/>
    <numFmt numFmtId="201" formatCode="\-"/>
  </numFmts>
  <fonts count="120">
    <font>
      <sz val="10"/>
      <name val="Arial"/>
    </font>
    <font>
      <sz val="10"/>
      <name val="Arial"/>
    </font>
    <font>
      <sz val="10"/>
      <name val="Arial"/>
      <family val="2"/>
    </font>
    <font>
      <b/>
      <sz val="13"/>
      <color indexed="8"/>
      <name val="Times New Roman"/>
      <family val="1"/>
    </font>
    <font>
      <sz val="12"/>
      <name val="VNI-Times"/>
    </font>
    <font>
      <sz val="13"/>
      <color indexed="8"/>
      <name val="Times New Roman"/>
      <family val="1"/>
    </font>
    <font>
      <b/>
      <u/>
      <sz val="13"/>
      <color indexed="8"/>
      <name val="Times New Roman"/>
      <family val="1"/>
    </font>
    <font>
      <sz val="13"/>
      <name val="Times New Roman"/>
      <family val="1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0"/>
      <name val="Arial"/>
      <family val="2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u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3"/>
      <color indexed="8"/>
      <name val="VNI-Times"/>
    </font>
    <font>
      <b/>
      <i/>
      <sz val="13"/>
      <color indexed="8"/>
      <name val="VNI-Times"/>
    </font>
    <font>
      <sz val="10"/>
      <name val="Vini"/>
    </font>
    <font>
      <sz val="8"/>
      <name val="Arial"/>
      <family val="2"/>
    </font>
    <font>
      <sz val="13"/>
      <color indexed="8"/>
      <name val="VNI-Times"/>
    </font>
    <font>
      <sz val="11"/>
      <color indexed="8"/>
      <name val="VNI-Times"/>
    </font>
    <font>
      <sz val="11"/>
      <name val="VNI-Times"/>
    </font>
    <font>
      <sz val="13"/>
      <name val="VNI-Times"/>
    </font>
    <font>
      <b/>
      <sz val="13"/>
      <name val="Times New Roman"/>
      <family val="1"/>
    </font>
    <font>
      <b/>
      <u/>
      <sz val="14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14"/>
      <color indexed="8"/>
      <name val="Times New Roman"/>
      <family val="1"/>
    </font>
    <font>
      <b/>
      <i/>
      <sz val="9"/>
      <name val="Times New Roman"/>
      <family val="1"/>
    </font>
    <font>
      <b/>
      <i/>
      <sz val="14"/>
      <name val="Times New Roman"/>
      <family val="1"/>
    </font>
    <font>
      <b/>
      <sz val="10"/>
      <color indexed="60"/>
      <name val="Times New Roman"/>
      <family val="1"/>
    </font>
    <font>
      <sz val="8"/>
      <name val="Arial"/>
      <family val="2"/>
    </font>
    <font>
      <b/>
      <sz val="10"/>
      <color indexed="60"/>
      <name val="Times New Roman"/>
      <family val="1"/>
    </font>
    <font>
      <b/>
      <sz val="9"/>
      <color indexed="60"/>
      <name val="Times New Roman"/>
      <family val="1"/>
    </font>
    <font>
      <b/>
      <sz val="7"/>
      <color indexed="6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3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rgb="FF000099"/>
      <name val="Arial"/>
      <family val="2"/>
    </font>
    <font>
      <sz val="10"/>
      <color rgb="FFC00000"/>
      <name val="Arial"/>
      <family val="2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b/>
      <u/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theme="9" tint="-0.499984740745262"/>
      <name val="Arial"/>
      <family val="2"/>
    </font>
    <font>
      <b/>
      <sz val="14"/>
      <color rgb="FF0000CC"/>
      <name val="Times New Roman"/>
      <family val="1"/>
    </font>
    <font>
      <sz val="8"/>
      <color rgb="FF0000CC"/>
      <name val="Arial"/>
      <family val="2"/>
    </font>
    <font>
      <b/>
      <sz val="12"/>
      <color rgb="FF0000CC"/>
      <name val="Arial"/>
      <family val="2"/>
    </font>
    <font>
      <b/>
      <sz val="15"/>
      <color rgb="FF0000CC"/>
      <name val="Arial"/>
      <family val="2"/>
    </font>
    <font>
      <sz val="10"/>
      <color rgb="FF0000CC"/>
      <name val="Times New Roman"/>
      <family val="1"/>
    </font>
    <font>
      <b/>
      <sz val="12"/>
      <color rgb="FFC00000"/>
      <name val="Arial"/>
      <family val="2"/>
    </font>
    <font>
      <b/>
      <sz val="8"/>
      <color rgb="FFC00000"/>
      <name val="Arial"/>
      <family val="2"/>
    </font>
    <font>
      <b/>
      <sz val="13"/>
      <color rgb="FFC00000"/>
      <name val="Arial"/>
      <family val="2"/>
    </font>
    <font>
      <b/>
      <sz val="10"/>
      <color rgb="FFC00000"/>
      <name val="Times New Roman"/>
      <family val="1"/>
    </font>
    <font>
      <sz val="13"/>
      <color rgb="FF0000CC"/>
      <name val="Arial"/>
      <family val="2"/>
    </font>
    <font>
      <b/>
      <sz val="13"/>
      <color rgb="FF0000CC"/>
      <name val="Arial"/>
      <family val="2"/>
    </font>
    <font>
      <b/>
      <sz val="13"/>
      <color theme="1"/>
      <name val="Arial"/>
      <family val="2"/>
    </font>
    <font>
      <b/>
      <sz val="13"/>
      <color rgb="FFC00000"/>
      <name val="Times New Roman"/>
      <family val="1"/>
    </font>
    <font>
      <b/>
      <sz val="13"/>
      <color rgb="FF990000"/>
      <name val="Times New Roman"/>
      <family val="1"/>
    </font>
    <font>
      <b/>
      <sz val="13"/>
      <color rgb="FF0000CC"/>
      <name val="Times New Roman"/>
      <family val="1"/>
    </font>
    <font>
      <b/>
      <i/>
      <sz val="13"/>
      <color rgb="FF0000CC"/>
      <name val="VNI-Times"/>
    </font>
    <font>
      <b/>
      <i/>
      <sz val="13"/>
      <color rgb="FF0000CC"/>
      <name val="Times New Roman"/>
      <family val="1"/>
    </font>
    <font>
      <b/>
      <i/>
      <sz val="14"/>
      <color rgb="FFC00000"/>
      <name val="Times New Roman"/>
      <family val="1"/>
    </font>
    <font>
      <b/>
      <sz val="13"/>
      <color rgb="FF000099"/>
      <name val="Times New Roman"/>
      <family val="1"/>
    </font>
    <font>
      <b/>
      <sz val="13"/>
      <color theme="1" tint="4.9989318521683403E-2"/>
      <name val="Arial"/>
      <family val="2"/>
    </font>
    <font>
      <b/>
      <i/>
      <sz val="13"/>
      <color rgb="FFC00000"/>
      <name val="Times New Roman"/>
      <family val="1"/>
    </font>
    <font>
      <b/>
      <i/>
      <sz val="14"/>
      <color rgb="FFC00000"/>
      <name val="Arial"/>
      <family val="2"/>
    </font>
    <font>
      <sz val="14"/>
      <color theme="1"/>
      <name val="Arial"/>
      <family val="2"/>
    </font>
    <font>
      <b/>
      <sz val="8"/>
      <color rgb="FF0000CC"/>
      <name val="Arial"/>
      <family val="2"/>
    </font>
    <font>
      <b/>
      <sz val="8"/>
      <color theme="1"/>
      <name val="Arial"/>
      <family val="2"/>
    </font>
    <font>
      <sz val="8"/>
      <color rgb="FFC00000"/>
      <name val="Arial"/>
      <family val="2"/>
    </font>
    <font>
      <b/>
      <sz val="14"/>
      <color rgb="FF000066"/>
      <name val="Times New Roman"/>
      <family val="1"/>
    </font>
    <font>
      <b/>
      <sz val="18"/>
      <color rgb="FFC00000"/>
      <name val="Times New Roman"/>
      <family val="1"/>
    </font>
    <font>
      <b/>
      <sz val="18"/>
      <color rgb="FF002060"/>
      <name val="Times New Roman"/>
      <family val="1"/>
    </font>
    <font>
      <b/>
      <sz val="25"/>
      <color rgb="FFC00000"/>
      <name val="Times New Roman"/>
      <family val="1"/>
    </font>
    <font>
      <b/>
      <sz val="17"/>
      <color rgb="FF002060"/>
      <name val="Times New Roman"/>
      <family val="1"/>
    </font>
    <font>
      <b/>
      <sz val="16"/>
      <color rgb="FFC00000"/>
      <name val="Times New Roman"/>
      <family val="1"/>
    </font>
    <font>
      <sz val="10"/>
      <color rgb="FF000099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1" tint="4.9989318521683403E-2"/>
      <name val="Arial"/>
      <family val="2"/>
    </font>
    <font>
      <b/>
      <sz val="10"/>
      <color rgb="FF0000CC"/>
      <name val="Arial"/>
      <family val="2"/>
    </font>
    <font>
      <sz val="13"/>
      <color rgb="FFC00000"/>
      <name val="Arial"/>
      <family val="2"/>
    </font>
    <font>
      <i/>
      <sz val="13"/>
      <color rgb="FFC00000"/>
      <name val="Times New Roman"/>
      <family val="1"/>
    </font>
    <font>
      <b/>
      <i/>
      <sz val="10"/>
      <color rgb="FF000066"/>
      <name val="Arial"/>
      <family val="2"/>
    </font>
    <font>
      <b/>
      <sz val="10"/>
      <color rgb="FF00B0F0"/>
      <name val="Arial"/>
      <family val="2"/>
    </font>
    <font>
      <b/>
      <sz val="10"/>
      <color theme="8" tint="-0.249977111117893"/>
      <name val="Arial"/>
      <family val="2"/>
    </font>
    <font>
      <b/>
      <sz val="10"/>
      <color rgb="FF0000CC"/>
      <name val="Times New Roman"/>
      <family val="1"/>
    </font>
    <font>
      <sz val="10"/>
      <color rgb="FF0000CC"/>
      <name val="Arial"/>
      <family val="2"/>
    </font>
    <font>
      <b/>
      <sz val="14"/>
      <color rgb="FFC00000"/>
      <name val="Times New Roman"/>
      <family val="1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b/>
      <sz val="7"/>
      <color rgb="FF0000CC"/>
      <name val="Times New Roman"/>
      <family val="1"/>
    </font>
    <font>
      <b/>
      <sz val="9"/>
      <color rgb="FF0000CC"/>
      <name val="Times New Roman"/>
      <family val="1"/>
    </font>
    <font>
      <b/>
      <sz val="10"/>
      <color theme="6" tint="-0.499984740745262"/>
      <name val="Arial"/>
      <family val="2"/>
    </font>
    <font>
      <b/>
      <sz val="10"/>
      <color rgb="FF00B050"/>
      <name val="Arial"/>
      <family val="2"/>
    </font>
    <font>
      <b/>
      <sz val="16"/>
      <color rgb="FFFFFF00"/>
      <name val="Arial"/>
      <family val="2"/>
    </font>
    <font>
      <b/>
      <sz val="16"/>
      <color rgb="FFFFFF66"/>
      <name val="Arial"/>
      <family val="2"/>
    </font>
    <font>
      <b/>
      <sz val="16"/>
      <color rgb="FFFF0000"/>
      <name val="Times New Roman"/>
      <family val="1"/>
    </font>
    <font>
      <b/>
      <sz val="14"/>
      <color rgb="FFFFFF66"/>
      <name val="Arial"/>
      <family val="2"/>
    </font>
    <font>
      <sz val="13"/>
      <color theme="6" tint="-0.499984740745262"/>
      <name val="Arial"/>
      <family val="2"/>
    </font>
    <font>
      <b/>
      <sz val="12"/>
      <color rgb="FF000000"/>
      <name val="Times New Roman"/>
      <family val="1"/>
    </font>
    <font>
      <b/>
      <sz val="13"/>
      <color theme="0"/>
      <name val="Arial"/>
      <family val="2"/>
    </font>
    <font>
      <b/>
      <sz val="14"/>
      <color theme="0" tint="-0.499984740745262"/>
      <name val="Times New Roman"/>
      <family val="1"/>
    </font>
    <font>
      <sz val="14"/>
      <color rgb="FF000000"/>
      <name val="Times New Roman"/>
      <family val="1"/>
    </font>
    <font>
      <b/>
      <sz val="10"/>
      <color rgb="FF000099"/>
      <name val="Times New Roman"/>
      <family val="1"/>
    </font>
    <font>
      <b/>
      <sz val="11"/>
      <color rgb="FF000099"/>
      <name val="Times New Roman"/>
      <family val="1"/>
    </font>
    <font>
      <i/>
      <sz val="13"/>
      <color rgb="FF000066"/>
      <name val="Times New Roman"/>
      <family val="1"/>
    </font>
    <font>
      <b/>
      <sz val="15"/>
      <color rgb="FFC00000"/>
      <name val="Times New Roman"/>
      <family val="1"/>
    </font>
    <font>
      <b/>
      <sz val="12"/>
      <color rgb="FFC00000"/>
      <name val="Times New Roman"/>
      <family val="1"/>
    </font>
    <font>
      <b/>
      <sz val="17"/>
      <color rgb="FFC00000"/>
      <name val="Times New Roman"/>
      <family val="1"/>
    </font>
    <font>
      <b/>
      <sz val="18"/>
      <color theme="1"/>
      <name val="Times New Roman"/>
      <family val="1"/>
    </font>
    <font>
      <b/>
      <i/>
      <sz val="14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40" fillId="0" borderId="0"/>
    <xf numFmtId="0" fontId="2" fillId="0" borderId="0"/>
    <xf numFmtId="0" fontId="2" fillId="0" borderId="0"/>
    <xf numFmtId="0" fontId="41" fillId="0" borderId="0"/>
    <xf numFmtId="0" fontId="8" fillId="0" borderId="0"/>
    <xf numFmtId="0" fontId="40" fillId="0" borderId="0"/>
    <xf numFmtId="0" fontId="4" fillId="0" borderId="0"/>
  </cellStyleXfs>
  <cellXfs count="432">
    <xf numFmtId="0" fontId="0" fillId="0" borderId="0" xfId="0"/>
    <xf numFmtId="0" fontId="5" fillId="0" borderId="0" xfId="8" applyFont="1"/>
    <xf numFmtId="0" fontId="42" fillId="0" borderId="0" xfId="0" applyFont="1" applyFill="1"/>
    <xf numFmtId="0" fontId="0" fillId="0" borderId="0" xfId="0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/>
    <xf numFmtId="0" fontId="10" fillId="0" borderId="0" xfId="0" applyFont="1"/>
    <xf numFmtId="0" fontId="0" fillId="0" borderId="0" xfId="0" applyAlignment="1">
      <alignment vertical="center"/>
    </xf>
    <xf numFmtId="0" fontId="44" fillId="0" borderId="0" xfId="0" applyFont="1" applyAlignment="1">
      <alignment vertical="center"/>
    </xf>
    <xf numFmtId="0" fontId="43" fillId="0" borderId="0" xfId="0" applyFont="1"/>
    <xf numFmtId="0" fontId="45" fillId="0" borderId="0" xfId="0" applyFont="1" applyAlignment="1">
      <alignment horizontal="center"/>
    </xf>
    <xf numFmtId="0" fontId="43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6" fillId="0" borderId="0" xfId="0" applyFont="1" applyFill="1"/>
    <xf numFmtId="0" fontId="13" fillId="0" borderId="0" xfId="8" applyFont="1" applyBorder="1" applyAlignment="1"/>
    <xf numFmtId="0" fontId="14" fillId="0" borderId="0" xfId="8" applyFont="1" applyBorder="1" applyAlignment="1"/>
    <xf numFmtId="0" fontId="16" fillId="0" borderId="0" xfId="8" applyFont="1"/>
    <xf numFmtId="0" fontId="19" fillId="0" borderId="1" xfId="8" applyFont="1" applyBorder="1" applyAlignment="1">
      <alignment vertical="center"/>
    </xf>
    <xf numFmtId="197" fontId="15" fillId="0" borderId="0" xfId="8" applyNumberFormat="1" applyFont="1" applyBorder="1" applyAlignment="1">
      <alignment horizontal="center"/>
    </xf>
    <xf numFmtId="0" fontId="20" fillId="0" borderId="0" xfId="0" applyFont="1" applyFill="1"/>
    <xf numFmtId="197" fontId="17" fillId="0" borderId="1" xfId="8" applyNumberFormat="1" applyFont="1" applyBorder="1" applyAlignment="1">
      <alignment horizontal="center"/>
    </xf>
    <xf numFmtId="196" fontId="22" fillId="0" borderId="0" xfId="8" applyNumberFormat="1" applyFont="1" applyBorder="1" applyAlignment="1">
      <alignment horizontal="center"/>
    </xf>
    <xf numFmtId="196" fontId="5" fillId="0" borderId="0" xfId="8" applyNumberFormat="1" applyFont="1" applyBorder="1" applyAlignment="1">
      <alignment horizontal="left"/>
    </xf>
    <xf numFmtId="0" fontId="47" fillId="0" borderId="0" xfId="0" applyFont="1" applyFill="1"/>
    <xf numFmtId="0" fontId="3" fillId="0" borderId="0" xfId="8" applyFont="1" applyFill="1" applyBorder="1" applyAlignment="1">
      <alignment horizontal="center"/>
    </xf>
    <xf numFmtId="0" fontId="23" fillId="0" borderId="0" xfId="8" applyFont="1"/>
    <xf numFmtId="0" fontId="48" fillId="2" borderId="0" xfId="0" applyFont="1" applyFill="1"/>
    <xf numFmtId="196" fontId="3" fillId="0" borderId="0" xfId="8" applyNumberFormat="1" applyFont="1" applyBorder="1" applyAlignment="1">
      <alignment horizontal="left"/>
    </xf>
    <xf numFmtId="41" fontId="42" fillId="0" borderId="0" xfId="0" applyNumberFormat="1" applyFont="1" applyFill="1"/>
    <xf numFmtId="41" fontId="7" fillId="0" borderId="2" xfId="0" applyNumberFormat="1" applyFont="1" applyBorder="1" applyAlignment="1">
      <alignment horizontal="left" vertical="center" shrinkToFit="1"/>
    </xf>
    <xf numFmtId="41" fontId="7" fillId="0" borderId="3" xfId="0" applyNumberFormat="1" applyFont="1" applyBorder="1" applyAlignment="1">
      <alignment horizontal="left" vertical="center" shrinkToFit="1"/>
    </xf>
    <xf numFmtId="197" fontId="3" fillId="0" borderId="4" xfId="8" applyNumberFormat="1" applyFont="1" applyFill="1" applyBorder="1" applyAlignment="1">
      <alignment horizontal="center" vertical="center"/>
    </xf>
    <xf numFmtId="0" fontId="3" fillId="0" borderId="0" xfId="8" applyFont="1" applyFill="1" applyBorder="1" applyAlignment="1">
      <alignment horizontal="center" shrinkToFit="1"/>
    </xf>
    <xf numFmtId="0" fontId="12" fillId="0" borderId="0" xfId="8" applyFont="1" applyBorder="1" applyAlignment="1">
      <alignment horizontal="center" shrinkToFit="1"/>
    </xf>
    <xf numFmtId="0" fontId="14" fillId="0" borderId="0" xfId="8" applyFont="1" applyBorder="1" applyAlignment="1">
      <alignment horizontal="center" shrinkToFit="1"/>
    </xf>
    <xf numFmtId="0" fontId="46" fillId="0" borderId="0" xfId="0" applyFont="1" applyFill="1" applyAlignment="1">
      <alignment horizontal="center" shrinkToFit="1"/>
    </xf>
    <xf numFmtId="0" fontId="46" fillId="0" borderId="0" xfId="0" applyFont="1" applyFill="1" applyAlignment="1">
      <alignment shrinkToFit="1"/>
    </xf>
    <xf numFmtId="0" fontId="6" fillId="0" borderId="0" xfId="8" applyFont="1" applyBorder="1" applyAlignment="1">
      <alignment horizontal="center" shrinkToFit="1"/>
    </xf>
    <xf numFmtId="196" fontId="21" fillId="0" borderId="0" xfId="8" applyNumberFormat="1" applyFont="1" applyBorder="1" applyAlignment="1">
      <alignment horizontal="center" shrinkToFit="1"/>
    </xf>
    <xf numFmtId="0" fontId="49" fillId="0" borderId="0" xfId="8" applyFont="1" applyBorder="1" applyAlignment="1">
      <alignment horizontal="left" shrinkToFit="1"/>
    </xf>
    <xf numFmtId="0" fontId="50" fillId="0" borderId="0" xfId="8" applyFont="1" applyFill="1" applyBorder="1" applyAlignment="1">
      <alignment horizontal="left" shrinkToFit="1"/>
    </xf>
    <xf numFmtId="0" fontId="44" fillId="3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21" fillId="0" borderId="0" xfId="8" applyFont="1" applyBorder="1" applyAlignment="1">
      <alignment horizontal="center" shrinkToFit="1"/>
    </xf>
    <xf numFmtId="0" fontId="24" fillId="0" borderId="0" xfId="8" applyFont="1" applyAlignment="1">
      <alignment horizontal="center" shrinkToFit="1"/>
    </xf>
    <xf numFmtId="0" fontId="42" fillId="0" borderId="0" xfId="0" applyFont="1" applyFill="1" applyAlignment="1">
      <alignment horizontal="center" shrinkToFit="1"/>
    </xf>
    <xf numFmtId="196" fontId="5" fillId="0" borderId="0" xfId="8" applyNumberFormat="1" applyFont="1" applyBorder="1" applyAlignment="1">
      <alignment horizontal="center" shrinkToFit="1"/>
    </xf>
    <xf numFmtId="0" fontId="25" fillId="0" borderId="1" xfId="0" applyNumberFormat="1" applyFont="1" applyBorder="1" applyAlignment="1">
      <alignment horizontal="center" vertical="center" shrinkToFit="1"/>
    </xf>
    <xf numFmtId="0" fontId="44" fillId="4" borderId="1" xfId="0" applyFont="1" applyFill="1" applyBorder="1" applyAlignment="1">
      <alignment vertical="center"/>
    </xf>
    <xf numFmtId="0" fontId="43" fillId="5" borderId="1" xfId="0" applyFont="1" applyFill="1" applyBorder="1" applyAlignment="1">
      <alignment horizontal="center" vertical="center"/>
    </xf>
    <xf numFmtId="41" fontId="10" fillId="5" borderId="1" xfId="0" applyNumberFormat="1" applyFont="1" applyFill="1" applyBorder="1" applyAlignment="1">
      <alignment vertical="center"/>
    </xf>
    <xf numFmtId="41" fontId="43" fillId="5" borderId="1" xfId="0" applyNumberFormat="1" applyFont="1" applyFill="1" applyBorder="1" applyAlignment="1">
      <alignment vertical="center"/>
    </xf>
    <xf numFmtId="0" fontId="44" fillId="3" borderId="1" xfId="0" applyFont="1" applyFill="1" applyBorder="1" applyAlignment="1">
      <alignment vertical="center"/>
    </xf>
    <xf numFmtId="0" fontId="44" fillId="3" borderId="2" xfId="0" applyFont="1" applyFill="1" applyBorder="1" applyAlignment="1">
      <alignment horizontal="center" vertical="center"/>
    </xf>
    <xf numFmtId="0" fontId="43" fillId="5" borderId="5" xfId="0" applyFont="1" applyFill="1" applyBorder="1" applyAlignment="1">
      <alignment vertical="center"/>
    </xf>
    <xf numFmtId="0" fontId="43" fillId="5" borderId="2" xfId="0" applyFont="1" applyFill="1" applyBorder="1" applyAlignment="1">
      <alignment vertical="center"/>
    </xf>
    <xf numFmtId="0" fontId="51" fillId="0" borderId="0" xfId="0" applyFont="1"/>
    <xf numFmtId="0" fontId="51" fillId="0" borderId="0" xfId="0" applyFont="1" applyAlignment="1">
      <alignment horizontal="center"/>
    </xf>
    <xf numFmtId="0" fontId="52" fillId="0" borderId="0" xfId="0" applyFont="1" applyFill="1" applyAlignment="1">
      <alignment horizontal="center"/>
    </xf>
    <xf numFmtId="0" fontId="53" fillId="0" borderId="0" xfId="0" applyFont="1" applyFill="1"/>
    <xf numFmtId="0" fontId="54" fillId="6" borderId="0" xfId="0" applyFont="1" applyFill="1"/>
    <xf numFmtId="1" fontId="55" fillId="7" borderId="0" xfId="0" applyNumberFormat="1" applyFont="1" applyFill="1"/>
    <xf numFmtId="0" fontId="56" fillId="0" borderId="0" xfId="0" applyFont="1" applyFill="1"/>
    <xf numFmtId="0" fontId="57" fillId="6" borderId="0" xfId="0" applyFont="1" applyFill="1"/>
    <xf numFmtId="0" fontId="58" fillId="0" borderId="0" xfId="0" applyFont="1" applyFill="1"/>
    <xf numFmtId="0" fontId="58" fillId="0" borderId="0" xfId="0" applyFont="1" applyFill="1" applyAlignment="1">
      <alignment horizontal="center"/>
    </xf>
    <xf numFmtId="41" fontId="59" fillId="0" borderId="0" xfId="0" applyNumberFormat="1" applyFont="1" applyFill="1"/>
    <xf numFmtId="0" fontId="60" fillId="0" borderId="0" xfId="0" applyFont="1" applyFill="1"/>
    <xf numFmtId="43" fontId="61" fillId="0" borderId="0" xfId="1" applyFont="1" applyFill="1"/>
    <xf numFmtId="43" fontId="59" fillId="0" borderId="0" xfId="1" applyFont="1" applyFill="1"/>
    <xf numFmtId="43" fontId="62" fillId="0" borderId="0" xfId="1" applyFont="1" applyFill="1"/>
    <xf numFmtId="196" fontId="50" fillId="0" borderId="0" xfId="8" applyNumberFormat="1" applyFont="1" applyBorder="1" applyAlignment="1">
      <alignment horizontal="left" shrinkToFit="1"/>
    </xf>
    <xf numFmtId="0" fontId="3" fillId="0" borderId="0" xfId="8" applyFont="1" applyFill="1" applyBorder="1" applyAlignment="1">
      <alignment shrinkToFit="1"/>
    </xf>
    <xf numFmtId="0" fontId="3" fillId="0" borderId="0" xfId="8" applyFont="1" applyAlignment="1">
      <alignment shrinkToFit="1"/>
    </xf>
    <xf numFmtId="0" fontId="63" fillId="0" borderId="0" xfId="0" applyFont="1" applyFill="1" applyAlignment="1">
      <alignment shrinkToFit="1"/>
    </xf>
    <xf numFmtId="0" fontId="63" fillId="0" borderId="0" xfId="0" applyFont="1" applyFill="1" applyAlignment="1">
      <alignment horizontal="left" shrinkToFit="1"/>
    </xf>
    <xf numFmtId="0" fontId="3" fillId="0" borderId="0" xfId="8" applyFont="1" applyAlignment="1">
      <alignment horizontal="center" shrinkToFit="1"/>
    </xf>
    <xf numFmtId="41" fontId="64" fillId="0" borderId="3" xfId="0" applyNumberFormat="1" applyFont="1" applyBorder="1" applyAlignment="1">
      <alignment horizontal="left" vertical="center" shrinkToFit="1"/>
    </xf>
    <xf numFmtId="0" fontId="50" fillId="0" borderId="0" xfId="0" applyFont="1" applyFill="1" applyAlignment="1">
      <alignment horizontal="center" shrinkToFit="1"/>
    </xf>
    <xf numFmtId="196" fontId="65" fillId="0" borderId="0" xfId="8" applyNumberFormat="1" applyFont="1" applyBorder="1" applyAlignment="1"/>
    <xf numFmtId="0" fontId="66" fillId="0" borderId="3" xfId="0" applyNumberFormat="1" applyFont="1" applyBorder="1" applyAlignment="1">
      <alignment horizontal="center" vertical="center" shrinkToFit="1"/>
    </xf>
    <xf numFmtId="1" fontId="5" fillId="0" borderId="1" xfId="8" applyNumberFormat="1" applyFont="1" applyFill="1" applyBorder="1" applyAlignment="1">
      <alignment horizontal="center" vertical="center"/>
    </xf>
    <xf numFmtId="1" fontId="5" fillId="0" borderId="3" xfId="8" applyNumberFormat="1" applyFont="1" applyFill="1" applyBorder="1" applyAlignment="1">
      <alignment horizontal="center" vertical="center"/>
    </xf>
    <xf numFmtId="197" fontId="67" fillId="0" borderId="1" xfId="8" applyNumberFormat="1" applyFont="1" applyBorder="1" applyAlignment="1">
      <alignment horizontal="center"/>
    </xf>
    <xf numFmtId="196" fontId="65" fillId="0" borderId="6" xfId="8" applyNumberFormat="1" applyFont="1" applyBorder="1" applyAlignment="1"/>
    <xf numFmtId="1" fontId="68" fillId="0" borderId="1" xfId="8" applyNumberFormat="1" applyFont="1" applyFill="1" applyBorder="1" applyAlignment="1">
      <alignment vertical="center" shrinkToFit="1"/>
    </xf>
    <xf numFmtId="196" fontId="69" fillId="0" borderId="1" xfId="0" applyNumberFormat="1" applyFont="1" applyBorder="1" applyAlignment="1">
      <alignment horizontal="center" vertical="center" shrinkToFit="1"/>
    </xf>
    <xf numFmtId="196" fontId="70" fillId="0" borderId="0" xfId="8" applyNumberFormat="1" applyFont="1" applyBorder="1" applyAlignment="1">
      <alignment shrinkToFit="1"/>
    </xf>
    <xf numFmtId="196" fontId="7" fillId="0" borderId="3" xfId="0" applyNumberFormat="1" applyFont="1" applyBorder="1" applyAlignment="1">
      <alignment horizontal="center" vertical="center" shrinkToFit="1"/>
    </xf>
    <xf numFmtId="0" fontId="71" fillId="0" borderId="0" xfId="0" applyFont="1" applyFill="1"/>
    <xf numFmtId="1" fontId="64" fillId="8" borderId="3" xfId="8" applyNumberFormat="1" applyFont="1" applyFill="1" applyBorder="1" applyAlignment="1">
      <alignment horizontal="center" vertical="center"/>
    </xf>
    <xf numFmtId="0" fontId="72" fillId="8" borderId="7" xfId="8" applyNumberFormat="1" applyFont="1" applyFill="1" applyBorder="1" applyAlignment="1">
      <alignment horizontal="center" vertical="center"/>
    </xf>
    <xf numFmtId="0" fontId="72" fillId="8" borderId="8" xfId="8" applyNumberFormat="1" applyFont="1" applyFill="1" applyBorder="1" applyAlignment="1">
      <alignment horizontal="center" vertical="center"/>
    </xf>
    <xf numFmtId="0" fontId="72" fillId="8" borderId="9" xfId="8" applyNumberFormat="1" applyFont="1" applyFill="1" applyBorder="1" applyAlignment="1">
      <alignment horizontal="center" vertical="center"/>
    </xf>
    <xf numFmtId="0" fontId="72" fillId="8" borderId="10" xfId="8" applyNumberFormat="1" applyFont="1" applyFill="1" applyBorder="1" applyAlignment="1">
      <alignment horizontal="center" vertical="center"/>
    </xf>
    <xf numFmtId="201" fontId="25" fillId="0" borderId="3" xfId="0" applyNumberFormat="1" applyFont="1" applyBorder="1" applyAlignment="1">
      <alignment horizontal="center" vertical="center" shrinkToFit="1"/>
    </xf>
    <xf numFmtId="1" fontId="73" fillId="0" borderId="3" xfId="0" applyNumberFormat="1" applyFont="1" applyFill="1" applyBorder="1" applyAlignment="1">
      <alignment horizontal="center"/>
    </xf>
    <xf numFmtId="0" fontId="49" fillId="0" borderId="0" xfId="8" applyFont="1" applyBorder="1" applyAlignment="1">
      <alignment shrinkToFit="1"/>
    </xf>
    <xf numFmtId="196" fontId="50" fillId="0" borderId="0" xfId="8" applyNumberFormat="1" applyFont="1" applyBorder="1" applyAlignment="1">
      <alignment shrinkToFit="1"/>
    </xf>
    <xf numFmtId="0" fontId="50" fillId="0" borderId="0" xfId="8" applyFont="1" applyFill="1" applyBorder="1" applyAlignment="1">
      <alignment shrinkToFit="1"/>
    </xf>
    <xf numFmtId="0" fontId="74" fillId="0" borderId="0" xfId="0" applyFont="1" applyFill="1"/>
    <xf numFmtId="0" fontId="75" fillId="0" borderId="0" xfId="0" applyFont="1" applyFill="1" applyAlignment="1">
      <alignment horizontal="center"/>
    </xf>
    <xf numFmtId="0" fontId="59" fillId="0" borderId="0" xfId="0" applyFont="1" applyFill="1" applyAlignment="1">
      <alignment horizontal="center"/>
    </xf>
    <xf numFmtId="41" fontId="25" fillId="0" borderId="11" xfId="0" applyNumberFormat="1" applyFont="1" applyBorder="1" applyAlignment="1">
      <alignment horizontal="center" vertical="center" shrinkToFit="1"/>
    </xf>
    <xf numFmtId="0" fontId="76" fillId="0" borderId="0" xfId="0" applyFont="1" applyFill="1"/>
    <xf numFmtId="0" fontId="77" fillId="0" borderId="0" xfId="0" applyFont="1" applyFill="1" applyAlignment="1">
      <alignment horizontal="center"/>
    </xf>
    <xf numFmtId="196" fontId="78" fillId="9" borderId="0" xfId="8" applyNumberFormat="1" applyFont="1" applyFill="1" applyBorder="1" applyAlignment="1"/>
    <xf numFmtId="196" fontId="78" fillId="0" borderId="6" xfId="8" applyNumberFormat="1" applyFont="1" applyFill="1" applyBorder="1" applyAlignment="1">
      <alignment vertical="center"/>
    </xf>
    <xf numFmtId="1" fontId="11" fillId="0" borderId="12" xfId="8" applyNumberFormat="1" applyFont="1" applyBorder="1" applyAlignment="1">
      <alignment horizontal="center" vertical="center"/>
    </xf>
    <xf numFmtId="1" fontId="25" fillId="0" borderId="13" xfId="0" applyNumberFormat="1" applyFont="1" applyBorder="1" applyAlignment="1">
      <alignment horizontal="center" vertical="center" shrinkToFit="1"/>
    </xf>
    <xf numFmtId="41" fontId="7" fillId="0" borderId="13" xfId="0" applyNumberFormat="1" applyFont="1" applyBorder="1" applyAlignment="1">
      <alignment horizontal="left" vertical="center" shrinkToFit="1"/>
    </xf>
    <xf numFmtId="41" fontId="7" fillId="0" borderId="13" xfId="0" applyNumberFormat="1" applyFont="1" applyBorder="1" applyAlignment="1">
      <alignment horizontal="center" vertical="center" shrinkToFit="1"/>
    </xf>
    <xf numFmtId="197" fontId="17" fillId="0" borderId="12" xfId="8" applyNumberFormat="1" applyFont="1" applyBorder="1" applyAlignment="1">
      <alignment horizontal="center" vertical="center"/>
    </xf>
    <xf numFmtId="197" fontId="17" fillId="0" borderId="13" xfId="8" applyNumberFormat="1" applyFont="1" applyBorder="1" applyAlignment="1">
      <alignment horizontal="center" vertical="center"/>
    </xf>
    <xf numFmtId="0" fontId="17" fillId="0" borderId="12" xfId="8" applyFont="1" applyBorder="1" applyAlignment="1">
      <alignment horizontal="center" vertical="center"/>
    </xf>
    <xf numFmtId="0" fontId="18" fillId="0" borderId="12" xfId="8" applyFont="1" applyBorder="1" applyAlignment="1">
      <alignment vertical="center"/>
    </xf>
    <xf numFmtId="1" fontId="11" fillId="0" borderId="14" xfId="8" applyNumberFormat="1" applyFont="1" applyBorder="1" applyAlignment="1">
      <alignment horizontal="center" vertical="center"/>
    </xf>
    <xf numFmtId="1" fontId="25" fillId="0" borderId="15" xfId="0" applyNumberFormat="1" applyFont="1" applyBorder="1" applyAlignment="1">
      <alignment horizontal="center" vertical="center" shrinkToFit="1"/>
    </xf>
    <xf numFmtId="41" fontId="7" fillId="0" borderId="15" xfId="0" applyNumberFormat="1" applyFont="1" applyBorder="1" applyAlignment="1">
      <alignment horizontal="center" vertical="center" shrinkToFit="1"/>
    </xf>
    <xf numFmtId="41" fontId="25" fillId="0" borderId="15" xfId="0" applyNumberFormat="1" applyFont="1" applyBorder="1" applyAlignment="1">
      <alignment horizontal="center" vertical="center" shrinkToFit="1"/>
    </xf>
    <xf numFmtId="197" fontId="17" fillId="0" borderId="14" xfId="8" applyNumberFormat="1" applyFont="1" applyBorder="1" applyAlignment="1">
      <alignment horizontal="center" vertical="center"/>
    </xf>
    <xf numFmtId="197" fontId="17" fillId="0" borderId="15" xfId="8" applyNumberFormat="1" applyFont="1" applyBorder="1" applyAlignment="1">
      <alignment horizontal="center" vertical="center"/>
    </xf>
    <xf numFmtId="197" fontId="12" fillId="10" borderId="1" xfId="8" applyNumberFormat="1" applyFont="1" applyFill="1" applyBorder="1" applyAlignment="1">
      <alignment horizontal="center" vertical="center"/>
    </xf>
    <xf numFmtId="1" fontId="3" fillId="0" borderId="16" xfId="8" applyNumberFormat="1" applyFont="1" applyFill="1" applyBorder="1" applyAlignment="1">
      <alignment horizontal="center" vertical="center"/>
    </xf>
    <xf numFmtId="41" fontId="7" fillId="0" borderId="17" xfId="0" applyNumberFormat="1" applyFont="1" applyBorder="1" applyAlignment="1">
      <alignment horizontal="center" vertical="center" shrinkToFit="1"/>
    </xf>
    <xf numFmtId="1" fontId="25" fillId="0" borderId="17" xfId="0" applyNumberFormat="1" applyFont="1" applyBorder="1" applyAlignment="1">
      <alignment horizontal="center" vertical="center" shrinkToFit="1"/>
    </xf>
    <xf numFmtId="41" fontId="7" fillId="0" borderId="17" xfId="0" applyNumberFormat="1" applyFont="1" applyBorder="1" applyAlignment="1">
      <alignment horizontal="left" vertical="center" shrinkToFit="1"/>
    </xf>
    <xf numFmtId="197" fontId="17" fillId="0" borderId="16" xfId="8" applyNumberFormat="1" applyFont="1" applyBorder="1" applyAlignment="1">
      <alignment horizontal="center"/>
    </xf>
    <xf numFmtId="1" fontId="5" fillId="0" borderId="12" xfId="8" applyNumberFormat="1" applyFont="1" applyFill="1" applyBorder="1" applyAlignment="1">
      <alignment horizontal="center" vertical="center"/>
    </xf>
    <xf numFmtId="197" fontId="17" fillId="0" borderId="12" xfId="8" applyNumberFormat="1" applyFont="1" applyBorder="1" applyAlignment="1">
      <alignment horizontal="center"/>
    </xf>
    <xf numFmtId="0" fontId="25" fillId="0" borderId="13" xfId="0" applyNumberFormat="1" applyFont="1" applyBorder="1" applyAlignment="1">
      <alignment horizontal="center" vertical="center" shrinkToFit="1"/>
    </xf>
    <xf numFmtId="196" fontId="79" fillId="0" borderId="6" xfId="8" applyNumberFormat="1" applyFont="1" applyFill="1" applyBorder="1" applyAlignment="1">
      <alignment horizontal="center" vertical="center"/>
    </xf>
    <xf numFmtId="196" fontId="80" fillId="0" borderId="6" xfId="8" applyNumberFormat="1" applyFont="1" applyFill="1" applyBorder="1" applyAlignment="1">
      <alignment vertical="center"/>
    </xf>
    <xf numFmtId="196" fontId="79" fillId="0" borderId="6" xfId="8" applyNumberFormat="1" applyFont="1" applyFill="1" applyBorder="1" applyAlignment="1">
      <alignment horizontal="right" vertical="center" shrinkToFit="1"/>
    </xf>
    <xf numFmtId="201" fontId="79" fillId="0" borderId="6" xfId="0" applyNumberFormat="1" applyFont="1" applyFill="1" applyBorder="1" applyAlignment="1">
      <alignment horizontal="left" vertical="center" shrinkToFit="1"/>
    </xf>
    <xf numFmtId="0" fontId="81" fillId="0" borderId="6" xfId="0" applyNumberFormat="1" applyFont="1" applyFill="1" applyBorder="1" applyAlignment="1">
      <alignment vertical="center" shrinkToFit="1"/>
    </xf>
    <xf numFmtId="196" fontId="82" fillId="9" borderId="0" xfId="8" applyNumberFormat="1" applyFont="1" applyFill="1" applyBorder="1" applyAlignment="1">
      <alignment vertical="center"/>
    </xf>
    <xf numFmtId="197" fontId="3" fillId="10" borderId="4" xfId="8" applyNumberFormat="1" applyFont="1" applyFill="1" applyBorder="1" applyAlignment="1">
      <alignment horizontal="center" vertical="center"/>
    </xf>
    <xf numFmtId="196" fontId="83" fillId="0" borderId="6" xfId="8" applyNumberFormat="1" applyFont="1" applyFill="1" applyBorder="1" applyAlignment="1">
      <alignment vertical="center"/>
    </xf>
    <xf numFmtId="41" fontId="79" fillId="0" borderId="6" xfId="0" applyNumberFormat="1" applyFont="1" applyFill="1" applyBorder="1" applyAlignment="1">
      <alignment vertical="center" shrinkToFit="1"/>
    </xf>
    <xf numFmtId="41" fontId="79" fillId="9" borderId="0" xfId="0" applyNumberFormat="1" applyFont="1" applyFill="1" applyBorder="1" applyAlignment="1">
      <alignment shrinkToFit="1"/>
    </xf>
    <xf numFmtId="0" fontId="0" fillId="2" borderId="0" xfId="0" applyFill="1"/>
    <xf numFmtId="0" fontId="2" fillId="2" borderId="0" xfId="0" applyFont="1" applyFill="1"/>
    <xf numFmtId="41" fontId="59" fillId="0" borderId="0" xfId="1" applyNumberFormat="1" applyFont="1" applyFill="1"/>
    <xf numFmtId="13" fontId="59" fillId="0" borderId="0" xfId="0" quotePrefix="1" applyNumberFormat="1" applyFont="1" applyFill="1"/>
    <xf numFmtId="41" fontId="84" fillId="0" borderId="14" xfId="0" applyNumberFormat="1" applyFont="1" applyFill="1" applyBorder="1" applyAlignment="1">
      <alignment vertical="center"/>
    </xf>
    <xf numFmtId="0" fontId="43" fillId="5" borderId="2" xfId="0" applyFont="1" applyFill="1" applyBorder="1" applyAlignment="1">
      <alignment vertical="center" shrinkToFit="1"/>
    </xf>
    <xf numFmtId="0" fontId="43" fillId="5" borderId="1" xfId="0" applyFont="1" applyFill="1" applyBorder="1" applyAlignment="1">
      <alignment vertical="center" shrinkToFit="1"/>
    </xf>
    <xf numFmtId="0" fontId="44" fillId="0" borderId="1" xfId="0" applyFont="1" applyFill="1" applyBorder="1" applyAlignment="1">
      <alignment vertical="center"/>
    </xf>
    <xf numFmtId="0" fontId="44" fillId="0" borderId="3" xfId="0" applyFont="1" applyFill="1" applyBorder="1" applyAlignment="1">
      <alignment horizontal="center" vertical="center"/>
    </xf>
    <xf numFmtId="0" fontId="43" fillId="5" borderId="5" xfId="0" applyFont="1" applyFill="1" applyBorder="1" applyAlignment="1">
      <alignment vertical="center" shrinkToFit="1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41" fontId="84" fillId="0" borderId="16" xfId="0" applyNumberFormat="1" applyFont="1" applyFill="1" applyBorder="1" applyAlignment="1">
      <alignment vertical="center"/>
    </xf>
    <xf numFmtId="41" fontId="84" fillId="0" borderId="18" xfId="0" applyNumberFormat="1" applyFont="1" applyFill="1" applyBorder="1" applyAlignment="1">
      <alignment vertical="center"/>
    </xf>
    <xf numFmtId="41" fontId="43" fillId="11" borderId="14" xfId="0" applyNumberFormat="1" applyFont="1" applyFill="1" applyBorder="1" applyAlignment="1">
      <alignment horizontal="center" vertical="center" shrinkToFit="1"/>
    </xf>
    <xf numFmtId="0" fontId="87" fillId="11" borderId="14" xfId="0" applyFont="1" applyFill="1" applyBorder="1" applyAlignment="1">
      <alignment horizontal="center" vertical="center" shrinkToFit="1"/>
    </xf>
    <xf numFmtId="0" fontId="44" fillId="11" borderId="15" xfId="0" applyFont="1" applyFill="1" applyBorder="1" applyAlignment="1">
      <alignment vertical="center" shrinkToFit="1"/>
    </xf>
    <xf numFmtId="0" fontId="87" fillId="11" borderId="12" xfId="0" applyFont="1" applyFill="1" applyBorder="1" applyAlignment="1">
      <alignment horizontal="center" vertical="center" shrinkToFit="1"/>
    </xf>
    <xf numFmtId="0" fontId="87" fillId="11" borderId="18" xfId="0" applyFont="1" applyFill="1" applyBorder="1" applyAlignment="1">
      <alignment horizontal="center" vertical="center" shrinkToFit="1"/>
    </xf>
    <xf numFmtId="0" fontId="87" fillId="11" borderId="19" xfId="0" applyFont="1" applyFill="1" applyBorder="1" applyAlignment="1">
      <alignment horizontal="center" vertical="center" shrinkToFit="1"/>
    </xf>
    <xf numFmtId="41" fontId="43" fillId="11" borderId="16" xfId="0" applyNumberFormat="1" applyFont="1" applyFill="1" applyBorder="1" applyAlignment="1">
      <alignment horizontal="center" vertical="center" shrinkToFit="1"/>
    </xf>
    <xf numFmtId="0" fontId="87" fillId="11" borderId="16" xfId="0" applyFont="1" applyFill="1" applyBorder="1" applyAlignment="1">
      <alignment horizontal="center" vertical="center" shrinkToFit="1"/>
    </xf>
    <xf numFmtId="41" fontId="43" fillId="11" borderId="12" xfId="0" applyNumberFormat="1" applyFont="1" applyFill="1" applyBorder="1" applyAlignment="1">
      <alignment horizontal="center" vertical="center" shrinkToFit="1"/>
    </xf>
    <xf numFmtId="41" fontId="43" fillId="11" borderId="18" xfId="0" applyNumberFormat="1" applyFont="1" applyFill="1" applyBorder="1" applyAlignment="1">
      <alignment horizontal="center" vertical="center" shrinkToFit="1"/>
    </xf>
    <xf numFmtId="0" fontId="44" fillId="11" borderId="20" xfId="0" applyFont="1" applyFill="1" applyBorder="1" applyAlignment="1">
      <alignment vertical="center" shrinkToFit="1"/>
    </xf>
    <xf numFmtId="0" fontId="88" fillId="5" borderId="1" xfId="0" applyFont="1" applyFill="1" applyBorder="1" applyAlignment="1">
      <alignment horizontal="center" vertical="center"/>
    </xf>
    <xf numFmtId="41" fontId="43" fillId="0" borderId="16" xfId="0" applyNumberFormat="1" applyFont="1" applyBorder="1" applyAlignment="1">
      <alignment vertical="center"/>
    </xf>
    <xf numFmtId="41" fontId="43" fillId="0" borderId="12" xfId="0" applyNumberFormat="1" applyFont="1" applyBorder="1" applyAlignment="1">
      <alignment vertical="center"/>
    </xf>
    <xf numFmtId="41" fontId="43" fillId="0" borderId="18" xfId="0" applyNumberFormat="1" applyFont="1" applyBorder="1" applyAlignment="1">
      <alignment vertical="center"/>
    </xf>
    <xf numFmtId="0" fontId="44" fillId="2" borderId="1" xfId="0" applyFont="1" applyFill="1" applyBorder="1" applyAlignment="1">
      <alignment vertical="center"/>
    </xf>
    <xf numFmtId="0" fontId="43" fillId="2" borderId="5" xfId="0" applyFont="1" applyFill="1" applyBorder="1" applyAlignment="1">
      <alignment horizontal="center" vertical="center" shrinkToFit="1"/>
    </xf>
    <xf numFmtId="0" fontId="44" fillId="2" borderId="2" xfId="0" applyFont="1" applyFill="1" applyBorder="1" applyAlignment="1">
      <alignment horizontal="center" vertical="center" shrinkToFit="1"/>
    </xf>
    <xf numFmtId="0" fontId="44" fillId="2" borderId="1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197" fontId="64" fillId="10" borderId="4" xfId="8" applyNumberFormat="1" applyFont="1" applyFill="1" applyBorder="1" applyAlignment="1">
      <alignment horizontal="center" vertical="center"/>
    </xf>
    <xf numFmtId="0" fontId="60" fillId="0" borderId="14" xfId="0" applyFont="1" applyFill="1" applyBorder="1" applyAlignment="1">
      <alignment horizontal="center" vertical="center"/>
    </xf>
    <xf numFmtId="43" fontId="89" fillId="0" borderId="0" xfId="1" applyFont="1" applyFill="1"/>
    <xf numFmtId="41" fontId="66" fillId="0" borderId="17" xfId="0" applyNumberFormat="1" applyFont="1" applyBorder="1" applyAlignment="1">
      <alignment horizontal="left" vertical="center" shrinkToFit="1"/>
    </xf>
    <xf numFmtId="41" fontId="66" fillId="0" borderId="21" xfId="0" applyNumberFormat="1" applyFont="1" applyBorder="1" applyAlignment="1">
      <alignment horizontal="left" vertical="center" shrinkToFit="1"/>
    </xf>
    <xf numFmtId="41" fontId="66" fillId="0" borderId="13" xfId="0" applyNumberFormat="1" applyFont="1" applyBorder="1" applyAlignment="1">
      <alignment horizontal="left" vertical="center" shrinkToFit="1"/>
    </xf>
    <xf numFmtId="41" fontId="66" fillId="0" borderId="22" xfId="0" applyNumberFormat="1" applyFont="1" applyBorder="1" applyAlignment="1">
      <alignment horizontal="left" vertical="center" shrinkToFit="1"/>
    </xf>
    <xf numFmtId="1" fontId="64" fillId="2" borderId="3" xfId="8" applyNumberFormat="1" applyFont="1" applyFill="1" applyBorder="1" applyAlignment="1">
      <alignment horizontal="center" vertical="center"/>
    </xf>
    <xf numFmtId="1" fontId="5" fillId="2" borderId="3" xfId="8" applyNumberFormat="1" applyFont="1" applyFill="1" applyBorder="1" applyAlignment="1">
      <alignment horizontal="center" vertical="center"/>
    </xf>
    <xf numFmtId="0" fontId="66" fillId="2" borderId="3" xfId="0" applyNumberFormat="1" applyFont="1" applyFill="1" applyBorder="1" applyAlignment="1">
      <alignment horizontal="center" vertical="center" shrinkToFit="1"/>
    </xf>
    <xf numFmtId="0" fontId="25" fillId="2" borderId="1" xfId="0" applyNumberFormat="1" applyFont="1" applyFill="1" applyBorder="1" applyAlignment="1">
      <alignment horizontal="center" vertical="center" shrinkToFit="1"/>
    </xf>
    <xf numFmtId="41" fontId="7" fillId="2" borderId="3" xfId="0" applyNumberFormat="1" applyFont="1" applyFill="1" applyBorder="1" applyAlignment="1">
      <alignment horizontal="left" vertical="center" shrinkToFit="1"/>
    </xf>
    <xf numFmtId="41" fontId="7" fillId="2" borderId="2" xfId="0" applyNumberFormat="1" applyFont="1" applyFill="1" applyBorder="1" applyAlignment="1">
      <alignment horizontal="left" vertical="center" shrinkToFit="1"/>
    </xf>
    <xf numFmtId="41" fontId="64" fillId="2" borderId="3" xfId="0" applyNumberFormat="1" applyFont="1" applyFill="1" applyBorder="1" applyAlignment="1">
      <alignment horizontal="left" vertical="center" shrinkToFit="1"/>
    </xf>
    <xf numFmtId="197" fontId="17" fillId="2" borderId="1" xfId="8" applyNumberFormat="1" applyFont="1" applyFill="1" applyBorder="1" applyAlignment="1">
      <alignment horizontal="center"/>
    </xf>
    <xf numFmtId="43" fontId="61" fillId="2" borderId="0" xfId="1" applyFont="1" applyFill="1"/>
    <xf numFmtId="43" fontId="59" fillId="2" borderId="0" xfId="1" applyFont="1" applyFill="1"/>
    <xf numFmtId="41" fontId="59" fillId="2" borderId="0" xfId="0" applyNumberFormat="1" applyFont="1" applyFill="1"/>
    <xf numFmtId="0" fontId="42" fillId="2" borderId="0" xfId="0" applyFont="1" applyFill="1"/>
    <xf numFmtId="41" fontId="42" fillId="2" borderId="0" xfId="0" applyNumberFormat="1" applyFont="1" applyFill="1"/>
    <xf numFmtId="0" fontId="90" fillId="8" borderId="8" xfId="8" applyNumberFormat="1" applyFont="1" applyFill="1" applyBorder="1" applyAlignment="1">
      <alignment horizontal="center" vertical="center"/>
    </xf>
    <xf numFmtId="0" fontId="90" fillId="8" borderId="7" xfId="8" applyNumberFormat="1" applyFont="1" applyFill="1" applyBorder="1" applyAlignment="1">
      <alignment horizontal="center" vertical="center"/>
    </xf>
    <xf numFmtId="43" fontId="89" fillId="2" borderId="0" xfId="1" applyFont="1" applyFill="1"/>
    <xf numFmtId="1" fontId="64" fillId="2" borderId="1" xfId="8" applyNumberFormat="1" applyFont="1" applyFill="1" applyBorder="1" applyAlignment="1">
      <alignment horizontal="center" vertical="center"/>
    </xf>
    <xf numFmtId="0" fontId="44" fillId="3" borderId="5" xfId="0" applyFont="1" applyFill="1" applyBorder="1" applyAlignment="1">
      <alignment horizontal="center" vertical="center"/>
    </xf>
    <xf numFmtId="0" fontId="91" fillId="3" borderId="3" xfId="0" applyFont="1" applyFill="1" applyBorder="1" applyAlignment="1">
      <alignment horizontal="center" vertical="center"/>
    </xf>
    <xf numFmtId="0" fontId="44" fillId="0" borderId="5" xfId="0" applyFont="1" applyFill="1" applyBorder="1" applyAlignment="1">
      <alignment horizontal="center" vertical="center"/>
    </xf>
    <xf numFmtId="0" fontId="0" fillId="0" borderId="11" xfId="0" applyBorder="1"/>
    <xf numFmtId="0" fontId="0" fillId="0" borderId="0" xfId="0" applyBorder="1"/>
    <xf numFmtId="0" fontId="44" fillId="0" borderId="11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0" fontId="43" fillId="0" borderId="0" xfId="0" applyFont="1" applyFill="1" applyBorder="1" applyAlignment="1">
      <alignment horizontal="center"/>
    </xf>
    <xf numFmtId="0" fontId="88" fillId="0" borderId="0" xfId="0" applyFont="1" applyFill="1" applyBorder="1" applyAlignment="1">
      <alignment vertical="center"/>
    </xf>
    <xf numFmtId="0" fontId="92" fillId="0" borderId="0" xfId="0" applyFont="1" applyFill="1" applyBorder="1" applyAlignment="1">
      <alignment vertical="center"/>
    </xf>
    <xf numFmtId="0" fontId="43" fillId="0" borderId="0" xfId="0" applyFont="1" applyFill="1" applyBorder="1" applyAlignment="1">
      <alignment vertical="center"/>
    </xf>
    <xf numFmtId="0" fontId="9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60" fillId="0" borderId="14" xfId="0" applyFont="1" applyBorder="1" applyAlignment="1">
      <alignment horizontal="center" vertical="center"/>
    </xf>
    <xf numFmtId="0" fontId="94" fillId="12" borderId="14" xfId="0" applyFont="1" applyFill="1" applyBorder="1" applyAlignment="1">
      <alignment horizontal="center" vertical="center"/>
    </xf>
    <xf numFmtId="0" fontId="88" fillId="0" borderId="0" xfId="0" applyFont="1" applyAlignment="1">
      <alignment horizontal="center"/>
    </xf>
    <xf numFmtId="0" fontId="88" fillId="3" borderId="2" xfId="0" applyFont="1" applyFill="1" applyBorder="1" applyAlignment="1">
      <alignment horizontal="center" vertical="center"/>
    </xf>
    <xf numFmtId="0" fontId="88" fillId="3" borderId="1" xfId="0" applyFont="1" applyFill="1" applyBorder="1" applyAlignment="1">
      <alignment horizontal="center" vertical="center"/>
    </xf>
    <xf numFmtId="0" fontId="88" fillId="0" borderId="2" xfId="0" applyFont="1" applyFill="1" applyBorder="1" applyAlignment="1">
      <alignment horizontal="center" vertical="center"/>
    </xf>
    <xf numFmtId="0" fontId="88" fillId="2" borderId="2" xfId="0" applyFont="1" applyFill="1" applyBorder="1" applyAlignment="1">
      <alignment horizontal="center" vertical="center"/>
    </xf>
    <xf numFmtId="0" fontId="94" fillId="0" borderId="14" xfId="0" applyFont="1" applyBorder="1" applyAlignment="1">
      <alignment horizontal="center" vertical="center"/>
    </xf>
    <xf numFmtId="0" fontId="95" fillId="0" borderId="0" xfId="0" applyFont="1" applyAlignment="1">
      <alignment horizontal="center"/>
    </xf>
    <xf numFmtId="0" fontId="43" fillId="12" borderId="4" xfId="0" applyFont="1" applyFill="1" applyBorder="1" applyAlignment="1">
      <alignment horizontal="center" vertical="center"/>
    </xf>
    <xf numFmtId="41" fontId="52" fillId="12" borderId="4" xfId="0" applyNumberFormat="1" applyFont="1" applyFill="1" applyBorder="1" applyAlignment="1">
      <alignment horizontal="center" vertical="center" shrinkToFit="1"/>
    </xf>
    <xf numFmtId="41" fontId="96" fillId="12" borderId="4" xfId="0" applyNumberFormat="1" applyFont="1" applyFill="1" applyBorder="1" applyAlignment="1">
      <alignment horizontal="center" vertical="center" shrinkToFit="1"/>
    </xf>
    <xf numFmtId="41" fontId="97" fillId="12" borderId="23" xfId="0" applyNumberFormat="1" applyFont="1" applyFill="1" applyBorder="1" applyAlignment="1">
      <alignment horizontal="center" vertical="center" shrinkToFit="1"/>
    </xf>
    <xf numFmtId="0" fontId="94" fillId="12" borderId="1" xfId="0" applyFont="1" applyFill="1" applyBorder="1" applyAlignment="1">
      <alignment horizontal="center" vertical="center" wrapText="1"/>
    </xf>
    <xf numFmtId="0" fontId="43" fillId="12" borderId="3" xfId="0" applyFont="1" applyFill="1" applyBorder="1" applyAlignment="1">
      <alignment vertical="center"/>
    </xf>
    <xf numFmtId="0" fontId="43" fillId="12" borderId="1" xfId="0" applyFont="1" applyFill="1" applyBorder="1" applyAlignment="1">
      <alignment vertical="center"/>
    </xf>
    <xf numFmtId="0" fontId="85" fillId="12" borderId="5" xfId="0" applyFont="1" applyFill="1" applyBorder="1" applyAlignment="1">
      <alignment vertical="center"/>
    </xf>
    <xf numFmtId="0" fontId="43" fillId="12" borderId="14" xfId="0" applyFont="1" applyFill="1" applyBorder="1" applyAlignment="1">
      <alignment horizontal="center" vertical="center"/>
    </xf>
    <xf numFmtId="41" fontId="88" fillId="12" borderId="14" xfId="0" applyNumberFormat="1" applyFont="1" applyFill="1" applyBorder="1" applyAlignment="1">
      <alignment horizontal="center" vertical="center" shrinkToFit="1"/>
    </xf>
    <xf numFmtId="41" fontId="87" fillId="12" borderId="14" xfId="0" applyNumberFormat="1" applyFont="1" applyFill="1" applyBorder="1" applyAlignment="1">
      <alignment horizontal="center" vertical="center" shrinkToFit="1"/>
    </xf>
    <xf numFmtId="41" fontId="85" fillId="12" borderId="14" xfId="0" applyNumberFormat="1" applyFont="1" applyFill="1" applyBorder="1" applyAlignment="1">
      <alignment horizontal="center" vertical="center" shrinkToFit="1"/>
    </xf>
    <xf numFmtId="0" fontId="43" fillId="12" borderId="12" xfId="0" applyFont="1" applyFill="1" applyBorder="1" applyAlignment="1">
      <alignment horizontal="center" vertical="center"/>
    </xf>
    <xf numFmtId="41" fontId="88" fillId="12" borderId="12" xfId="0" applyNumberFormat="1" applyFont="1" applyFill="1" applyBorder="1" applyAlignment="1">
      <alignment horizontal="center" vertical="center" shrinkToFit="1"/>
    </xf>
    <xf numFmtId="41" fontId="87" fillId="12" borderId="12" xfId="0" applyNumberFormat="1" applyFont="1" applyFill="1" applyBorder="1" applyAlignment="1">
      <alignment horizontal="center" vertical="center" shrinkToFit="1"/>
    </xf>
    <xf numFmtId="0" fontId="43" fillId="12" borderId="19" xfId="0" applyFont="1" applyFill="1" applyBorder="1" applyAlignment="1">
      <alignment horizontal="center" vertical="center"/>
    </xf>
    <xf numFmtId="41" fontId="88" fillId="12" borderId="19" xfId="0" applyNumberFormat="1" applyFont="1" applyFill="1" applyBorder="1" applyAlignment="1">
      <alignment horizontal="center" vertical="center" shrinkToFit="1"/>
    </xf>
    <xf numFmtId="41" fontId="87" fillId="12" borderId="19" xfId="0" applyNumberFormat="1" applyFont="1" applyFill="1" applyBorder="1" applyAlignment="1">
      <alignment horizontal="center" vertical="center" shrinkToFit="1"/>
    </xf>
    <xf numFmtId="41" fontId="85" fillId="12" borderId="7" xfId="0" applyNumberFormat="1" applyFont="1" applyFill="1" applyBorder="1" applyAlignment="1">
      <alignment horizontal="center" vertical="center" shrinkToFit="1"/>
    </xf>
    <xf numFmtId="0" fontId="43" fillId="12" borderId="3" xfId="0" applyFont="1" applyFill="1" applyBorder="1" applyAlignment="1">
      <alignment vertical="center" shrinkToFit="1"/>
    </xf>
    <xf numFmtId="0" fontId="43" fillId="12" borderId="1" xfId="0" applyFont="1" applyFill="1" applyBorder="1" applyAlignment="1">
      <alignment vertical="center" shrinkToFit="1"/>
    </xf>
    <xf numFmtId="0" fontId="85" fillId="12" borderId="5" xfId="0" applyFont="1" applyFill="1" applyBorder="1" applyAlignment="1">
      <alignment vertical="center" shrinkToFit="1"/>
    </xf>
    <xf numFmtId="0" fontId="94" fillId="12" borderId="12" xfId="0" applyFont="1" applyFill="1" applyBorder="1" applyAlignment="1">
      <alignment horizontal="center" vertical="center" wrapText="1"/>
    </xf>
    <xf numFmtId="0" fontId="43" fillId="12" borderId="18" xfId="0" applyFont="1" applyFill="1" applyBorder="1" applyAlignment="1">
      <alignment horizontal="center" vertical="center"/>
    </xf>
    <xf numFmtId="41" fontId="88" fillId="12" borderId="18" xfId="0" applyNumberFormat="1" applyFont="1" applyFill="1" applyBorder="1" applyAlignment="1">
      <alignment horizontal="center" vertical="center" shrinkToFit="1"/>
    </xf>
    <xf numFmtId="0" fontId="98" fillId="12" borderId="16" xfId="0" applyFont="1" applyFill="1" applyBorder="1" applyAlignment="1">
      <alignment horizontal="center" vertical="center" wrapText="1"/>
    </xf>
    <xf numFmtId="0" fontId="98" fillId="12" borderId="12" xfId="0" applyFont="1" applyFill="1" applyBorder="1" applyAlignment="1">
      <alignment horizontal="center" vertical="center" wrapText="1"/>
    </xf>
    <xf numFmtId="0" fontId="98" fillId="12" borderId="18" xfId="0" applyFont="1" applyFill="1" applyBorder="1" applyAlignment="1">
      <alignment horizontal="center" vertical="center" wrapText="1"/>
    </xf>
    <xf numFmtId="0" fontId="60" fillId="12" borderId="4" xfId="0" applyFont="1" applyFill="1" applyBorder="1" applyAlignment="1">
      <alignment horizontal="center" vertical="center"/>
    </xf>
    <xf numFmtId="0" fontId="43" fillId="12" borderId="16" xfId="0" applyFont="1" applyFill="1" applyBorder="1" applyAlignment="1">
      <alignment horizontal="center" vertical="center"/>
    </xf>
    <xf numFmtId="41" fontId="88" fillId="12" borderId="16" xfId="0" applyNumberFormat="1" applyFont="1" applyFill="1" applyBorder="1" applyAlignment="1">
      <alignment horizontal="center" vertical="center" shrinkToFit="1"/>
    </xf>
    <xf numFmtId="0" fontId="99" fillId="12" borderId="1" xfId="0" applyFont="1" applyFill="1" applyBorder="1" applyAlignment="1">
      <alignment horizontal="center" vertical="center" wrapText="1"/>
    </xf>
    <xf numFmtId="41" fontId="87" fillId="12" borderId="16" xfId="0" applyNumberFormat="1" applyFont="1" applyFill="1" applyBorder="1" applyAlignment="1">
      <alignment horizontal="center" vertical="center" shrinkToFit="1"/>
    </xf>
    <xf numFmtId="41" fontId="85" fillId="12" borderId="16" xfId="0" applyNumberFormat="1" applyFont="1" applyFill="1" applyBorder="1" applyAlignment="1">
      <alignment horizontal="center" vertical="center" shrinkToFit="1"/>
    </xf>
    <xf numFmtId="41" fontId="87" fillId="12" borderId="18" xfId="0" applyNumberFormat="1" applyFont="1" applyFill="1" applyBorder="1" applyAlignment="1">
      <alignment horizontal="center" vertical="center" shrinkToFit="1"/>
    </xf>
    <xf numFmtId="41" fontId="85" fillId="12" borderId="18" xfId="0" applyNumberFormat="1" applyFont="1" applyFill="1" applyBorder="1" applyAlignment="1">
      <alignment horizontal="center" vertical="center" shrinkToFit="1"/>
    </xf>
    <xf numFmtId="0" fontId="100" fillId="12" borderId="1" xfId="0" applyFont="1" applyFill="1" applyBorder="1" applyAlignment="1">
      <alignment horizontal="center" vertical="center" wrapText="1"/>
    </xf>
    <xf numFmtId="41" fontId="85" fillId="12" borderId="12" xfId="0" applyNumberFormat="1" applyFont="1" applyFill="1" applyBorder="1" applyAlignment="1">
      <alignment horizontal="center" vertical="center" shrinkToFit="1"/>
    </xf>
    <xf numFmtId="0" fontId="43" fillId="11" borderId="17" xfId="0" applyFont="1" applyFill="1" applyBorder="1" applyAlignment="1">
      <alignment vertical="center"/>
    </xf>
    <xf numFmtId="0" fontId="101" fillId="11" borderId="17" xfId="0" applyFont="1" applyFill="1" applyBorder="1" applyAlignment="1">
      <alignment vertical="center"/>
    </xf>
    <xf numFmtId="0" fontId="102" fillId="11" borderId="21" xfId="0" applyFont="1" applyFill="1" applyBorder="1" applyAlignment="1">
      <alignment vertical="center"/>
    </xf>
    <xf numFmtId="0" fontId="102" fillId="11" borderId="24" xfId="0" applyFont="1" applyFill="1" applyBorder="1" applyAlignment="1">
      <alignment horizontal="center" vertical="center"/>
    </xf>
    <xf numFmtId="0" fontId="88" fillId="11" borderId="21" xfId="0" applyFont="1" applyFill="1" applyBorder="1" applyAlignment="1">
      <alignment vertical="center" shrinkToFit="1"/>
    </xf>
    <xf numFmtId="0" fontId="88" fillId="11" borderId="17" xfId="0" applyFont="1" applyFill="1" applyBorder="1" applyAlignment="1">
      <alignment vertical="center" shrinkToFit="1"/>
    </xf>
    <xf numFmtId="0" fontId="88" fillId="11" borderId="16" xfId="0" applyFont="1" applyFill="1" applyBorder="1" applyAlignment="1">
      <alignment vertical="center" shrinkToFit="1"/>
    </xf>
    <xf numFmtId="0" fontId="43" fillId="11" borderId="13" xfId="0" applyFont="1" applyFill="1" applyBorder="1" applyAlignment="1">
      <alignment vertical="center"/>
    </xf>
    <xf numFmtId="0" fontId="101" fillId="11" borderId="13" xfId="0" applyFont="1" applyFill="1" applyBorder="1" applyAlignment="1">
      <alignment vertical="center"/>
    </xf>
    <xf numFmtId="0" fontId="102" fillId="11" borderId="22" xfId="0" applyFont="1" applyFill="1" applyBorder="1" applyAlignment="1">
      <alignment vertical="center"/>
    </xf>
    <xf numFmtId="0" fontId="102" fillId="11" borderId="25" xfId="0" applyFont="1" applyFill="1" applyBorder="1" applyAlignment="1">
      <alignment horizontal="center" vertical="center"/>
    </xf>
    <xf numFmtId="0" fontId="88" fillId="11" borderId="22" xfId="0" applyFont="1" applyFill="1" applyBorder="1" applyAlignment="1">
      <alignment vertical="center" shrinkToFit="1"/>
    </xf>
    <xf numFmtId="0" fontId="88" fillId="11" borderId="13" xfId="0" applyFont="1" applyFill="1" applyBorder="1" applyAlignment="1">
      <alignment vertical="center" shrinkToFit="1"/>
    </xf>
    <xf numFmtId="0" fontId="88" fillId="11" borderId="12" xfId="0" applyFont="1" applyFill="1" applyBorder="1" applyAlignment="1">
      <alignment vertical="center" shrinkToFit="1"/>
    </xf>
    <xf numFmtId="0" fontId="92" fillId="11" borderId="22" xfId="0" applyFont="1" applyFill="1" applyBorder="1" applyAlignment="1">
      <alignment vertical="center" shrinkToFit="1"/>
    </xf>
    <xf numFmtId="0" fontId="43" fillId="11" borderId="20" xfId="0" applyFont="1" applyFill="1" applyBorder="1" applyAlignment="1">
      <alignment vertical="center"/>
    </xf>
    <xf numFmtId="0" fontId="101" fillId="11" borderId="20" xfId="0" applyFont="1" applyFill="1" applyBorder="1" applyAlignment="1">
      <alignment vertical="center"/>
    </xf>
    <xf numFmtId="0" fontId="102" fillId="11" borderId="26" xfId="0" applyFont="1" applyFill="1" applyBorder="1" applyAlignment="1">
      <alignment vertical="center"/>
    </xf>
    <xf numFmtId="0" fontId="102" fillId="11" borderId="27" xfId="0" applyFont="1" applyFill="1" applyBorder="1" applyAlignment="1">
      <alignment horizontal="center" vertical="center"/>
    </xf>
    <xf numFmtId="0" fontId="92" fillId="11" borderId="26" xfId="0" applyFont="1" applyFill="1" applyBorder="1" applyAlignment="1">
      <alignment vertical="center" shrinkToFit="1"/>
    </xf>
    <xf numFmtId="0" fontId="88" fillId="11" borderId="20" xfId="0" applyFont="1" applyFill="1" applyBorder="1" applyAlignment="1">
      <alignment vertical="center" shrinkToFit="1"/>
    </xf>
    <xf numFmtId="0" fontId="88" fillId="11" borderId="18" xfId="0" applyFont="1" applyFill="1" applyBorder="1" applyAlignment="1">
      <alignment vertical="center" shrinkToFit="1"/>
    </xf>
    <xf numFmtId="0" fontId="43" fillId="11" borderId="21" xfId="0" applyFont="1" applyFill="1" applyBorder="1" applyAlignment="1">
      <alignment vertical="center" shrinkToFit="1"/>
    </xf>
    <xf numFmtId="0" fontId="43" fillId="11" borderId="17" xfId="0" applyFont="1" applyFill="1" applyBorder="1" applyAlignment="1">
      <alignment vertical="center" shrinkToFit="1"/>
    </xf>
    <xf numFmtId="0" fontId="43" fillId="11" borderId="16" xfId="0" applyFont="1" applyFill="1" applyBorder="1" applyAlignment="1">
      <alignment vertical="center" shrinkToFit="1"/>
    </xf>
    <xf numFmtId="0" fontId="43" fillId="11" borderId="22" xfId="0" applyFont="1" applyFill="1" applyBorder="1" applyAlignment="1">
      <alignment vertical="center" shrinkToFit="1"/>
    </xf>
    <xf numFmtId="0" fontId="43" fillId="11" borderId="13" xfId="0" applyFont="1" applyFill="1" applyBorder="1" applyAlignment="1">
      <alignment vertical="center" shrinkToFit="1"/>
    </xf>
    <xf numFmtId="0" fontId="43" fillId="11" borderId="12" xfId="0" applyFont="1" applyFill="1" applyBorder="1" applyAlignment="1">
      <alignment vertical="center" shrinkToFit="1"/>
    </xf>
    <xf numFmtId="0" fontId="43" fillId="11" borderId="26" xfId="0" applyFont="1" applyFill="1" applyBorder="1" applyAlignment="1">
      <alignment vertical="center" shrinkToFit="1"/>
    </xf>
    <xf numFmtId="0" fontId="43" fillId="11" borderId="20" xfId="0" applyFont="1" applyFill="1" applyBorder="1" applyAlignment="1">
      <alignment vertical="center" shrinkToFit="1"/>
    </xf>
    <xf numFmtId="0" fontId="43" fillId="11" borderId="18" xfId="0" applyFont="1" applyFill="1" applyBorder="1" applyAlignment="1">
      <alignment vertical="center" shrinkToFit="1"/>
    </xf>
    <xf numFmtId="0" fontId="93" fillId="11" borderId="17" xfId="0" applyFont="1" applyFill="1" applyBorder="1" applyAlignment="1">
      <alignment vertical="center" shrinkToFit="1"/>
    </xf>
    <xf numFmtId="0" fontId="93" fillId="11" borderId="16" xfId="0" applyFont="1" applyFill="1" applyBorder="1" applyAlignment="1">
      <alignment vertical="center" shrinkToFit="1"/>
    </xf>
    <xf numFmtId="0" fontId="93" fillId="11" borderId="13" xfId="0" applyFont="1" applyFill="1" applyBorder="1" applyAlignment="1">
      <alignment vertical="center" shrinkToFit="1"/>
    </xf>
    <xf numFmtId="0" fontId="93" fillId="11" borderId="12" xfId="0" applyFont="1" applyFill="1" applyBorder="1" applyAlignment="1">
      <alignment vertical="center" shrinkToFit="1"/>
    </xf>
    <xf numFmtId="0" fontId="93" fillId="11" borderId="20" xfId="0" applyFont="1" applyFill="1" applyBorder="1" applyAlignment="1">
      <alignment vertical="center" shrinkToFit="1"/>
    </xf>
    <xf numFmtId="0" fontId="93" fillId="11" borderId="18" xfId="0" applyFont="1" applyFill="1" applyBorder="1" applyAlignment="1">
      <alignment vertical="center" shrinkToFit="1"/>
    </xf>
    <xf numFmtId="0" fontId="43" fillId="0" borderId="0" xfId="0" applyFont="1" applyFill="1" applyAlignment="1">
      <alignment horizontal="center"/>
    </xf>
    <xf numFmtId="0" fontId="102" fillId="0" borderId="5" xfId="0" applyFont="1" applyFill="1" applyBorder="1" applyAlignment="1">
      <alignment vertical="center"/>
    </xf>
    <xf numFmtId="0" fontId="94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100" fillId="0" borderId="1" xfId="0" applyFont="1" applyBorder="1" applyAlignment="1">
      <alignment horizontal="center" vertical="center" wrapText="1"/>
    </xf>
    <xf numFmtId="0" fontId="85" fillId="13" borderId="4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vertical="center" shrinkToFit="1"/>
    </xf>
    <xf numFmtId="0" fontId="43" fillId="5" borderId="1" xfId="0" applyFont="1" applyFill="1" applyBorder="1" applyAlignment="1">
      <alignment horizontal="center" vertical="center" shrinkToFit="1"/>
    </xf>
    <xf numFmtId="0" fontId="77" fillId="0" borderId="0" xfId="0" applyFont="1" applyFill="1"/>
    <xf numFmtId="0" fontId="43" fillId="0" borderId="0" xfId="0" applyFont="1" applyFill="1"/>
    <xf numFmtId="0" fontId="43" fillId="0" borderId="0" xfId="0" applyNumberFormat="1" applyFont="1" applyFill="1"/>
    <xf numFmtId="0" fontId="59" fillId="2" borderId="0" xfId="0" applyFont="1" applyFill="1" applyAlignment="1">
      <alignment horizontal="center"/>
    </xf>
    <xf numFmtId="0" fontId="42" fillId="0" borderId="0" xfId="0" applyFont="1" applyFill="1" applyAlignment="1">
      <alignment horizontal="center"/>
    </xf>
    <xf numFmtId="0" fontId="43" fillId="14" borderId="4" xfId="0" applyFont="1" applyFill="1" applyBorder="1" applyAlignment="1">
      <alignment vertical="center" shrinkToFit="1"/>
    </xf>
    <xf numFmtId="41" fontId="61" fillId="0" borderId="0" xfId="0" applyNumberFormat="1" applyFont="1" applyFill="1"/>
    <xf numFmtId="0" fontId="103" fillId="2" borderId="0" xfId="0" applyFont="1" applyFill="1" applyAlignment="1">
      <alignment horizontal="center"/>
    </xf>
    <xf numFmtId="0" fontId="104" fillId="0" borderId="0" xfId="0" applyFont="1" applyFill="1"/>
    <xf numFmtId="0" fontId="105" fillId="2" borderId="0" xfId="0" applyFont="1" applyFill="1" applyAlignment="1">
      <alignment horizontal="center"/>
    </xf>
    <xf numFmtId="41" fontId="66" fillId="0" borderId="15" xfId="0" applyNumberFormat="1" applyFont="1" applyBorder="1" applyAlignment="1">
      <alignment horizontal="left" vertical="center" shrinkToFit="1"/>
    </xf>
    <xf numFmtId="41" fontId="66" fillId="0" borderId="28" xfId="0" applyNumberFormat="1" applyFont="1" applyBorder="1" applyAlignment="1">
      <alignment horizontal="left" vertical="center" shrinkToFit="1"/>
    </xf>
    <xf numFmtId="0" fontId="106" fillId="0" borderId="0" xfId="0" applyFont="1" applyFill="1"/>
    <xf numFmtId="0" fontId="43" fillId="0" borderId="14" xfId="0" applyFont="1" applyBorder="1" applyAlignment="1">
      <alignment horizontal="center" vertical="center" shrinkToFit="1"/>
    </xf>
    <xf numFmtId="43" fontId="107" fillId="0" borderId="0" xfId="1" applyFont="1" applyFill="1"/>
    <xf numFmtId="1" fontId="5" fillId="2" borderId="1" xfId="8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8" fillId="0" borderId="32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left" wrapText="1"/>
    </xf>
    <xf numFmtId="0" fontId="9" fillId="0" borderId="32" xfId="0" applyFont="1" applyBorder="1" applyAlignment="1">
      <alignment horizontal="center" wrapText="1"/>
    </xf>
    <xf numFmtId="41" fontId="25" fillId="0" borderId="13" xfId="0" applyNumberFormat="1" applyFont="1" applyBorder="1" applyAlignment="1">
      <alignment horizontal="left" vertical="center"/>
    </xf>
    <xf numFmtId="41" fontId="25" fillId="0" borderId="17" xfId="0" applyNumberFormat="1" applyFont="1" applyBorder="1" applyAlignment="1">
      <alignment horizontal="left" vertical="center"/>
    </xf>
    <xf numFmtId="0" fontId="109" fillId="15" borderId="0" xfId="0" applyFont="1" applyFill="1"/>
    <xf numFmtId="0" fontId="110" fillId="0" borderId="0" xfId="0" applyFont="1" applyFill="1" applyAlignment="1">
      <alignment horizontal="center"/>
    </xf>
    <xf numFmtId="41" fontId="39" fillId="0" borderId="15" xfId="0" applyNumberFormat="1" applyFont="1" applyBorder="1" applyAlignment="1">
      <alignment horizontal="center" vertical="center"/>
    </xf>
    <xf numFmtId="43" fontId="42" fillId="0" borderId="0" xfId="0" applyNumberFormat="1" applyFont="1" applyFill="1"/>
    <xf numFmtId="0" fontId="30" fillId="0" borderId="3" xfId="8" applyFont="1" applyBorder="1" applyAlignment="1">
      <alignment horizontal="right" vertical="center"/>
    </xf>
    <xf numFmtId="0" fontId="30" fillId="0" borderId="5" xfId="8" applyFont="1" applyBorder="1" applyAlignment="1">
      <alignment horizontal="right" vertical="center"/>
    </xf>
    <xf numFmtId="0" fontId="30" fillId="0" borderId="2" xfId="8" applyFont="1" applyBorder="1" applyAlignment="1">
      <alignment horizontal="right" vertical="center"/>
    </xf>
    <xf numFmtId="196" fontId="117" fillId="9" borderId="0" xfId="8" applyNumberFormat="1" applyFont="1" applyFill="1" applyBorder="1" applyAlignment="1">
      <alignment horizontal="center" vertical="center"/>
    </xf>
    <xf numFmtId="196" fontId="118" fillId="0" borderId="0" xfId="8" applyNumberFormat="1" applyFont="1" applyBorder="1" applyAlignment="1">
      <alignment horizontal="center"/>
    </xf>
    <xf numFmtId="196" fontId="119" fillId="0" borderId="3" xfId="8" applyNumberFormat="1" applyFont="1" applyBorder="1" applyAlignment="1">
      <alignment horizontal="right"/>
    </xf>
    <xf numFmtId="196" fontId="119" fillId="0" borderId="5" xfId="8" applyNumberFormat="1" applyFont="1" applyBorder="1" applyAlignment="1">
      <alignment horizontal="right"/>
    </xf>
    <xf numFmtId="196" fontId="119" fillId="0" borderId="2" xfId="8" applyNumberFormat="1" applyFont="1" applyBorder="1" applyAlignment="1">
      <alignment horizontal="right"/>
    </xf>
    <xf numFmtId="196" fontId="13" fillId="10" borderId="1" xfId="8" applyNumberFormat="1" applyFont="1" applyFill="1" applyBorder="1" applyAlignment="1">
      <alignment horizontal="center" vertical="center"/>
    </xf>
    <xf numFmtId="196" fontId="13" fillId="10" borderId="1" xfId="8" applyNumberFormat="1" applyFont="1" applyFill="1" applyBorder="1" applyAlignment="1">
      <alignment horizontal="center" vertical="center" shrinkToFit="1"/>
    </xf>
    <xf numFmtId="196" fontId="29" fillId="0" borderId="1" xfId="8" applyNumberFormat="1" applyFont="1" applyBorder="1" applyAlignment="1">
      <alignment horizontal="left"/>
    </xf>
    <xf numFmtId="196" fontId="13" fillId="10" borderId="29" xfId="8" applyNumberFormat="1" applyFont="1" applyFill="1" applyBorder="1" applyAlignment="1">
      <alignment horizontal="center" vertical="center" shrinkToFit="1"/>
    </xf>
    <xf numFmtId="196" fontId="13" fillId="10" borderId="11" xfId="8" applyNumberFormat="1" applyFont="1" applyFill="1" applyBorder="1" applyAlignment="1">
      <alignment horizontal="center" vertical="center" shrinkToFit="1"/>
    </xf>
    <xf numFmtId="196" fontId="13" fillId="10" borderId="9" xfId="8" applyNumberFormat="1" applyFont="1" applyFill="1" applyBorder="1" applyAlignment="1">
      <alignment horizontal="center" vertical="center" shrinkToFit="1"/>
    </xf>
    <xf numFmtId="0" fontId="43" fillId="0" borderId="0" xfId="0" applyFont="1" applyAlignment="1">
      <alignment horizontal="center" wrapText="1"/>
    </xf>
    <xf numFmtId="197" fontId="13" fillId="10" borderId="1" xfId="8" applyNumberFormat="1" applyFont="1" applyFill="1" applyBorder="1" applyAlignment="1">
      <alignment horizontal="center" vertical="center"/>
    </xf>
    <xf numFmtId="196" fontId="12" fillId="10" borderId="1" xfId="8" applyNumberFormat="1" applyFont="1" applyFill="1" applyBorder="1" applyAlignment="1">
      <alignment horizontal="center" vertical="center" wrapText="1"/>
    </xf>
    <xf numFmtId="196" fontId="12" fillId="10" borderId="1" xfId="8" applyNumberFormat="1" applyFont="1" applyFill="1" applyBorder="1" applyAlignment="1">
      <alignment horizontal="center" vertical="center"/>
    </xf>
    <xf numFmtId="196" fontId="115" fillId="9" borderId="0" xfId="8" applyNumberFormat="1" applyFont="1" applyFill="1" applyBorder="1" applyAlignment="1">
      <alignment horizontal="center" shrinkToFit="1"/>
    </xf>
    <xf numFmtId="196" fontId="78" fillId="9" borderId="0" xfId="8" applyNumberFormat="1" applyFont="1" applyFill="1" applyBorder="1" applyAlignment="1">
      <alignment horizontal="right"/>
    </xf>
    <xf numFmtId="0" fontId="12" fillId="10" borderId="1" xfId="8" applyFont="1" applyFill="1" applyBorder="1" applyAlignment="1">
      <alignment horizontal="center" vertical="center"/>
    </xf>
    <xf numFmtId="197" fontId="116" fillId="10" borderId="1" xfId="8" applyNumberFormat="1" applyFont="1" applyFill="1" applyBorder="1" applyAlignment="1">
      <alignment horizontal="center" vertical="center"/>
    </xf>
    <xf numFmtId="196" fontId="13" fillId="10" borderId="30" xfId="8" applyNumberFormat="1" applyFont="1" applyFill="1" applyBorder="1" applyAlignment="1">
      <alignment horizontal="center" vertical="center" shrinkToFit="1"/>
    </xf>
    <xf numFmtId="196" fontId="13" fillId="10" borderId="31" xfId="8" applyNumberFormat="1" applyFont="1" applyFill="1" applyBorder="1" applyAlignment="1">
      <alignment horizontal="center" vertical="center" shrinkToFit="1"/>
    </xf>
    <xf numFmtId="196" fontId="13" fillId="10" borderId="10" xfId="8" applyNumberFormat="1" applyFont="1" applyFill="1" applyBorder="1" applyAlignment="1">
      <alignment horizontal="center" vertical="center" shrinkToFit="1"/>
    </xf>
    <xf numFmtId="196" fontId="13" fillId="10" borderId="1" xfId="8" applyNumberFormat="1" applyFont="1" applyFill="1" applyBorder="1" applyAlignment="1">
      <alignment horizontal="center" vertical="center" wrapText="1" shrinkToFit="1"/>
    </xf>
    <xf numFmtId="196" fontId="11" fillId="0" borderId="0" xfId="8" applyNumberFormat="1" applyFont="1" applyBorder="1" applyAlignment="1">
      <alignment horizontal="center"/>
    </xf>
    <xf numFmtId="0" fontId="13" fillId="0" borderId="0" xfId="8" applyFont="1" applyBorder="1" applyAlignment="1">
      <alignment horizontal="center"/>
    </xf>
    <xf numFmtId="196" fontId="13" fillId="0" borderId="0" xfId="8" applyNumberFormat="1" applyFont="1" applyBorder="1" applyAlignment="1">
      <alignment horizontal="center"/>
    </xf>
    <xf numFmtId="0" fontId="6" fillId="0" borderId="0" xfId="8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11" fillId="0" borderId="0" xfId="0" applyFont="1" applyAlignment="1">
      <alignment horizontal="center" vertical="center" wrapText="1"/>
    </xf>
    <xf numFmtId="0" fontId="111" fillId="0" borderId="0" xfId="0" applyFont="1" applyAlignment="1">
      <alignment horizontal="center" wrapText="1"/>
    </xf>
    <xf numFmtId="0" fontId="102" fillId="0" borderId="5" xfId="0" applyFont="1" applyFill="1" applyBorder="1" applyAlignment="1">
      <alignment horizontal="center" vertical="center"/>
    </xf>
    <xf numFmtId="0" fontId="44" fillId="4" borderId="3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4" fillId="3" borderId="4" xfId="0" applyFont="1" applyFill="1" applyBorder="1" applyAlignment="1">
      <alignment horizontal="center" vertical="center" wrapText="1"/>
    </xf>
    <xf numFmtId="0" fontId="44" fillId="3" borderId="8" xfId="0" applyFont="1" applyFill="1" applyBorder="1" applyAlignment="1">
      <alignment horizontal="center" vertical="center" wrapText="1"/>
    </xf>
    <xf numFmtId="0" fontId="44" fillId="4" borderId="2" xfId="0" applyFont="1" applyFill="1" applyBorder="1" applyAlignment="1">
      <alignment horizontal="center" vertical="center"/>
    </xf>
    <xf numFmtId="0" fontId="43" fillId="12" borderId="9" xfId="0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center" vertical="center"/>
    </xf>
    <xf numFmtId="0" fontId="102" fillId="0" borderId="2" xfId="0" applyFont="1" applyFill="1" applyBorder="1" applyAlignment="1">
      <alignment horizontal="center" vertical="center"/>
    </xf>
    <xf numFmtId="0" fontId="3" fillId="0" borderId="0" xfId="8" applyFont="1" applyFill="1" applyBorder="1" applyAlignment="1">
      <alignment horizontal="center"/>
    </xf>
    <xf numFmtId="0" fontId="114" fillId="0" borderId="0" xfId="8" applyFont="1" applyFill="1" applyBorder="1" applyAlignment="1">
      <alignment horizontal="center"/>
    </xf>
    <xf numFmtId="196" fontId="3" fillId="0" borderId="4" xfId="8" applyNumberFormat="1" applyFont="1" applyFill="1" applyBorder="1" applyAlignment="1">
      <alignment horizontal="center" vertical="center" wrapText="1"/>
    </xf>
    <xf numFmtId="196" fontId="3" fillId="0" borderId="7" xfId="8" applyNumberFormat="1" applyFont="1" applyFill="1" applyBorder="1" applyAlignment="1">
      <alignment horizontal="center" vertical="center" wrapText="1"/>
    </xf>
    <xf numFmtId="196" fontId="5" fillId="0" borderId="4" xfId="8" applyNumberFormat="1" applyFont="1" applyFill="1" applyBorder="1" applyAlignment="1">
      <alignment horizontal="center" vertical="center" wrapText="1"/>
    </xf>
    <xf numFmtId="196" fontId="5" fillId="0" borderId="7" xfId="8" applyNumberFormat="1" applyFont="1" applyFill="1" applyBorder="1" applyAlignment="1">
      <alignment horizontal="center" vertical="center" wrapText="1"/>
    </xf>
    <xf numFmtId="196" fontId="27" fillId="0" borderId="4" xfId="8" applyNumberFormat="1" applyFont="1" applyFill="1" applyBorder="1" applyAlignment="1">
      <alignment horizontal="center" vertical="center" wrapText="1"/>
    </xf>
    <xf numFmtId="196" fontId="27" fillId="0" borderId="7" xfId="8" applyNumberFormat="1" applyFont="1" applyFill="1" applyBorder="1" applyAlignment="1">
      <alignment horizontal="center" vertical="center" wrapText="1"/>
    </xf>
    <xf numFmtId="196" fontId="3" fillId="0" borderId="4" xfId="8" applyNumberFormat="1" applyFont="1" applyFill="1" applyBorder="1" applyAlignment="1">
      <alignment horizontal="center" vertical="center" shrinkToFit="1"/>
    </xf>
    <xf numFmtId="196" fontId="3" fillId="0" borderId="7" xfId="8" applyNumberFormat="1" applyFont="1" applyFill="1" applyBorder="1" applyAlignment="1">
      <alignment horizontal="center" vertical="center" shrinkToFit="1"/>
    </xf>
    <xf numFmtId="196" fontId="3" fillId="0" borderId="29" xfId="8" applyNumberFormat="1" applyFont="1" applyFill="1" applyBorder="1" applyAlignment="1">
      <alignment horizontal="center" vertical="center" shrinkToFit="1"/>
    </xf>
    <xf numFmtId="196" fontId="3" fillId="0" borderId="11" xfId="8" applyNumberFormat="1" applyFont="1" applyFill="1" applyBorder="1" applyAlignment="1">
      <alignment horizontal="center" vertical="center" shrinkToFit="1"/>
    </xf>
    <xf numFmtId="196" fontId="50" fillId="0" borderId="30" xfId="8" applyNumberFormat="1" applyFont="1" applyFill="1" applyBorder="1" applyAlignment="1">
      <alignment horizontal="center" vertical="center" shrinkToFit="1"/>
    </xf>
    <xf numFmtId="196" fontId="50" fillId="0" borderId="31" xfId="8" applyNumberFormat="1" applyFont="1" applyFill="1" applyBorder="1" applyAlignment="1">
      <alignment horizontal="center" vertical="center" shrinkToFit="1"/>
    </xf>
    <xf numFmtId="196" fontId="70" fillId="0" borderId="0" xfId="8" applyNumberFormat="1" applyFont="1" applyBorder="1" applyAlignment="1">
      <alignment horizontal="center"/>
    </xf>
    <xf numFmtId="196" fontId="5" fillId="0" borderId="4" xfId="8" applyNumberFormat="1" applyFont="1" applyFill="1" applyBorder="1" applyAlignment="1">
      <alignment horizontal="center" vertical="center"/>
    </xf>
    <xf numFmtId="196" fontId="5" fillId="0" borderId="7" xfId="8" applyNumberFormat="1" applyFont="1" applyFill="1" applyBorder="1" applyAlignment="1">
      <alignment horizontal="center" vertical="center"/>
    </xf>
    <xf numFmtId="0" fontId="3" fillId="0" borderId="3" xfId="8" applyFont="1" applyFill="1" applyBorder="1" applyAlignment="1">
      <alignment horizontal="center"/>
    </xf>
    <xf numFmtId="0" fontId="3" fillId="0" borderId="5" xfId="8" applyFont="1" applyFill="1" applyBorder="1" applyAlignment="1">
      <alignment horizontal="center"/>
    </xf>
    <xf numFmtId="0" fontId="3" fillId="0" borderId="2" xfId="8" applyFont="1" applyFill="1" applyBorder="1" applyAlignment="1">
      <alignment horizontal="center"/>
    </xf>
    <xf numFmtId="0" fontId="112" fillId="0" borderId="3" xfId="8" applyNumberFormat="1" applyFont="1" applyFill="1" applyBorder="1" applyAlignment="1">
      <alignment horizontal="center" vertical="center" wrapText="1"/>
    </xf>
    <xf numFmtId="0" fontId="112" fillId="0" borderId="2" xfId="8" applyNumberFormat="1" applyFont="1" applyFill="1" applyBorder="1" applyAlignment="1">
      <alignment horizontal="center" vertical="center" wrapText="1"/>
    </xf>
    <xf numFmtId="0" fontId="113" fillId="0" borderId="3" xfId="8" applyNumberFormat="1" applyFont="1" applyFill="1" applyBorder="1" applyAlignment="1">
      <alignment horizontal="center" vertical="center" wrapText="1"/>
    </xf>
    <xf numFmtId="0" fontId="113" fillId="0" borderId="2" xfId="8" applyNumberFormat="1" applyFont="1" applyFill="1" applyBorder="1" applyAlignment="1">
      <alignment horizontal="center" vertical="center" wrapText="1"/>
    </xf>
    <xf numFmtId="197" fontId="64" fillId="0" borderId="4" xfId="8" applyNumberFormat="1" applyFont="1" applyFill="1" applyBorder="1" applyAlignment="1">
      <alignment horizontal="center" vertical="center" wrapText="1" shrinkToFit="1"/>
    </xf>
    <xf numFmtId="197" fontId="64" fillId="0" borderId="7" xfId="8" applyNumberFormat="1" applyFont="1" applyFill="1" applyBorder="1" applyAlignment="1">
      <alignment horizontal="center" vertical="center" wrapText="1" shrinkToFit="1"/>
    </xf>
    <xf numFmtId="196" fontId="65" fillId="0" borderId="6" xfId="8" applyNumberFormat="1" applyFont="1" applyBorder="1" applyAlignment="1">
      <alignment horizontal="right"/>
    </xf>
    <xf numFmtId="196" fontId="3" fillId="0" borderId="0" xfId="8" applyNumberFormat="1" applyFont="1" applyBorder="1" applyAlignment="1">
      <alignment horizontal="center"/>
    </xf>
    <xf numFmtId="196" fontId="5" fillId="0" borderId="0" xfId="8" applyNumberFormat="1" applyFont="1" applyBorder="1" applyAlignment="1">
      <alignment horizontal="center"/>
    </xf>
    <xf numFmtId="0" fontId="3" fillId="0" borderId="0" xfId="8" applyFont="1" applyBorder="1" applyAlignment="1">
      <alignment horizontal="center"/>
    </xf>
    <xf numFmtId="0" fontId="26" fillId="0" borderId="0" xfId="8" applyFont="1" applyBorder="1" applyAlignment="1">
      <alignment horizontal="center"/>
    </xf>
    <xf numFmtId="196" fontId="12" fillId="0" borderId="0" xfId="8" applyNumberFormat="1" applyFont="1" applyBorder="1" applyAlignment="1">
      <alignment horizontal="center"/>
    </xf>
    <xf numFmtId="196" fontId="70" fillId="0" borderId="0" xfId="8" applyNumberFormat="1" applyFont="1" applyBorder="1" applyAlignment="1">
      <alignment horizontal="center" shrinkToFit="1"/>
    </xf>
    <xf numFmtId="196" fontId="3" fillId="10" borderId="4" xfId="8" applyNumberFormat="1" applyFont="1" applyFill="1" applyBorder="1" applyAlignment="1">
      <alignment horizontal="center" vertical="center" shrinkToFit="1"/>
    </xf>
    <xf numFmtId="196" fontId="3" fillId="10" borderId="7" xfId="8" applyNumberFormat="1" applyFont="1" applyFill="1" applyBorder="1" applyAlignment="1">
      <alignment horizontal="center" vertical="center" shrinkToFit="1"/>
    </xf>
    <xf numFmtId="197" fontId="64" fillId="10" borderId="4" xfId="8" applyNumberFormat="1" applyFont="1" applyFill="1" applyBorder="1" applyAlignment="1">
      <alignment horizontal="center" vertical="center" wrapText="1" shrinkToFit="1"/>
    </xf>
    <xf numFmtId="197" fontId="64" fillId="10" borderId="7" xfId="8" applyNumberFormat="1" applyFont="1" applyFill="1" applyBorder="1" applyAlignment="1">
      <alignment horizontal="center" vertical="center" shrinkToFit="1"/>
    </xf>
    <xf numFmtId="0" fontId="3" fillId="10" borderId="3" xfId="8" applyFont="1" applyFill="1" applyBorder="1" applyAlignment="1">
      <alignment horizontal="center"/>
    </xf>
    <xf numFmtId="0" fontId="3" fillId="10" borderId="5" xfId="8" applyFont="1" applyFill="1" applyBorder="1" applyAlignment="1">
      <alignment horizontal="center"/>
    </xf>
    <xf numFmtId="0" fontId="3" fillId="10" borderId="2" xfId="8" applyFont="1" applyFill="1" applyBorder="1" applyAlignment="1">
      <alignment horizontal="center"/>
    </xf>
    <xf numFmtId="0" fontId="112" fillId="10" borderId="3" xfId="8" applyNumberFormat="1" applyFont="1" applyFill="1" applyBorder="1" applyAlignment="1">
      <alignment horizontal="center" vertical="center" wrapText="1"/>
    </xf>
    <xf numFmtId="0" fontId="112" fillId="10" borderId="2" xfId="8" applyNumberFormat="1" applyFont="1" applyFill="1" applyBorder="1" applyAlignment="1">
      <alignment horizontal="center" vertical="center" wrapText="1"/>
    </xf>
    <xf numFmtId="41" fontId="68" fillId="0" borderId="3" xfId="0" applyNumberFormat="1" applyFont="1" applyBorder="1" applyAlignment="1">
      <alignment horizontal="left" vertical="center" shrinkToFit="1"/>
    </xf>
    <xf numFmtId="41" fontId="68" fillId="0" borderId="2" xfId="0" applyNumberFormat="1" applyFont="1" applyBorder="1" applyAlignment="1">
      <alignment horizontal="left" vertical="center" shrinkToFit="1"/>
    </xf>
    <xf numFmtId="196" fontId="83" fillId="9" borderId="0" xfId="8" applyNumberFormat="1" applyFont="1" applyFill="1" applyBorder="1" applyAlignment="1">
      <alignment horizontal="center"/>
    </xf>
    <xf numFmtId="196" fontId="3" fillId="10" borderId="4" xfId="8" applyNumberFormat="1" applyFont="1" applyFill="1" applyBorder="1" applyAlignment="1">
      <alignment horizontal="center" vertical="center"/>
    </xf>
    <xf numFmtId="196" fontId="3" fillId="10" borderId="7" xfId="8" applyNumberFormat="1" applyFont="1" applyFill="1" applyBorder="1" applyAlignment="1">
      <alignment horizontal="center" vertical="center"/>
    </xf>
    <xf numFmtId="196" fontId="12" fillId="10" borderId="4" xfId="8" applyNumberFormat="1" applyFont="1" applyFill="1" applyBorder="1" applyAlignment="1">
      <alignment horizontal="center" vertical="center" wrapText="1"/>
    </xf>
    <xf numFmtId="196" fontId="12" fillId="10" borderId="7" xfId="8" applyNumberFormat="1" applyFont="1" applyFill="1" applyBorder="1" applyAlignment="1">
      <alignment horizontal="center" vertical="center"/>
    </xf>
    <xf numFmtId="196" fontId="3" fillId="10" borderId="29" xfId="8" applyNumberFormat="1" applyFont="1" applyFill="1" applyBorder="1" applyAlignment="1">
      <alignment horizontal="center" vertical="center" shrinkToFit="1"/>
    </xf>
    <xf numFmtId="196" fontId="3" fillId="10" borderId="11" xfId="8" applyNumberFormat="1" applyFont="1" applyFill="1" applyBorder="1" applyAlignment="1">
      <alignment horizontal="center" vertical="center" shrinkToFit="1"/>
    </xf>
    <xf numFmtId="196" fontId="50" fillId="10" borderId="30" xfId="8" applyNumberFormat="1" applyFont="1" applyFill="1" applyBorder="1" applyAlignment="1">
      <alignment vertical="center" shrinkToFit="1"/>
    </xf>
    <xf numFmtId="196" fontId="50" fillId="10" borderId="31" xfId="8" applyNumberFormat="1" applyFont="1" applyFill="1" applyBorder="1" applyAlignment="1">
      <alignment vertical="center" shrinkToFit="1"/>
    </xf>
    <xf numFmtId="196" fontId="28" fillId="0" borderId="0" xfId="8" applyNumberFormat="1" applyFont="1" applyBorder="1" applyAlignment="1">
      <alignment horizontal="center"/>
    </xf>
    <xf numFmtId="196" fontId="115" fillId="0" borderId="0" xfId="8" applyNumberFormat="1" applyFont="1" applyBorder="1" applyAlignment="1">
      <alignment horizontal="center" shrinkToFit="1"/>
    </xf>
  </cellXfs>
  <cellStyles count="9">
    <cellStyle name="Comma" xfId="1" builtinId="3"/>
    <cellStyle name="Normal" xfId="0" builtinId="0"/>
    <cellStyle name="Normal 2" xfId="2"/>
    <cellStyle name="Normal 2 2" xfId="3"/>
    <cellStyle name="Normal 2 3" xfId="4"/>
    <cellStyle name="Normal 3" xfId="5"/>
    <cellStyle name="Normal 3 2" xfId="6"/>
    <cellStyle name="Normal 4" xfId="7"/>
    <cellStyle name="Normal_ds thi HK1 NH 05-06 (lop 11A1+11A2+11C1)" xfId="8"/>
  </cellStyles>
  <dxfs count="51">
    <dxf>
      <font>
        <strike/>
      </font>
    </dxf>
    <dxf>
      <font>
        <color theme="0"/>
      </font>
    </dxf>
    <dxf>
      <font>
        <color theme="0"/>
      </font>
    </dxf>
    <dxf>
      <font>
        <strike/>
      </font>
    </dxf>
    <dxf>
      <font>
        <b/>
        <i val="0"/>
      </font>
    </dxf>
    <dxf>
      <font>
        <strike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strike/>
      </font>
    </dxf>
    <dxf>
      <font>
        <color theme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strike/>
      </font>
    </dxf>
    <dxf>
      <font>
        <color theme="0"/>
      </font>
    </dxf>
    <dxf>
      <font>
        <strike/>
      </font>
    </dxf>
    <dxf>
      <font>
        <color theme="0"/>
      </font>
    </dxf>
    <dxf>
      <font>
        <color theme="0"/>
      </font>
    </dxf>
    <dxf>
      <font>
        <strike/>
      </font>
    </dxf>
    <dxf>
      <font>
        <b/>
        <i val="0"/>
      </font>
    </dxf>
    <dxf>
      <font>
        <color theme="0"/>
      </font>
    </dxf>
    <dxf>
      <font>
        <strike/>
      </font>
    </dxf>
    <dxf>
      <font>
        <b/>
        <i val="0"/>
      </font>
    </dxf>
    <dxf>
      <font>
        <b/>
        <i val="0"/>
        <strike/>
      </font>
    </dxf>
    <dxf>
      <font>
        <strike/>
      </font>
    </dxf>
    <dxf>
      <font>
        <b/>
        <i val="0"/>
      </font>
    </dxf>
    <dxf>
      <font>
        <strike/>
      </font>
    </dxf>
    <dxf>
      <font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200025</xdr:rowOff>
    </xdr:from>
    <xdr:to>
      <xdr:col>3</xdr:col>
      <xdr:colOff>918054</xdr:colOff>
      <xdr:row>1</xdr:row>
      <xdr:rowOff>200025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677C692-8434-4968-ABED-EFA0A2D3382A}"/>
            </a:ext>
          </a:extLst>
        </xdr:cNvPr>
        <xdr:cNvCxnSpPr/>
      </xdr:nvCxnSpPr>
      <xdr:spPr>
        <a:xfrm>
          <a:off x="1543050" y="409575"/>
          <a:ext cx="9810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582822</xdr:colOff>
      <xdr:row>2</xdr:row>
      <xdr:rowOff>35943</xdr:rowOff>
    </xdr:from>
    <xdr:to>
      <xdr:col>5</xdr:col>
      <xdr:colOff>732294</xdr:colOff>
      <xdr:row>2</xdr:row>
      <xdr:rowOff>37531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DE22C59-B53A-48ED-9A54-FB689E4F1AD5}"/>
            </a:ext>
          </a:extLst>
        </xdr:cNvPr>
        <xdr:cNvCxnSpPr/>
      </xdr:nvCxnSpPr>
      <xdr:spPr>
        <a:xfrm>
          <a:off x="906672" y="483618"/>
          <a:ext cx="9334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270739</xdr:colOff>
      <xdr:row>2</xdr:row>
      <xdr:rowOff>2325</xdr:rowOff>
    </xdr:from>
    <xdr:to>
      <xdr:col>3</xdr:col>
      <xdr:colOff>426296</xdr:colOff>
      <xdr:row>2</xdr:row>
      <xdr:rowOff>3913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8833184-F289-4F69-8EF0-0D02D73048CF}"/>
            </a:ext>
          </a:extLst>
        </xdr:cNvPr>
        <xdr:cNvCxnSpPr/>
      </xdr:nvCxnSpPr>
      <xdr:spPr>
        <a:xfrm>
          <a:off x="1255176" y="450560"/>
          <a:ext cx="823072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rgb="FFC00000"/>
  </sheetPr>
  <dimension ref="A1:W42"/>
  <sheetViews>
    <sheetView tabSelected="1" view="pageBreakPreview" zoomScaleNormal="100" zoomScaleSheetLayoutView="100" workbookViewId="0">
      <selection activeCell="I16" sqref="I16"/>
    </sheetView>
  </sheetViews>
  <sheetFormatPr defaultRowHeight="11.25"/>
  <cols>
    <col min="1" max="1" width="6.42578125" style="13" customWidth="1"/>
    <col min="2" max="2" width="7.42578125" style="13" customWidth="1"/>
    <col min="3" max="3" width="9.85546875" style="36" customWidth="1"/>
    <col min="4" max="4" width="23.85546875" style="36" customWidth="1"/>
    <col min="5" max="5" width="12.28515625" style="36" customWidth="1"/>
    <col min="6" max="6" width="9.42578125" style="35" customWidth="1"/>
    <col min="7" max="7" width="8" style="35" customWidth="1"/>
    <col min="8" max="15" width="13.28515625" style="13" customWidth="1"/>
    <col min="16" max="16" width="12.140625" style="102" customWidth="1"/>
    <col min="17" max="256" width="11.42578125" style="13" customWidth="1"/>
    <col min="257" max="16384" width="9.140625" style="13"/>
  </cols>
  <sheetData>
    <row r="1" spans="1:23" ht="16.5" customHeight="1">
      <c r="A1" s="360" t="s">
        <v>1108</v>
      </c>
      <c r="B1" s="360"/>
      <c r="C1" s="360"/>
      <c r="D1" s="360"/>
      <c r="E1" s="360"/>
      <c r="F1" s="33"/>
      <c r="G1" s="33"/>
      <c r="I1" s="14"/>
      <c r="J1" s="361" t="s">
        <v>0</v>
      </c>
      <c r="K1" s="361"/>
      <c r="L1" s="361"/>
      <c r="M1" s="361"/>
      <c r="N1" s="361"/>
      <c r="O1" s="361"/>
      <c r="Q1" s="60"/>
      <c r="R1" s="65"/>
      <c r="S1" s="13" t="s">
        <v>2159</v>
      </c>
      <c r="T1" s="13" t="s">
        <v>2160</v>
      </c>
      <c r="U1" s="13" t="s">
        <v>2161</v>
      </c>
      <c r="V1" s="13" t="s">
        <v>2163</v>
      </c>
      <c r="W1" s="13" t="s">
        <v>2162</v>
      </c>
    </row>
    <row r="2" spans="1:23" ht="16.5" customHeight="1">
      <c r="A2" s="362" t="s">
        <v>1109</v>
      </c>
      <c r="B2" s="362"/>
      <c r="C2" s="362"/>
      <c r="D2" s="362"/>
      <c r="E2" s="362"/>
      <c r="F2" s="34"/>
      <c r="G2" s="34"/>
      <c r="I2" s="15"/>
      <c r="J2" s="363" t="s">
        <v>2</v>
      </c>
      <c r="K2" s="363"/>
      <c r="L2" s="363"/>
      <c r="M2" s="363"/>
      <c r="N2" s="363"/>
      <c r="O2" s="363"/>
      <c r="P2" s="103"/>
      <c r="Q2" s="65" t="s">
        <v>2164</v>
      </c>
      <c r="R2" s="65" t="s">
        <v>2165</v>
      </c>
      <c r="S2" s="318">
        <v>1</v>
      </c>
      <c r="T2" s="318">
        <v>18</v>
      </c>
      <c r="U2" s="318">
        <v>36</v>
      </c>
      <c r="V2" s="318">
        <v>62</v>
      </c>
      <c r="W2" s="318">
        <v>83</v>
      </c>
    </row>
    <row r="3" spans="1:23" ht="24.95" customHeight="1">
      <c r="A3" s="338" t="s">
        <v>1048</v>
      </c>
      <c r="B3" s="338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15">
        <v>54</v>
      </c>
      <c r="Q3" s="60"/>
      <c r="R3" s="65" t="s">
        <v>2166</v>
      </c>
      <c r="S3" s="101">
        <v>17</v>
      </c>
      <c r="T3" s="101">
        <v>35</v>
      </c>
      <c r="U3" s="101">
        <v>61</v>
      </c>
      <c r="V3" s="101">
        <v>82</v>
      </c>
      <c r="W3" s="101">
        <v>114</v>
      </c>
    </row>
    <row r="4" spans="1:23" ht="21.95" customHeight="1">
      <c r="A4" s="337" t="str">
        <f>VLOOKUP(P3,TH_P.thi!$A$18:$T$165,20,0)</f>
        <v>NGÀY THI: 22+24/12/2025</v>
      </c>
      <c r="B4" s="337"/>
      <c r="C4" s="337"/>
      <c r="D4" s="337"/>
      <c r="E4" s="337"/>
      <c r="F4" s="337"/>
      <c r="G4" s="337"/>
      <c r="H4" s="137"/>
      <c r="I4" s="352" t="str">
        <f>VLOOKUP($P$3,TH_P.thi!$A$18:$T$165,19,0)</f>
        <v>TỔ HỢP 5 (12AS9,10,11,12)</v>
      </c>
      <c r="J4" s="352"/>
      <c r="K4" s="352"/>
      <c r="L4" s="137"/>
      <c r="M4" s="353" t="s">
        <v>496</v>
      </c>
      <c r="N4" s="353"/>
      <c r="O4" s="141" t="str">
        <f>VLOOKUP($P$3,$S$7:$U$42,2,0)</f>
        <v>7B</v>
      </c>
      <c r="P4" s="331" t="str">
        <f>VLOOKUP($P$3,$S$7:$U$42,3,0)</f>
        <v>7B.S2</v>
      </c>
    </row>
    <row r="5" spans="1:23" ht="8.1" customHeight="1">
      <c r="A5" s="132"/>
      <c r="B5" s="132"/>
      <c r="C5" s="132"/>
      <c r="D5" s="132"/>
      <c r="E5" s="132"/>
      <c r="F5" s="132"/>
      <c r="G5" s="132"/>
      <c r="H5" s="133"/>
      <c r="I5" s="134"/>
      <c r="J5" s="134"/>
      <c r="K5" s="135"/>
      <c r="L5" s="133"/>
      <c r="M5" s="133"/>
      <c r="N5" s="133"/>
      <c r="O5" s="136"/>
      <c r="P5" s="59"/>
    </row>
    <row r="6" spans="1:23" ht="18" customHeight="1">
      <c r="A6" s="342" t="s">
        <v>390</v>
      </c>
      <c r="B6" s="350" t="s">
        <v>528</v>
      </c>
      <c r="C6" s="343" t="s">
        <v>391</v>
      </c>
      <c r="D6" s="345" t="s">
        <v>3377</v>
      </c>
      <c r="E6" s="356" t="s">
        <v>3376</v>
      </c>
      <c r="F6" s="343" t="s">
        <v>3</v>
      </c>
      <c r="G6" s="359" t="s">
        <v>399</v>
      </c>
      <c r="H6" s="354" t="s">
        <v>392</v>
      </c>
      <c r="I6" s="354"/>
      <c r="J6" s="354"/>
      <c r="K6" s="354"/>
      <c r="L6" s="354"/>
      <c r="M6" s="354"/>
      <c r="N6" s="354"/>
      <c r="O6" s="354"/>
      <c r="P6" s="348" t="s">
        <v>407</v>
      </c>
      <c r="R6" s="310" t="s">
        <v>390</v>
      </c>
      <c r="S6" s="2" t="s">
        <v>2157</v>
      </c>
      <c r="T6" s="2" t="s">
        <v>498</v>
      </c>
      <c r="U6" s="2"/>
    </row>
    <row r="7" spans="1:23" ht="18" customHeight="1">
      <c r="A7" s="342"/>
      <c r="B7" s="351"/>
      <c r="C7" s="343"/>
      <c r="D7" s="346"/>
      <c r="E7" s="357"/>
      <c r="F7" s="343"/>
      <c r="G7" s="343"/>
      <c r="H7" s="349" t="str">
        <f>VLOOKUP($P3,TH_P.thi!$A$18:$T$165,13,0)</f>
        <v>VĂN</v>
      </c>
      <c r="I7" s="349"/>
      <c r="J7" s="355" t="str">
        <f>VLOOKUP($P3,TH_P.thi!$A$18:$T$165,14,0)</f>
        <v>KT-PL</v>
      </c>
      <c r="K7" s="355"/>
      <c r="L7" s="349" t="str">
        <f>VLOOKUP($P3,TH_P.thi!$A$18:$T$165,15,0)</f>
        <v>TOÁN</v>
      </c>
      <c r="M7" s="349"/>
      <c r="N7" s="349" t="str">
        <f>VLOOKUP($P3,TH_P.thi!$A$18:$T$165,16,0)</f>
        <v>SỬ</v>
      </c>
      <c r="O7" s="349"/>
      <c r="P7" s="348"/>
      <c r="R7" s="2">
        <v>1</v>
      </c>
      <c r="S7" s="313">
        <v>36</v>
      </c>
      <c r="T7" s="312" t="str">
        <f>IFERROR(VLOOKUP($S7,TH_P.thi!$A$18:$P$165,3,0),0)</f>
        <v>1A</v>
      </c>
      <c r="U7" s="312" t="str">
        <f>IFERROR(VLOOKUP($S7,TH_P.thi!$A$18:$T$165,6,0),0)</f>
        <v>1A.S2</v>
      </c>
    </row>
    <row r="8" spans="1:23" ht="18" customHeight="1">
      <c r="A8" s="342"/>
      <c r="B8" s="351"/>
      <c r="C8" s="343"/>
      <c r="D8" s="347"/>
      <c r="E8" s="358"/>
      <c r="F8" s="343"/>
      <c r="G8" s="343"/>
      <c r="H8" s="123" t="s">
        <v>123</v>
      </c>
      <c r="I8" s="123" t="s">
        <v>124</v>
      </c>
      <c r="J8" s="123" t="s">
        <v>410</v>
      </c>
      <c r="K8" s="123" t="s">
        <v>124</v>
      </c>
      <c r="L8" s="123" t="s">
        <v>410</v>
      </c>
      <c r="M8" s="123" t="s">
        <v>124</v>
      </c>
      <c r="N8" s="123" t="s">
        <v>410</v>
      </c>
      <c r="O8" s="123" t="s">
        <v>124</v>
      </c>
      <c r="P8" s="348"/>
      <c r="R8" s="2">
        <v>2</v>
      </c>
      <c r="S8" s="309">
        <f>S7+1</f>
        <v>37</v>
      </c>
      <c r="T8" s="312" t="str">
        <f>IFERROR(VLOOKUP($S8,TH_P.thi!$A$18:$P$165,3,0),0)</f>
        <v>2A</v>
      </c>
      <c r="U8" s="312" t="str">
        <f>IFERROR(VLOOKUP($S8,TH_P.thi!$A$18:$T$165,6,0),0)</f>
        <v>2A.S2</v>
      </c>
    </row>
    <row r="9" spans="1:23" ht="18" customHeight="1">
      <c r="A9" s="117">
        <v>1</v>
      </c>
      <c r="B9" s="332" t="str">
        <f t="array" ref="B9">IFERROR(INDEX('DS_Tong_12AS-AT-VH'!$A$9:$I$3045,MATCH(1,($A9='DS_Tong_12AS-AT-VH'!$A$9:$A$3045)*($P$4='DS_Tong_12AS-AT-VH'!$B$9:$B$3045),0),4),0)</f>
        <v>P.7B</v>
      </c>
      <c r="C9" s="118">
        <f t="array" ref="C9">IFERROR(INDEX('DS_Tong_12AS-AT-VH'!$A$9:$I$3045,MATCH(1,($A9='DS_Tong_12AS-AT-VH'!$A$9:$A$3045)*($P$4='DS_Tong_12AS-AT-VH'!$B$9:$B$3045),0),5),0)</f>
        <v>101418</v>
      </c>
      <c r="D9" s="316" t="str">
        <f t="array" ref="D9">IFERROR(INDEX('DS_Tong_12AS-AT-VH'!$A$9:$I$3045,MATCH(1,($A9='DS_Tong_12AS-AT-VH'!$A$9:$A$3045)*($P$4='DS_Tong_12AS-AT-VH'!$B$9:$B$3045),0),6),0)</f>
        <v>Võ Ái</v>
      </c>
      <c r="E9" s="317" t="str">
        <f t="array" ref="E9">IFERROR(INDEX('DS_Tong_12AS-AT-VH'!$A$9:$I$3045,MATCH(1,($A9='DS_Tong_12AS-AT-VH'!$A$9:$A$3045)*($P$4='DS_Tong_12AS-AT-VH'!$B$9:$B$3045),0),7),0)</f>
        <v>Nhi</v>
      </c>
      <c r="F9" s="119" t="str">
        <f t="array" ref="F9">IFERROR(INDEX('DS_Tong_12AS-AT-VH'!$A$9:$I$3045,MATCH(1,($A9='DS_Tong_12AS-AT-VH'!$A$9:$A$3045)*($P$4='DS_Tong_12AS-AT-VH'!$B$9:$B$3045),0),8),0)</f>
        <v>12AS10</v>
      </c>
      <c r="G9" s="120">
        <f t="array" ref="G9">IFERROR(INDEX('DS_Tong_12AS-AT-VH'!$A$9:$I$3045,MATCH(1,($A9='DS_Tong_12AS-AT-VH'!$A$9:$A$3045)*($P$4='DS_Tong_12AS-AT-VH'!$B$9:$B$3045),0),9),0)</f>
        <v>0</v>
      </c>
      <c r="H9" s="121"/>
      <c r="I9" s="121"/>
      <c r="J9" s="121"/>
      <c r="K9" s="121"/>
      <c r="L9" s="121"/>
      <c r="M9" s="121"/>
      <c r="N9" s="122"/>
      <c r="O9" s="121"/>
      <c r="P9" s="104">
        <f t="array" ref="P9">IFERROR(VLOOKUP($C9,'DS_Tong_12AS-AT-VH'!$E$9:$S$3024,13,0),0)</f>
        <v>0</v>
      </c>
      <c r="R9" s="2">
        <v>3</v>
      </c>
      <c r="S9" s="309">
        <f>S8+1</f>
        <v>38</v>
      </c>
      <c r="T9" s="312" t="str">
        <f>IFERROR(VLOOKUP($S9,TH_P.thi!$A$18:$P$165,3,0),0)</f>
        <v>3A</v>
      </c>
      <c r="U9" s="312" t="str">
        <f>IFERROR(VLOOKUP($S9,TH_P.thi!$A$18:$T$165,6,0),0)</f>
        <v>3A.S2</v>
      </c>
    </row>
    <row r="10" spans="1:23" ht="18" customHeight="1">
      <c r="A10" s="109">
        <v>2</v>
      </c>
      <c r="B10" s="332" t="str">
        <f t="array" ref="B10">IFERROR(INDEX('DS_Tong_12AS-AT-VH'!$A$9:$I$3045,MATCH(1,($A10='DS_Tong_12AS-AT-VH'!$A$9:$A$3045)*($P$4='DS_Tong_12AS-AT-VH'!$B$9:$B$3045),0),4),0)</f>
        <v>P.7B</v>
      </c>
      <c r="C10" s="118">
        <f t="array" ref="C10">IFERROR(INDEX('DS_Tong_12AS-AT-VH'!$A$9:$I$3045,MATCH(1,($A10='DS_Tong_12AS-AT-VH'!$A$9:$A$3045)*($P$4='DS_Tong_12AS-AT-VH'!$B$9:$B$3045),0),5),0)</f>
        <v>101419</v>
      </c>
      <c r="D10" s="316" t="str">
        <f t="array" ref="D10">IFERROR(INDEX('DS_Tong_12AS-AT-VH'!$A$9:$I$3045,MATCH(1,($A10='DS_Tong_12AS-AT-VH'!$A$9:$A$3045)*($P$4='DS_Tong_12AS-AT-VH'!$B$9:$B$3045),0),6),0)</f>
        <v>Hoàng Thị Ngọc</v>
      </c>
      <c r="E10" s="317" t="str">
        <f t="array" ref="E10">IFERROR(INDEX('DS_Tong_12AS-AT-VH'!$A$9:$I$3045,MATCH(1,($A10='DS_Tong_12AS-AT-VH'!$A$9:$A$3045)*($P$4='DS_Tong_12AS-AT-VH'!$B$9:$B$3045),0),7),0)</f>
        <v>Nhung</v>
      </c>
      <c r="F10" s="119" t="str">
        <f t="array" ref="F10">IFERROR(INDEX('DS_Tong_12AS-AT-VH'!$A$9:$I$3045,MATCH(1,($A10='DS_Tong_12AS-AT-VH'!$A$9:$A$3045)*($P$4='DS_Tong_12AS-AT-VH'!$B$9:$B$3045),0),8),0)</f>
        <v>12AS9</v>
      </c>
      <c r="G10" s="120">
        <f t="array" ref="G10">IFERROR(INDEX('DS_Tong_12AS-AT-VH'!$A$9:$I$3045,MATCH(1,($A10='DS_Tong_12AS-AT-VH'!$A$9:$A$3045)*($P$4='DS_Tong_12AS-AT-VH'!$B$9:$B$3045),0),9),0)</f>
        <v>0</v>
      </c>
      <c r="H10" s="113"/>
      <c r="I10" s="113"/>
      <c r="J10" s="113"/>
      <c r="K10" s="113"/>
      <c r="L10" s="113"/>
      <c r="M10" s="113"/>
      <c r="N10" s="114"/>
      <c r="O10" s="113"/>
      <c r="P10" s="104">
        <f>IFERROR(VLOOKUP($C10,'DS_Tong_12AS-AT-VH'!$E$9:$S$3024,13,0),0)</f>
        <v>0</v>
      </c>
      <c r="R10" s="2">
        <v>4</v>
      </c>
      <c r="S10" s="309">
        <f t="shared" ref="S10:S27" si="0">S9+1</f>
        <v>39</v>
      </c>
      <c r="T10" s="312" t="str">
        <f>IFERROR(VLOOKUP($S10,TH_P.thi!$A$18:$P$165,3,0),0)</f>
        <v>4A</v>
      </c>
      <c r="U10" s="312" t="str">
        <f>IFERROR(VLOOKUP($S10,TH_P.thi!$A$18:$T$165,6,0),0)</f>
        <v>4A.S2</v>
      </c>
    </row>
    <row r="11" spans="1:23" ht="18" customHeight="1">
      <c r="A11" s="109">
        <v>3</v>
      </c>
      <c r="B11" s="332" t="str">
        <f t="array" ref="B11">IFERROR(INDEX('DS_Tong_12AS-AT-VH'!$A$9:$I$3045,MATCH(1,($A11='DS_Tong_12AS-AT-VH'!$A$9:$A$3045)*($P$4='DS_Tong_12AS-AT-VH'!$B$9:$B$3045),0),4),0)</f>
        <v>P.7B</v>
      </c>
      <c r="C11" s="118">
        <f t="array" ref="C11">IFERROR(INDEX('DS_Tong_12AS-AT-VH'!$A$9:$I$3045,MATCH(1,($A11='DS_Tong_12AS-AT-VH'!$A$9:$A$3045)*($P$4='DS_Tong_12AS-AT-VH'!$B$9:$B$3045),0),5),0)</f>
        <v>101420</v>
      </c>
      <c r="D11" s="316" t="str">
        <f t="array" ref="D11">IFERROR(INDEX('DS_Tong_12AS-AT-VH'!$A$9:$I$3045,MATCH(1,($A11='DS_Tong_12AS-AT-VH'!$A$9:$A$3045)*($P$4='DS_Tong_12AS-AT-VH'!$B$9:$B$3045),0),6),0)</f>
        <v>Hoàng Huỳnh</v>
      </c>
      <c r="E11" s="317" t="str">
        <f t="array" ref="E11">IFERROR(INDEX('DS_Tong_12AS-AT-VH'!$A$9:$I$3045,MATCH(1,($A11='DS_Tong_12AS-AT-VH'!$A$9:$A$3045)*($P$4='DS_Tong_12AS-AT-VH'!$B$9:$B$3045),0),7),0)</f>
        <v>Như</v>
      </c>
      <c r="F11" s="119" t="str">
        <f t="array" ref="F11">IFERROR(INDEX('DS_Tong_12AS-AT-VH'!$A$9:$I$3045,MATCH(1,($A11='DS_Tong_12AS-AT-VH'!$A$9:$A$3045)*($P$4='DS_Tong_12AS-AT-VH'!$B$9:$B$3045),0),8),0)</f>
        <v>12AS10</v>
      </c>
      <c r="G11" s="120">
        <f t="array" ref="G11">IFERROR(INDEX('DS_Tong_12AS-AT-VH'!$A$9:$I$3045,MATCH(1,($A11='DS_Tong_12AS-AT-VH'!$A$9:$A$3045)*($P$4='DS_Tong_12AS-AT-VH'!$B$9:$B$3045),0),9),0)</f>
        <v>0</v>
      </c>
      <c r="H11" s="113"/>
      <c r="I11" s="113"/>
      <c r="J11" s="113"/>
      <c r="K11" s="113"/>
      <c r="L11" s="113"/>
      <c r="M11" s="113"/>
      <c r="N11" s="114"/>
      <c r="O11" s="113"/>
      <c r="P11" s="104">
        <f>IFERROR(VLOOKUP($C11,'DS_Tong_12AS-AT-VH'!$E$9:$S$3024,13,0),0)</f>
        <v>0</v>
      </c>
      <c r="R11" s="2">
        <v>5</v>
      </c>
      <c r="S11" s="309">
        <f t="shared" si="0"/>
        <v>40</v>
      </c>
      <c r="T11" s="312" t="str">
        <f>IFERROR(VLOOKUP($S11,TH_P.thi!$A$18:$P$165,3,0),0)</f>
        <v>5A</v>
      </c>
      <c r="U11" s="312" t="str">
        <f>IFERROR(VLOOKUP($S11,TH_P.thi!$A$18:$T$165,6,0),0)</f>
        <v>5A.S2</v>
      </c>
    </row>
    <row r="12" spans="1:23" ht="18" customHeight="1">
      <c r="A12" s="109">
        <v>4</v>
      </c>
      <c r="B12" s="332" t="str">
        <f t="array" ref="B12">IFERROR(INDEX('DS_Tong_12AS-AT-VH'!$A$9:$I$3045,MATCH(1,($A12='DS_Tong_12AS-AT-VH'!$A$9:$A$3045)*($P$4='DS_Tong_12AS-AT-VH'!$B$9:$B$3045),0),4),0)</f>
        <v>P.7B</v>
      </c>
      <c r="C12" s="118">
        <f t="array" ref="C12">IFERROR(INDEX('DS_Tong_12AS-AT-VH'!$A$9:$I$3045,MATCH(1,($A12='DS_Tong_12AS-AT-VH'!$A$9:$A$3045)*($P$4='DS_Tong_12AS-AT-VH'!$B$9:$B$3045),0),5),0)</f>
        <v>101421</v>
      </c>
      <c r="D12" s="316" t="str">
        <f t="array" ref="D12">IFERROR(INDEX('DS_Tong_12AS-AT-VH'!$A$9:$I$3045,MATCH(1,($A12='DS_Tong_12AS-AT-VH'!$A$9:$A$3045)*($P$4='DS_Tong_12AS-AT-VH'!$B$9:$B$3045),0),6),0)</f>
        <v>Nguyễn Ngọc Bảo</v>
      </c>
      <c r="E12" s="317" t="str">
        <f t="array" ref="E12">IFERROR(INDEX('DS_Tong_12AS-AT-VH'!$A$9:$I$3045,MATCH(1,($A12='DS_Tong_12AS-AT-VH'!$A$9:$A$3045)*($P$4='DS_Tong_12AS-AT-VH'!$B$9:$B$3045),0),7),0)</f>
        <v>Như</v>
      </c>
      <c r="F12" s="119" t="str">
        <f t="array" ref="F12">IFERROR(INDEX('DS_Tong_12AS-AT-VH'!$A$9:$I$3045,MATCH(1,($A12='DS_Tong_12AS-AT-VH'!$A$9:$A$3045)*($P$4='DS_Tong_12AS-AT-VH'!$B$9:$B$3045),0),8),0)</f>
        <v>12AS10</v>
      </c>
      <c r="G12" s="120">
        <f t="array" ref="G12">IFERROR(INDEX('DS_Tong_12AS-AT-VH'!$A$9:$I$3045,MATCH(1,($A12='DS_Tong_12AS-AT-VH'!$A$9:$A$3045)*($P$4='DS_Tong_12AS-AT-VH'!$B$9:$B$3045),0),9),0)</f>
        <v>0</v>
      </c>
      <c r="H12" s="113"/>
      <c r="I12" s="113"/>
      <c r="J12" s="113"/>
      <c r="K12" s="113"/>
      <c r="L12" s="113"/>
      <c r="M12" s="113"/>
      <c r="N12" s="114"/>
      <c r="O12" s="113"/>
      <c r="P12" s="104">
        <f>IFERROR(VLOOKUP($C12,'DS_Tong_12AS-AT-VH'!$E$9:$S$3024,13,0),0)</f>
        <v>0</v>
      </c>
      <c r="R12" s="2">
        <v>6</v>
      </c>
      <c r="S12" s="309">
        <f t="shared" si="0"/>
        <v>41</v>
      </c>
      <c r="T12" s="312" t="str">
        <f>IFERROR(VLOOKUP($S12,TH_P.thi!$A$18:$P$165,3,0),0)</f>
        <v>6A</v>
      </c>
      <c r="U12" s="312" t="str">
        <f>IFERROR(VLOOKUP($S12,TH_P.thi!$A$18:$T$165,6,0),0)</f>
        <v>6A.S2</v>
      </c>
    </row>
    <row r="13" spans="1:23" ht="18" customHeight="1">
      <c r="A13" s="109">
        <v>5</v>
      </c>
      <c r="B13" s="332" t="str">
        <f t="array" ref="B13">IFERROR(INDEX('DS_Tong_12AS-AT-VH'!$A$9:$I$3045,MATCH(1,($A13='DS_Tong_12AS-AT-VH'!$A$9:$A$3045)*($P$4='DS_Tong_12AS-AT-VH'!$B$9:$B$3045),0),4),0)</f>
        <v>P.7B</v>
      </c>
      <c r="C13" s="118">
        <f t="array" ref="C13">IFERROR(INDEX('DS_Tong_12AS-AT-VH'!$A$9:$I$3045,MATCH(1,($A13='DS_Tong_12AS-AT-VH'!$A$9:$A$3045)*($P$4='DS_Tong_12AS-AT-VH'!$B$9:$B$3045),0),5),0)</f>
        <v>101422</v>
      </c>
      <c r="D13" s="316" t="str">
        <f t="array" ref="D13">IFERROR(INDEX('DS_Tong_12AS-AT-VH'!$A$9:$I$3045,MATCH(1,($A13='DS_Tong_12AS-AT-VH'!$A$9:$A$3045)*($P$4='DS_Tong_12AS-AT-VH'!$B$9:$B$3045),0),6),0)</f>
        <v>Nguyễn Ngọc Tâm</v>
      </c>
      <c r="E13" s="317" t="str">
        <f t="array" ref="E13">IFERROR(INDEX('DS_Tong_12AS-AT-VH'!$A$9:$I$3045,MATCH(1,($A13='DS_Tong_12AS-AT-VH'!$A$9:$A$3045)*($P$4='DS_Tong_12AS-AT-VH'!$B$9:$B$3045),0),7),0)</f>
        <v>Như</v>
      </c>
      <c r="F13" s="119" t="str">
        <f t="array" ref="F13">IFERROR(INDEX('DS_Tong_12AS-AT-VH'!$A$9:$I$3045,MATCH(1,($A13='DS_Tong_12AS-AT-VH'!$A$9:$A$3045)*($P$4='DS_Tong_12AS-AT-VH'!$B$9:$B$3045),0),8),0)</f>
        <v>12AS12</v>
      </c>
      <c r="G13" s="120">
        <f t="array" ref="G13">IFERROR(INDEX('DS_Tong_12AS-AT-VH'!$A$9:$I$3045,MATCH(1,($A13='DS_Tong_12AS-AT-VH'!$A$9:$A$3045)*($P$4='DS_Tong_12AS-AT-VH'!$B$9:$B$3045),0),9),0)</f>
        <v>0</v>
      </c>
      <c r="H13" s="113"/>
      <c r="I13" s="113"/>
      <c r="J13" s="113"/>
      <c r="K13" s="113"/>
      <c r="L13" s="113"/>
      <c r="M13" s="113"/>
      <c r="N13" s="114"/>
      <c r="O13" s="113"/>
      <c r="P13" s="104">
        <f>IFERROR(VLOOKUP($C13,'DS_Tong_12AS-AT-VH'!$E$9:$S$3024,13,0),0)</f>
        <v>0</v>
      </c>
      <c r="R13" s="2">
        <v>7</v>
      </c>
      <c r="S13" s="309">
        <f t="shared" si="0"/>
        <v>42</v>
      </c>
      <c r="T13" s="312" t="str">
        <f>IFERROR(VLOOKUP($S13,TH_P.thi!$A$18:$P$165,3,0),0)</f>
        <v>7A</v>
      </c>
      <c r="U13" s="312" t="str">
        <f>IFERROR(VLOOKUP($S13,TH_P.thi!$A$18:$T$165,6,0),0)</f>
        <v>7A.S2</v>
      </c>
    </row>
    <row r="14" spans="1:23" ht="18" customHeight="1">
      <c r="A14" s="109">
        <v>6</v>
      </c>
      <c r="B14" s="332" t="str">
        <f t="array" ref="B14">IFERROR(INDEX('DS_Tong_12AS-AT-VH'!$A$9:$I$3045,MATCH(1,($A14='DS_Tong_12AS-AT-VH'!$A$9:$A$3045)*($P$4='DS_Tong_12AS-AT-VH'!$B$9:$B$3045),0),4),0)</f>
        <v>P.7B</v>
      </c>
      <c r="C14" s="118">
        <f t="array" ref="C14">IFERROR(INDEX('DS_Tong_12AS-AT-VH'!$A$9:$I$3045,MATCH(1,($A14='DS_Tong_12AS-AT-VH'!$A$9:$A$3045)*($P$4='DS_Tong_12AS-AT-VH'!$B$9:$B$3045),0),5),0)</f>
        <v>101423</v>
      </c>
      <c r="D14" s="316" t="str">
        <f t="array" ref="D14">IFERROR(INDEX('DS_Tong_12AS-AT-VH'!$A$9:$I$3045,MATCH(1,($A14='DS_Tong_12AS-AT-VH'!$A$9:$A$3045)*($P$4='DS_Tong_12AS-AT-VH'!$B$9:$B$3045),0),6),0)</f>
        <v>Nguyễn Ngọc Tố</v>
      </c>
      <c r="E14" s="317" t="str">
        <f t="array" ref="E14">IFERROR(INDEX('DS_Tong_12AS-AT-VH'!$A$9:$I$3045,MATCH(1,($A14='DS_Tong_12AS-AT-VH'!$A$9:$A$3045)*($P$4='DS_Tong_12AS-AT-VH'!$B$9:$B$3045),0),7),0)</f>
        <v>Như</v>
      </c>
      <c r="F14" s="119" t="str">
        <f t="array" ref="F14">IFERROR(INDEX('DS_Tong_12AS-AT-VH'!$A$9:$I$3045,MATCH(1,($A14='DS_Tong_12AS-AT-VH'!$A$9:$A$3045)*($P$4='DS_Tong_12AS-AT-VH'!$B$9:$B$3045),0),8),0)</f>
        <v>12AS11</v>
      </c>
      <c r="G14" s="120">
        <f t="array" ref="G14">IFERROR(INDEX('DS_Tong_12AS-AT-VH'!$A$9:$I$3045,MATCH(1,($A14='DS_Tong_12AS-AT-VH'!$A$9:$A$3045)*($P$4='DS_Tong_12AS-AT-VH'!$B$9:$B$3045),0),9),0)</f>
        <v>0</v>
      </c>
      <c r="H14" s="113"/>
      <c r="I14" s="113"/>
      <c r="J14" s="113"/>
      <c r="K14" s="113"/>
      <c r="L14" s="113"/>
      <c r="M14" s="113"/>
      <c r="N14" s="114"/>
      <c r="O14" s="113"/>
      <c r="P14" s="104">
        <f>IFERROR(VLOOKUP($C14,'DS_Tong_12AS-AT-VH'!$E$9:$S$3024,13,0),0)</f>
        <v>0</v>
      </c>
      <c r="R14" s="2">
        <v>8</v>
      </c>
      <c r="S14" s="309">
        <f t="shared" si="0"/>
        <v>43</v>
      </c>
      <c r="T14" s="312" t="str">
        <f>IFERROR(VLOOKUP($S14,TH_P.thi!$A$18:$P$165,3,0),0)</f>
        <v>9A</v>
      </c>
      <c r="U14" s="312" t="str">
        <f>IFERROR(VLOOKUP($S14,TH_P.thi!$A$18:$T$165,6,0),0)</f>
        <v>9A.S2</v>
      </c>
    </row>
    <row r="15" spans="1:23" ht="18" customHeight="1">
      <c r="A15" s="109">
        <v>7</v>
      </c>
      <c r="B15" s="332" t="str">
        <f t="array" ref="B15">IFERROR(INDEX('DS_Tong_12AS-AT-VH'!$A$9:$I$3045,MATCH(1,($A15='DS_Tong_12AS-AT-VH'!$A$9:$A$3045)*($P$4='DS_Tong_12AS-AT-VH'!$B$9:$B$3045),0),4),0)</f>
        <v>P.7B</v>
      </c>
      <c r="C15" s="118">
        <f t="array" ref="C15">IFERROR(INDEX('DS_Tong_12AS-AT-VH'!$A$9:$I$3045,MATCH(1,($A15='DS_Tong_12AS-AT-VH'!$A$9:$A$3045)*($P$4='DS_Tong_12AS-AT-VH'!$B$9:$B$3045),0),5),0)</f>
        <v>101424</v>
      </c>
      <c r="D15" s="316" t="str">
        <f t="array" ref="D15">IFERROR(INDEX('DS_Tong_12AS-AT-VH'!$A$9:$I$3045,MATCH(1,($A15='DS_Tong_12AS-AT-VH'!$A$9:$A$3045)*($P$4='DS_Tong_12AS-AT-VH'!$B$9:$B$3045),0),6),0)</f>
        <v>Nguyễn Trương Yến</v>
      </c>
      <c r="E15" s="317" t="str">
        <f t="array" ref="E15">IFERROR(INDEX('DS_Tong_12AS-AT-VH'!$A$9:$I$3045,MATCH(1,($A15='DS_Tong_12AS-AT-VH'!$A$9:$A$3045)*($P$4='DS_Tong_12AS-AT-VH'!$B$9:$B$3045),0),7),0)</f>
        <v>Như</v>
      </c>
      <c r="F15" s="119" t="str">
        <f t="array" ref="F15">IFERROR(INDEX('DS_Tong_12AS-AT-VH'!$A$9:$I$3045,MATCH(1,($A15='DS_Tong_12AS-AT-VH'!$A$9:$A$3045)*($P$4='DS_Tong_12AS-AT-VH'!$B$9:$B$3045),0),8),0)</f>
        <v>12AS12</v>
      </c>
      <c r="G15" s="120">
        <f t="array" ref="G15">IFERROR(INDEX('DS_Tong_12AS-AT-VH'!$A$9:$I$3045,MATCH(1,($A15='DS_Tong_12AS-AT-VH'!$A$9:$A$3045)*($P$4='DS_Tong_12AS-AT-VH'!$B$9:$B$3045),0),9),0)</f>
        <v>0</v>
      </c>
      <c r="H15" s="113"/>
      <c r="I15" s="113"/>
      <c r="J15" s="113"/>
      <c r="K15" s="113"/>
      <c r="L15" s="113"/>
      <c r="M15" s="113"/>
      <c r="N15" s="114"/>
      <c r="O15" s="113"/>
      <c r="P15" s="104">
        <f>IFERROR(VLOOKUP($C15,'DS_Tong_12AS-AT-VH'!$E$9:$S$3024,13,0),0)</f>
        <v>0</v>
      </c>
      <c r="R15" s="2">
        <v>9</v>
      </c>
      <c r="S15" s="309">
        <f t="shared" si="0"/>
        <v>44</v>
      </c>
      <c r="T15" s="312" t="str">
        <f>IFERROR(VLOOKUP($S15,TH_P.thi!$A$18:$P$165,3,0),0)</f>
        <v>10A</v>
      </c>
      <c r="U15" s="312" t="str">
        <f>IFERROR(VLOOKUP($S15,TH_P.thi!$A$18:$T$165,6,0),0)</f>
        <v>10A.S2</v>
      </c>
    </row>
    <row r="16" spans="1:23" ht="18" customHeight="1">
      <c r="A16" s="109">
        <v>8</v>
      </c>
      <c r="B16" s="332" t="str">
        <f t="array" ref="B16">IFERROR(INDEX('DS_Tong_12AS-AT-VH'!$A$9:$I$3045,MATCH(1,($A16='DS_Tong_12AS-AT-VH'!$A$9:$A$3045)*($P$4='DS_Tong_12AS-AT-VH'!$B$9:$B$3045),0),4),0)</f>
        <v>P.7B</v>
      </c>
      <c r="C16" s="118">
        <f t="array" ref="C16">IFERROR(INDEX('DS_Tong_12AS-AT-VH'!$A$9:$I$3045,MATCH(1,($A16='DS_Tong_12AS-AT-VH'!$A$9:$A$3045)*($P$4='DS_Tong_12AS-AT-VH'!$B$9:$B$3045),0),5),0)</f>
        <v>101425</v>
      </c>
      <c r="D16" s="316" t="str">
        <f t="array" ref="D16">IFERROR(INDEX('DS_Tong_12AS-AT-VH'!$A$9:$I$3045,MATCH(1,($A16='DS_Tong_12AS-AT-VH'!$A$9:$A$3045)*($P$4='DS_Tong_12AS-AT-VH'!$B$9:$B$3045),0),6),0)</f>
        <v>Trần Quỳnh</v>
      </c>
      <c r="E16" s="317" t="str">
        <f t="array" ref="E16">IFERROR(INDEX('DS_Tong_12AS-AT-VH'!$A$9:$I$3045,MATCH(1,($A16='DS_Tong_12AS-AT-VH'!$A$9:$A$3045)*($P$4='DS_Tong_12AS-AT-VH'!$B$9:$B$3045),0),7),0)</f>
        <v>Như</v>
      </c>
      <c r="F16" s="119" t="str">
        <f t="array" ref="F16">IFERROR(INDEX('DS_Tong_12AS-AT-VH'!$A$9:$I$3045,MATCH(1,($A16='DS_Tong_12AS-AT-VH'!$A$9:$A$3045)*($P$4='DS_Tong_12AS-AT-VH'!$B$9:$B$3045),0),8),0)</f>
        <v>12AS12</v>
      </c>
      <c r="G16" s="120">
        <f t="array" ref="G16">IFERROR(INDEX('DS_Tong_12AS-AT-VH'!$A$9:$I$3045,MATCH(1,($A16='DS_Tong_12AS-AT-VH'!$A$9:$A$3045)*($P$4='DS_Tong_12AS-AT-VH'!$B$9:$B$3045),0),9),0)</f>
        <v>0</v>
      </c>
      <c r="H16" s="113"/>
      <c r="I16" s="113"/>
      <c r="J16" s="113"/>
      <c r="K16" s="113"/>
      <c r="L16" s="113"/>
      <c r="M16" s="113"/>
      <c r="N16" s="114"/>
      <c r="O16" s="113"/>
      <c r="P16" s="104">
        <f>IFERROR(VLOOKUP($C16,'DS_Tong_12AS-AT-VH'!$E$9:$S$3024,13,0),0)</f>
        <v>0</v>
      </c>
      <c r="R16" s="2">
        <v>10</v>
      </c>
      <c r="S16" s="309">
        <f t="shared" si="0"/>
        <v>45</v>
      </c>
      <c r="T16" s="312" t="str">
        <f>IFERROR(VLOOKUP($S16,TH_P.thi!$A$18:$P$165,3,0),0)</f>
        <v>11A</v>
      </c>
      <c r="U16" s="312" t="str">
        <f>IFERROR(VLOOKUP($S16,TH_P.thi!$A$18:$T$165,6,0),0)</f>
        <v>11A.S2</v>
      </c>
    </row>
    <row r="17" spans="1:21" ht="18" customHeight="1">
      <c r="A17" s="109">
        <v>9</v>
      </c>
      <c r="B17" s="332" t="str">
        <f t="array" ref="B17">IFERROR(INDEX('DS_Tong_12AS-AT-VH'!$A$9:$I$3045,MATCH(1,($A17='DS_Tong_12AS-AT-VH'!$A$9:$A$3045)*($P$4='DS_Tong_12AS-AT-VH'!$B$9:$B$3045),0),4),0)</f>
        <v>P.7B</v>
      </c>
      <c r="C17" s="118">
        <f t="array" ref="C17">IFERROR(INDEX('DS_Tong_12AS-AT-VH'!$A$9:$I$3045,MATCH(1,($A17='DS_Tong_12AS-AT-VH'!$A$9:$A$3045)*($P$4='DS_Tong_12AS-AT-VH'!$B$9:$B$3045),0),5),0)</f>
        <v>101426</v>
      </c>
      <c r="D17" s="316" t="str">
        <f t="array" ref="D17">IFERROR(INDEX('DS_Tong_12AS-AT-VH'!$A$9:$I$3045,MATCH(1,($A17='DS_Tong_12AS-AT-VH'!$A$9:$A$3045)*($P$4='DS_Tong_12AS-AT-VH'!$B$9:$B$3045),0),6),0)</f>
        <v>Vũ Thị Quỳnh</v>
      </c>
      <c r="E17" s="317" t="str">
        <f t="array" ref="E17">IFERROR(INDEX('DS_Tong_12AS-AT-VH'!$A$9:$I$3045,MATCH(1,($A17='DS_Tong_12AS-AT-VH'!$A$9:$A$3045)*($P$4='DS_Tong_12AS-AT-VH'!$B$9:$B$3045),0),7),0)</f>
        <v>Như</v>
      </c>
      <c r="F17" s="119" t="str">
        <f t="array" ref="F17">IFERROR(INDEX('DS_Tong_12AS-AT-VH'!$A$9:$I$3045,MATCH(1,($A17='DS_Tong_12AS-AT-VH'!$A$9:$A$3045)*($P$4='DS_Tong_12AS-AT-VH'!$B$9:$B$3045),0),8),0)</f>
        <v>12AS11</v>
      </c>
      <c r="G17" s="120">
        <f t="array" ref="G17">IFERROR(INDEX('DS_Tong_12AS-AT-VH'!$A$9:$I$3045,MATCH(1,($A17='DS_Tong_12AS-AT-VH'!$A$9:$A$3045)*($P$4='DS_Tong_12AS-AT-VH'!$B$9:$B$3045),0),9),0)</f>
        <v>0</v>
      </c>
      <c r="H17" s="113"/>
      <c r="I17" s="113"/>
      <c r="J17" s="113"/>
      <c r="K17" s="113"/>
      <c r="L17" s="113"/>
      <c r="M17" s="113"/>
      <c r="N17" s="114"/>
      <c r="O17" s="113"/>
      <c r="P17" s="104">
        <f>IFERROR(VLOOKUP($C17,'DS_Tong_12AS-AT-VH'!$E$9:$S$3024,13,0),0)</f>
        <v>0</v>
      </c>
      <c r="R17" s="2">
        <v>11</v>
      </c>
      <c r="S17" s="309">
        <f t="shared" si="0"/>
        <v>46</v>
      </c>
      <c r="T17" s="312" t="str">
        <f>IFERROR(VLOOKUP($S17,TH_P.thi!$A$18:$P$165,3,0),0)</f>
        <v>12A</v>
      </c>
      <c r="U17" s="312" t="str">
        <f>IFERROR(VLOOKUP($S17,TH_P.thi!$A$18:$T$165,6,0),0)</f>
        <v>12A.S2</v>
      </c>
    </row>
    <row r="18" spans="1:21" ht="18" customHeight="1">
      <c r="A18" s="109">
        <v>10</v>
      </c>
      <c r="B18" s="332" t="str">
        <f t="array" ref="B18">IFERROR(INDEX('DS_Tong_12AS-AT-VH'!$A$9:$I$3045,MATCH(1,($A18='DS_Tong_12AS-AT-VH'!$A$9:$A$3045)*($P$4='DS_Tong_12AS-AT-VH'!$B$9:$B$3045),0),4),0)</f>
        <v>P.7B</v>
      </c>
      <c r="C18" s="118">
        <f t="array" ref="C18">IFERROR(INDEX('DS_Tong_12AS-AT-VH'!$A$9:$I$3045,MATCH(1,($A18='DS_Tong_12AS-AT-VH'!$A$9:$A$3045)*($P$4='DS_Tong_12AS-AT-VH'!$B$9:$B$3045),0),5),0)</f>
        <v>101427</v>
      </c>
      <c r="D18" s="316" t="str">
        <f t="array" ref="D18">IFERROR(INDEX('DS_Tong_12AS-AT-VH'!$A$9:$I$3045,MATCH(1,($A18='DS_Tong_12AS-AT-VH'!$A$9:$A$3045)*($P$4='DS_Tong_12AS-AT-VH'!$B$9:$B$3045),0),6),0)</f>
        <v>Lê Nguyễn Hoàng</v>
      </c>
      <c r="E18" s="317" t="str">
        <f t="array" ref="E18">IFERROR(INDEX('DS_Tong_12AS-AT-VH'!$A$9:$I$3045,MATCH(1,($A18='DS_Tong_12AS-AT-VH'!$A$9:$A$3045)*($P$4='DS_Tong_12AS-AT-VH'!$B$9:$B$3045),0),7),0)</f>
        <v>Oanh</v>
      </c>
      <c r="F18" s="119" t="str">
        <f t="array" ref="F18">IFERROR(INDEX('DS_Tong_12AS-AT-VH'!$A$9:$I$3045,MATCH(1,($A18='DS_Tong_12AS-AT-VH'!$A$9:$A$3045)*($P$4='DS_Tong_12AS-AT-VH'!$B$9:$B$3045),0),8),0)</f>
        <v>12AS11</v>
      </c>
      <c r="G18" s="120">
        <f t="array" ref="G18">IFERROR(INDEX('DS_Tong_12AS-AT-VH'!$A$9:$I$3045,MATCH(1,($A18='DS_Tong_12AS-AT-VH'!$A$9:$A$3045)*($P$4='DS_Tong_12AS-AT-VH'!$B$9:$B$3045),0),9),0)</f>
        <v>0</v>
      </c>
      <c r="H18" s="113"/>
      <c r="I18" s="113"/>
      <c r="J18" s="113"/>
      <c r="K18" s="113"/>
      <c r="L18" s="113"/>
      <c r="M18" s="113"/>
      <c r="N18" s="114"/>
      <c r="O18" s="113"/>
      <c r="P18" s="104">
        <f>IFERROR(VLOOKUP($C18,'DS_Tong_12AS-AT-VH'!$E$9:$S$3024,13,0),0)</f>
        <v>0</v>
      </c>
      <c r="R18" s="2">
        <v>12</v>
      </c>
      <c r="S18" s="309">
        <f t="shared" si="0"/>
        <v>47</v>
      </c>
      <c r="T18" s="312" t="str">
        <f>IFERROR(VLOOKUP($S18,TH_P.thi!$A$18:$P$165,3,0),0)</f>
        <v>13A</v>
      </c>
      <c r="U18" s="312" t="str">
        <f>IFERROR(VLOOKUP($S18,TH_P.thi!$A$18:$T$165,6,0),0)</f>
        <v>13A.S2</v>
      </c>
    </row>
    <row r="19" spans="1:21" ht="18" customHeight="1">
      <c r="A19" s="109">
        <v>11</v>
      </c>
      <c r="B19" s="332" t="str">
        <f t="array" ref="B19">IFERROR(INDEX('DS_Tong_12AS-AT-VH'!$A$9:$I$3045,MATCH(1,($A19='DS_Tong_12AS-AT-VH'!$A$9:$A$3045)*($P$4='DS_Tong_12AS-AT-VH'!$B$9:$B$3045),0),4),0)</f>
        <v>P.7B</v>
      </c>
      <c r="C19" s="118">
        <f t="array" ref="C19">IFERROR(INDEX('DS_Tong_12AS-AT-VH'!$A$9:$I$3045,MATCH(1,($A19='DS_Tong_12AS-AT-VH'!$A$9:$A$3045)*($P$4='DS_Tong_12AS-AT-VH'!$B$9:$B$3045),0),5),0)</f>
        <v>101428</v>
      </c>
      <c r="D19" s="316" t="str">
        <f t="array" ref="D19">IFERROR(INDEX('DS_Tong_12AS-AT-VH'!$A$9:$I$3045,MATCH(1,($A19='DS_Tong_12AS-AT-VH'!$A$9:$A$3045)*($P$4='DS_Tong_12AS-AT-VH'!$B$9:$B$3045),0),6),0)</f>
        <v>Hà Nguyễn Đức</v>
      </c>
      <c r="E19" s="317" t="str">
        <f t="array" ref="E19">IFERROR(INDEX('DS_Tong_12AS-AT-VH'!$A$9:$I$3045,MATCH(1,($A19='DS_Tong_12AS-AT-VH'!$A$9:$A$3045)*($P$4='DS_Tong_12AS-AT-VH'!$B$9:$B$3045),0),7),0)</f>
        <v>Phát</v>
      </c>
      <c r="F19" s="119" t="str">
        <f t="array" ref="F19">IFERROR(INDEX('DS_Tong_12AS-AT-VH'!$A$9:$I$3045,MATCH(1,($A19='DS_Tong_12AS-AT-VH'!$A$9:$A$3045)*($P$4='DS_Tong_12AS-AT-VH'!$B$9:$B$3045),0),8),0)</f>
        <v>12AS12</v>
      </c>
      <c r="G19" s="120">
        <f t="array" ref="G19">IFERROR(INDEX('DS_Tong_12AS-AT-VH'!$A$9:$I$3045,MATCH(1,($A19='DS_Tong_12AS-AT-VH'!$A$9:$A$3045)*($P$4='DS_Tong_12AS-AT-VH'!$B$9:$B$3045),0),9),0)</f>
        <v>0</v>
      </c>
      <c r="H19" s="113"/>
      <c r="I19" s="113"/>
      <c r="J19" s="113"/>
      <c r="K19" s="113"/>
      <c r="L19" s="113"/>
      <c r="M19" s="113"/>
      <c r="N19" s="114"/>
      <c r="O19" s="113"/>
      <c r="P19" s="104">
        <f>IFERROR(VLOOKUP($C19,'DS_Tong_12AS-AT-VH'!$E$9:$S$3024,13,0),0)</f>
        <v>0</v>
      </c>
      <c r="R19" s="2">
        <v>13</v>
      </c>
      <c r="S19" s="309">
        <f t="shared" si="0"/>
        <v>48</v>
      </c>
      <c r="T19" s="312" t="str">
        <f>IFERROR(VLOOKUP($S19,TH_P.thi!$A$18:$P$165,3,0),0)</f>
        <v>14A</v>
      </c>
      <c r="U19" s="312" t="str">
        <f>IFERROR(VLOOKUP($S19,TH_P.thi!$A$18:$T$165,6,0),0)</f>
        <v>14A.S2</v>
      </c>
    </row>
    <row r="20" spans="1:21" ht="18" customHeight="1">
      <c r="A20" s="109">
        <v>12</v>
      </c>
      <c r="B20" s="332" t="str">
        <f t="array" ref="B20">IFERROR(INDEX('DS_Tong_12AS-AT-VH'!$A$9:$I$3045,MATCH(1,($A20='DS_Tong_12AS-AT-VH'!$A$9:$A$3045)*($P$4='DS_Tong_12AS-AT-VH'!$B$9:$B$3045),0),4),0)</f>
        <v>P.7B</v>
      </c>
      <c r="C20" s="118">
        <f t="array" ref="C20">IFERROR(INDEX('DS_Tong_12AS-AT-VH'!$A$9:$I$3045,MATCH(1,($A20='DS_Tong_12AS-AT-VH'!$A$9:$A$3045)*($P$4='DS_Tong_12AS-AT-VH'!$B$9:$B$3045),0),5),0)</f>
        <v>101429</v>
      </c>
      <c r="D20" s="316" t="str">
        <f t="array" ref="D20">IFERROR(INDEX('DS_Tong_12AS-AT-VH'!$A$9:$I$3045,MATCH(1,($A20='DS_Tong_12AS-AT-VH'!$A$9:$A$3045)*($P$4='DS_Tong_12AS-AT-VH'!$B$9:$B$3045),0),6),0)</f>
        <v>Lê Văn Tuấn</v>
      </c>
      <c r="E20" s="317" t="str">
        <f t="array" ref="E20">IFERROR(INDEX('DS_Tong_12AS-AT-VH'!$A$9:$I$3045,MATCH(1,($A20='DS_Tong_12AS-AT-VH'!$A$9:$A$3045)*($P$4='DS_Tong_12AS-AT-VH'!$B$9:$B$3045),0),7),0)</f>
        <v>Phát</v>
      </c>
      <c r="F20" s="119" t="str">
        <f t="array" ref="F20">IFERROR(INDEX('DS_Tong_12AS-AT-VH'!$A$9:$I$3045,MATCH(1,($A20='DS_Tong_12AS-AT-VH'!$A$9:$A$3045)*($P$4='DS_Tong_12AS-AT-VH'!$B$9:$B$3045),0),8),0)</f>
        <v>12AS10</v>
      </c>
      <c r="G20" s="120">
        <f t="array" ref="G20">IFERROR(INDEX('DS_Tong_12AS-AT-VH'!$A$9:$I$3045,MATCH(1,($A20='DS_Tong_12AS-AT-VH'!$A$9:$A$3045)*($P$4='DS_Tong_12AS-AT-VH'!$B$9:$B$3045),0),9),0)</f>
        <v>0</v>
      </c>
      <c r="H20" s="113"/>
      <c r="I20" s="113"/>
      <c r="J20" s="113"/>
      <c r="K20" s="113"/>
      <c r="L20" s="113"/>
      <c r="M20" s="113"/>
      <c r="N20" s="114"/>
      <c r="O20" s="113"/>
      <c r="P20" s="104">
        <f>IFERROR(VLOOKUP($C20,'DS_Tong_12AS-AT-VH'!$E$9:$S$3024,13,0),0)</f>
        <v>0</v>
      </c>
      <c r="R20" s="2">
        <v>14</v>
      </c>
      <c r="S20" s="309">
        <f t="shared" si="0"/>
        <v>49</v>
      </c>
      <c r="T20" s="312" t="str">
        <f>IFERROR(VLOOKUP($S20,TH_P.thi!$A$18:$P$165,3,0),0)</f>
        <v>2B</v>
      </c>
      <c r="U20" s="312" t="str">
        <f>IFERROR(VLOOKUP($S20,TH_P.thi!$A$18:$T$165,6,0),0)</f>
        <v>2B.S2</v>
      </c>
    </row>
    <row r="21" spans="1:21" ht="18" customHeight="1">
      <c r="A21" s="109">
        <v>13</v>
      </c>
      <c r="B21" s="332" t="str">
        <f t="array" ref="B21">IFERROR(INDEX('DS_Tong_12AS-AT-VH'!$A$9:$I$3045,MATCH(1,($A21='DS_Tong_12AS-AT-VH'!$A$9:$A$3045)*($P$4='DS_Tong_12AS-AT-VH'!$B$9:$B$3045),0),4),0)</f>
        <v>P.7B</v>
      </c>
      <c r="C21" s="118">
        <f t="array" ref="C21">IFERROR(INDEX('DS_Tong_12AS-AT-VH'!$A$9:$I$3045,MATCH(1,($A21='DS_Tong_12AS-AT-VH'!$A$9:$A$3045)*($P$4='DS_Tong_12AS-AT-VH'!$B$9:$B$3045),0),5),0)</f>
        <v>101430</v>
      </c>
      <c r="D21" s="316" t="str">
        <f t="array" ref="D21">IFERROR(INDEX('DS_Tong_12AS-AT-VH'!$A$9:$I$3045,MATCH(1,($A21='DS_Tong_12AS-AT-VH'!$A$9:$A$3045)*($P$4='DS_Tong_12AS-AT-VH'!$B$9:$B$3045),0),6),0)</f>
        <v>Trần Tuấn</v>
      </c>
      <c r="E21" s="317" t="str">
        <f t="array" ref="E21">IFERROR(INDEX('DS_Tong_12AS-AT-VH'!$A$9:$I$3045,MATCH(1,($A21='DS_Tong_12AS-AT-VH'!$A$9:$A$3045)*($P$4='DS_Tong_12AS-AT-VH'!$B$9:$B$3045),0),7),0)</f>
        <v>Phát</v>
      </c>
      <c r="F21" s="119" t="str">
        <f t="array" ref="F21">IFERROR(INDEX('DS_Tong_12AS-AT-VH'!$A$9:$I$3045,MATCH(1,($A21='DS_Tong_12AS-AT-VH'!$A$9:$A$3045)*($P$4='DS_Tong_12AS-AT-VH'!$B$9:$B$3045),0),8),0)</f>
        <v>12AS10</v>
      </c>
      <c r="G21" s="120">
        <f t="array" ref="G21">IFERROR(INDEX('DS_Tong_12AS-AT-VH'!$A$9:$I$3045,MATCH(1,($A21='DS_Tong_12AS-AT-VH'!$A$9:$A$3045)*($P$4='DS_Tong_12AS-AT-VH'!$B$9:$B$3045),0),9),0)</f>
        <v>0</v>
      </c>
      <c r="H21" s="113"/>
      <c r="I21" s="113"/>
      <c r="J21" s="115"/>
      <c r="K21" s="115"/>
      <c r="L21" s="116"/>
      <c r="M21" s="116"/>
      <c r="N21" s="114"/>
      <c r="O21" s="113"/>
      <c r="P21" s="104">
        <f>IFERROR(VLOOKUP($C21,'DS_Tong_12AS-AT-VH'!$E$9:$S$3024,13,0),0)</f>
        <v>0</v>
      </c>
      <c r="R21" s="2">
        <v>15</v>
      </c>
      <c r="S21" s="309">
        <f t="shared" si="0"/>
        <v>50</v>
      </c>
      <c r="T21" s="312" t="str">
        <f>IFERROR(VLOOKUP($S21,TH_P.thi!$A$18:$P$165,3,0),0)</f>
        <v>3B</v>
      </c>
      <c r="U21" s="312" t="str">
        <f>IFERROR(VLOOKUP($S21,TH_P.thi!$A$18:$T$165,6,0),0)</f>
        <v>3B.S2</v>
      </c>
    </row>
    <row r="22" spans="1:21" ht="18" customHeight="1">
      <c r="A22" s="109">
        <v>14</v>
      </c>
      <c r="B22" s="332" t="str">
        <f t="array" ref="B22">IFERROR(INDEX('DS_Tong_12AS-AT-VH'!$A$9:$I$3045,MATCH(1,($A22='DS_Tong_12AS-AT-VH'!$A$9:$A$3045)*($P$4='DS_Tong_12AS-AT-VH'!$B$9:$B$3045),0),4),0)</f>
        <v>P.7B</v>
      </c>
      <c r="C22" s="118">
        <f t="array" ref="C22">IFERROR(INDEX('DS_Tong_12AS-AT-VH'!$A$9:$I$3045,MATCH(1,($A22='DS_Tong_12AS-AT-VH'!$A$9:$A$3045)*($P$4='DS_Tong_12AS-AT-VH'!$B$9:$B$3045),0),5),0)</f>
        <v>101431</v>
      </c>
      <c r="D22" s="316" t="str">
        <f t="array" ref="D22">IFERROR(INDEX('DS_Tong_12AS-AT-VH'!$A$9:$I$3045,MATCH(1,($A22='DS_Tong_12AS-AT-VH'!$A$9:$A$3045)*($P$4='DS_Tong_12AS-AT-VH'!$B$9:$B$3045),0),6),0)</f>
        <v>Doãn Thanh Châu</v>
      </c>
      <c r="E22" s="317" t="str">
        <f t="array" ref="E22">IFERROR(INDEX('DS_Tong_12AS-AT-VH'!$A$9:$I$3045,MATCH(1,($A22='DS_Tong_12AS-AT-VH'!$A$9:$A$3045)*($P$4='DS_Tong_12AS-AT-VH'!$B$9:$B$3045),0),7),0)</f>
        <v>Phi</v>
      </c>
      <c r="F22" s="119" t="str">
        <f t="array" ref="F22">IFERROR(INDEX('DS_Tong_12AS-AT-VH'!$A$9:$I$3045,MATCH(1,($A22='DS_Tong_12AS-AT-VH'!$A$9:$A$3045)*($P$4='DS_Tong_12AS-AT-VH'!$B$9:$B$3045),0),8),0)</f>
        <v>12AS11</v>
      </c>
      <c r="G22" s="120">
        <f t="array" ref="G22">IFERROR(INDEX('DS_Tong_12AS-AT-VH'!$A$9:$I$3045,MATCH(1,($A22='DS_Tong_12AS-AT-VH'!$A$9:$A$3045)*($P$4='DS_Tong_12AS-AT-VH'!$B$9:$B$3045),0),9),0)</f>
        <v>0</v>
      </c>
      <c r="H22" s="113"/>
      <c r="I22" s="113"/>
      <c r="J22" s="115"/>
      <c r="K22" s="115"/>
      <c r="L22" s="116"/>
      <c r="M22" s="116"/>
      <c r="N22" s="114"/>
      <c r="O22" s="113"/>
      <c r="P22" s="104">
        <f>IFERROR(VLOOKUP($C22,'DS_Tong_12AS-AT-VH'!$E$9:$S$3024,13,0),0)</f>
        <v>0</v>
      </c>
      <c r="R22" s="2">
        <v>16</v>
      </c>
      <c r="S22" s="309">
        <f t="shared" si="0"/>
        <v>51</v>
      </c>
      <c r="T22" s="312" t="str">
        <f>IFERROR(VLOOKUP($S22,TH_P.thi!$A$18:$P$165,3,0),0)</f>
        <v>4B</v>
      </c>
      <c r="U22" s="312" t="str">
        <f>IFERROR(VLOOKUP($S22,TH_P.thi!$A$18:$T$165,6,0),0)</f>
        <v>4B.S2</v>
      </c>
    </row>
    <row r="23" spans="1:21" ht="18" customHeight="1">
      <c r="A23" s="109">
        <v>15</v>
      </c>
      <c r="B23" s="332" t="str">
        <f t="array" ref="B23">IFERROR(INDEX('DS_Tong_12AS-AT-VH'!$A$9:$I$3045,MATCH(1,($A23='DS_Tong_12AS-AT-VH'!$A$9:$A$3045)*($P$4='DS_Tong_12AS-AT-VH'!$B$9:$B$3045),0),4),0)</f>
        <v>P.7B</v>
      </c>
      <c r="C23" s="118">
        <f t="array" ref="C23">IFERROR(INDEX('DS_Tong_12AS-AT-VH'!$A$9:$I$3045,MATCH(1,($A23='DS_Tong_12AS-AT-VH'!$A$9:$A$3045)*($P$4='DS_Tong_12AS-AT-VH'!$B$9:$B$3045),0),5),0)</f>
        <v>101432</v>
      </c>
      <c r="D23" s="316" t="str">
        <f t="array" ref="D23">IFERROR(INDEX('DS_Tong_12AS-AT-VH'!$A$9:$I$3045,MATCH(1,($A23='DS_Tong_12AS-AT-VH'!$A$9:$A$3045)*($P$4='DS_Tong_12AS-AT-VH'!$B$9:$B$3045),0),6),0)</f>
        <v>Lương Quang</v>
      </c>
      <c r="E23" s="317" t="str">
        <f t="array" ref="E23">IFERROR(INDEX('DS_Tong_12AS-AT-VH'!$A$9:$I$3045,MATCH(1,($A23='DS_Tong_12AS-AT-VH'!$A$9:$A$3045)*($P$4='DS_Tong_12AS-AT-VH'!$B$9:$B$3045),0),7),0)</f>
        <v>Phú</v>
      </c>
      <c r="F23" s="119" t="str">
        <f t="array" ref="F23">IFERROR(INDEX('DS_Tong_12AS-AT-VH'!$A$9:$I$3045,MATCH(1,($A23='DS_Tong_12AS-AT-VH'!$A$9:$A$3045)*($P$4='DS_Tong_12AS-AT-VH'!$B$9:$B$3045),0),8),0)</f>
        <v>12AS12</v>
      </c>
      <c r="G23" s="120">
        <f t="array" ref="G23">IFERROR(INDEX('DS_Tong_12AS-AT-VH'!$A$9:$I$3045,MATCH(1,($A23='DS_Tong_12AS-AT-VH'!$A$9:$A$3045)*($P$4='DS_Tong_12AS-AT-VH'!$B$9:$B$3045),0),9),0)</f>
        <v>0</v>
      </c>
      <c r="H23" s="113"/>
      <c r="I23" s="113"/>
      <c r="J23" s="115"/>
      <c r="K23" s="115"/>
      <c r="L23" s="116"/>
      <c r="M23" s="116"/>
      <c r="N23" s="114"/>
      <c r="O23" s="113"/>
      <c r="P23" s="104">
        <f>IFERROR(VLOOKUP($C23,'DS_Tong_12AS-AT-VH'!$E$9:$S$3024,13,0),0)</f>
        <v>0</v>
      </c>
      <c r="R23" s="2">
        <v>17</v>
      </c>
      <c r="S23" s="309">
        <f t="shared" si="0"/>
        <v>52</v>
      </c>
      <c r="T23" s="312" t="str">
        <f>IFERROR(VLOOKUP($S23,TH_P.thi!$A$18:$P$165,3,0),0)</f>
        <v>5B</v>
      </c>
      <c r="U23" s="312" t="str">
        <f>IFERROR(VLOOKUP($S23,TH_P.thi!$A$18:$T$165,6,0),0)</f>
        <v>5B.S2</v>
      </c>
    </row>
    <row r="24" spans="1:21" ht="18" customHeight="1">
      <c r="A24" s="109">
        <v>16</v>
      </c>
      <c r="B24" s="332" t="str">
        <f t="array" ref="B24">IFERROR(INDEX('DS_Tong_12AS-AT-VH'!$A$9:$I$3045,MATCH(1,($A24='DS_Tong_12AS-AT-VH'!$A$9:$A$3045)*($P$4='DS_Tong_12AS-AT-VH'!$B$9:$B$3045),0),4),0)</f>
        <v>P.7B</v>
      </c>
      <c r="C24" s="118">
        <f t="array" ref="C24">IFERROR(INDEX('DS_Tong_12AS-AT-VH'!$A$9:$I$3045,MATCH(1,($A24='DS_Tong_12AS-AT-VH'!$A$9:$A$3045)*($P$4='DS_Tong_12AS-AT-VH'!$B$9:$B$3045),0),5),0)</f>
        <v>101433</v>
      </c>
      <c r="D24" s="316" t="str">
        <f t="array" ref="D24">IFERROR(INDEX('DS_Tong_12AS-AT-VH'!$A$9:$I$3045,MATCH(1,($A24='DS_Tong_12AS-AT-VH'!$A$9:$A$3045)*($P$4='DS_Tong_12AS-AT-VH'!$B$9:$B$3045),0),6),0)</f>
        <v>Nguyễn Trường</v>
      </c>
      <c r="E24" s="317" t="str">
        <f t="array" ref="E24">IFERROR(INDEX('DS_Tong_12AS-AT-VH'!$A$9:$I$3045,MATCH(1,($A24='DS_Tong_12AS-AT-VH'!$A$9:$A$3045)*($P$4='DS_Tong_12AS-AT-VH'!$B$9:$B$3045),0),7),0)</f>
        <v>Phú</v>
      </c>
      <c r="F24" s="119" t="str">
        <f t="array" ref="F24">IFERROR(INDEX('DS_Tong_12AS-AT-VH'!$A$9:$I$3045,MATCH(1,($A24='DS_Tong_12AS-AT-VH'!$A$9:$A$3045)*($P$4='DS_Tong_12AS-AT-VH'!$B$9:$B$3045),0),8),0)</f>
        <v>12AS10</v>
      </c>
      <c r="G24" s="120">
        <f t="array" ref="G24">IFERROR(INDEX('DS_Tong_12AS-AT-VH'!$A$9:$I$3045,MATCH(1,($A24='DS_Tong_12AS-AT-VH'!$A$9:$A$3045)*($P$4='DS_Tong_12AS-AT-VH'!$B$9:$B$3045),0),9),0)</f>
        <v>0</v>
      </c>
      <c r="H24" s="113"/>
      <c r="I24" s="113"/>
      <c r="J24" s="115"/>
      <c r="K24" s="115"/>
      <c r="L24" s="116"/>
      <c r="M24" s="116"/>
      <c r="N24" s="114"/>
      <c r="O24" s="113"/>
      <c r="P24" s="104">
        <f>IFERROR(VLOOKUP($C24,'DS_Tong_12AS-AT-VH'!$E$9:$S$3024,13,0),0)</f>
        <v>0</v>
      </c>
      <c r="R24" s="2">
        <v>18</v>
      </c>
      <c r="S24" s="309">
        <f t="shared" si="0"/>
        <v>53</v>
      </c>
      <c r="T24" s="312" t="str">
        <f>IFERROR(VLOOKUP($S24,TH_P.thi!$A$18:$P$165,3,0),0)</f>
        <v>6B</v>
      </c>
      <c r="U24" s="312" t="str">
        <f>IFERROR(VLOOKUP($S24,TH_P.thi!$A$18:$T$165,6,0),0)</f>
        <v>6B.S2</v>
      </c>
    </row>
    <row r="25" spans="1:21" ht="18" customHeight="1">
      <c r="A25" s="109">
        <v>17</v>
      </c>
      <c r="B25" s="332" t="str">
        <f t="array" ref="B25">IFERROR(INDEX('DS_Tong_12AS-AT-VH'!$A$9:$I$3045,MATCH(1,($A25='DS_Tong_12AS-AT-VH'!$A$9:$A$3045)*($P$4='DS_Tong_12AS-AT-VH'!$B$9:$B$3045),0),4),0)</f>
        <v>P.7B</v>
      </c>
      <c r="C25" s="118">
        <f t="array" ref="C25">IFERROR(INDEX('DS_Tong_12AS-AT-VH'!$A$9:$I$3045,MATCH(1,($A25='DS_Tong_12AS-AT-VH'!$A$9:$A$3045)*($P$4='DS_Tong_12AS-AT-VH'!$B$9:$B$3045),0),5),0)</f>
        <v>101434</v>
      </c>
      <c r="D25" s="316" t="str">
        <f t="array" ref="D25">IFERROR(INDEX('DS_Tong_12AS-AT-VH'!$A$9:$I$3045,MATCH(1,($A25='DS_Tong_12AS-AT-VH'!$A$9:$A$3045)*($P$4='DS_Tong_12AS-AT-VH'!$B$9:$B$3045),0),6),0)</f>
        <v>Dương Hồng</v>
      </c>
      <c r="E25" s="317" t="str">
        <f t="array" ref="E25">IFERROR(INDEX('DS_Tong_12AS-AT-VH'!$A$9:$I$3045,MATCH(1,($A25='DS_Tong_12AS-AT-VH'!$A$9:$A$3045)*($P$4='DS_Tong_12AS-AT-VH'!$B$9:$B$3045),0),7),0)</f>
        <v>Phúc</v>
      </c>
      <c r="F25" s="119" t="str">
        <f t="array" ref="F25">IFERROR(INDEX('DS_Tong_12AS-AT-VH'!$A$9:$I$3045,MATCH(1,($A25='DS_Tong_12AS-AT-VH'!$A$9:$A$3045)*($P$4='DS_Tong_12AS-AT-VH'!$B$9:$B$3045),0),8),0)</f>
        <v>12AS9</v>
      </c>
      <c r="G25" s="120">
        <f t="array" ref="G25">IFERROR(INDEX('DS_Tong_12AS-AT-VH'!$A$9:$I$3045,MATCH(1,($A25='DS_Tong_12AS-AT-VH'!$A$9:$A$3045)*($P$4='DS_Tong_12AS-AT-VH'!$B$9:$B$3045),0),9),0)</f>
        <v>0</v>
      </c>
      <c r="H25" s="113"/>
      <c r="I25" s="113"/>
      <c r="J25" s="115"/>
      <c r="K25" s="115"/>
      <c r="L25" s="116"/>
      <c r="M25" s="116"/>
      <c r="N25" s="114"/>
      <c r="O25" s="113"/>
      <c r="P25" s="104">
        <f>IFERROR(VLOOKUP($C25,'DS_Tong_12AS-AT-VH'!$E$9:$S$3024,13,0),0)</f>
        <v>0</v>
      </c>
      <c r="R25" s="2">
        <v>19</v>
      </c>
      <c r="S25" s="309">
        <f t="shared" si="0"/>
        <v>54</v>
      </c>
      <c r="T25" s="312" t="str">
        <f>IFERROR(VLOOKUP($S25,TH_P.thi!$A$18:$P$165,3,0),0)</f>
        <v>7B</v>
      </c>
      <c r="U25" s="312" t="str">
        <f>IFERROR(VLOOKUP($S25,TH_P.thi!$A$18:$T$165,6,0),0)</f>
        <v>7B.S2</v>
      </c>
    </row>
    <row r="26" spans="1:21" ht="18" customHeight="1">
      <c r="A26" s="109">
        <v>18</v>
      </c>
      <c r="B26" s="332" t="str">
        <f t="array" ref="B26">IFERROR(INDEX('DS_Tong_12AS-AT-VH'!$A$9:$I$3045,MATCH(1,($A26='DS_Tong_12AS-AT-VH'!$A$9:$A$3045)*($P$4='DS_Tong_12AS-AT-VH'!$B$9:$B$3045),0),4),0)</f>
        <v>P.7B</v>
      </c>
      <c r="C26" s="118">
        <f t="array" ref="C26">IFERROR(INDEX('DS_Tong_12AS-AT-VH'!$A$9:$I$3045,MATCH(1,($A26='DS_Tong_12AS-AT-VH'!$A$9:$A$3045)*($P$4='DS_Tong_12AS-AT-VH'!$B$9:$B$3045),0),5),0)</f>
        <v>101435</v>
      </c>
      <c r="D26" s="316" t="str">
        <f t="array" ref="D26">IFERROR(INDEX('DS_Tong_12AS-AT-VH'!$A$9:$I$3045,MATCH(1,($A26='DS_Tong_12AS-AT-VH'!$A$9:$A$3045)*($P$4='DS_Tong_12AS-AT-VH'!$B$9:$B$3045),0),6),0)</f>
        <v>Trần Võ Minh</v>
      </c>
      <c r="E26" s="317" t="str">
        <f t="array" ref="E26">IFERROR(INDEX('DS_Tong_12AS-AT-VH'!$A$9:$I$3045,MATCH(1,($A26='DS_Tong_12AS-AT-VH'!$A$9:$A$3045)*($P$4='DS_Tong_12AS-AT-VH'!$B$9:$B$3045),0),7),0)</f>
        <v>Phước</v>
      </c>
      <c r="F26" s="119" t="str">
        <f t="array" ref="F26">IFERROR(INDEX('DS_Tong_12AS-AT-VH'!$A$9:$I$3045,MATCH(1,($A26='DS_Tong_12AS-AT-VH'!$A$9:$A$3045)*($P$4='DS_Tong_12AS-AT-VH'!$B$9:$B$3045),0),8),0)</f>
        <v>12AS12</v>
      </c>
      <c r="G26" s="120">
        <f t="array" ref="G26">IFERROR(INDEX('DS_Tong_12AS-AT-VH'!$A$9:$I$3045,MATCH(1,($A26='DS_Tong_12AS-AT-VH'!$A$9:$A$3045)*($P$4='DS_Tong_12AS-AT-VH'!$B$9:$B$3045),0),9),0)</f>
        <v>0</v>
      </c>
      <c r="H26" s="113"/>
      <c r="I26" s="113"/>
      <c r="J26" s="115"/>
      <c r="K26" s="115"/>
      <c r="L26" s="116"/>
      <c r="M26" s="116"/>
      <c r="N26" s="114"/>
      <c r="O26" s="113"/>
      <c r="P26" s="104">
        <f>IFERROR(VLOOKUP($C26,'DS_Tong_12AS-AT-VH'!$E$9:$S$3024,13,0),0)</f>
        <v>0</v>
      </c>
      <c r="R26" s="2">
        <v>20</v>
      </c>
      <c r="S26" s="309">
        <f t="shared" si="0"/>
        <v>55</v>
      </c>
      <c r="T26" s="312" t="str">
        <f>IFERROR(VLOOKUP($S26,TH_P.thi!$A$18:$P$165,3,0),0)</f>
        <v>8B</v>
      </c>
      <c r="U26" s="312" t="str">
        <f>IFERROR(VLOOKUP($S26,TH_P.thi!$A$18:$T$165,6,0),0)</f>
        <v>8B.S2</v>
      </c>
    </row>
    <row r="27" spans="1:21" ht="18" customHeight="1">
      <c r="A27" s="109">
        <v>19</v>
      </c>
      <c r="B27" s="332" t="str">
        <f t="array" ref="B27">IFERROR(INDEX('DS_Tong_12AS-AT-VH'!$A$9:$I$3045,MATCH(1,($A27='DS_Tong_12AS-AT-VH'!$A$9:$A$3045)*($P$4='DS_Tong_12AS-AT-VH'!$B$9:$B$3045),0),4),0)</f>
        <v>P.7B</v>
      </c>
      <c r="C27" s="118">
        <f t="array" ref="C27">IFERROR(INDEX('DS_Tong_12AS-AT-VH'!$A$9:$I$3045,MATCH(1,($A27='DS_Tong_12AS-AT-VH'!$A$9:$A$3045)*($P$4='DS_Tong_12AS-AT-VH'!$B$9:$B$3045),0),5),0)</f>
        <v>101436</v>
      </c>
      <c r="D27" s="316" t="str">
        <f t="array" ref="D27">IFERROR(INDEX('DS_Tong_12AS-AT-VH'!$A$9:$I$3045,MATCH(1,($A27='DS_Tong_12AS-AT-VH'!$A$9:$A$3045)*($P$4='DS_Tong_12AS-AT-VH'!$B$9:$B$3045),0),6),0)</f>
        <v>Lê Thảo</v>
      </c>
      <c r="E27" s="317" t="str">
        <f t="array" ref="E27">IFERROR(INDEX('DS_Tong_12AS-AT-VH'!$A$9:$I$3045,MATCH(1,($A27='DS_Tong_12AS-AT-VH'!$A$9:$A$3045)*($P$4='DS_Tong_12AS-AT-VH'!$B$9:$B$3045),0),7),0)</f>
        <v>Phương</v>
      </c>
      <c r="F27" s="119" t="str">
        <f t="array" ref="F27">IFERROR(INDEX('DS_Tong_12AS-AT-VH'!$A$9:$I$3045,MATCH(1,($A27='DS_Tong_12AS-AT-VH'!$A$9:$A$3045)*($P$4='DS_Tong_12AS-AT-VH'!$B$9:$B$3045),0),8),0)</f>
        <v>12AS10</v>
      </c>
      <c r="G27" s="120">
        <f t="array" ref="G27">IFERROR(INDEX('DS_Tong_12AS-AT-VH'!$A$9:$I$3045,MATCH(1,($A27='DS_Tong_12AS-AT-VH'!$A$9:$A$3045)*($P$4='DS_Tong_12AS-AT-VH'!$B$9:$B$3045),0),9),0)</f>
        <v>0</v>
      </c>
      <c r="H27" s="113"/>
      <c r="I27" s="113"/>
      <c r="J27" s="115"/>
      <c r="K27" s="115"/>
      <c r="L27" s="116"/>
      <c r="M27" s="116"/>
      <c r="N27" s="114"/>
      <c r="O27" s="113"/>
      <c r="P27" s="104">
        <f>IFERROR(VLOOKUP($C27,'DS_Tong_12AS-AT-VH'!$E$9:$S$3024,13,0),0)</f>
        <v>0</v>
      </c>
      <c r="R27" s="2">
        <v>21</v>
      </c>
      <c r="S27" s="309">
        <f t="shared" si="0"/>
        <v>56</v>
      </c>
      <c r="T27" s="312" t="str">
        <f>IFERROR(VLOOKUP($S27,TH_P.thi!$A$18:$P$165,3,0),0)</f>
        <v>9B</v>
      </c>
      <c r="U27" s="312" t="str">
        <f>IFERROR(VLOOKUP($S27,TH_P.thi!$A$18:$T$165,6,0),0)</f>
        <v>9B.S2</v>
      </c>
    </row>
    <row r="28" spans="1:21" ht="18" customHeight="1">
      <c r="A28" s="109">
        <v>20</v>
      </c>
      <c r="B28" s="332" t="str">
        <f t="array" ref="B28">IFERROR(INDEX('DS_Tong_12AS-AT-VH'!$A$9:$I$3045,MATCH(1,($A28='DS_Tong_12AS-AT-VH'!$A$9:$A$3045)*($P$4='DS_Tong_12AS-AT-VH'!$B$9:$B$3045),0),4),0)</f>
        <v>P.7B</v>
      </c>
      <c r="C28" s="118">
        <f t="array" ref="C28">IFERROR(INDEX('DS_Tong_12AS-AT-VH'!$A$9:$I$3045,MATCH(1,($A28='DS_Tong_12AS-AT-VH'!$A$9:$A$3045)*($P$4='DS_Tong_12AS-AT-VH'!$B$9:$B$3045),0),5),0)</f>
        <v>101437</v>
      </c>
      <c r="D28" s="316" t="str">
        <f t="array" ref="D28">IFERROR(INDEX('DS_Tong_12AS-AT-VH'!$A$9:$I$3045,MATCH(1,($A28='DS_Tong_12AS-AT-VH'!$A$9:$A$3045)*($P$4='DS_Tong_12AS-AT-VH'!$B$9:$B$3045),0),6),0)</f>
        <v>Nguyễn Thị Trúc</v>
      </c>
      <c r="E28" s="317" t="str">
        <f t="array" ref="E28">IFERROR(INDEX('DS_Tong_12AS-AT-VH'!$A$9:$I$3045,MATCH(1,($A28='DS_Tong_12AS-AT-VH'!$A$9:$A$3045)*($P$4='DS_Tong_12AS-AT-VH'!$B$9:$B$3045),0),7),0)</f>
        <v>Phương</v>
      </c>
      <c r="F28" s="119" t="str">
        <f t="array" ref="F28">IFERROR(INDEX('DS_Tong_12AS-AT-VH'!$A$9:$I$3045,MATCH(1,($A28='DS_Tong_12AS-AT-VH'!$A$9:$A$3045)*($P$4='DS_Tong_12AS-AT-VH'!$B$9:$B$3045),0),8),0)</f>
        <v>12AS9</v>
      </c>
      <c r="G28" s="120">
        <f t="array" ref="G28">IFERROR(INDEX('DS_Tong_12AS-AT-VH'!$A$9:$I$3045,MATCH(1,($A28='DS_Tong_12AS-AT-VH'!$A$9:$A$3045)*($P$4='DS_Tong_12AS-AT-VH'!$B$9:$B$3045),0),9),0)</f>
        <v>0</v>
      </c>
      <c r="H28" s="113"/>
      <c r="I28" s="113"/>
      <c r="J28" s="115"/>
      <c r="K28" s="115"/>
      <c r="L28" s="116"/>
      <c r="M28" s="116"/>
      <c r="N28" s="114"/>
      <c r="O28" s="113"/>
      <c r="P28" s="104">
        <f>IFERROR(VLOOKUP($C28,'DS_Tong_12AS-AT-VH'!$E$9:$S$3024,13,0),0)</f>
        <v>0</v>
      </c>
      <c r="R28" s="2">
        <v>22</v>
      </c>
      <c r="S28" s="309"/>
      <c r="T28" s="312">
        <f>IFERROR(VLOOKUP($S28,TH_P.thi!$A$18:$P$165,3,0),0)</f>
        <v>0</v>
      </c>
      <c r="U28" s="312">
        <f>IFERROR(VLOOKUP($S28,TH_P.thi!$A$18:$T$165,6,0),0)</f>
        <v>0</v>
      </c>
    </row>
    <row r="29" spans="1:21" ht="18" customHeight="1">
      <c r="A29" s="109">
        <v>21</v>
      </c>
      <c r="B29" s="332" t="str">
        <f t="array" ref="B29">IFERROR(INDEX('DS_Tong_12AS-AT-VH'!$A$9:$I$3045,MATCH(1,($A29='DS_Tong_12AS-AT-VH'!$A$9:$A$3045)*($P$4='DS_Tong_12AS-AT-VH'!$B$9:$B$3045),0),4),0)</f>
        <v>P.7B</v>
      </c>
      <c r="C29" s="118">
        <f t="array" ref="C29">IFERROR(INDEX('DS_Tong_12AS-AT-VH'!$A$9:$I$3045,MATCH(1,($A29='DS_Tong_12AS-AT-VH'!$A$9:$A$3045)*($P$4='DS_Tong_12AS-AT-VH'!$B$9:$B$3045),0),5),0)</f>
        <v>101438</v>
      </c>
      <c r="D29" s="316" t="str">
        <f t="array" ref="D29">IFERROR(INDEX('DS_Tong_12AS-AT-VH'!$A$9:$I$3045,MATCH(1,($A29='DS_Tong_12AS-AT-VH'!$A$9:$A$3045)*($P$4='DS_Tong_12AS-AT-VH'!$B$9:$B$3045),0),6),0)</f>
        <v>Phan Thị Kim</v>
      </c>
      <c r="E29" s="317" t="str">
        <f t="array" ref="E29">IFERROR(INDEX('DS_Tong_12AS-AT-VH'!$A$9:$I$3045,MATCH(1,($A29='DS_Tong_12AS-AT-VH'!$A$9:$A$3045)*($P$4='DS_Tong_12AS-AT-VH'!$B$9:$B$3045),0),7),0)</f>
        <v>Phương</v>
      </c>
      <c r="F29" s="119" t="str">
        <f t="array" ref="F29">IFERROR(INDEX('DS_Tong_12AS-AT-VH'!$A$9:$I$3045,MATCH(1,($A29='DS_Tong_12AS-AT-VH'!$A$9:$A$3045)*($P$4='DS_Tong_12AS-AT-VH'!$B$9:$B$3045),0),8),0)</f>
        <v>12AS11</v>
      </c>
      <c r="G29" s="120">
        <f t="array" ref="G29">IFERROR(INDEX('DS_Tong_12AS-AT-VH'!$A$9:$I$3045,MATCH(1,($A29='DS_Tong_12AS-AT-VH'!$A$9:$A$3045)*($P$4='DS_Tong_12AS-AT-VH'!$B$9:$B$3045),0),9),0)</f>
        <v>0</v>
      </c>
      <c r="H29" s="113"/>
      <c r="I29" s="113"/>
      <c r="J29" s="115"/>
      <c r="K29" s="115"/>
      <c r="L29" s="116"/>
      <c r="M29" s="116"/>
      <c r="N29" s="114"/>
      <c r="O29" s="113"/>
      <c r="P29" s="104">
        <f>IFERROR(VLOOKUP($C29,'DS_Tong_12AS-AT-VH'!$E$9:$S$3024,13,0),0)</f>
        <v>0</v>
      </c>
      <c r="R29" s="2">
        <v>23</v>
      </c>
      <c r="S29" s="309"/>
      <c r="T29" s="312">
        <f>IFERROR(VLOOKUP($S29,TH_P.thi!$A$18:$P$165,3,0),0)</f>
        <v>0</v>
      </c>
      <c r="U29" s="312">
        <f>IFERROR(VLOOKUP($S29,TH_P.thi!$A$18:$T$165,6,0),0)</f>
        <v>0</v>
      </c>
    </row>
    <row r="30" spans="1:21" ht="18" customHeight="1">
      <c r="A30" s="109">
        <v>22</v>
      </c>
      <c r="B30" s="332" t="str">
        <f t="array" ref="B30">IFERROR(INDEX('DS_Tong_12AS-AT-VH'!$A$9:$I$3045,MATCH(1,($A30='DS_Tong_12AS-AT-VH'!$A$9:$A$3045)*($P$4='DS_Tong_12AS-AT-VH'!$B$9:$B$3045),0),4),0)</f>
        <v>P.7B</v>
      </c>
      <c r="C30" s="118">
        <f t="array" ref="C30">IFERROR(INDEX('DS_Tong_12AS-AT-VH'!$A$9:$I$3045,MATCH(1,($A30='DS_Tong_12AS-AT-VH'!$A$9:$A$3045)*($P$4='DS_Tong_12AS-AT-VH'!$B$9:$B$3045),0),5),0)</f>
        <v>101439</v>
      </c>
      <c r="D30" s="316" t="str">
        <f t="array" ref="D30">IFERROR(INDEX('DS_Tong_12AS-AT-VH'!$A$9:$I$3045,MATCH(1,($A30='DS_Tong_12AS-AT-VH'!$A$9:$A$3045)*($P$4='DS_Tong_12AS-AT-VH'!$B$9:$B$3045),0),6),0)</f>
        <v>Vũ Hoàng Minh</v>
      </c>
      <c r="E30" s="317" t="str">
        <f t="array" ref="E30">IFERROR(INDEX('DS_Tong_12AS-AT-VH'!$A$9:$I$3045,MATCH(1,($A30='DS_Tong_12AS-AT-VH'!$A$9:$A$3045)*($P$4='DS_Tong_12AS-AT-VH'!$B$9:$B$3045),0),7),0)</f>
        <v>Phương</v>
      </c>
      <c r="F30" s="119" t="str">
        <f t="array" ref="F30">IFERROR(INDEX('DS_Tong_12AS-AT-VH'!$A$9:$I$3045,MATCH(1,($A30='DS_Tong_12AS-AT-VH'!$A$9:$A$3045)*($P$4='DS_Tong_12AS-AT-VH'!$B$9:$B$3045),0),8),0)</f>
        <v>12AS11</v>
      </c>
      <c r="G30" s="120">
        <f t="array" ref="G30">IFERROR(INDEX('DS_Tong_12AS-AT-VH'!$A$9:$I$3045,MATCH(1,($A30='DS_Tong_12AS-AT-VH'!$A$9:$A$3045)*($P$4='DS_Tong_12AS-AT-VH'!$B$9:$B$3045),0),9),0)</f>
        <v>0</v>
      </c>
      <c r="H30" s="113"/>
      <c r="I30" s="113"/>
      <c r="J30" s="115"/>
      <c r="K30" s="115"/>
      <c r="L30" s="116"/>
      <c r="M30" s="116"/>
      <c r="N30" s="114"/>
      <c r="O30" s="113"/>
      <c r="P30" s="104">
        <f>IFERROR(VLOOKUP($C30,'DS_Tong_12AS-AT-VH'!$E$9:$S$3024,13,0),0)</f>
        <v>0</v>
      </c>
      <c r="R30" s="2">
        <v>24</v>
      </c>
      <c r="S30" s="309"/>
      <c r="T30" s="312">
        <f>IFERROR(VLOOKUP($S30,TH_P.thi!$A$18:$P$165,3,0),0)</f>
        <v>0</v>
      </c>
      <c r="U30" s="312">
        <f>IFERROR(VLOOKUP($S30,TH_P.thi!$A$18:$T$165,6,0),0)</f>
        <v>0</v>
      </c>
    </row>
    <row r="31" spans="1:21" ht="18" customHeight="1">
      <c r="A31" s="109">
        <v>23</v>
      </c>
      <c r="B31" s="332" t="str">
        <f t="array" ref="B31">IFERROR(INDEX('DS_Tong_12AS-AT-VH'!$A$9:$I$3045,MATCH(1,($A31='DS_Tong_12AS-AT-VH'!$A$9:$A$3045)*($P$4='DS_Tong_12AS-AT-VH'!$B$9:$B$3045),0),4),0)</f>
        <v>P.7B</v>
      </c>
      <c r="C31" s="118">
        <f t="array" ref="C31">IFERROR(INDEX('DS_Tong_12AS-AT-VH'!$A$9:$I$3045,MATCH(1,($A31='DS_Tong_12AS-AT-VH'!$A$9:$A$3045)*($P$4='DS_Tong_12AS-AT-VH'!$B$9:$B$3045),0),5),0)</f>
        <v>101440</v>
      </c>
      <c r="D31" s="316" t="str">
        <f t="array" ref="D31">IFERROR(INDEX('DS_Tong_12AS-AT-VH'!$A$9:$I$3045,MATCH(1,($A31='DS_Tong_12AS-AT-VH'!$A$9:$A$3045)*($P$4='DS_Tong_12AS-AT-VH'!$B$9:$B$3045),0),6),0)</f>
        <v>Châu Ngọc</v>
      </c>
      <c r="E31" s="317" t="str">
        <f t="array" ref="E31">IFERROR(INDEX('DS_Tong_12AS-AT-VH'!$A$9:$I$3045,MATCH(1,($A31='DS_Tong_12AS-AT-VH'!$A$9:$A$3045)*($P$4='DS_Tong_12AS-AT-VH'!$B$9:$B$3045),0),7),0)</f>
        <v>Quý</v>
      </c>
      <c r="F31" s="119" t="str">
        <f t="array" ref="F31">IFERROR(INDEX('DS_Tong_12AS-AT-VH'!$A$9:$I$3045,MATCH(1,($A31='DS_Tong_12AS-AT-VH'!$A$9:$A$3045)*($P$4='DS_Tong_12AS-AT-VH'!$B$9:$B$3045),0),8),0)</f>
        <v>12AS10</v>
      </c>
      <c r="G31" s="120">
        <f t="array" ref="G31">IFERROR(INDEX('DS_Tong_12AS-AT-VH'!$A$9:$I$3045,MATCH(1,($A31='DS_Tong_12AS-AT-VH'!$A$9:$A$3045)*($P$4='DS_Tong_12AS-AT-VH'!$B$9:$B$3045),0),9),0)</f>
        <v>0</v>
      </c>
      <c r="H31" s="113"/>
      <c r="I31" s="113"/>
      <c r="J31" s="115"/>
      <c r="K31" s="115"/>
      <c r="L31" s="116"/>
      <c r="M31" s="116"/>
      <c r="N31" s="114"/>
      <c r="O31" s="113"/>
      <c r="P31" s="104">
        <f>IFERROR(VLOOKUP($C31,'DS_Tong_12AS-AT-VH'!$E$9:$S$3024,13,0),0)</f>
        <v>0</v>
      </c>
      <c r="R31" s="2">
        <v>25</v>
      </c>
      <c r="S31" s="309"/>
      <c r="T31" s="312">
        <f>IFERROR(VLOOKUP($S31,TH_P.thi!$A$18:$P$165,3,0),0)</f>
        <v>0</v>
      </c>
      <c r="U31" s="312">
        <f>IFERROR(VLOOKUP($S31,TH_P.thi!$A$18:$T$165,6,0),0)</f>
        <v>0</v>
      </c>
    </row>
    <row r="32" spans="1:21" ht="18" customHeight="1">
      <c r="A32" s="109">
        <v>24</v>
      </c>
      <c r="B32" s="332" t="str">
        <f t="array" ref="B32">IFERROR(INDEX('DS_Tong_12AS-AT-VH'!$A$9:$I$3045,MATCH(1,($A32='DS_Tong_12AS-AT-VH'!$A$9:$A$3045)*($P$4='DS_Tong_12AS-AT-VH'!$B$9:$B$3045),0),4),0)</f>
        <v>P.7B</v>
      </c>
      <c r="C32" s="118">
        <f t="array" ref="C32">IFERROR(INDEX('DS_Tong_12AS-AT-VH'!$A$9:$I$3045,MATCH(1,($A32='DS_Tong_12AS-AT-VH'!$A$9:$A$3045)*($P$4='DS_Tong_12AS-AT-VH'!$B$9:$B$3045),0),5),0)</f>
        <v>101441</v>
      </c>
      <c r="D32" s="316" t="str">
        <f t="array" ref="D32">IFERROR(INDEX('DS_Tong_12AS-AT-VH'!$A$9:$I$3045,MATCH(1,($A32='DS_Tong_12AS-AT-VH'!$A$9:$A$3045)*($P$4='DS_Tong_12AS-AT-VH'!$B$9:$B$3045),0),6),0)</f>
        <v>Nguyễn Mai Gia Phú</v>
      </c>
      <c r="E32" s="317" t="str">
        <f t="array" ref="E32">IFERROR(INDEX('DS_Tong_12AS-AT-VH'!$A$9:$I$3045,MATCH(1,($A32='DS_Tong_12AS-AT-VH'!$A$9:$A$3045)*($P$4='DS_Tong_12AS-AT-VH'!$B$9:$B$3045),0),7),0)</f>
        <v>Quý</v>
      </c>
      <c r="F32" s="119" t="str">
        <f t="array" ref="F32">IFERROR(INDEX('DS_Tong_12AS-AT-VH'!$A$9:$I$3045,MATCH(1,($A32='DS_Tong_12AS-AT-VH'!$A$9:$A$3045)*($P$4='DS_Tong_12AS-AT-VH'!$B$9:$B$3045),0),8),0)</f>
        <v>12AS12</v>
      </c>
      <c r="G32" s="120">
        <f t="array" ref="G32">IFERROR(INDEX('DS_Tong_12AS-AT-VH'!$A$9:$I$3045,MATCH(1,($A32='DS_Tong_12AS-AT-VH'!$A$9:$A$3045)*($P$4='DS_Tong_12AS-AT-VH'!$B$9:$B$3045),0),9),0)</f>
        <v>0</v>
      </c>
      <c r="H32" s="113"/>
      <c r="I32" s="113"/>
      <c r="J32" s="115"/>
      <c r="K32" s="115"/>
      <c r="L32" s="116"/>
      <c r="M32" s="116"/>
      <c r="N32" s="114"/>
      <c r="O32" s="113"/>
      <c r="P32" s="104">
        <f>IFERROR(VLOOKUP($C32,'DS_Tong_12AS-AT-VH'!$E$9:$S$3024,13,0),0)</f>
        <v>0</v>
      </c>
      <c r="R32" s="2">
        <v>26</v>
      </c>
      <c r="S32" s="309"/>
      <c r="T32" s="312">
        <f>IFERROR(VLOOKUP($S32,TH_P.thi!$A$18:$P$165,3,0),0)</f>
        <v>0</v>
      </c>
      <c r="U32" s="312">
        <f>IFERROR(VLOOKUP($S32,TH_P.thi!$A$18:$T$165,6,0),0)</f>
        <v>0</v>
      </c>
    </row>
    <row r="33" spans="1:21" ht="18" customHeight="1">
      <c r="A33" s="109">
        <v>25</v>
      </c>
      <c r="B33" s="332" t="str">
        <f t="array" ref="B33">IFERROR(INDEX('DS_Tong_12AS-AT-VH'!$A$9:$I$3045,MATCH(1,($A33='DS_Tong_12AS-AT-VH'!$A$9:$A$3045)*($P$4='DS_Tong_12AS-AT-VH'!$B$9:$B$3045),0),4),0)</f>
        <v>P.7B</v>
      </c>
      <c r="C33" s="118">
        <f t="array" ref="C33">IFERROR(INDEX('DS_Tong_12AS-AT-VH'!$A$9:$I$3045,MATCH(1,($A33='DS_Tong_12AS-AT-VH'!$A$9:$A$3045)*($P$4='DS_Tong_12AS-AT-VH'!$B$9:$B$3045),0),5),0)</f>
        <v>101442</v>
      </c>
      <c r="D33" s="316" t="str">
        <f t="array" ref="D33">IFERROR(INDEX('DS_Tong_12AS-AT-VH'!$A$9:$I$3045,MATCH(1,($A33='DS_Tong_12AS-AT-VH'!$A$9:$A$3045)*($P$4='DS_Tong_12AS-AT-VH'!$B$9:$B$3045),0),6),0)</f>
        <v>Nguyễn Như</v>
      </c>
      <c r="E33" s="317" t="str">
        <f t="array" ref="E33">IFERROR(INDEX('DS_Tong_12AS-AT-VH'!$A$9:$I$3045,MATCH(1,($A33='DS_Tong_12AS-AT-VH'!$A$9:$A$3045)*($P$4='DS_Tong_12AS-AT-VH'!$B$9:$B$3045),0),7),0)</f>
        <v>Quỳnh</v>
      </c>
      <c r="F33" s="119" t="str">
        <f t="array" ref="F33">IFERROR(INDEX('DS_Tong_12AS-AT-VH'!$A$9:$I$3045,MATCH(1,($A33='DS_Tong_12AS-AT-VH'!$A$9:$A$3045)*($P$4='DS_Tong_12AS-AT-VH'!$B$9:$B$3045),0),8),0)</f>
        <v>12AS11</v>
      </c>
      <c r="G33" s="120">
        <f t="array" ref="G33">IFERROR(INDEX('DS_Tong_12AS-AT-VH'!$A$9:$I$3045,MATCH(1,($A33='DS_Tong_12AS-AT-VH'!$A$9:$A$3045)*($P$4='DS_Tong_12AS-AT-VH'!$B$9:$B$3045),0),9),0)</f>
        <v>0</v>
      </c>
      <c r="H33" s="113"/>
      <c r="I33" s="113"/>
      <c r="J33" s="115"/>
      <c r="K33" s="115"/>
      <c r="L33" s="116"/>
      <c r="M33" s="116"/>
      <c r="N33" s="114"/>
      <c r="O33" s="113"/>
      <c r="P33" s="104">
        <f>IFERROR(VLOOKUP($C33,'DS_Tong_12AS-AT-VH'!$E$9:$S$3024,13,0),0)</f>
        <v>0</v>
      </c>
      <c r="R33" s="2">
        <v>27</v>
      </c>
      <c r="S33" s="309"/>
      <c r="T33" s="312">
        <f>IFERROR(VLOOKUP($S33,TH_P.thi!$A$18:$P$165,3,0),0)</f>
        <v>0</v>
      </c>
      <c r="U33" s="312">
        <f>IFERROR(VLOOKUP($S33,TH_P.thi!$A$18:$T$165,6,0),0)</f>
        <v>0</v>
      </c>
    </row>
    <row r="34" spans="1:21" ht="18" customHeight="1">
      <c r="A34" s="109">
        <v>26</v>
      </c>
      <c r="B34" s="332" t="str">
        <f t="array" ref="B34">IFERROR(INDEX('DS_Tong_12AS-AT-VH'!$A$9:$I$3045,MATCH(1,($A34='DS_Tong_12AS-AT-VH'!$A$9:$A$3045)*($P$4='DS_Tong_12AS-AT-VH'!$B$9:$B$3045),0),4),0)</f>
        <v>P.7B</v>
      </c>
      <c r="C34" s="118">
        <f t="array" ref="C34">IFERROR(INDEX('DS_Tong_12AS-AT-VH'!$A$9:$I$3045,MATCH(1,($A34='DS_Tong_12AS-AT-VH'!$A$9:$A$3045)*($P$4='DS_Tong_12AS-AT-VH'!$B$9:$B$3045),0),5),0)</f>
        <v>101443</v>
      </c>
      <c r="D34" s="316" t="str">
        <f t="array" ref="D34">IFERROR(INDEX('DS_Tong_12AS-AT-VH'!$A$9:$I$3045,MATCH(1,($A34='DS_Tong_12AS-AT-VH'!$A$9:$A$3045)*($P$4='DS_Tong_12AS-AT-VH'!$B$9:$B$3045),0),6),0)</f>
        <v>Nguyễn Huỳnh Kim</v>
      </c>
      <c r="E34" s="317" t="str">
        <f t="array" ref="E34">IFERROR(INDEX('DS_Tong_12AS-AT-VH'!$A$9:$I$3045,MATCH(1,($A34='DS_Tong_12AS-AT-VH'!$A$9:$A$3045)*($P$4='DS_Tong_12AS-AT-VH'!$B$9:$B$3045),0),7),0)</f>
        <v>Ngân</v>
      </c>
      <c r="F34" s="119" t="str">
        <f t="array" ref="F34">IFERROR(INDEX('DS_Tong_12AS-AT-VH'!$A$9:$I$3045,MATCH(1,($A34='DS_Tong_12AS-AT-VH'!$A$9:$A$3045)*($P$4='DS_Tong_12AS-AT-VH'!$B$9:$B$3045),0),8),0)</f>
        <v>12AS9</v>
      </c>
      <c r="G34" s="120" t="str">
        <f t="array" ref="G34">IFERROR(INDEX('DS_Tong_12AS-AT-VH'!$A$9:$I$3045,MATCH(1,($A34='DS_Tong_12AS-AT-VH'!$A$9:$A$3045)*($P$4='DS_Tong_12AS-AT-VH'!$B$9:$B$3045),0),9),0)</f>
        <v>HN</v>
      </c>
      <c r="H34" s="113"/>
      <c r="I34" s="113"/>
      <c r="J34" s="115"/>
      <c r="K34" s="115"/>
      <c r="L34" s="116"/>
      <c r="M34" s="116"/>
      <c r="N34" s="114"/>
      <c r="O34" s="113"/>
      <c r="P34" s="104">
        <f>IFERROR(VLOOKUP($C34,'DS_Tong_12AS-AT-VH'!$E$9:$S$3024,13,0),0)</f>
        <v>0</v>
      </c>
      <c r="R34" s="2">
        <v>28</v>
      </c>
      <c r="S34" s="309"/>
      <c r="T34" s="312">
        <f>IFERROR(VLOOKUP($S34,TH_P.thi!$A$18:$P$165,3,0),0)</f>
        <v>0</v>
      </c>
      <c r="U34" s="312">
        <f>IFERROR(VLOOKUP($S34,TH_P.thi!$A$18:$T$165,6,0),0)</f>
        <v>0</v>
      </c>
    </row>
    <row r="35" spans="1:21" ht="18" customHeight="1">
      <c r="A35" s="109">
        <v>27</v>
      </c>
      <c r="B35" s="332" t="str">
        <f t="array" ref="B35">IFERROR(INDEX('DS_Tong_12AS-AT-VH'!$A$9:$I$3045,MATCH(1,($A35='DS_Tong_12AS-AT-VH'!$A$9:$A$3045)*($P$4='DS_Tong_12AS-AT-VH'!$B$9:$B$3045),0),4),0)</f>
        <v>P.7B</v>
      </c>
      <c r="C35" s="118">
        <f t="array" ref="C35">IFERROR(INDEX('DS_Tong_12AS-AT-VH'!$A$9:$I$3045,MATCH(1,($A35='DS_Tong_12AS-AT-VH'!$A$9:$A$3045)*($P$4='DS_Tong_12AS-AT-VH'!$B$9:$B$3045),0),5),0)</f>
        <v>101444</v>
      </c>
      <c r="D35" s="316" t="str">
        <f t="array" ref="D35">IFERROR(INDEX('DS_Tong_12AS-AT-VH'!$A$9:$I$3045,MATCH(1,($A35='DS_Tong_12AS-AT-VH'!$A$9:$A$3045)*($P$4='DS_Tong_12AS-AT-VH'!$B$9:$B$3045),0),6),0)</f>
        <v>Nguyễn Thị Yến</v>
      </c>
      <c r="E35" s="317" t="str">
        <f t="array" ref="E35">IFERROR(INDEX('DS_Tong_12AS-AT-VH'!$A$9:$I$3045,MATCH(1,($A35='DS_Tong_12AS-AT-VH'!$A$9:$A$3045)*($P$4='DS_Tong_12AS-AT-VH'!$B$9:$B$3045),0),7),0)</f>
        <v>Nhi</v>
      </c>
      <c r="F35" s="119" t="str">
        <f t="array" ref="F35">IFERROR(INDEX('DS_Tong_12AS-AT-VH'!$A$9:$I$3045,MATCH(1,($A35='DS_Tong_12AS-AT-VH'!$A$9:$A$3045)*($P$4='DS_Tong_12AS-AT-VH'!$B$9:$B$3045),0),8),0)</f>
        <v>12AS11</v>
      </c>
      <c r="G35" s="120" t="str">
        <f t="array" ref="G35">IFERROR(INDEX('DS_Tong_12AS-AT-VH'!$A$9:$I$3045,MATCH(1,($A35='DS_Tong_12AS-AT-VH'!$A$9:$A$3045)*($P$4='DS_Tong_12AS-AT-VH'!$B$9:$B$3045),0),9),0)</f>
        <v>HN</v>
      </c>
      <c r="H35" s="113"/>
      <c r="I35" s="113"/>
      <c r="J35" s="115"/>
      <c r="K35" s="115"/>
      <c r="L35" s="116"/>
      <c r="M35" s="116"/>
      <c r="N35" s="114"/>
      <c r="O35" s="113"/>
      <c r="P35" s="104">
        <f>IFERROR(VLOOKUP($C35,'DS_Tong_12AS-AT-VH'!$E$9:$S$3024,13,0),0)</f>
        <v>0</v>
      </c>
      <c r="R35" s="2">
        <v>29</v>
      </c>
      <c r="S35" s="309"/>
      <c r="T35" s="312">
        <f>IFERROR(VLOOKUP($S35,TH_P.thi!$A$18:$P$165,3,0),0)</f>
        <v>0</v>
      </c>
      <c r="U35" s="312">
        <f>IFERROR(VLOOKUP($S35,TH_P.thi!$A$18:$T$165,6,0),0)</f>
        <v>0</v>
      </c>
    </row>
    <row r="36" spans="1:21" ht="18" customHeight="1">
      <c r="A36" s="109">
        <v>28</v>
      </c>
      <c r="B36" s="332">
        <f t="array" ref="B36">IFERROR(INDEX('DS_Tong_12AS-AT-VH'!$A$9:$I$3045,MATCH(1,($A36='DS_Tong_12AS-AT-VH'!$A$9:$A$3045)*($P$4='DS_Tong_12AS-AT-VH'!$B$9:$B$3045),0),4),0)</f>
        <v>0</v>
      </c>
      <c r="C36" s="118">
        <f t="array" ref="C36">IFERROR(INDEX('DS_Tong_12AS-AT-VH'!$A$9:$I$3045,MATCH(1,($A36='DS_Tong_12AS-AT-VH'!$A$9:$A$3045)*($P$4='DS_Tong_12AS-AT-VH'!$B$9:$B$3045),0),5),0)</f>
        <v>0</v>
      </c>
      <c r="D36" s="316">
        <f t="array" ref="D36">IFERROR(INDEX('DS_Tong_12AS-AT-VH'!$A$9:$I$3045,MATCH(1,($A36='DS_Tong_12AS-AT-VH'!$A$9:$A$3045)*($P$4='DS_Tong_12AS-AT-VH'!$B$9:$B$3045),0),6),0)</f>
        <v>0</v>
      </c>
      <c r="E36" s="317">
        <f t="array" ref="E36">IFERROR(INDEX('DS_Tong_12AS-AT-VH'!$A$9:$I$3045,MATCH(1,($A36='DS_Tong_12AS-AT-VH'!$A$9:$A$3045)*($P$4='DS_Tong_12AS-AT-VH'!$B$9:$B$3045),0),7),0)</f>
        <v>0</v>
      </c>
      <c r="F36" s="119">
        <f t="array" ref="F36">IFERROR(INDEX('DS_Tong_12AS-AT-VH'!$A$9:$I$3045,MATCH(1,($A36='DS_Tong_12AS-AT-VH'!$A$9:$A$3045)*($P$4='DS_Tong_12AS-AT-VH'!$B$9:$B$3045),0),8),0)</f>
        <v>0</v>
      </c>
      <c r="G36" s="120">
        <f t="array" ref="G36">IFERROR(INDEX('DS_Tong_12AS-AT-VH'!$A$9:$I$3045,MATCH(1,($A36='DS_Tong_12AS-AT-VH'!$A$9:$A$3045)*($P$4='DS_Tong_12AS-AT-VH'!$B$9:$B$3045),0),9),0)</f>
        <v>0</v>
      </c>
      <c r="H36" s="113"/>
      <c r="I36" s="113"/>
      <c r="J36" s="115"/>
      <c r="K36" s="115"/>
      <c r="L36" s="116"/>
      <c r="M36" s="116"/>
      <c r="N36" s="114"/>
      <c r="O36" s="113"/>
      <c r="P36" s="104">
        <f>IFERROR(VLOOKUP($C36,'DS_Tong_12AS-AT-VH'!$E$9:$S$3024,13,0),0)</f>
        <v>0</v>
      </c>
      <c r="R36" s="2">
        <v>30</v>
      </c>
      <c r="S36" s="309"/>
      <c r="T36" s="312">
        <f>IFERROR(VLOOKUP($S36,TH_P.thi!$A$18:$P$165,3,0),0)</f>
        <v>0</v>
      </c>
      <c r="U36" s="312">
        <f>IFERROR(VLOOKUP($S36,TH_P.thi!$A$18:$T$165,6,0),0)</f>
        <v>0</v>
      </c>
    </row>
    <row r="37" spans="1:21" ht="18" customHeight="1">
      <c r="A37" s="109">
        <v>29</v>
      </c>
      <c r="B37" s="332">
        <f t="array" ref="B37">IFERROR(INDEX('DS_Tong_12AS-AT-VH'!$A$9:$I$3045,MATCH(1,($A37='DS_Tong_12AS-AT-VH'!$A$9:$A$3045)*($P$4='DS_Tong_12AS-AT-VH'!$B$9:$B$3045),0),4),0)</f>
        <v>0</v>
      </c>
      <c r="C37" s="118">
        <f t="array" ref="C37">IFERROR(INDEX('DS_Tong_12AS-AT-VH'!$A$9:$I$3045,MATCH(1,($A37='DS_Tong_12AS-AT-VH'!$A$9:$A$3045)*($P$4='DS_Tong_12AS-AT-VH'!$B$9:$B$3045),0),5),0)</f>
        <v>0</v>
      </c>
      <c r="D37" s="316">
        <f t="array" ref="D37">IFERROR(INDEX('DS_Tong_12AS-AT-VH'!$A$9:$I$3045,MATCH(1,($A37='DS_Tong_12AS-AT-VH'!$A$9:$A$3045)*($P$4='DS_Tong_12AS-AT-VH'!$B$9:$B$3045),0),6),0)</f>
        <v>0</v>
      </c>
      <c r="E37" s="317">
        <f t="array" ref="E37">IFERROR(INDEX('DS_Tong_12AS-AT-VH'!$A$9:$I$3045,MATCH(1,($A37='DS_Tong_12AS-AT-VH'!$A$9:$A$3045)*($P$4='DS_Tong_12AS-AT-VH'!$B$9:$B$3045),0),7),0)</f>
        <v>0</v>
      </c>
      <c r="F37" s="119">
        <f t="array" ref="F37">IFERROR(INDEX('DS_Tong_12AS-AT-VH'!$A$9:$I$3045,MATCH(1,($A37='DS_Tong_12AS-AT-VH'!$A$9:$A$3045)*($P$4='DS_Tong_12AS-AT-VH'!$B$9:$B$3045),0),8),0)</f>
        <v>0</v>
      </c>
      <c r="G37" s="120">
        <f t="array" ref="G37">IFERROR(INDEX('DS_Tong_12AS-AT-VH'!$A$9:$I$3045,MATCH(1,($A37='DS_Tong_12AS-AT-VH'!$A$9:$A$3045)*($P$4='DS_Tong_12AS-AT-VH'!$B$9:$B$3045),0),9),0)</f>
        <v>0</v>
      </c>
      <c r="H37" s="113"/>
      <c r="I37" s="113"/>
      <c r="J37" s="115"/>
      <c r="K37" s="115"/>
      <c r="L37" s="116"/>
      <c r="M37" s="116"/>
      <c r="N37" s="114"/>
      <c r="O37" s="113"/>
      <c r="P37" s="104">
        <f>IFERROR(VLOOKUP($C37,'DS_Tong_12AS-AT-VH'!$E$9:$S$3024,13,0),0)</f>
        <v>0</v>
      </c>
      <c r="R37" s="2">
        <v>31</v>
      </c>
      <c r="S37" s="309"/>
      <c r="T37" s="312">
        <f>IFERROR(VLOOKUP($S37,TH_P.thi!$A$18:$P$165,3,0),0)</f>
        <v>0</v>
      </c>
      <c r="U37" s="312">
        <f>IFERROR(VLOOKUP($S37,TH_P.thi!$A$18:$T$165,6,0),0)</f>
        <v>0</v>
      </c>
    </row>
    <row r="38" spans="1:21" ht="18" customHeight="1">
      <c r="A38" s="109">
        <v>30</v>
      </c>
      <c r="B38" s="332">
        <f t="array" ref="B38">IFERROR(INDEX('DS_Tong_12AS-AT-VH'!$A$9:$I$3045,MATCH(1,($A38='DS_Tong_12AS-AT-VH'!$A$9:$A$3045)*($P$4='DS_Tong_12AS-AT-VH'!$B$9:$B$3045),0),4),0)</f>
        <v>0</v>
      </c>
      <c r="C38" s="118">
        <f t="array" ref="C38">IFERROR(INDEX('DS_Tong_12AS-AT-VH'!$A$9:$I$3045,MATCH(1,($A38='DS_Tong_12AS-AT-VH'!$A$9:$A$3045)*($P$4='DS_Tong_12AS-AT-VH'!$B$9:$B$3045),0),5),0)</f>
        <v>0</v>
      </c>
      <c r="D38" s="316">
        <f t="array" ref="D38">IFERROR(INDEX('DS_Tong_12AS-AT-VH'!$A$9:$I$3045,MATCH(1,($A38='DS_Tong_12AS-AT-VH'!$A$9:$A$3045)*($P$4='DS_Tong_12AS-AT-VH'!$B$9:$B$3045),0),6),0)</f>
        <v>0</v>
      </c>
      <c r="E38" s="317">
        <f t="array" ref="E38">IFERROR(INDEX('DS_Tong_12AS-AT-VH'!$A$9:$I$3045,MATCH(1,($A38='DS_Tong_12AS-AT-VH'!$A$9:$A$3045)*($P$4='DS_Tong_12AS-AT-VH'!$B$9:$B$3045),0),7),0)</f>
        <v>0</v>
      </c>
      <c r="F38" s="119">
        <f t="array" ref="F38">IFERROR(INDEX('DS_Tong_12AS-AT-VH'!$A$9:$I$3045,MATCH(1,($A38='DS_Tong_12AS-AT-VH'!$A$9:$A$3045)*($P$4='DS_Tong_12AS-AT-VH'!$B$9:$B$3045),0),8),0)</f>
        <v>0</v>
      </c>
      <c r="G38" s="120">
        <f t="array" ref="G38">IFERROR(INDEX('DS_Tong_12AS-AT-VH'!$A$9:$I$3045,MATCH(1,($A38='DS_Tong_12AS-AT-VH'!$A$9:$A$3045)*($P$4='DS_Tong_12AS-AT-VH'!$B$9:$B$3045),0),9),0)</f>
        <v>0</v>
      </c>
      <c r="H38" s="113"/>
      <c r="I38" s="113"/>
      <c r="J38" s="115"/>
      <c r="K38" s="115"/>
      <c r="L38" s="116"/>
      <c r="M38" s="116"/>
      <c r="N38" s="114"/>
      <c r="O38" s="113"/>
      <c r="P38" s="104"/>
      <c r="R38" s="2">
        <v>32</v>
      </c>
      <c r="S38" s="309"/>
      <c r="T38" s="312">
        <f>IFERROR(VLOOKUP($S38,TH_P.thi!$A$18:$P$165,3,0),0)</f>
        <v>0</v>
      </c>
      <c r="U38" s="312">
        <f>IFERROR(VLOOKUP($S38,TH_P.thi!$A$18:$T$165,6,0),0)</f>
        <v>0</v>
      </c>
    </row>
    <row r="39" spans="1:21" ht="18" customHeight="1">
      <c r="A39" s="109">
        <v>31</v>
      </c>
      <c r="B39" s="332">
        <f t="array" ref="B39">IFERROR(INDEX('DS_Tong_12AS-AT-VH'!$A$9:$I$3045,MATCH(1,($A39='DS_Tong_12AS-AT-VH'!$A$9:$A$3045)*($P$4='DS_Tong_12AS-AT-VH'!$B$9:$B$3045),0),4),0)</f>
        <v>0</v>
      </c>
      <c r="C39" s="118">
        <f t="array" ref="C39">IFERROR(INDEX('DS_Tong_12AS-AT-VH'!$A$9:$I$3045,MATCH(1,($A39='DS_Tong_12AS-AT-VH'!$A$9:$A$3045)*($P$4='DS_Tong_12AS-AT-VH'!$B$9:$B$3045),0),5),0)</f>
        <v>0</v>
      </c>
      <c r="D39" s="316">
        <f t="array" ref="D39">IFERROR(INDEX('DS_Tong_12AS-AT-VH'!$A$9:$I$3045,MATCH(1,($A39='DS_Tong_12AS-AT-VH'!$A$9:$A$3045)*($P$4='DS_Tong_12AS-AT-VH'!$B$9:$B$3045),0),6),0)</f>
        <v>0</v>
      </c>
      <c r="E39" s="317">
        <f t="array" ref="E39">IFERROR(INDEX('DS_Tong_12AS-AT-VH'!$A$9:$I$3045,MATCH(1,($A39='DS_Tong_12AS-AT-VH'!$A$9:$A$3045)*($P$4='DS_Tong_12AS-AT-VH'!$B$9:$B$3045),0),7),0)</f>
        <v>0</v>
      </c>
      <c r="F39" s="119">
        <f t="array" ref="F39">IFERROR(INDEX('DS_Tong_12AS-AT-VH'!$A$9:$I$3045,MATCH(1,($A39='DS_Tong_12AS-AT-VH'!$A$9:$A$3045)*($P$4='DS_Tong_12AS-AT-VH'!$B$9:$B$3045),0),8),0)</f>
        <v>0</v>
      </c>
      <c r="G39" s="120">
        <f t="array" ref="G39">IFERROR(INDEX('DS_Tong_12AS-AT-VH'!$A$9:$I$3045,MATCH(1,($A39='DS_Tong_12AS-AT-VH'!$A$9:$A$3045)*($P$4='DS_Tong_12AS-AT-VH'!$B$9:$B$3045),0),9),0)</f>
        <v>0</v>
      </c>
      <c r="H39" s="113"/>
      <c r="I39" s="113"/>
      <c r="J39" s="115"/>
      <c r="K39" s="115"/>
      <c r="L39" s="116"/>
      <c r="M39" s="116"/>
      <c r="N39" s="114"/>
      <c r="O39" s="113"/>
      <c r="P39" s="104"/>
      <c r="R39" s="2">
        <v>33</v>
      </c>
      <c r="S39" s="309"/>
      <c r="T39" s="312"/>
      <c r="U39" s="312"/>
    </row>
    <row r="40" spans="1:21" ht="18" customHeight="1">
      <c r="A40" s="109">
        <v>32</v>
      </c>
      <c r="B40" s="332">
        <f t="array" ref="B40">IFERROR(INDEX('DS_Tong_12AS-AT-VH'!$A$9:$I$3045,MATCH(1,($A40='DS_Tong_12AS-AT-VH'!$A$9:$A$3045)*($P$4='DS_Tong_12AS-AT-VH'!$B$9:$B$3045),0),4),0)</f>
        <v>0</v>
      </c>
      <c r="C40" s="118">
        <f t="array" ref="C40">IFERROR(INDEX('DS_Tong_12AS-AT-VH'!$A$9:$I$3045,MATCH(1,($A40='DS_Tong_12AS-AT-VH'!$A$9:$A$3045)*($P$4='DS_Tong_12AS-AT-VH'!$B$9:$B$3045),0),5),0)</f>
        <v>0</v>
      </c>
      <c r="D40" s="316">
        <f t="array" ref="D40">IFERROR(INDEX('DS_Tong_12AS-AT-VH'!$A$9:$I$3045,MATCH(1,($A40='DS_Tong_12AS-AT-VH'!$A$9:$A$3045)*($P$4='DS_Tong_12AS-AT-VH'!$B$9:$B$3045),0),6),0)</f>
        <v>0</v>
      </c>
      <c r="E40" s="317">
        <f t="array" ref="E40">IFERROR(INDEX('DS_Tong_12AS-AT-VH'!$A$9:$I$3045,MATCH(1,($A40='DS_Tong_12AS-AT-VH'!$A$9:$A$3045)*($P$4='DS_Tong_12AS-AT-VH'!$B$9:$B$3045),0),7),0)</f>
        <v>0</v>
      </c>
      <c r="F40" s="119">
        <f t="array" ref="F40">IFERROR(INDEX('DS_Tong_12AS-AT-VH'!$A$9:$I$3045,MATCH(1,($A40='DS_Tong_12AS-AT-VH'!$A$9:$A$3045)*($P$4='DS_Tong_12AS-AT-VH'!$B$9:$B$3045),0),8),0)</f>
        <v>0</v>
      </c>
      <c r="G40" s="120">
        <f t="array" ref="G40">IFERROR(INDEX('DS_Tong_12AS-AT-VH'!$A$9:$I$3045,MATCH(1,($A40='DS_Tong_12AS-AT-VH'!$A$9:$A$3045)*($P$4='DS_Tong_12AS-AT-VH'!$B$9:$B$3045),0),9),0)</f>
        <v>0</v>
      </c>
      <c r="H40" s="113"/>
      <c r="I40" s="113"/>
      <c r="J40" s="115"/>
      <c r="K40" s="115"/>
      <c r="L40" s="116"/>
      <c r="M40" s="116"/>
      <c r="N40" s="114"/>
      <c r="O40" s="113"/>
      <c r="P40" s="104">
        <f>IFERROR(VLOOKUP($C40,'DS_Tong_12AS-AT-VH'!$E$9:$S$3024,13,0),0)</f>
        <v>0</v>
      </c>
      <c r="R40" s="2">
        <v>34</v>
      </c>
      <c r="S40" s="309"/>
      <c r="T40" s="312">
        <f>IFERROR(VLOOKUP($S40,TH_P.thi!$A$18:$P$165,3,0),0)</f>
        <v>0</v>
      </c>
      <c r="U40" s="312">
        <f>IFERROR(VLOOKUP($S40,TH_P.thi!$A$18:$T$165,6,0),0)</f>
        <v>0</v>
      </c>
    </row>
    <row r="41" spans="1:21" ht="20.100000000000001" customHeight="1">
      <c r="A41" s="334" t="s">
        <v>417</v>
      </c>
      <c r="B41" s="335"/>
      <c r="C41" s="335"/>
      <c r="D41" s="335"/>
      <c r="E41" s="335"/>
      <c r="F41" s="335"/>
      <c r="G41" s="336"/>
      <c r="H41" s="17"/>
      <c r="I41" s="17"/>
      <c r="J41" s="17"/>
      <c r="K41" s="17"/>
      <c r="L41" s="17"/>
      <c r="M41" s="17"/>
      <c r="N41" s="17"/>
      <c r="O41" s="17"/>
      <c r="P41" s="104">
        <f>IFERROR(VLOOKUP($C41,'DS_Tong_12AS-AT-VH'!$E$9:$S$3024,13,0),0)</f>
        <v>0</v>
      </c>
    </row>
    <row r="42" spans="1:21" ht="21.95" customHeight="1">
      <c r="A42" s="339" t="s">
        <v>125</v>
      </c>
      <c r="B42" s="340"/>
      <c r="C42" s="340"/>
      <c r="D42" s="340"/>
      <c r="E42" s="340"/>
      <c r="F42" s="340"/>
      <c r="G42" s="341"/>
      <c r="H42" s="344" t="s">
        <v>126</v>
      </c>
      <c r="I42" s="344"/>
      <c r="J42" s="344" t="s">
        <v>126</v>
      </c>
      <c r="K42" s="344"/>
      <c r="L42" s="344" t="s">
        <v>126</v>
      </c>
      <c r="M42" s="344"/>
      <c r="N42" s="344" t="s">
        <v>126</v>
      </c>
      <c r="O42" s="344"/>
      <c r="P42" s="105"/>
    </row>
  </sheetData>
  <autoFilter ref="A8:W42"/>
  <mergeCells count="27">
    <mergeCell ref="E6:E8"/>
    <mergeCell ref="G6:G8"/>
    <mergeCell ref="A1:E1"/>
    <mergeCell ref="J1:O1"/>
    <mergeCell ref="A2:E2"/>
    <mergeCell ref="J2:O2"/>
    <mergeCell ref="L7:M7"/>
    <mergeCell ref="P6:P8"/>
    <mergeCell ref="N7:O7"/>
    <mergeCell ref="B6:B8"/>
    <mergeCell ref="I4:K4"/>
    <mergeCell ref="M4:N4"/>
    <mergeCell ref="L42:M42"/>
    <mergeCell ref="N42:O42"/>
    <mergeCell ref="H6:O6"/>
    <mergeCell ref="H7:I7"/>
    <mergeCell ref="J7:K7"/>
    <mergeCell ref="A41:G41"/>
    <mergeCell ref="A4:G4"/>
    <mergeCell ref="A3:O3"/>
    <mergeCell ref="A42:G42"/>
    <mergeCell ref="A6:A8"/>
    <mergeCell ref="C6:C8"/>
    <mergeCell ref="F6:F8"/>
    <mergeCell ref="H42:I42"/>
    <mergeCell ref="J42:K42"/>
    <mergeCell ref="D6:D8"/>
  </mergeCells>
  <phoneticPr fontId="20" type="noConversion"/>
  <conditionalFormatting sqref="G43:G65536">
    <cfRule type="expression" dxfId="50" priority="580" stopIfTrue="1">
      <formula>$F51="Khuyết tật"</formula>
    </cfRule>
  </conditionalFormatting>
  <conditionalFormatting sqref="A43:B65536 D43:IV65536">
    <cfRule type="expression" priority="578" stopIfTrue="1">
      <formula>$P51="NgiH"</formula>
    </cfRule>
  </conditionalFormatting>
  <conditionalFormatting sqref="C43:C65536">
    <cfRule type="expression" priority="1330" stopIfTrue="1">
      <formula>$P50="NgiH"</formula>
    </cfRule>
  </conditionalFormatting>
  <conditionalFormatting sqref="Q6:Q8 A4:A5 P4:IV5 P3 S3:IV3 V6:IV8">
    <cfRule type="expression" priority="250" stopIfTrue="1">
      <formula>#REF!="NgiH"</formula>
    </cfRule>
  </conditionalFormatting>
  <conditionalFormatting sqref="A9:P41">
    <cfRule type="expression" dxfId="49" priority="21" stopIfTrue="1">
      <formula>$P9="NgiH"</formula>
    </cfRule>
  </conditionalFormatting>
  <conditionalFormatting sqref="B6:B8">
    <cfRule type="expression" dxfId="48" priority="25" stopIfTrue="1">
      <formula>$G9="HN"</formula>
    </cfRule>
  </conditionalFormatting>
  <conditionalFormatting sqref="G1:G2">
    <cfRule type="expression" dxfId="47" priority="1354" stopIfTrue="1">
      <formula>$G9="Khuyết tật"</formula>
    </cfRule>
  </conditionalFormatting>
  <conditionalFormatting sqref="A41:A42 H42:IV42 H41:O41 Q41:IV41 Q9:Q40 V9:IV40">
    <cfRule type="expression" dxfId="46" priority="1358" stopIfTrue="1">
      <formula>#REF!="NgiH"</formula>
    </cfRule>
    <cfRule type="expression" dxfId="45" priority="1359" stopIfTrue="1">
      <formula>$G9="HN"</formula>
    </cfRule>
  </conditionalFormatting>
  <conditionalFormatting sqref="A3">
    <cfRule type="expression" priority="1373" stopIfTrue="1">
      <formula>#REF!="NgiH"</formula>
    </cfRule>
  </conditionalFormatting>
  <conditionalFormatting sqref="A1:P1 F2:P2 S1:IV2">
    <cfRule type="expression" priority="1374" stopIfTrue="1">
      <formula>#REF!="NgiH"</formula>
    </cfRule>
  </conditionalFormatting>
  <conditionalFormatting sqref="P41">
    <cfRule type="expression" dxfId="44" priority="14" stopIfTrue="1">
      <formula>$P41="NgiH"</formula>
    </cfRule>
  </conditionalFormatting>
  <conditionalFormatting sqref="P41">
    <cfRule type="expression" dxfId="43" priority="15" stopIfTrue="1">
      <formula>#REF!="HP"</formula>
    </cfRule>
  </conditionalFormatting>
  <conditionalFormatting sqref="A9:G40">
    <cfRule type="expression" dxfId="42" priority="6" stopIfTrue="1">
      <formula>$G9="HN"</formula>
    </cfRule>
  </conditionalFormatting>
  <conditionalFormatting sqref="O5">
    <cfRule type="expression" dxfId="41" priority="8" stopIfTrue="1">
      <formula>$P5="NgiH"</formula>
    </cfRule>
  </conditionalFormatting>
  <conditionalFormatting sqref="O5">
    <cfRule type="expression" dxfId="40" priority="9" stopIfTrue="1">
      <formula>#REF!="HP"</formula>
    </cfRule>
  </conditionalFormatting>
  <conditionalFormatting sqref="K5">
    <cfRule type="expression" dxfId="39" priority="6" stopIfTrue="1">
      <formula>$P5="HP"</formula>
    </cfRule>
  </conditionalFormatting>
  <conditionalFormatting sqref="K5">
    <cfRule type="expression" dxfId="38" priority="7" stopIfTrue="1">
      <formula>$O5="NgiH"</formula>
    </cfRule>
  </conditionalFormatting>
  <conditionalFormatting sqref="A2:E2">
    <cfRule type="expression" priority="3" stopIfTrue="1">
      <formula>#REF!="NgiH"</formula>
    </cfRule>
  </conditionalFormatting>
  <conditionalFormatting sqref="O4">
    <cfRule type="expression" dxfId="37" priority="1" stopIfTrue="1">
      <formula>$P5="HP"</formula>
    </cfRule>
  </conditionalFormatting>
  <conditionalFormatting sqref="O4">
    <cfRule type="expression" dxfId="36" priority="2" stopIfTrue="1">
      <formula>$O5="NgiH"</formula>
    </cfRule>
  </conditionalFormatting>
  <printOptions horizontalCentered="1"/>
  <pageMargins left="0.47" right="0.24" top="0.17" bottom="0.17" header="0.18" footer="0.17"/>
  <pageSetup paperSize="9" scale="77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3"/>
  <sheetViews>
    <sheetView topLeftCell="A24" workbookViewId="0">
      <selection activeCell="G69" sqref="G69"/>
    </sheetView>
  </sheetViews>
  <sheetFormatPr defaultColWidth="10.42578125" defaultRowHeight="15.75"/>
  <cols>
    <col min="1" max="1" width="10" style="323" customWidth="1"/>
    <col min="2" max="2" width="15.7109375" style="322" customWidth="1"/>
    <col min="3" max="3" width="35.140625" style="322" customWidth="1"/>
    <col min="4" max="4" width="18" style="322" customWidth="1"/>
    <col min="5" max="5" width="12.28515625" style="322" customWidth="1"/>
    <col min="6" max="6" width="18" style="322" customWidth="1"/>
    <col min="7" max="7" width="18.42578125" style="322" customWidth="1"/>
    <col min="8" max="8" width="34.28515625" style="322" customWidth="1"/>
    <col min="9" max="16384" width="10.42578125" style="322"/>
  </cols>
  <sheetData>
    <row r="1" spans="1:9" customFormat="1" ht="17.100000000000001" customHeight="1">
      <c r="A1" s="364" t="s">
        <v>3017</v>
      </c>
      <c r="B1" s="364" t="s">
        <v>3017</v>
      </c>
      <c r="C1" s="364" t="s">
        <v>3017</v>
      </c>
      <c r="D1" s="364" t="s">
        <v>3017</v>
      </c>
    </row>
    <row r="2" spans="1:9" customFormat="1" ht="17.100000000000001" customHeight="1">
      <c r="A2" s="365" t="s">
        <v>3018</v>
      </c>
      <c r="B2" s="365" t="s">
        <v>3018</v>
      </c>
      <c r="C2" s="365" t="s">
        <v>3018</v>
      </c>
      <c r="D2" s="365" t="s">
        <v>3018</v>
      </c>
    </row>
    <row r="3" spans="1:9" ht="16.5">
      <c r="A3" s="366" t="s">
        <v>3019</v>
      </c>
      <c r="B3" s="367" t="s">
        <v>3019</v>
      </c>
      <c r="C3" s="367" t="s">
        <v>3019</v>
      </c>
      <c r="D3" s="367" t="s">
        <v>3019</v>
      </c>
      <c r="E3" s="367" t="s">
        <v>3019</v>
      </c>
      <c r="F3" s="367" t="s">
        <v>3019</v>
      </c>
      <c r="G3" s="367" t="s">
        <v>3019</v>
      </c>
    </row>
    <row r="4" spans="1:9" ht="16.5">
      <c r="A4" s="366" t="s">
        <v>3020</v>
      </c>
      <c r="B4" s="367" t="s">
        <v>3020</v>
      </c>
      <c r="C4" s="367" t="s">
        <v>3020</v>
      </c>
      <c r="D4" s="367" t="s">
        <v>3020</v>
      </c>
      <c r="E4" s="367" t="s">
        <v>3020</v>
      </c>
      <c r="F4" s="367" t="s">
        <v>3020</v>
      </c>
      <c r="G4" s="367" t="s">
        <v>3020</v>
      </c>
    </row>
    <row r="6" spans="1:9" customFormat="1" ht="24" customHeight="1">
      <c r="A6" s="324" t="s">
        <v>411</v>
      </c>
      <c r="B6" s="324" t="s">
        <v>3021</v>
      </c>
      <c r="C6" s="324" t="s">
        <v>3022</v>
      </c>
      <c r="D6" s="324" t="s">
        <v>3023</v>
      </c>
      <c r="E6" s="324" t="s">
        <v>3024</v>
      </c>
      <c r="F6" s="324" t="s">
        <v>3025</v>
      </c>
      <c r="G6" s="324" t="s">
        <v>3026</v>
      </c>
    </row>
    <row r="7" spans="1:9">
      <c r="A7" s="325">
        <v>1</v>
      </c>
      <c r="B7" s="326" t="s">
        <v>1110</v>
      </c>
      <c r="C7" s="326" t="s">
        <v>3027</v>
      </c>
      <c r="D7" s="327" t="s">
        <v>3028</v>
      </c>
      <c r="E7" s="326" t="s">
        <v>3029</v>
      </c>
      <c r="F7" s="326" t="s">
        <v>3030</v>
      </c>
      <c r="G7" s="326" t="s">
        <v>3031</v>
      </c>
      <c r="H7" s="322" t="str">
        <f>C7&amp;"_"&amp;B7</f>
        <v>Huỳnh Thị Ngọc Anh_10AS1</v>
      </c>
      <c r="I7" s="322" t="s">
        <v>3334</v>
      </c>
    </row>
    <row r="8" spans="1:9">
      <c r="A8" s="325">
        <v>2</v>
      </c>
      <c r="B8" s="326" t="s">
        <v>1110</v>
      </c>
      <c r="C8" s="326" t="s">
        <v>3032</v>
      </c>
      <c r="D8" s="327" t="s">
        <v>3033</v>
      </c>
      <c r="E8" s="326" t="s">
        <v>17</v>
      </c>
      <c r="F8" s="326" t="s">
        <v>3030</v>
      </c>
      <c r="G8" s="326" t="s">
        <v>3031</v>
      </c>
      <c r="H8" s="322" t="str">
        <f t="shared" ref="H8:H72" si="0">C8&amp;"_"&amp;B8</f>
        <v>Nguyễn Quý Ngọc Thiện_10AS1</v>
      </c>
      <c r="I8" s="322" t="s">
        <v>3334</v>
      </c>
    </row>
    <row r="9" spans="1:9">
      <c r="A9" s="325">
        <v>3</v>
      </c>
      <c r="B9" s="326" t="s">
        <v>128</v>
      </c>
      <c r="C9" s="326" t="s">
        <v>3034</v>
      </c>
      <c r="D9" s="327" t="s">
        <v>3035</v>
      </c>
      <c r="E9" s="326" t="s">
        <v>17</v>
      </c>
      <c r="F9" s="326" t="s">
        <v>3030</v>
      </c>
      <c r="G9" s="326" t="s">
        <v>3031</v>
      </c>
      <c r="H9" s="322" t="str">
        <f t="shared" si="0"/>
        <v>Trương Tiến Dũng_10AS4</v>
      </c>
      <c r="I9" s="322" t="s">
        <v>3334</v>
      </c>
    </row>
    <row r="10" spans="1:9">
      <c r="A10" s="325">
        <v>4</v>
      </c>
      <c r="B10" s="326" t="s">
        <v>1242</v>
      </c>
      <c r="C10" s="326" t="s">
        <v>3036</v>
      </c>
      <c r="D10" s="327" t="s">
        <v>3037</v>
      </c>
      <c r="E10" s="326" t="s">
        <v>17</v>
      </c>
      <c r="F10" s="326" t="s">
        <v>3030</v>
      </c>
      <c r="G10" s="326" t="s">
        <v>3031</v>
      </c>
      <c r="H10" s="322" t="str">
        <f t="shared" si="0"/>
        <v>Đỗ Thiên Hồng Anh_10AS5</v>
      </c>
      <c r="I10" s="322" t="s">
        <v>3334</v>
      </c>
    </row>
    <row r="11" spans="1:9">
      <c r="A11" s="325">
        <v>5</v>
      </c>
      <c r="B11" s="326" t="s">
        <v>1242</v>
      </c>
      <c r="C11" s="326" t="s">
        <v>3038</v>
      </c>
      <c r="D11" s="327" t="s">
        <v>3039</v>
      </c>
      <c r="E11" s="326" t="s">
        <v>17</v>
      </c>
      <c r="F11" s="326" t="s">
        <v>3040</v>
      </c>
      <c r="G11" s="326" t="s">
        <v>3031</v>
      </c>
      <c r="H11" s="322" t="str">
        <f t="shared" si="0"/>
        <v>Phạm Hoàng Bảo Quý_10AS5</v>
      </c>
      <c r="I11" s="322" t="s">
        <v>3334</v>
      </c>
    </row>
    <row r="12" spans="1:9">
      <c r="A12" s="325">
        <v>6</v>
      </c>
      <c r="B12" s="326" t="s">
        <v>130</v>
      </c>
      <c r="C12" s="326" t="s">
        <v>3041</v>
      </c>
      <c r="D12" s="327" t="s">
        <v>3042</v>
      </c>
      <c r="E12" s="326" t="s">
        <v>17</v>
      </c>
      <c r="F12" s="326" t="s">
        <v>3030</v>
      </c>
      <c r="G12" s="326" t="s">
        <v>3031</v>
      </c>
      <c r="H12" s="322" t="str">
        <f t="shared" si="0"/>
        <v>Phan Văn Vũ Khang_10AS6</v>
      </c>
      <c r="I12" s="322" t="s">
        <v>3334</v>
      </c>
    </row>
    <row r="13" spans="1:9">
      <c r="A13" s="325">
        <v>7</v>
      </c>
      <c r="B13" s="326" t="s">
        <v>131</v>
      </c>
      <c r="C13" s="326" t="s">
        <v>3043</v>
      </c>
      <c r="D13" s="327" t="s">
        <v>3044</v>
      </c>
      <c r="E13" s="326" t="s">
        <v>17</v>
      </c>
      <c r="F13" s="326" t="s">
        <v>3030</v>
      </c>
      <c r="G13" s="326" t="s">
        <v>3031</v>
      </c>
      <c r="H13" s="322" t="str">
        <f t="shared" si="0"/>
        <v>Lê Thanh Lâm_10AS7</v>
      </c>
      <c r="I13" s="322" t="s">
        <v>3334</v>
      </c>
    </row>
    <row r="14" spans="1:9">
      <c r="A14" s="325">
        <v>8</v>
      </c>
      <c r="B14" s="326" t="s">
        <v>114</v>
      </c>
      <c r="C14" s="326" t="s">
        <v>3045</v>
      </c>
      <c r="D14" s="327" t="s">
        <v>3046</v>
      </c>
      <c r="E14" s="326" t="s">
        <v>17</v>
      </c>
      <c r="F14" s="326" t="s">
        <v>3030</v>
      </c>
      <c r="G14" s="326" t="s">
        <v>3031</v>
      </c>
      <c r="H14" s="322" t="str">
        <f t="shared" si="0"/>
        <v>Lê Châu Tuấn Đạt_10AT1</v>
      </c>
      <c r="I14" s="322" t="s">
        <v>3334</v>
      </c>
    </row>
    <row r="15" spans="1:9">
      <c r="A15" s="325">
        <v>9</v>
      </c>
      <c r="B15" s="326" t="s">
        <v>114</v>
      </c>
      <c r="C15" s="326" t="s">
        <v>3047</v>
      </c>
      <c r="D15" s="327" t="s">
        <v>3048</v>
      </c>
      <c r="E15" s="326" t="s">
        <v>17</v>
      </c>
      <c r="F15" s="326" t="s">
        <v>3030</v>
      </c>
      <c r="G15" s="326" t="s">
        <v>3031</v>
      </c>
      <c r="H15" s="322" t="str">
        <f t="shared" si="0"/>
        <v>Lê Quốc Huy_10AT1</v>
      </c>
      <c r="I15" s="322" t="s">
        <v>3334</v>
      </c>
    </row>
    <row r="16" spans="1:9">
      <c r="A16" s="325">
        <v>10</v>
      </c>
      <c r="B16" s="326" t="s">
        <v>114</v>
      </c>
      <c r="C16" s="326" t="s">
        <v>3049</v>
      </c>
      <c r="D16" s="327" t="s">
        <v>3050</v>
      </c>
      <c r="E16" s="326" t="s">
        <v>17</v>
      </c>
      <c r="F16" s="326" t="s">
        <v>3030</v>
      </c>
      <c r="G16" s="326" t="s">
        <v>3031</v>
      </c>
      <c r="H16" s="322" t="str">
        <f t="shared" si="0"/>
        <v>Lê Lợi_10AT1</v>
      </c>
      <c r="I16" s="322" t="s">
        <v>3334</v>
      </c>
    </row>
    <row r="17" spans="1:9">
      <c r="A17" s="325">
        <v>11</v>
      </c>
      <c r="B17" s="326" t="s">
        <v>114</v>
      </c>
      <c r="C17" s="326" t="s">
        <v>3051</v>
      </c>
      <c r="D17" s="327" t="s">
        <v>3052</v>
      </c>
      <c r="E17" s="326" t="s">
        <v>17</v>
      </c>
      <c r="F17" s="326" t="s">
        <v>3030</v>
      </c>
      <c r="G17" s="326" t="s">
        <v>3031</v>
      </c>
      <c r="H17" s="322" t="str">
        <f t="shared" si="0"/>
        <v>Đỗ Minh Phụng_10AT1</v>
      </c>
      <c r="I17" s="322" t="s">
        <v>3334</v>
      </c>
    </row>
    <row r="18" spans="1:9">
      <c r="A18" s="325">
        <v>12</v>
      </c>
      <c r="B18" s="326" t="s">
        <v>115</v>
      </c>
      <c r="C18" s="326" t="s">
        <v>3053</v>
      </c>
      <c r="D18" s="327" t="s">
        <v>3054</v>
      </c>
      <c r="E18" s="326" t="s">
        <v>17</v>
      </c>
      <c r="F18" s="326" t="s">
        <v>3030</v>
      </c>
      <c r="G18" s="326" t="s">
        <v>3031</v>
      </c>
      <c r="H18" s="322" t="str">
        <f t="shared" si="0"/>
        <v>Đinh Tuấn Anh_10AT2</v>
      </c>
      <c r="I18" s="322" t="s">
        <v>3334</v>
      </c>
    </row>
    <row r="19" spans="1:9">
      <c r="A19" s="325">
        <v>13</v>
      </c>
      <c r="B19" s="326" t="s">
        <v>115</v>
      </c>
      <c r="C19" s="326" t="s">
        <v>1835</v>
      </c>
      <c r="D19" s="327" t="s">
        <v>3055</v>
      </c>
      <c r="E19" s="326" t="s">
        <v>3029</v>
      </c>
      <c r="F19" s="326" t="s">
        <v>3030</v>
      </c>
      <c r="G19" s="326" t="s">
        <v>3031</v>
      </c>
      <c r="H19" s="322" t="str">
        <f t="shared" si="0"/>
        <v>Nguyễn Thị Bình_10AT2</v>
      </c>
      <c r="I19" s="322" t="s">
        <v>3334</v>
      </c>
    </row>
    <row r="20" spans="1:9">
      <c r="A20" s="325">
        <v>14</v>
      </c>
      <c r="B20" s="326" t="s">
        <v>115</v>
      </c>
      <c r="C20" s="326" t="s">
        <v>3056</v>
      </c>
      <c r="D20" s="327" t="s">
        <v>3057</v>
      </c>
      <c r="E20" s="326" t="s">
        <v>17</v>
      </c>
      <c r="F20" s="326" t="s">
        <v>3030</v>
      </c>
      <c r="G20" s="326" t="s">
        <v>3031</v>
      </c>
      <c r="H20" s="322" t="str">
        <f t="shared" si="0"/>
        <v>Lê Trung Hiếu_10AT2</v>
      </c>
      <c r="I20" s="322" t="s">
        <v>3334</v>
      </c>
    </row>
    <row r="21" spans="1:9">
      <c r="A21" s="325">
        <v>15</v>
      </c>
      <c r="B21" s="326" t="s">
        <v>115</v>
      </c>
      <c r="C21" s="326" t="s">
        <v>3058</v>
      </c>
      <c r="D21" s="327" t="s">
        <v>3059</v>
      </c>
      <c r="E21" s="326" t="s">
        <v>17</v>
      </c>
      <c r="F21" s="326" t="s">
        <v>3030</v>
      </c>
      <c r="G21" s="326" t="s">
        <v>3031</v>
      </c>
      <c r="H21" s="322" t="str">
        <f t="shared" si="0"/>
        <v>Lâm Văn Phong_10AT2</v>
      </c>
      <c r="I21" s="322" t="s">
        <v>3334</v>
      </c>
    </row>
    <row r="22" spans="1:9">
      <c r="A22" s="325">
        <v>16</v>
      </c>
      <c r="B22" s="326" t="s">
        <v>115</v>
      </c>
      <c r="C22" s="326" t="s">
        <v>1730</v>
      </c>
      <c r="D22" s="327" t="s">
        <v>3060</v>
      </c>
      <c r="E22" s="326" t="s">
        <v>3029</v>
      </c>
      <c r="F22" s="326" t="s">
        <v>3030</v>
      </c>
      <c r="G22" s="326" t="s">
        <v>3031</v>
      </c>
      <c r="H22" s="322" t="str">
        <f t="shared" si="0"/>
        <v>Trần Thị Quỳnh_10AT2</v>
      </c>
      <c r="I22" s="322" t="s">
        <v>3334</v>
      </c>
    </row>
    <row r="23" spans="1:9">
      <c r="A23" s="325">
        <v>17</v>
      </c>
      <c r="B23" s="326" t="s">
        <v>115</v>
      </c>
      <c r="C23" s="326" t="s">
        <v>3061</v>
      </c>
      <c r="D23" s="327" t="s">
        <v>3062</v>
      </c>
      <c r="E23" s="326" t="s">
        <v>3029</v>
      </c>
      <c r="F23" s="326" t="s">
        <v>3030</v>
      </c>
      <c r="G23" s="326" t="s">
        <v>3031</v>
      </c>
      <c r="H23" s="322" t="str">
        <f t="shared" si="0"/>
        <v>Nguyễn Thị Thanh Thúy_10AT2</v>
      </c>
      <c r="I23" s="322" t="s">
        <v>3334</v>
      </c>
    </row>
    <row r="24" spans="1:9">
      <c r="A24" s="325">
        <v>18</v>
      </c>
      <c r="B24" s="326" t="s">
        <v>115</v>
      </c>
      <c r="C24" s="326" t="s">
        <v>3063</v>
      </c>
      <c r="D24" s="327" t="s">
        <v>3064</v>
      </c>
      <c r="E24" s="326" t="s">
        <v>17</v>
      </c>
      <c r="F24" s="326" t="s">
        <v>3030</v>
      </c>
      <c r="G24" s="326" t="s">
        <v>3031</v>
      </c>
      <c r="H24" s="322" t="str">
        <f t="shared" si="0"/>
        <v>Lê Tùng Viên_10AT2</v>
      </c>
      <c r="I24" s="322" t="s">
        <v>3334</v>
      </c>
    </row>
    <row r="25" spans="1:9">
      <c r="A25" s="325">
        <v>19</v>
      </c>
      <c r="B25" s="326" t="s">
        <v>134</v>
      </c>
      <c r="C25" s="326" t="s">
        <v>3065</v>
      </c>
      <c r="D25" s="327" t="s">
        <v>3066</v>
      </c>
      <c r="E25" s="326" t="s">
        <v>3029</v>
      </c>
      <c r="F25" s="326" t="s">
        <v>3030</v>
      </c>
      <c r="G25" s="326" t="s">
        <v>3031</v>
      </c>
      <c r="H25" s="322" t="str">
        <f t="shared" si="0"/>
        <v>Nguyễn Thị Kim Cúc_10VH1</v>
      </c>
      <c r="I25" s="322" t="s">
        <v>3334</v>
      </c>
    </row>
    <row r="26" spans="1:9">
      <c r="A26" s="325">
        <v>20</v>
      </c>
      <c r="B26" s="326" t="s">
        <v>134</v>
      </c>
      <c r="C26" s="326" t="s">
        <v>3067</v>
      </c>
      <c r="D26" s="327" t="s">
        <v>3068</v>
      </c>
      <c r="E26" s="326" t="s">
        <v>17</v>
      </c>
      <c r="F26" s="326" t="s">
        <v>3030</v>
      </c>
      <c r="G26" s="326" t="s">
        <v>3031</v>
      </c>
      <c r="H26" s="322" t="str">
        <f t="shared" si="0"/>
        <v>Nguyễn Anh Tuấn_10VH1</v>
      </c>
      <c r="I26" s="322" t="s">
        <v>3334</v>
      </c>
    </row>
    <row r="27" spans="1:9">
      <c r="A27" s="325">
        <v>21</v>
      </c>
      <c r="B27" s="326" t="s">
        <v>135</v>
      </c>
      <c r="C27" s="326" t="s">
        <v>3069</v>
      </c>
      <c r="D27" s="327" t="s">
        <v>3070</v>
      </c>
      <c r="E27" s="326" t="s">
        <v>17</v>
      </c>
      <c r="F27" s="326" t="s">
        <v>3030</v>
      </c>
      <c r="G27" s="326" t="s">
        <v>3031</v>
      </c>
      <c r="H27" s="322" t="str">
        <f t="shared" si="0"/>
        <v>Phan Quốc Minh_10VH2</v>
      </c>
      <c r="I27" s="322" t="s">
        <v>3334</v>
      </c>
    </row>
    <row r="28" spans="1:9">
      <c r="A28" s="325">
        <v>22</v>
      </c>
      <c r="B28" s="326" t="s">
        <v>135</v>
      </c>
      <c r="C28" s="326" t="s">
        <v>3071</v>
      </c>
      <c r="D28" s="327" t="s">
        <v>3072</v>
      </c>
      <c r="E28" s="326" t="s">
        <v>17</v>
      </c>
      <c r="F28" s="326" t="s">
        <v>3030</v>
      </c>
      <c r="G28" s="326" t="s">
        <v>3031</v>
      </c>
      <c r="H28" s="322" t="str">
        <f t="shared" si="0"/>
        <v>Trần Đức Toàn_10VH2</v>
      </c>
      <c r="I28" s="322" t="s">
        <v>3334</v>
      </c>
    </row>
    <row r="29" spans="1:9">
      <c r="A29" s="325">
        <v>23</v>
      </c>
      <c r="B29" s="326" t="s">
        <v>135</v>
      </c>
      <c r="C29" s="326" t="s">
        <v>3073</v>
      </c>
      <c r="D29" s="327" t="s">
        <v>3074</v>
      </c>
      <c r="E29" s="326" t="s">
        <v>3029</v>
      </c>
      <c r="F29" s="326" t="s">
        <v>3030</v>
      </c>
      <c r="G29" s="326" t="s">
        <v>3031</v>
      </c>
      <c r="H29" s="322" t="str">
        <f t="shared" si="0"/>
        <v>Nguyễn Thị Nhã Uyên_10VH2</v>
      </c>
      <c r="I29" s="322" t="s">
        <v>3334</v>
      </c>
    </row>
    <row r="30" spans="1:9">
      <c r="A30" s="325">
        <v>24</v>
      </c>
      <c r="B30" s="326" t="s">
        <v>2242</v>
      </c>
      <c r="C30" s="326" t="s">
        <v>3075</v>
      </c>
      <c r="D30" s="327" t="s">
        <v>3076</v>
      </c>
      <c r="E30" s="326" t="s">
        <v>3029</v>
      </c>
      <c r="F30" s="326" t="s">
        <v>3030</v>
      </c>
      <c r="G30" s="326" t="s">
        <v>3031</v>
      </c>
      <c r="H30" s="322" t="str">
        <f t="shared" si="0"/>
        <v>Nguyễn Thị Minh Kiều_10VH3</v>
      </c>
      <c r="I30" s="322" t="s">
        <v>3334</v>
      </c>
    </row>
    <row r="31" spans="1:9">
      <c r="A31" s="325">
        <v>25</v>
      </c>
      <c r="B31" s="326" t="s">
        <v>2242</v>
      </c>
      <c r="C31" s="326" t="s">
        <v>3077</v>
      </c>
      <c r="D31" s="327" t="s">
        <v>3078</v>
      </c>
      <c r="E31" s="326" t="s">
        <v>17</v>
      </c>
      <c r="F31" s="326" t="s">
        <v>3030</v>
      </c>
      <c r="G31" s="326" t="s">
        <v>3031</v>
      </c>
      <c r="H31" s="322" t="str">
        <f t="shared" si="0"/>
        <v>Huỳnh Thanh Nghệ_10VH3</v>
      </c>
      <c r="I31" s="322" t="s">
        <v>3334</v>
      </c>
    </row>
    <row r="32" spans="1:9">
      <c r="A32" s="325">
        <v>26</v>
      </c>
      <c r="B32" s="326" t="s">
        <v>2242</v>
      </c>
      <c r="C32" s="326" t="s">
        <v>3079</v>
      </c>
      <c r="D32" s="327" t="s">
        <v>3080</v>
      </c>
      <c r="E32" s="326" t="s">
        <v>17</v>
      </c>
      <c r="F32" s="326" t="s">
        <v>3030</v>
      </c>
      <c r="G32" s="326" t="s">
        <v>3031</v>
      </c>
      <c r="H32" s="322" t="str">
        <f t="shared" si="0"/>
        <v>Lý Thanh Phúc_10VH3</v>
      </c>
      <c r="I32" s="322" t="s">
        <v>3334</v>
      </c>
    </row>
    <row r="33" spans="1:9">
      <c r="A33" s="325">
        <v>27</v>
      </c>
      <c r="B33" s="326" t="s">
        <v>2242</v>
      </c>
      <c r="C33" s="326" t="s">
        <v>3081</v>
      </c>
      <c r="D33" s="327" t="s">
        <v>3082</v>
      </c>
      <c r="E33" s="326" t="s">
        <v>17</v>
      </c>
      <c r="F33" s="326" t="s">
        <v>3030</v>
      </c>
      <c r="G33" s="326" t="s">
        <v>3031</v>
      </c>
      <c r="H33" s="322" t="str">
        <f t="shared" si="0"/>
        <v>Phan Hải Trí_10VH3</v>
      </c>
      <c r="I33" s="322" t="s">
        <v>3334</v>
      </c>
    </row>
    <row r="34" spans="1:9">
      <c r="A34" s="325">
        <v>28</v>
      </c>
      <c r="B34" s="326" t="s">
        <v>137</v>
      </c>
      <c r="C34" s="326" t="s">
        <v>3083</v>
      </c>
      <c r="D34" s="327" t="s">
        <v>3084</v>
      </c>
      <c r="E34" s="326" t="s">
        <v>17</v>
      </c>
      <c r="F34" s="326" t="s">
        <v>3030</v>
      </c>
      <c r="G34" s="326" t="s">
        <v>3031</v>
      </c>
      <c r="H34" s="322" t="str">
        <f t="shared" si="0"/>
        <v>Nguyễn Phùng Duy_10VH4</v>
      </c>
      <c r="I34" s="322" t="s">
        <v>3334</v>
      </c>
    </row>
    <row r="35" spans="1:9">
      <c r="A35" s="325">
        <v>29</v>
      </c>
      <c r="B35" s="326" t="s">
        <v>137</v>
      </c>
      <c r="C35" s="326" t="s">
        <v>3085</v>
      </c>
      <c r="D35" s="327" t="s">
        <v>3086</v>
      </c>
      <c r="E35" s="326" t="s">
        <v>17</v>
      </c>
      <c r="F35" s="326" t="s">
        <v>3030</v>
      </c>
      <c r="G35" s="326" t="s">
        <v>3031</v>
      </c>
      <c r="H35" s="322" t="str">
        <f t="shared" si="0"/>
        <v>Nguyễn Quốc Đạt_10VH4</v>
      </c>
      <c r="I35" s="322" t="s">
        <v>3334</v>
      </c>
    </row>
    <row r="36" spans="1:9">
      <c r="A36" s="325">
        <v>30</v>
      </c>
      <c r="B36" s="326" t="s">
        <v>137</v>
      </c>
      <c r="C36" s="326" t="s">
        <v>3087</v>
      </c>
      <c r="D36" s="327" t="s">
        <v>3084</v>
      </c>
      <c r="E36" s="326" t="s">
        <v>17</v>
      </c>
      <c r="F36" s="326" t="s">
        <v>3030</v>
      </c>
      <c r="G36" s="326" t="s">
        <v>3031</v>
      </c>
      <c r="H36" s="322" t="str">
        <f t="shared" si="0"/>
        <v>Phạm Tường Luân_10VH4</v>
      </c>
      <c r="I36" s="322" t="s">
        <v>3334</v>
      </c>
    </row>
    <row r="37" spans="1:9">
      <c r="A37" s="325">
        <v>31</v>
      </c>
      <c r="B37" s="326" t="s">
        <v>137</v>
      </c>
      <c r="C37" s="326" t="s">
        <v>3088</v>
      </c>
      <c r="D37" s="327" t="s">
        <v>3089</v>
      </c>
      <c r="E37" s="326" t="s">
        <v>3029</v>
      </c>
      <c r="F37" s="326" t="s">
        <v>3030</v>
      </c>
      <c r="G37" s="326" t="s">
        <v>3031</v>
      </c>
      <c r="H37" s="322" t="str">
        <f t="shared" si="0"/>
        <v>Huỳnh Nguyễn Mẫn Nhi_10VH4</v>
      </c>
      <c r="I37" s="322" t="s">
        <v>3334</v>
      </c>
    </row>
    <row r="38" spans="1:9">
      <c r="A38" s="325">
        <v>32</v>
      </c>
      <c r="B38" s="326" t="s">
        <v>137</v>
      </c>
      <c r="C38" s="326" t="s">
        <v>3090</v>
      </c>
      <c r="D38" s="327" t="s">
        <v>3091</v>
      </c>
      <c r="E38" s="326" t="s">
        <v>3029</v>
      </c>
      <c r="F38" s="326" t="s">
        <v>3030</v>
      </c>
      <c r="G38" s="326" t="s">
        <v>3031</v>
      </c>
      <c r="H38" s="322" t="str">
        <f t="shared" si="0"/>
        <v>Nguyễn Thanh Trúc_10VH4</v>
      </c>
      <c r="I38" s="322" t="s">
        <v>3334</v>
      </c>
    </row>
    <row r="39" spans="1:9">
      <c r="A39" s="325">
        <v>33</v>
      </c>
      <c r="B39" s="326" t="s">
        <v>2241</v>
      </c>
      <c r="C39" s="326" t="s">
        <v>3092</v>
      </c>
      <c r="D39" s="327" t="s">
        <v>3093</v>
      </c>
      <c r="E39" s="326" t="s">
        <v>17</v>
      </c>
      <c r="F39" s="326" t="s">
        <v>3030</v>
      </c>
      <c r="G39" s="326" t="s">
        <v>3031</v>
      </c>
      <c r="H39" s="322" t="str">
        <f t="shared" si="0"/>
        <v>Lưu Đức Huy_10VH5</v>
      </c>
      <c r="I39" s="322" t="s">
        <v>3334</v>
      </c>
    </row>
    <row r="40" spans="1:9">
      <c r="A40" s="325">
        <v>34</v>
      </c>
      <c r="B40" s="326" t="s">
        <v>2241</v>
      </c>
      <c r="C40" s="326" t="s">
        <v>3094</v>
      </c>
      <c r="D40" s="327" t="s">
        <v>3095</v>
      </c>
      <c r="E40" s="326" t="s">
        <v>17</v>
      </c>
      <c r="F40" s="326" t="s">
        <v>3030</v>
      </c>
      <c r="G40" s="326" t="s">
        <v>3031</v>
      </c>
      <c r="H40" s="322" t="str">
        <f t="shared" si="0"/>
        <v>Nguyễn Thành Long_10VH5</v>
      </c>
      <c r="I40" s="322" t="s">
        <v>3334</v>
      </c>
    </row>
    <row r="41" spans="1:9">
      <c r="A41" s="325">
        <v>35</v>
      </c>
      <c r="B41" s="326" t="s">
        <v>2241</v>
      </c>
      <c r="C41" s="326" t="s">
        <v>3096</v>
      </c>
      <c r="D41" s="327" t="s">
        <v>3097</v>
      </c>
      <c r="E41" s="326" t="s">
        <v>17</v>
      </c>
      <c r="F41" s="326" t="s">
        <v>3030</v>
      </c>
      <c r="G41" s="326" t="s">
        <v>3031</v>
      </c>
      <c r="H41" s="322" t="str">
        <f t="shared" si="0"/>
        <v>Đỗ Thành Nam_10VH5</v>
      </c>
      <c r="I41" s="322" t="s">
        <v>3334</v>
      </c>
    </row>
    <row r="42" spans="1:9">
      <c r="A42" s="325">
        <v>36</v>
      </c>
      <c r="B42" s="326" t="s">
        <v>2241</v>
      </c>
      <c r="C42" s="326" t="s">
        <v>3098</v>
      </c>
      <c r="D42" s="327" t="s">
        <v>3099</v>
      </c>
      <c r="E42" s="326" t="s">
        <v>17</v>
      </c>
      <c r="F42" s="326" t="s">
        <v>3030</v>
      </c>
      <c r="G42" s="326" t="s">
        <v>3031</v>
      </c>
      <c r="H42" s="322" t="str">
        <f t="shared" si="0"/>
        <v>Nguyễn Văn Trí_10VH5</v>
      </c>
      <c r="I42" s="322" t="s">
        <v>3334</v>
      </c>
    </row>
    <row r="43" spans="1:9">
      <c r="A43" s="325">
        <v>37</v>
      </c>
      <c r="B43" s="326" t="s">
        <v>2996</v>
      </c>
      <c r="C43" s="326" t="s">
        <v>3100</v>
      </c>
      <c r="D43" s="327" t="s">
        <v>3101</v>
      </c>
      <c r="E43" s="326" t="s">
        <v>17</v>
      </c>
      <c r="F43" s="326" t="s">
        <v>3030</v>
      </c>
      <c r="G43" s="326" t="s">
        <v>3031</v>
      </c>
      <c r="H43" s="322" t="str">
        <f t="shared" si="0"/>
        <v>Nguyễn Tuấn Anh_10KT1</v>
      </c>
      <c r="I43" s="322" t="s">
        <v>3334</v>
      </c>
    </row>
    <row r="44" spans="1:9">
      <c r="A44" s="325">
        <v>38</v>
      </c>
      <c r="B44" s="326" t="s">
        <v>2997</v>
      </c>
      <c r="C44" s="326" t="s">
        <v>3102</v>
      </c>
      <c r="D44" s="327" t="s">
        <v>3103</v>
      </c>
      <c r="E44" s="326" t="s">
        <v>17</v>
      </c>
      <c r="F44" s="326" t="s">
        <v>3030</v>
      </c>
      <c r="G44" s="326" t="s">
        <v>3031</v>
      </c>
      <c r="H44" s="322" t="str">
        <f t="shared" si="0"/>
        <v>Lương Anh Bình_10KT2</v>
      </c>
      <c r="I44" s="322" t="s">
        <v>3334</v>
      </c>
    </row>
    <row r="45" spans="1:9">
      <c r="A45" s="325">
        <v>39</v>
      </c>
      <c r="B45" s="326" t="s">
        <v>2997</v>
      </c>
      <c r="C45" s="326" t="s">
        <v>3104</v>
      </c>
      <c r="D45" s="327" t="s">
        <v>3105</v>
      </c>
      <c r="E45" s="326" t="s">
        <v>17</v>
      </c>
      <c r="F45" s="326" t="s">
        <v>3030</v>
      </c>
      <c r="G45" s="326" t="s">
        <v>3031</v>
      </c>
      <c r="H45" s="322" t="str">
        <f t="shared" si="0"/>
        <v>Nguyễn Thành Duy_10KT2</v>
      </c>
      <c r="I45" s="322" t="s">
        <v>3334</v>
      </c>
    </row>
    <row r="46" spans="1:9">
      <c r="A46" s="325">
        <v>40</v>
      </c>
      <c r="B46" s="326" t="s">
        <v>2997</v>
      </c>
      <c r="C46" s="326" t="s">
        <v>3106</v>
      </c>
      <c r="D46" s="327" t="s">
        <v>3107</v>
      </c>
      <c r="E46" s="326" t="s">
        <v>17</v>
      </c>
      <c r="F46" s="326" t="s">
        <v>3030</v>
      </c>
      <c r="G46" s="326" t="s">
        <v>3031</v>
      </c>
      <c r="H46" s="322" t="str">
        <f t="shared" si="0"/>
        <v>Phạm Trần Anh Đức_10KT2</v>
      </c>
      <c r="I46" s="322" t="s">
        <v>3334</v>
      </c>
    </row>
    <row r="47" spans="1:9">
      <c r="A47" s="325">
        <v>41</v>
      </c>
      <c r="B47" s="326" t="s">
        <v>2997</v>
      </c>
      <c r="C47" s="326" t="s">
        <v>3108</v>
      </c>
      <c r="D47" s="327" t="s">
        <v>3109</v>
      </c>
      <c r="E47" s="326" t="s">
        <v>17</v>
      </c>
      <c r="F47" s="326" t="s">
        <v>3030</v>
      </c>
      <c r="G47" s="326" t="s">
        <v>3031</v>
      </c>
      <c r="H47" s="322" t="str">
        <f t="shared" si="0"/>
        <v>Nguyễn Quốc Minh_10KT2</v>
      </c>
      <c r="I47" s="322" t="s">
        <v>3334</v>
      </c>
    </row>
    <row r="48" spans="1:9">
      <c r="A48" s="325">
        <v>42</v>
      </c>
      <c r="B48" s="326" t="s">
        <v>2997</v>
      </c>
      <c r="C48" s="326" t="s">
        <v>3110</v>
      </c>
      <c r="D48" s="327" t="s">
        <v>3111</v>
      </c>
      <c r="E48" s="326" t="s">
        <v>3029</v>
      </c>
      <c r="F48" s="326" t="s">
        <v>3030</v>
      </c>
      <c r="G48" s="326" t="s">
        <v>3031</v>
      </c>
      <c r="H48" s="322" t="str">
        <f t="shared" si="0"/>
        <v>Lê Thị Kim Tiền_10KT2</v>
      </c>
      <c r="I48" s="322" t="s">
        <v>3334</v>
      </c>
    </row>
    <row r="49" spans="1:9">
      <c r="A49" s="325">
        <v>43</v>
      </c>
      <c r="B49" s="326" t="s">
        <v>2998</v>
      </c>
      <c r="C49" s="326" t="s">
        <v>3112</v>
      </c>
      <c r="D49" s="327" t="s">
        <v>3113</v>
      </c>
      <c r="E49" s="326" t="s">
        <v>17</v>
      </c>
      <c r="F49" s="326" t="s">
        <v>3030</v>
      </c>
      <c r="G49" s="326" t="s">
        <v>3031</v>
      </c>
      <c r="H49" s="322" t="str">
        <f t="shared" si="0"/>
        <v>Trần Tuấn Phúc_10KT3</v>
      </c>
      <c r="I49" s="322" t="s">
        <v>3334</v>
      </c>
    </row>
    <row r="50" spans="1:9">
      <c r="A50" s="325">
        <v>44</v>
      </c>
      <c r="B50" s="326" t="s">
        <v>2999</v>
      </c>
      <c r="C50" s="326" t="s">
        <v>3114</v>
      </c>
      <c r="D50" s="327" t="s">
        <v>3115</v>
      </c>
      <c r="E50" s="326" t="s">
        <v>17</v>
      </c>
      <c r="F50" s="326" t="s">
        <v>3030</v>
      </c>
      <c r="G50" s="326" t="s">
        <v>3031</v>
      </c>
      <c r="H50" s="322" t="str">
        <f t="shared" si="0"/>
        <v>Trần Thành Đạt_10KT4</v>
      </c>
      <c r="I50" s="322" t="s">
        <v>3334</v>
      </c>
    </row>
    <row r="51" spans="1:9">
      <c r="A51" s="325">
        <v>45</v>
      </c>
      <c r="B51" s="326" t="s">
        <v>2999</v>
      </c>
      <c r="C51" s="326" t="s">
        <v>3116</v>
      </c>
      <c r="D51" s="327" t="s">
        <v>3117</v>
      </c>
      <c r="E51" s="326" t="s">
        <v>17</v>
      </c>
      <c r="F51" s="326" t="s">
        <v>3030</v>
      </c>
      <c r="G51" s="326" t="s">
        <v>3031</v>
      </c>
      <c r="H51" s="322" t="str">
        <f t="shared" si="0"/>
        <v>Trịnh Tuấn Khang_10KT4</v>
      </c>
      <c r="I51" s="322" t="s">
        <v>3334</v>
      </c>
    </row>
    <row r="52" spans="1:9">
      <c r="A52" s="325">
        <v>46</v>
      </c>
      <c r="B52" s="326" t="s">
        <v>2999</v>
      </c>
      <c r="C52" s="326" t="s">
        <v>3118</v>
      </c>
      <c r="D52" s="327" t="s">
        <v>3119</v>
      </c>
      <c r="E52" s="326" t="s">
        <v>17</v>
      </c>
      <c r="F52" s="326" t="s">
        <v>3030</v>
      </c>
      <c r="G52" s="326" t="s">
        <v>3031</v>
      </c>
      <c r="H52" s="322" t="str">
        <f t="shared" si="0"/>
        <v>Trần Trung Nam_10KT4</v>
      </c>
      <c r="I52" s="322" t="s">
        <v>3334</v>
      </c>
    </row>
    <row r="53" spans="1:9">
      <c r="A53" s="325">
        <v>47</v>
      </c>
      <c r="B53" s="326" t="s">
        <v>2999</v>
      </c>
      <c r="C53" s="326" t="s">
        <v>3120</v>
      </c>
      <c r="D53" s="327" t="s">
        <v>3121</v>
      </c>
      <c r="E53" s="326" t="s">
        <v>17</v>
      </c>
      <c r="F53" s="326" t="s">
        <v>3030</v>
      </c>
      <c r="G53" s="326" t="s">
        <v>3031</v>
      </c>
      <c r="H53" s="322" t="str">
        <f t="shared" si="0"/>
        <v>Trương Tấn Phát_10KT4</v>
      </c>
      <c r="I53" s="322" t="s">
        <v>3334</v>
      </c>
    </row>
    <row r="54" spans="1:9">
      <c r="A54" s="325">
        <v>48</v>
      </c>
      <c r="B54" s="326" t="s">
        <v>2999</v>
      </c>
      <c r="C54" s="326" t="s">
        <v>3122</v>
      </c>
      <c r="D54" s="327" t="s">
        <v>3123</v>
      </c>
      <c r="E54" s="326" t="s">
        <v>17</v>
      </c>
      <c r="F54" s="326" t="s">
        <v>3030</v>
      </c>
      <c r="G54" s="326" t="s">
        <v>3031</v>
      </c>
      <c r="H54" s="322" t="str">
        <f t="shared" si="0"/>
        <v>Nguyễn Minh Quân_10KT4</v>
      </c>
      <c r="I54" s="322" t="s">
        <v>3334</v>
      </c>
    </row>
    <row r="55" spans="1:9">
      <c r="A55" s="325">
        <v>49</v>
      </c>
      <c r="B55" s="326" t="s">
        <v>1398</v>
      </c>
      <c r="C55" s="326" t="s">
        <v>3124</v>
      </c>
      <c r="D55" s="327" t="s">
        <v>3125</v>
      </c>
      <c r="E55" s="326" t="s">
        <v>17</v>
      </c>
      <c r="F55" s="326" t="s">
        <v>3030</v>
      </c>
      <c r="G55" s="326" t="s">
        <v>3031</v>
      </c>
      <c r="H55" s="322" t="str">
        <f t="shared" si="0"/>
        <v>Phan Văn Tuấn Khôi_11AS1</v>
      </c>
      <c r="I55" s="322" t="s">
        <v>3334</v>
      </c>
    </row>
    <row r="56" spans="1:9">
      <c r="A56" s="325">
        <v>50</v>
      </c>
      <c r="B56" s="326" t="s">
        <v>1398</v>
      </c>
      <c r="C56" s="326" t="s">
        <v>3126</v>
      </c>
      <c r="D56" s="327" t="s">
        <v>3127</v>
      </c>
      <c r="E56" s="326" t="s">
        <v>3029</v>
      </c>
      <c r="F56" s="326" t="s">
        <v>3030</v>
      </c>
      <c r="G56" s="326" t="s">
        <v>3031</v>
      </c>
      <c r="H56" s="322" t="str">
        <f t="shared" si="0"/>
        <v>Giáp Thị Như Quỳnh_11AS1</v>
      </c>
      <c r="I56" s="322" t="s">
        <v>3334</v>
      </c>
    </row>
    <row r="57" spans="1:9">
      <c r="A57" s="325">
        <v>51</v>
      </c>
      <c r="B57" s="326" t="s">
        <v>1402</v>
      </c>
      <c r="C57" s="326" t="s">
        <v>3128</v>
      </c>
      <c r="D57" s="327" t="s">
        <v>3129</v>
      </c>
      <c r="E57" s="326" t="s">
        <v>3029</v>
      </c>
      <c r="F57" s="326" t="s">
        <v>3030</v>
      </c>
      <c r="G57" s="326" t="s">
        <v>3031</v>
      </c>
      <c r="H57" s="322" t="str">
        <f t="shared" si="0"/>
        <v>Nguyễn Hồ Uyên Thu_11AS3</v>
      </c>
      <c r="I57" s="322" t="s">
        <v>3334</v>
      </c>
    </row>
    <row r="58" spans="1:9">
      <c r="A58" s="325">
        <v>52</v>
      </c>
      <c r="B58" s="326" t="s">
        <v>1494</v>
      </c>
      <c r="C58" s="326" t="s">
        <v>3130</v>
      </c>
      <c r="D58" s="327" t="s">
        <v>3131</v>
      </c>
      <c r="E58" s="326" t="s">
        <v>17</v>
      </c>
      <c r="F58" s="326" t="s">
        <v>25</v>
      </c>
      <c r="G58" s="326" t="s">
        <v>3031</v>
      </c>
      <c r="H58" s="322" t="str">
        <f t="shared" si="0"/>
        <v>Tsìn Bảo Hoài Ân_11AT1</v>
      </c>
      <c r="I58" s="322" t="s">
        <v>3334</v>
      </c>
    </row>
    <row r="59" spans="1:9">
      <c r="A59" s="325">
        <v>53</v>
      </c>
      <c r="B59" s="326" t="s">
        <v>1494</v>
      </c>
      <c r="C59" s="326" t="s">
        <v>3132</v>
      </c>
      <c r="D59" s="327" t="s">
        <v>3133</v>
      </c>
      <c r="E59" s="326" t="s">
        <v>3029</v>
      </c>
      <c r="F59" s="326" t="s">
        <v>3030</v>
      </c>
      <c r="G59" s="326" t="s">
        <v>3031</v>
      </c>
      <c r="H59" s="322" t="str">
        <f t="shared" si="0"/>
        <v>Ninh Thị Ánh Dương_11AT1</v>
      </c>
      <c r="I59" s="322" t="s">
        <v>3334</v>
      </c>
    </row>
    <row r="60" spans="1:9">
      <c r="A60" s="325">
        <v>54</v>
      </c>
      <c r="B60" s="326" t="s">
        <v>1494</v>
      </c>
      <c r="C60" s="326" t="s">
        <v>3134</v>
      </c>
      <c r="D60" s="327" t="s">
        <v>3135</v>
      </c>
      <c r="E60" s="326" t="s">
        <v>17</v>
      </c>
      <c r="F60" s="326" t="s">
        <v>3030</v>
      </c>
      <c r="G60" s="326" t="s">
        <v>3136</v>
      </c>
      <c r="H60" s="322" t="str">
        <f t="shared" si="0"/>
        <v>Phan Bá Khánh_11AT1</v>
      </c>
      <c r="I60" s="322" t="s">
        <v>3334</v>
      </c>
    </row>
    <row r="61" spans="1:9">
      <c r="A61" s="325">
        <v>55</v>
      </c>
      <c r="B61" s="326" t="s">
        <v>1494</v>
      </c>
      <c r="C61" s="326" t="s">
        <v>3137</v>
      </c>
      <c r="D61" s="327" t="s">
        <v>3138</v>
      </c>
      <c r="E61" s="326" t="s">
        <v>17</v>
      </c>
      <c r="F61" s="326" t="s">
        <v>3030</v>
      </c>
      <c r="G61" s="326" t="s">
        <v>3031</v>
      </c>
      <c r="H61" s="322" t="str">
        <f t="shared" si="0"/>
        <v>Phạm Minh Trí_11AT1</v>
      </c>
      <c r="I61" s="322" t="s">
        <v>3334</v>
      </c>
    </row>
    <row r="62" spans="1:9">
      <c r="A62" s="325">
        <v>56</v>
      </c>
      <c r="B62" s="326" t="s">
        <v>1496</v>
      </c>
      <c r="C62" s="326" t="s">
        <v>3139</v>
      </c>
      <c r="D62" s="327" t="s">
        <v>3140</v>
      </c>
      <c r="E62" s="326" t="s">
        <v>17</v>
      </c>
      <c r="F62" s="326" t="s">
        <v>3030</v>
      </c>
      <c r="G62" s="326" t="s">
        <v>3031</v>
      </c>
      <c r="H62" s="322" t="str">
        <f t="shared" si="0"/>
        <v>Lê Nhật Anh_11AT2</v>
      </c>
      <c r="I62" s="322" t="s">
        <v>3334</v>
      </c>
    </row>
    <row r="63" spans="1:9">
      <c r="A63" s="325">
        <v>57</v>
      </c>
      <c r="B63" s="326" t="s">
        <v>1496</v>
      </c>
      <c r="C63" s="326" t="s">
        <v>3141</v>
      </c>
      <c r="D63" s="327" t="s">
        <v>3142</v>
      </c>
      <c r="E63" s="326" t="s">
        <v>3029</v>
      </c>
      <c r="F63" s="326" t="s">
        <v>3030</v>
      </c>
      <c r="G63" s="326" t="s">
        <v>3031</v>
      </c>
      <c r="H63" s="322" t="str">
        <f t="shared" si="0"/>
        <v>Trần Thị Nhã Loan_11AT2</v>
      </c>
      <c r="I63" s="322" t="s">
        <v>3334</v>
      </c>
    </row>
    <row r="64" spans="1:9">
      <c r="A64" s="325">
        <v>58</v>
      </c>
      <c r="B64" s="326" t="s">
        <v>1496</v>
      </c>
      <c r="C64" s="326" t="s">
        <v>3143</v>
      </c>
      <c r="D64" s="327" t="s">
        <v>3144</v>
      </c>
      <c r="E64" s="326" t="s">
        <v>17</v>
      </c>
      <c r="F64" s="326" t="s">
        <v>3030</v>
      </c>
      <c r="G64" s="326" t="s">
        <v>3031</v>
      </c>
      <c r="H64" s="322" t="str">
        <f t="shared" si="0"/>
        <v>Trần Hoàng Nam_11AT2</v>
      </c>
      <c r="I64" s="322" t="s">
        <v>3334</v>
      </c>
    </row>
    <row r="65" spans="1:9">
      <c r="A65" s="325">
        <v>59</v>
      </c>
      <c r="B65" s="326" t="s">
        <v>1496</v>
      </c>
      <c r="C65" s="326" t="s">
        <v>3145</v>
      </c>
      <c r="D65" s="327" t="s">
        <v>3146</v>
      </c>
      <c r="E65" s="326" t="s">
        <v>17</v>
      </c>
      <c r="F65" s="326" t="s">
        <v>3030</v>
      </c>
      <c r="G65" s="326" t="s">
        <v>3031</v>
      </c>
      <c r="H65" s="322" t="str">
        <f t="shared" si="0"/>
        <v>Nguyễn Huỳnh Phúc_11AT2</v>
      </c>
      <c r="I65" s="322" t="s">
        <v>3334</v>
      </c>
    </row>
    <row r="66" spans="1:9">
      <c r="A66" s="325">
        <v>60</v>
      </c>
      <c r="B66" s="326" t="s">
        <v>1496</v>
      </c>
      <c r="C66" s="326" t="s">
        <v>3147</v>
      </c>
      <c r="D66" s="327" t="s">
        <v>3148</v>
      </c>
      <c r="E66" s="326" t="s">
        <v>3029</v>
      </c>
      <c r="F66" s="326" t="s">
        <v>3030</v>
      </c>
      <c r="G66" s="326" t="s">
        <v>3031</v>
      </c>
      <c r="H66" s="322" t="str">
        <f t="shared" si="0"/>
        <v>Nguyễn Thị Thanh Trúc_11AT2</v>
      </c>
      <c r="I66" s="322" t="s">
        <v>3334</v>
      </c>
    </row>
    <row r="67" spans="1:9">
      <c r="A67" s="325">
        <v>61</v>
      </c>
      <c r="B67" s="326" t="s">
        <v>1565</v>
      </c>
      <c r="C67" s="326" t="s">
        <v>3149</v>
      </c>
      <c r="D67" s="327" t="s">
        <v>3150</v>
      </c>
      <c r="E67" s="326" t="s">
        <v>3029</v>
      </c>
      <c r="F67" s="326" t="s">
        <v>3151</v>
      </c>
      <c r="G67" s="326" t="s">
        <v>3031</v>
      </c>
      <c r="H67" s="322" t="str">
        <f t="shared" si="0"/>
        <v>Điểu Thị Ngọc_11AT3</v>
      </c>
      <c r="I67" s="322" t="s">
        <v>3334</v>
      </c>
    </row>
    <row r="68" spans="1:9">
      <c r="A68" s="325">
        <v>62</v>
      </c>
      <c r="B68" s="326" t="s">
        <v>1565</v>
      </c>
      <c r="C68" s="326" t="s">
        <v>3152</v>
      </c>
      <c r="D68" s="327" t="s">
        <v>3153</v>
      </c>
      <c r="E68" s="326" t="s">
        <v>3029</v>
      </c>
      <c r="F68" s="326" t="s">
        <v>3030</v>
      </c>
      <c r="G68" s="326" t="s">
        <v>3154</v>
      </c>
      <c r="H68" s="322" t="str">
        <f t="shared" si="0"/>
        <v>Nguyễn Thị Kiều Oanh_11AT3</v>
      </c>
      <c r="I68" s="322" t="s">
        <v>3334</v>
      </c>
    </row>
    <row r="69" spans="1:9">
      <c r="A69" s="325">
        <v>63</v>
      </c>
      <c r="B69" s="326" t="s">
        <v>1565</v>
      </c>
      <c r="C69" s="326" t="s">
        <v>3335</v>
      </c>
      <c r="D69" s="327" t="s">
        <v>3336</v>
      </c>
      <c r="E69" s="326" t="s">
        <v>3029</v>
      </c>
      <c r="F69" s="326" t="s">
        <v>3030</v>
      </c>
      <c r="G69" s="326" t="s">
        <v>3031</v>
      </c>
      <c r="H69" s="322" t="str">
        <f>C69&amp;"_"&amp;B69</f>
        <v>Vũ Tường Vi_11AT3</v>
      </c>
      <c r="I69" s="322" t="s">
        <v>3334</v>
      </c>
    </row>
    <row r="70" spans="1:9">
      <c r="A70" s="325">
        <v>64</v>
      </c>
      <c r="B70" s="326" t="s">
        <v>1567</v>
      </c>
      <c r="C70" s="326" t="s">
        <v>3155</v>
      </c>
      <c r="D70" s="327" t="s">
        <v>3156</v>
      </c>
      <c r="E70" s="326" t="s">
        <v>17</v>
      </c>
      <c r="F70" s="326" t="s">
        <v>3030</v>
      </c>
      <c r="G70" s="326" t="s">
        <v>3154</v>
      </c>
      <c r="H70" s="322" t="str">
        <f t="shared" si="0"/>
        <v>Nguyễn Hoàng Hải Đăng_11AT4</v>
      </c>
      <c r="I70" s="322" t="s">
        <v>3334</v>
      </c>
    </row>
    <row r="71" spans="1:9">
      <c r="A71" s="325">
        <v>65</v>
      </c>
      <c r="B71" s="326" t="s">
        <v>1567</v>
      </c>
      <c r="C71" s="326" t="s">
        <v>3157</v>
      </c>
      <c r="D71" s="327" t="s">
        <v>3158</v>
      </c>
      <c r="E71" s="326" t="s">
        <v>3029</v>
      </c>
      <c r="F71" s="326" t="s">
        <v>3030</v>
      </c>
      <c r="G71" s="326" t="s">
        <v>3136</v>
      </c>
      <c r="H71" s="322" t="str">
        <f t="shared" si="0"/>
        <v>Lê Ngọc Hân_11AT4</v>
      </c>
      <c r="I71" s="322" t="s">
        <v>3334</v>
      </c>
    </row>
    <row r="72" spans="1:9">
      <c r="A72" s="325">
        <v>66</v>
      </c>
      <c r="B72" s="326" t="s">
        <v>1626</v>
      </c>
      <c r="C72" s="326" t="s">
        <v>3159</v>
      </c>
      <c r="D72" s="327" t="s">
        <v>3160</v>
      </c>
      <c r="E72" s="326" t="s">
        <v>3029</v>
      </c>
      <c r="F72" s="326" t="s">
        <v>3030</v>
      </c>
      <c r="G72" s="326" t="s">
        <v>3136</v>
      </c>
      <c r="H72" s="322" t="str">
        <f t="shared" si="0"/>
        <v>Bùi Thanh Thủy_11AT5</v>
      </c>
      <c r="I72" s="322" t="s">
        <v>3334</v>
      </c>
    </row>
    <row r="73" spans="1:9">
      <c r="A73" s="325">
        <v>67</v>
      </c>
      <c r="B73" s="326" t="s">
        <v>1626</v>
      </c>
      <c r="C73" s="326" t="s">
        <v>3161</v>
      </c>
      <c r="D73" s="327" t="s">
        <v>3162</v>
      </c>
      <c r="E73" s="326" t="s">
        <v>3029</v>
      </c>
      <c r="F73" s="326" t="s">
        <v>25</v>
      </c>
      <c r="G73" s="326" t="s">
        <v>3031</v>
      </c>
      <c r="H73" s="322" t="str">
        <f t="shared" ref="H73:H136" si="1">C73&amp;"_"&amp;B73</f>
        <v>Hà Thị Khánh Vy_11AT5</v>
      </c>
      <c r="I73" s="322" t="s">
        <v>3334</v>
      </c>
    </row>
    <row r="74" spans="1:9">
      <c r="A74" s="325">
        <v>68</v>
      </c>
      <c r="B74" s="326" t="s">
        <v>1626</v>
      </c>
      <c r="C74" s="326" t="s">
        <v>3163</v>
      </c>
      <c r="D74" s="327" t="s">
        <v>3164</v>
      </c>
      <c r="E74" s="326" t="s">
        <v>3029</v>
      </c>
      <c r="F74" s="326" t="s">
        <v>3030</v>
      </c>
      <c r="G74" s="326" t="s">
        <v>3154</v>
      </c>
      <c r="H74" s="322" t="str">
        <f t="shared" si="1"/>
        <v>Nguyễn Thị Ngọc Vy_11AT5</v>
      </c>
      <c r="I74" s="322" t="s">
        <v>3334</v>
      </c>
    </row>
    <row r="75" spans="1:9">
      <c r="A75" s="325">
        <v>69</v>
      </c>
      <c r="B75" s="326" t="s">
        <v>1628</v>
      </c>
      <c r="C75" s="326" t="s">
        <v>3165</v>
      </c>
      <c r="D75" s="327" t="s">
        <v>3166</v>
      </c>
      <c r="E75" s="326" t="s">
        <v>17</v>
      </c>
      <c r="F75" s="326" t="s">
        <v>3030</v>
      </c>
      <c r="G75" s="326" t="s">
        <v>3031</v>
      </c>
      <c r="H75" s="322" t="str">
        <f t="shared" si="1"/>
        <v>Trịnh Nguyễn Tường Lâm_11AT6</v>
      </c>
      <c r="I75" s="322" t="s">
        <v>3334</v>
      </c>
    </row>
    <row r="76" spans="1:9">
      <c r="A76" s="325">
        <v>70</v>
      </c>
      <c r="B76" s="326" t="s">
        <v>1628</v>
      </c>
      <c r="C76" s="326" t="s">
        <v>3167</v>
      </c>
      <c r="D76" s="327" t="s">
        <v>3168</v>
      </c>
      <c r="E76" s="326" t="s">
        <v>17</v>
      </c>
      <c r="F76" s="326" t="s">
        <v>3030</v>
      </c>
      <c r="G76" s="326" t="s">
        <v>3031</v>
      </c>
      <c r="H76" s="322" t="str">
        <f t="shared" si="1"/>
        <v>Lê Duy Hoàng Tùng_11AT6</v>
      </c>
      <c r="I76" s="322" t="s">
        <v>3334</v>
      </c>
    </row>
    <row r="77" spans="1:9">
      <c r="A77" s="325">
        <v>71</v>
      </c>
      <c r="B77" s="326" t="s">
        <v>1628</v>
      </c>
      <c r="C77" s="326" t="s">
        <v>3169</v>
      </c>
      <c r="D77" s="327" t="s">
        <v>3170</v>
      </c>
      <c r="E77" s="326" t="s">
        <v>3029</v>
      </c>
      <c r="F77" s="326" t="s">
        <v>3030</v>
      </c>
      <c r="G77" s="326" t="s">
        <v>3154</v>
      </c>
      <c r="H77" s="322" t="str">
        <f t="shared" si="1"/>
        <v>Nguyễn Ngọc Minh Vy_11AT6</v>
      </c>
      <c r="I77" s="322" t="s">
        <v>3334</v>
      </c>
    </row>
    <row r="78" spans="1:9">
      <c r="A78" s="325">
        <v>72</v>
      </c>
      <c r="B78" s="326" t="s">
        <v>1684</v>
      </c>
      <c r="C78" s="326" t="s">
        <v>3171</v>
      </c>
      <c r="D78" s="327" t="s">
        <v>3172</v>
      </c>
      <c r="E78" s="326" t="s">
        <v>3029</v>
      </c>
      <c r="F78" s="326" t="s">
        <v>3030</v>
      </c>
      <c r="G78" s="326" t="s">
        <v>3154</v>
      </c>
      <c r="H78" s="322" t="str">
        <f t="shared" si="1"/>
        <v>Nguyễn Thị Uyển Nhi_11AT7</v>
      </c>
      <c r="I78" s="322" t="s">
        <v>3334</v>
      </c>
    </row>
    <row r="79" spans="1:9">
      <c r="A79" s="325">
        <v>73</v>
      </c>
      <c r="B79" s="326" t="s">
        <v>1710</v>
      </c>
      <c r="C79" s="326" t="s">
        <v>3173</v>
      </c>
      <c r="D79" s="327" t="s">
        <v>3174</v>
      </c>
      <c r="E79" s="326" t="s">
        <v>17</v>
      </c>
      <c r="F79" s="326" t="s">
        <v>3030</v>
      </c>
      <c r="G79" s="326" t="s">
        <v>3154</v>
      </c>
      <c r="H79" s="322" t="str">
        <f t="shared" si="1"/>
        <v>Phạm Quang Khải_11AT8</v>
      </c>
      <c r="I79" s="322" t="s">
        <v>3334</v>
      </c>
    </row>
    <row r="80" spans="1:9">
      <c r="A80" s="325">
        <v>74</v>
      </c>
      <c r="B80" s="326" t="s">
        <v>1710</v>
      </c>
      <c r="C80" s="326" t="s">
        <v>3175</v>
      </c>
      <c r="D80" s="327" t="s">
        <v>3176</v>
      </c>
      <c r="E80" s="326" t="s">
        <v>17</v>
      </c>
      <c r="F80" s="326" t="s">
        <v>3030</v>
      </c>
      <c r="G80" s="326" t="s">
        <v>3031</v>
      </c>
      <c r="H80" s="322" t="str">
        <f t="shared" si="1"/>
        <v>Lê Hà Gia Kiệt_11AT8</v>
      </c>
      <c r="I80" s="322" t="s">
        <v>3334</v>
      </c>
    </row>
    <row r="81" spans="1:9">
      <c r="A81" s="325">
        <v>75</v>
      </c>
      <c r="B81" s="326" t="s">
        <v>1710</v>
      </c>
      <c r="C81" s="326" t="s">
        <v>3177</v>
      </c>
      <c r="D81" s="327" t="s">
        <v>3178</v>
      </c>
      <c r="E81" s="326" t="s">
        <v>17</v>
      </c>
      <c r="F81" s="326" t="s">
        <v>3030</v>
      </c>
      <c r="G81" s="326" t="s">
        <v>3031</v>
      </c>
      <c r="H81" s="322" t="str">
        <f t="shared" si="1"/>
        <v>Nguyễn Quang Duy Thành_11AT8</v>
      </c>
      <c r="I81" s="322" t="s">
        <v>3334</v>
      </c>
    </row>
    <row r="82" spans="1:9">
      <c r="A82" s="325">
        <v>76</v>
      </c>
      <c r="B82" s="326" t="s">
        <v>1710</v>
      </c>
      <c r="C82" s="326" t="s">
        <v>3179</v>
      </c>
      <c r="D82" s="327" t="s">
        <v>3180</v>
      </c>
      <c r="E82" s="326" t="s">
        <v>17</v>
      </c>
      <c r="F82" s="326" t="s">
        <v>3030</v>
      </c>
      <c r="G82" s="326" t="s">
        <v>3031</v>
      </c>
      <c r="H82" s="322" t="str">
        <f t="shared" si="1"/>
        <v>Vũ Đức Thiện_11AT8</v>
      </c>
      <c r="I82" s="322" t="s">
        <v>3334</v>
      </c>
    </row>
    <row r="83" spans="1:9">
      <c r="A83" s="325">
        <v>77</v>
      </c>
      <c r="B83" s="326" t="s">
        <v>2324</v>
      </c>
      <c r="C83" s="326" t="s">
        <v>3181</v>
      </c>
      <c r="D83" s="327" t="s">
        <v>3182</v>
      </c>
      <c r="E83" s="326" t="s">
        <v>17</v>
      </c>
      <c r="F83" s="326" t="s">
        <v>3030</v>
      </c>
      <c r="G83" s="326" t="s">
        <v>3154</v>
      </c>
      <c r="H83" s="322" t="str">
        <f t="shared" si="1"/>
        <v>Lê Ngọc Thiên Ân_11VH1</v>
      </c>
      <c r="I83" s="322" t="s">
        <v>3334</v>
      </c>
    </row>
    <row r="84" spans="1:9">
      <c r="A84" s="325">
        <v>78</v>
      </c>
      <c r="B84" s="326" t="s">
        <v>2324</v>
      </c>
      <c r="C84" s="326" t="s">
        <v>3183</v>
      </c>
      <c r="D84" s="327" t="s">
        <v>3184</v>
      </c>
      <c r="E84" s="326" t="s">
        <v>17</v>
      </c>
      <c r="F84" s="326" t="s">
        <v>3030</v>
      </c>
      <c r="G84" s="326" t="s">
        <v>3154</v>
      </c>
      <c r="H84" s="322" t="str">
        <f t="shared" si="1"/>
        <v>Ong Văn Tiến_11VH1</v>
      </c>
      <c r="I84" s="322" t="s">
        <v>3334</v>
      </c>
    </row>
    <row r="85" spans="1:9">
      <c r="A85" s="325">
        <v>79</v>
      </c>
      <c r="B85" s="326" t="s">
        <v>2322</v>
      </c>
      <c r="C85" s="326" t="s">
        <v>3185</v>
      </c>
      <c r="D85" s="327" t="s">
        <v>3186</v>
      </c>
      <c r="E85" s="326" t="s">
        <v>17</v>
      </c>
      <c r="F85" s="326" t="s">
        <v>3030</v>
      </c>
      <c r="G85" s="326" t="s">
        <v>3031</v>
      </c>
      <c r="H85" s="322" t="str">
        <f t="shared" si="1"/>
        <v>Nguyễn Thiện Khôi_11VH2</v>
      </c>
      <c r="I85" s="322" t="s">
        <v>3334</v>
      </c>
    </row>
    <row r="86" spans="1:9">
      <c r="A86" s="325">
        <v>80</v>
      </c>
      <c r="B86" s="326" t="s">
        <v>2322</v>
      </c>
      <c r="C86" s="326" t="s">
        <v>3187</v>
      </c>
      <c r="D86" s="327" t="s">
        <v>3188</v>
      </c>
      <c r="E86" s="326" t="s">
        <v>3029</v>
      </c>
      <c r="F86" s="326" t="s">
        <v>3030</v>
      </c>
      <c r="G86" s="326" t="s">
        <v>3154</v>
      </c>
      <c r="H86" s="322" t="str">
        <f t="shared" si="1"/>
        <v>Lại Hoàng Trà My_11VH2</v>
      </c>
      <c r="I86" s="322" t="s">
        <v>3334</v>
      </c>
    </row>
    <row r="87" spans="1:9">
      <c r="A87" s="325">
        <v>81</v>
      </c>
      <c r="B87" s="326" t="s">
        <v>2322</v>
      </c>
      <c r="C87" s="326" t="s">
        <v>3189</v>
      </c>
      <c r="D87" s="327" t="s">
        <v>3190</v>
      </c>
      <c r="E87" s="326" t="s">
        <v>17</v>
      </c>
      <c r="F87" s="326" t="s">
        <v>3030</v>
      </c>
      <c r="G87" s="326" t="s">
        <v>3154</v>
      </c>
      <c r="H87" s="322" t="str">
        <f t="shared" si="1"/>
        <v>Phan Nhật Thiên_11VH2</v>
      </c>
      <c r="I87" s="322" t="s">
        <v>3334</v>
      </c>
    </row>
    <row r="88" spans="1:9">
      <c r="A88" s="325">
        <v>82</v>
      </c>
      <c r="B88" s="326" t="s">
        <v>2396</v>
      </c>
      <c r="C88" s="326" t="s">
        <v>3191</v>
      </c>
      <c r="D88" s="327" t="s">
        <v>3192</v>
      </c>
      <c r="E88" s="326" t="s">
        <v>17</v>
      </c>
      <c r="F88" s="326" t="s">
        <v>3030</v>
      </c>
      <c r="G88" s="326" t="s">
        <v>3154</v>
      </c>
      <c r="H88" s="322" t="str">
        <f t="shared" si="1"/>
        <v>Nguyễn Hoài An_11VH3</v>
      </c>
      <c r="I88" s="322" t="s">
        <v>3334</v>
      </c>
    </row>
    <row r="89" spans="1:9">
      <c r="A89" s="325">
        <v>83</v>
      </c>
      <c r="B89" s="326" t="s">
        <v>2396</v>
      </c>
      <c r="C89" s="326" t="s">
        <v>3193</v>
      </c>
      <c r="D89" s="327" t="s">
        <v>3194</v>
      </c>
      <c r="E89" s="326" t="s">
        <v>17</v>
      </c>
      <c r="F89" s="326" t="s">
        <v>3030</v>
      </c>
      <c r="G89" s="326" t="s">
        <v>3154</v>
      </c>
      <c r="H89" s="322" t="str">
        <f t="shared" si="1"/>
        <v>Huỳnh Tuấn Anh_11VH3</v>
      </c>
      <c r="I89" s="322" t="s">
        <v>3334</v>
      </c>
    </row>
    <row r="90" spans="1:9">
      <c r="A90" s="325">
        <v>84</v>
      </c>
      <c r="B90" s="326" t="s">
        <v>2396</v>
      </c>
      <c r="C90" s="326" t="s">
        <v>3195</v>
      </c>
      <c r="D90" s="327" t="s">
        <v>3196</v>
      </c>
      <c r="E90" s="326" t="s">
        <v>17</v>
      </c>
      <c r="F90" s="326" t="s">
        <v>3030</v>
      </c>
      <c r="G90" s="326" t="s">
        <v>3154</v>
      </c>
      <c r="H90" s="322" t="str">
        <f t="shared" si="1"/>
        <v>Phan Thanh Bình_11VH3</v>
      </c>
      <c r="I90" s="322" t="s">
        <v>3334</v>
      </c>
    </row>
    <row r="91" spans="1:9">
      <c r="A91" s="325">
        <v>85</v>
      </c>
      <c r="B91" s="326" t="s">
        <v>2396</v>
      </c>
      <c r="C91" s="326" t="s">
        <v>3197</v>
      </c>
      <c r="D91" s="327" t="s">
        <v>3198</v>
      </c>
      <c r="E91" s="326" t="s">
        <v>17</v>
      </c>
      <c r="F91" s="326" t="s">
        <v>3030</v>
      </c>
      <c r="G91" s="326" t="s">
        <v>3031</v>
      </c>
      <c r="H91" s="322" t="str">
        <f t="shared" si="1"/>
        <v>Nguyễn Hoàng Hiệp_11VH3</v>
      </c>
      <c r="I91" s="322" t="s">
        <v>3334</v>
      </c>
    </row>
    <row r="92" spans="1:9">
      <c r="A92" s="325">
        <v>86</v>
      </c>
      <c r="B92" s="326" t="s">
        <v>2396</v>
      </c>
      <c r="C92" s="326" t="s">
        <v>3199</v>
      </c>
      <c r="D92" s="327" t="s">
        <v>3200</v>
      </c>
      <c r="E92" s="326" t="s">
        <v>17</v>
      </c>
      <c r="F92" s="326" t="s">
        <v>3030</v>
      </c>
      <c r="G92" s="326" t="s">
        <v>3031</v>
      </c>
      <c r="H92" s="322" t="str">
        <f t="shared" si="1"/>
        <v>Nguyễn Bảo Long_11VH3</v>
      </c>
      <c r="I92" s="322" t="s">
        <v>3334</v>
      </c>
    </row>
    <row r="93" spans="1:9">
      <c r="A93" s="325">
        <v>87</v>
      </c>
      <c r="B93" s="326" t="s">
        <v>2396</v>
      </c>
      <c r="C93" s="326" t="s">
        <v>3201</v>
      </c>
      <c r="D93" s="327" t="s">
        <v>3202</v>
      </c>
      <c r="E93" s="326" t="s">
        <v>3029</v>
      </c>
      <c r="F93" s="326" t="s">
        <v>3030</v>
      </c>
      <c r="G93" s="326" t="s">
        <v>3031</v>
      </c>
      <c r="H93" s="322" t="str">
        <f t="shared" si="1"/>
        <v>Nguyễn Ngọc Huỳnh Như_11VH3</v>
      </c>
      <c r="I93" s="322" t="s">
        <v>3334</v>
      </c>
    </row>
    <row r="94" spans="1:9">
      <c r="A94" s="325">
        <v>88</v>
      </c>
      <c r="B94" s="326" t="s">
        <v>2396</v>
      </c>
      <c r="C94" s="326" t="s">
        <v>3203</v>
      </c>
      <c r="D94" s="327" t="s">
        <v>3204</v>
      </c>
      <c r="E94" s="326" t="s">
        <v>17</v>
      </c>
      <c r="F94" s="326" t="s">
        <v>3030</v>
      </c>
      <c r="G94" s="326" t="s">
        <v>3031</v>
      </c>
      <c r="H94" s="322" t="str">
        <f t="shared" si="1"/>
        <v>Nguyễn Quang Tuấn_11VH3</v>
      </c>
      <c r="I94" s="322" t="s">
        <v>3334</v>
      </c>
    </row>
    <row r="95" spans="1:9">
      <c r="A95" s="325">
        <v>89</v>
      </c>
      <c r="B95" s="326" t="s">
        <v>2398</v>
      </c>
      <c r="C95" s="326" t="s">
        <v>3205</v>
      </c>
      <c r="D95" s="327" t="s">
        <v>3206</v>
      </c>
      <c r="E95" s="326" t="s">
        <v>17</v>
      </c>
      <c r="F95" s="326" t="s">
        <v>3030</v>
      </c>
      <c r="G95" s="326" t="s">
        <v>3031</v>
      </c>
      <c r="H95" s="322" t="str">
        <f t="shared" si="1"/>
        <v>Lương Hoàng Tâm An_11VH4</v>
      </c>
      <c r="I95" s="322" t="s">
        <v>3334</v>
      </c>
    </row>
    <row r="96" spans="1:9">
      <c r="A96" s="325">
        <v>90</v>
      </c>
      <c r="B96" s="326" t="s">
        <v>2398</v>
      </c>
      <c r="C96" s="326" t="s">
        <v>3207</v>
      </c>
      <c r="D96" s="327" t="s">
        <v>3208</v>
      </c>
      <c r="E96" s="326" t="s">
        <v>3029</v>
      </c>
      <c r="F96" s="326" t="s">
        <v>3030</v>
      </c>
      <c r="G96" s="326" t="s">
        <v>3031</v>
      </c>
      <c r="H96" s="322" t="str">
        <f t="shared" si="1"/>
        <v>Đào Thị Linh Giang_11VH4</v>
      </c>
      <c r="I96" s="322" t="s">
        <v>3334</v>
      </c>
    </row>
    <row r="97" spans="1:9">
      <c r="A97" s="325">
        <v>91</v>
      </c>
      <c r="B97" s="326" t="s">
        <v>2398</v>
      </c>
      <c r="C97" s="326" t="s">
        <v>3209</v>
      </c>
      <c r="D97" s="327" t="s">
        <v>3210</v>
      </c>
      <c r="E97" s="326" t="s">
        <v>3029</v>
      </c>
      <c r="F97" s="326" t="s">
        <v>3030</v>
      </c>
      <c r="G97" s="326" t="s">
        <v>3154</v>
      </c>
      <c r="H97" s="322" t="str">
        <f t="shared" si="1"/>
        <v>Đinh Thị Lan_11VH4</v>
      </c>
      <c r="I97" s="322" t="s">
        <v>3334</v>
      </c>
    </row>
    <row r="98" spans="1:9">
      <c r="A98" s="325">
        <v>92</v>
      </c>
      <c r="B98" s="326" t="s">
        <v>2398</v>
      </c>
      <c r="C98" s="326" t="s">
        <v>3211</v>
      </c>
      <c r="D98" s="327" t="s">
        <v>3212</v>
      </c>
      <c r="E98" s="326" t="s">
        <v>17</v>
      </c>
      <c r="F98" s="326" t="s">
        <v>3030</v>
      </c>
      <c r="G98" s="326" t="s">
        <v>3031</v>
      </c>
      <c r="H98" s="322" t="str">
        <f t="shared" si="1"/>
        <v>Nguyễn Ngọc Long_11VH4</v>
      </c>
      <c r="I98" s="322" t="s">
        <v>3334</v>
      </c>
    </row>
    <row r="99" spans="1:9">
      <c r="A99" s="325">
        <v>93</v>
      </c>
      <c r="B99" s="326" t="s">
        <v>2398</v>
      </c>
      <c r="C99" s="326" t="s">
        <v>3213</v>
      </c>
      <c r="D99" s="327" t="s">
        <v>3214</v>
      </c>
      <c r="E99" s="326" t="s">
        <v>3029</v>
      </c>
      <c r="F99" s="326" t="s">
        <v>3030</v>
      </c>
      <c r="G99" s="326" t="s">
        <v>3154</v>
      </c>
      <c r="H99" s="322" t="str">
        <f t="shared" si="1"/>
        <v>Nguyễn Thị Cẩm Tiên_11VH4</v>
      </c>
      <c r="I99" s="322" t="s">
        <v>3334</v>
      </c>
    </row>
    <row r="100" spans="1:9">
      <c r="A100" s="325">
        <v>94</v>
      </c>
      <c r="B100" s="326" t="s">
        <v>2399</v>
      </c>
      <c r="C100" s="326" t="s">
        <v>3215</v>
      </c>
      <c r="D100" s="327" t="s">
        <v>3216</v>
      </c>
      <c r="E100" s="326" t="s">
        <v>17</v>
      </c>
      <c r="F100" s="326" t="s">
        <v>3030</v>
      </c>
      <c r="G100" s="326" t="s">
        <v>3154</v>
      </c>
      <c r="H100" s="322" t="str">
        <f t="shared" si="1"/>
        <v>Chu Đình Thái Hòa_11VH5</v>
      </c>
      <c r="I100" s="322" t="s">
        <v>3334</v>
      </c>
    </row>
    <row r="101" spans="1:9">
      <c r="A101" s="325">
        <v>95</v>
      </c>
      <c r="B101" s="326" t="s">
        <v>2399</v>
      </c>
      <c r="C101" s="326" t="s">
        <v>3217</v>
      </c>
      <c r="D101" s="327" t="s">
        <v>3218</v>
      </c>
      <c r="E101" s="326" t="s">
        <v>17</v>
      </c>
      <c r="F101" s="326" t="s">
        <v>3030</v>
      </c>
      <c r="G101" s="326" t="s">
        <v>3031</v>
      </c>
      <c r="H101" s="322" t="str">
        <f t="shared" si="1"/>
        <v>Nguyễn Hải Phong_11VH5</v>
      </c>
      <c r="I101" s="322" t="s">
        <v>3334</v>
      </c>
    </row>
    <row r="102" spans="1:9">
      <c r="A102" s="325">
        <v>96</v>
      </c>
      <c r="B102" s="326" t="s">
        <v>3002</v>
      </c>
      <c r="C102" s="326" t="s">
        <v>3219</v>
      </c>
      <c r="D102" s="327" t="s">
        <v>3220</v>
      </c>
      <c r="E102" s="326" t="s">
        <v>3029</v>
      </c>
      <c r="F102" s="326" t="s">
        <v>3030</v>
      </c>
      <c r="G102" s="326" t="s">
        <v>3154</v>
      </c>
      <c r="H102" s="322" t="str">
        <f t="shared" si="1"/>
        <v>Trần Ngọc Mỹ Ngân_11KT1</v>
      </c>
      <c r="I102" s="322" t="s">
        <v>3334</v>
      </c>
    </row>
    <row r="103" spans="1:9">
      <c r="A103" s="325">
        <v>97</v>
      </c>
      <c r="B103" s="326" t="s">
        <v>3002</v>
      </c>
      <c r="C103" s="326" t="s">
        <v>3221</v>
      </c>
      <c r="D103" s="327" t="s">
        <v>3222</v>
      </c>
      <c r="E103" s="326" t="s">
        <v>3029</v>
      </c>
      <c r="F103" s="326" t="s">
        <v>3030</v>
      </c>
      <c r="G103" s="326" t="s">
        <v>3154</v>
      </c>
      <c r="H103" s="322" t="str">
        <f t="shared" si="1"/>
        <v>Nguyễn Tường Vy_11KT1</v>
      </c>
      <c r="I103" s="322" t="s">
        <v>3334</v>
      </c>
    </row>
    <row r="104" spans="1:9">
      <c r="A104" s="325">
        <v>98</v>
      </c>
      <c r="B104" s="326" t="s">
        <v>3001</v>
      </c>
      <c r="C104" s="326" t="s">
        <v>3223</v>
      </c>
      <c r="D104" s="327" t="s">
        <v>3224</v>
      </c>
      <c r="E104" s="326" t="s">
        <v>17</v>
      </c>
      <c r="F104" s="326" t="s">
        <v>3030</v>
      </c>
      <c r="G104" s="326" t="s">
        <v>3031</v>
      </c>
      <c r="H104" s="322" t="str">
        <f t="shared" si="1"/>
        <v>Lê Hồng Khang_11KT2</v>
      </c>
      <c r="I104" s="322" t="s">
        <v>3334</v>
      </c>
    </row>
    <row r="105" spans="1:9">
      <c r="A105" s="325">
        <v>99</v>
      </c>
      <c r="B105" s="326" t="s">
        <v>3000</v>
      </c>
      <c r="C105" s="326" t="s">
        <v>3225</v>
      </c>
      <c r="D105" s="327" t="s">
        <v>3226</v>
      </c>
      <c r="E105" s="326" t="s">
        <v>17</v>
      </c>
      <c r="F105" s="326" t="s">
        <v>3030</v>
      </c>
      <c r="G105" s="326" t="s">
        <v>3154</v>
      </c>
      <c r="H105" s="322" t="str">
        <f t="shared" si="1"/>
        <v>Nguyễn Minh Hưng_11KT3</v>
      </c>
      <c r="I105" s="322" t="s">
        <v>3334</v>
      </c>
    </row>
    <row r="106" spans="1:9">
      <c r="A106" s="325">
        <v>100</v>
      </c>
      <c r="B106" s="326" t="s">
        <v>3000</v>
      </c>
      <c r="C106" s="326" t="s">
        <v>3227</v>
      </c>
      <c r="D106" s="327" t="s">
        <v>3228</v>
      </c>
      <c r="E106" s="326" t="s">
        <v>3029</v>
      </c>
      <c r="F106" s="326" t="s">
        <v>3030</v>
      </c>
      <c r="G106" s="326" t="s">
        <v>3154</v>
      </c>
      <c r="H106" s="322" t="str">
        <f t="shared" si="1"/>
        <v>Nguyễn Ngọc Minh Thư_11KT3</v>
      </c>
      <c r="I106" s="322" t="s">
        <v>3334</v>
      </c>
    </row>
    <row r="107" spans="1:9">
      <c r="A107" s="325">
        <v>101</v>
      </c>
      <c r="B107" s="326" t="s">
        <v>3003</v>
      </c>
      <c r="C107" s="326" t="s">
        <v>3229</v>
      </c>
      <c r="D107" s="327" t="s">
        <v>3230</v>
      </c>
      <c r="E107" s="326" t="s">
        <v>3029</v>
      </c>
      <c r="F107" s="326" t="s">
        <v>3030</v>
      </c>
      <c r="G107" s="326" t="s">
        <v>3136</v>
      </c>
      <c r="H107" s="322" t="str">
        <f t="shared" si="1"/>
        <v>Đặng Thùy Dương_11KT4</v>
      </c>
      <c r="I107" s="322" t="s">
        <v>3334</v>
      </c>
    </row>
    <row r="108" spans="1:9">
      <c r="A108" s="325">
        <v>102</v>
      </c>
      <c r="B108" s="326" t="s">
        <v>3003</v>
      </c>
      <c r="C108" s="326" t="s">
        <v>3231</v>
      </c>
      <c r="D108" s="327" t="s">
        <v>3232</v>
      </c>
      <c r="E108" s="326" t="s">
        <v>17</v>
      </c>
      <c r="F108" s="326" t="s">
        <v>3030</v>
      </c>
      <c r="G108" s="326" t="s">
        <v>3031</v>
      </c>
      <c r="H108" s="322" t="str">
        <f t="shared" si="1"/>
        <v>Nguyễn Giang Thanh_11KT4</v>
      </c>
      <c r="I108" s="322" t="s">
        <v>3334</v>
      </c>
    </row>
    <row r="109" spans="1:9">
      <c r="A109" s="325">
        <v>103</v>
      </c>
      <c r="B109" s="326" t="s">
        <v>3003</v>
      </c>
      <c r="C109" s="326" t="s">
        <v>3233</v>
      </c>
      <c r="D109" s="327" t="s">
        <v>3234</v>
      </c>
      <c r="E109" s="326" t="s">
        <v>3029</v>
      </c>
      <c r="F109" s="326" t="s">
        <v>3030</v>
      </c>
      <c r="G109" s="326" t="s">
        <v>3154</v>
      </c>
      <c r="H109" s="322" t="str">
        <f t="shared" si="1"/>
        <v>Đinh Thị Thanh Trúc_11KT4</v>
      </c>
      <c r="I109" s="322" t="s">
        <v>3334</v>
      </c>
    </row>
    <row r="110" spans="1:9">
      <c r="A110" s="325">
        <v>104</v>
      </c>
      <c r="B110" s="326" t="s">
        <v>422</v>
      </c>
      <c r="C110" s="326" t="s">
        <v>3235</v>
      </c>
      <c r="D110" s="327" t="s">
        <v>3236</v>
      </c>
      <c r="E110" s="326" t="s">
        <v>17</v>
      </c>
      <c r="F110" s="326" t="s">
        <v>3030</v>
      </c>
      <c r="G110" s="326" t="s">
        <v>3154</v>
      </c>
      <c r="H110" s="322" t="str">
        <f t="shared" si="1"/>
        <v>Phùng Ngọc Minh_12AS2</v>
      </c>
      <c r="I110" s="322" t="s">
        <v>3334</v>
      </c>
    </row>
    <row r="111" spans="1:9">
      <c r="A111" s="325">
        <v>105</v>
      </c>
      <c r="B111" s="326" t="s">
        <v>422</v>
      </c>
      <c r="C111" s="326" t="s">
        <v>3237</v>
      </c>
      <c r="D111" s="327" t="s">
        <v>3115</v>
      </c>
      <c r="E111" s="326" t="s">
        <v>17</v>
      </c>
      <c r="F111" s="326" t="s">
        <v>3030</v>
      </c>
      <c r="G111" s="326" t="s">
        <v>3154</v>
      </c>
      <c r="H111" s="322" t="str">
        <f t="shared" si="1"/>
        <v>Nguyễn Duy Thái_12AS2</v>
      </c>
      <c r="I111" s="322" t="s">
        <v>3334</v>
      </c>
    </row>
    <row r="112" spans="1:9">
      <c r="A112" s="325">
        <v>106</v>
      </c>
      <c r="B112" s="326" t="s">
        <v>422</v>
      </c>
      <c r="C112" s="326" t="s">
        <v>3238</v>
      </c>
      <c r="D112" s="327" t="s">
        <v>3150</v>
      </c>
      <c r="E112" s="326" t="s">
        <v>17</v>
      </c>
      <c r="F112" s="326" t="s">
        <v>3030</v>
      </c>
      <c r="G112" s="326" t="s">
        <v>3031</v>
      </c>
      <c r="H112" s="322" t="str">
        <f t="shared" si="1"/>
        <v>Nguyễn Phan Minh Trí_12AS2</v>
      </c>
      <c r="I112" s="322" t="s">
        <v>3334</v>
      </c>
    </row>
    <row r="113" spans="1:9">
      <c r="A113" s="325">
        <v>107</v>
      </c>
      <c r="B113" s="326" t="s">
        <v>422</v>
      </c>
      <c r="C113" s="326" t="s">
        <v>3239</v>
      </c>
      <c r="D113" s="327" t="s">
        <v>3240</v>
      </c>
      <c r="E113" s="326" t="s">
        <v>17</v>
      </c>
      <c r="F113" s="326" t="s">
        <v>3030</v>
      </c>
      <c r="G113" s="326" t="s">
        <v>3154</v>
      </c>
      <c r="H113" s="322" t="str">
        <f t="shared" si="1"/>
        <v>Đào Nhật Trường_12AS2</v>
      </c>
      <c r="I113" s="322" t="s">
        <v>3334</v>
      </c>
    </row>
    <row r="114" spans="1:9">
      <c r="A114" s="325">
        <v>108</v>
      </c>
      <c r="B114" s="326" t="s">
        <v>418</v>
      </c>
      <c r="C114" s="326" t="s">
        <v>3241</v>
      </c>
      <c r="D114" s="327" t="s">
        <v>3242</v>
      </c>
      <c r="E114" s="326" t="s">
        <v>17</v>
      </c>
      <c r="F114" s="326" t="s">
        <v>3030</v>
      </c>
      <c r="G114" s="326" t="s">
        <v>3031</v>
      </c>
      <c r="H114" s="322" t="str">
        <f t="shared" si="1"/>
        <v>Nguyễn Xuân Bảo_12AS3</v>
      </c>
      <c r="I114" s="322" t="s">
        <v>3334</v>
      </c>
    </row>
    <row r="115" spans="1:9">
      <c r="A115" s="325">
        <v>109</v>
      </c>
      <c r="B115" s="326" t="s">
        <v>418</v>
      </c>
      <c r="C115" s="326" t="s">
        <v>3243</v>
      </c>
      <c r="D115" s="327" t="s">
        <v>3244</v>
      </c>
      <c r="E115" s="326" t="s">
        <v>3029</v>
      </c>
      <c r="F115" s="326" t="s">
        <v>3030</v>
      </c>
      <c r="G115" s="326" t="s">
        <v>3154</v>
      </c>
      <c r="H115" s="322" t="str">
        <f t="shared" si="1"/>
        <v>Phạm Thị Thu Huyền_12AS3</v>
      </c>
      <c r="I115" s="322" t="s">
        <v>3334</v>
      </c>
    </row>
    <row r="116" spans="1:9">
      <c r="A116" s="325">
        <v>110</v>
      </c>
      <c r="B116" s="326" t="s">
        <v>418</v>
      </c>
      <c r="C116" s="326" t="s">
        <v>3245</v>
      </c>
      <c r="D116" s="327" t="s">
        <v>3246</v>
      </c>
      <c r="E116" s="326" t="s">
        <v>17</v>
      </c>
      <c r="F116" s="326" t="s">
        <v>3030</v>
      </c>
      <c r="G116" s="326" t="s">
        <v>3031</v>
      </c>
      <c r="H116" s="322" t="str">
        <f t="shared" si="1"/>
        <v>Trần Nguyễn Nhật Minh_12AS3</v>
      </c>
      <c r="I116" s="322" t="s">
        <v>3334</v>
      </c>
    </row>
    <row r="117" spans="1:9">
      <c r="A117" s="325">
        <v>111</v>
      </c>
      <c r="B117" s="326" t="s">
        <v>418</v>
      </c>
      <c r="C117" s="326" t="s">
        <v>3247</v>
      </c>
      <c r="D117" s="327" t="s">
        <v>3248</v>
      </c>
      <c r="E117" s="326" t="s">
        <v>3029</v>
      </c>
      <c r="F117" s="326" t="s">
        <v>3030</v>
      </c>
      <c r="G117" s="326" t="s">
        <v>3136</v>
      </c>
      <c r="H117" s="322" t="str">
        <f t="shared" si="1"/>
        <v>Tô Thị Hồng Thương_12AS3</v>
      </c>
      <c r="I117" s="322" t="s">
        <v>3334</v>
      </c>
    </row>
    <row r="118" spans="1:9">
      <c r="A118" s="325">
        <v>112</v>
      </c>
      <c r="B118" s="326" t="s">
        <v>419</v>
      </c>
      <c r="C118" s="326" t="s">
        <v>3191</v>
      </c>
      <c r="D118" s="327" t="s">
        <v>3249</v>
      </c>
      <c r="E118" s="326" t="s">
        <v>3029</v>
      </c>
      <c r="F118" s="326" t="s">
        <v>3030</v>
      </c>
      <c r="G118" s="326" t="s">
        <v>3154</v>
      </c>
      <c r="H118" s="322" t="str">
        <f t="shared" si="1"/>
        <v>Nguyễn Hoài An_12AS4</v>
      </c>
      <c r="I118" s="322" t="s">
        <v>3334</v>
      </c>
    </row>
    <row r="119" spans="1:9">
      <c r="A119" s="325">
        <v>113</v>
      </c>
      <c r="B119" s="326" t="s">
        <v>419</v>
      </c>
      <c r="C119" s="326" t="s">
        <v>3250</v>
      </c>
      <c r="D119" s="327" t="s">
        <v>3251</v>
      </c>
      <c r="E119" s="326" t="s">
        <v>17</v>
      </c>
      <c r="F119" s="326" t="s">
        <v>3030</v>
      </c>
      <c r="G119" s="326" t="s">
        <v>3031</v>
      </c>
      <c r="H119" s="322" t="str">
        <f t="shared" si="1"/>
        <v>Phạm Gia Duy_12AS4</v>
      </c>
      <c r="I119" s="322" t="s">
        <v>3334</v>
      </c>
    </row>
    <row r="120" spans="1:9">
      <c r="A120" s="325">
        <v>114</v>
      </c>
      <c r="B120" s="326" t="s">
        <v>419</v>
      </c>
      <c r="C120" s="326" t="s">
        <v>3252</v>
      </c>
      <c r="D120" s="327" t="s">
        <v>3253</v>
      </c>
      <c r="E120" s="326" t="s">
        <v>17</v>
      </c>
      <c r="F120" s="326" t="s">
        <v>3030</v>
      </c>
      <c r="G120" s="326" t="s">
        <v>3031</v>
      </c>
      <c r="H120" s="322" t="str">
        <f t="shared" si="1"/>
        <v>Nguyễn Thành Gia Huân_12AS4</v>
      </c>
      <c r="I120" s="322" t="s">
        <v>3334</v>
      </c>
    </row>
    <row r="121" spans="1:9">
      <c r="A121" s="325">
        <v>115</v>
      </c>
      <c r="B121" s="326" t="s">
        <v>419</v>
      </c>
      <c r="C121" s="326" t="s">
        <v>3254</v>
      </c>
      <c r="D121" s="327" t="s">
        <v>3255</v>
      </c>
      <c r="E121" s="326" t="s">
        <v>17</v>
      </c>
      <c r="F121" s="326" t="s">
        <v>3030</v>
      </c>
      <c r="G121" s="326" t="s">
        <v>3031</v>
      </c>
      <c r="H121" s="322" t="str">
        <f t="shared" si="1"/>
        <v>Nguyễn Đăng Khôi_12AS4</v>
      </c>
      <c r="I121" s="322" t="s">
        <v>3334</v>
      </c>
    </row>
    <row r="122" spans="1:9">
      <c r="A122" s="325">
        <v>116</v>
      </c>
      <c r="B122" s="326" t="s">
        <v>419</v>
      </c>
      <c r="C122" s="326" t="s">
        <v>3256</v>
      </c>
      <c r="D122" s="327" t="s">
        <v>3257</v>
      </c>
      <c r="E122" s="326" t="s">
        <v>17</v>
      </c>
      <c r="F122" s="326" t="s">
        <v>3030</v>
      </c>
      <c r="G122" s="326" t="s">
        <v>3031</v>
      </c>
      <c r="H122" s="322" t="str">
        <f t="shared" si="1"/>
        <v>Nguyễn Hoàng Vũ_12AS4</v>
      </c>
      <c r="I122" s="322" t="s">
        <v>3334</v>
      </c>
    </row>
    <row r="123" spans="1:9">
      <c r="A123" s="325">
        <v>117</v>
      </c>
      <c r="B123" s="326" t="s">
        <v>433</v>
      </c>
      <c r="C123" s="326" t="s">
        <v>3258</v>
      </c>
      <c r="D123" s="327" t="s">
        <v>3259</v>
      </c>
      <c r="E123" s="326" t="s">
        <v>3029</v>
      </c>
      <c r="F123" s="326" t="s">
        <v>3030</v>
      </c>
      <c r="G123" s="326" t="s">
        <v>3031</v>
      </c>
      <c r="H123" s="322" t="str">
        <f t="shared" si="1"/>
        <v>Trần Ngọc Minh Anh_12AS5</v>
      </c>
      <c r="I123" s="322" t="s">
        <v>3334</v>
      </c>
    </row>
    <row r="124" spans="1:9">
      <c r="A124" s="325">
        <v>118</v>
      </c>
      <c r="B124" s="326" t="s">
        <v>433</v>
      </c>
      <c r="C124" s="326" t="s">
        <v>3260</v>
      </c>
      <c r="D124" s="327" t="s">
        <v>3261</v>
      </c>
      <c r="E124" s="326" t="s">
        <v>17</v>
      </c>
      <c r="F124" s="326" t="s">
        <v>3030</v>
      </c>
      <c r="G124" s="326" t="s">
        <v>3154</v>
      </c>
      <c r="H124" s="322" t="str">
        <f t="shared" si="1"/>
        <v>Đinh Nguyễn Thái Sơn_12AS5</v>
      </c>
      <c r="I124" s="322" t="s">
        <v>3334</v>
      </c>
    </row>
    <row r="125" spans="1:9">
      <c r="A125" s="325">
        <v>119</v>
      </c>
      <c r="B125" s="326" t="s">
        <v>433</v>
      </c>
      <c r="C125" s="326" t="s">
        <v>3262</v>
      </c>
      <c r="D125" s="327" t="s">
        <v>3263</v>
      </c>
      <c r="E125" s="326" t="s">
        <v>17</v>
      </c>
      <c r="F125" s="326" t="s">
        <v>3030</v>
      </c>
      <c r="G125" s="326" t="s">
        <v>3031</v>
      </c>
      <c r="H125" s="322" t="str">
        <f t="shared" si="1"/>
        <v>Vũ Tiến Thành_12AS5</v>
      </c>
      <c r="I125" s="322" t="s">
        <v>3334</v>
      </c>
    </row>
    <row r="126" spans="1:9">
      <c r="A126" s="325">
        <v>120</v>
      </c>
      <c r="B126" s="326" t="s">
        <v>434</v>
      </c>
      <c r="C126" s="326" t="s">
        <v>3264</v>
      </c>
      <c r="D126" s="327" t="s">
        <v>3265</v>
      </c>
      <c r="E126" s="326" t="s">
        <v>3029</v>
      </c>
      <c r="F126" s="326" t="s">
        <v>3030</v>
      </c>
      <c r="G126" s="326" t="s">
        <v>3031</v>
      </c>
      <c r="H126" s="322" t="str">
        <f t="shared" si="1"/>
        <v>Ngô Thị Quỳnh Trâm_12AS6</v>
      </c>
      <c r="I126" s="322" t="s">
        <v>3334</v>
      </c>
    </row>
    <row r="127" spans="1:9">
      <c r="A127" s="325">
        <v>121</v>
      </c>
      <c r="B127" s="326" t="s">
        <v>435</v>
      </c>
      <c r="C127" s="326" t="s">
        <v>3266</v>
      </c>
      <c r="D127" s="327" t="s">
        <v>3267</v>
      </c>
      <c r="E127" s="326" t="s">
        <v>3029</v>
      </c>
      <c r="F127" s="326" t="s">
        <v>3030</v>
      </c>
      <c r="G127" s="326" t="s">
        <v>3154</v>
      </c>
      <c r="H127" s="322" t="str">
        <f t="shared" si="1"/>
        <v>Võ Thị Ngọc Hân_12AS7</v>
      </c>
      <c r="I127" s="322" t="s">
        <v>3334</v>
      </c>
    </row>
    <row r="128" spans="1:9">
      <c r="A128" s="325">
        <v>122</v>
      </c>
      <c r="B128" s="326" t="s">
        <v>435</v>
      </c>
      <c r="C128" s="326" t="s">
        <v>3268</v>
      </c>
      <c r="D128" s="327" t="s">
        <v>3269</v>
      </c>
      <c r="E128" s="326" t="s">
        <v>17</v>
      </c>
      <c r="F128" s="326" t="s">
        <v>3030</v>
      </c>
      <c r="G128" s="326" t="s">
        <v>3031</v>
      </c>
      <c r="H128" s="322" t="str">
        <f t="shared" si="1"/>
        <v>Trần Nguyễn Quốc Huy_12AS7</v>
      </c>
      <c r="I128" s="322" t="s">
        <v>3334</v>
      </c>
    </row>
    <row r="129" spans="1:9">
      <c r="A129" s="325">
        <v>123</v>
      </c>
      <c r="B129" s="326" t="s">
        <v>463</v>
      </c>
      <c r="C129" s="326" t="s">
        <v>3270</v>
      </c>
      <c r="D129" s="327" t="s">
        <v>3271</v>
      </c>
      <c r="E129" s="326" t="s">
        <v>17</v>
      </c>
      <c r="F129" s="326" t="s">
        <v>3030</v>
      </c>
      <c r="G129" s="326" t="s">
        <v>3031</v>
      </c>
      <c r="H129" s="322" t="str">
        <f t="shared" si="1"/>
        <v>Nguyễn Thiên Ân_12AS10</v>
      </c>
      <c r="I129" s="322" t="s">
        <v>3334</v>
      </c>
    </row>
    <row r="130" spans="1:9">
      <c r="A130" s="325">
        <v>124</v>
      </c>
      <c r="B130" s="326" t="s">
        <v>463</v>
      </c>
      <c r="C130" s="326" t="s">
        <v>3272</v>
      </c>
      <c r="D130" s="327" t="s">
        <v>3273</v>
      </c>
      <c r="E130" s="326" t="s">
        <v>17</v>
      </c>
      <c r="F130" s="326" t="s">
        <v>3030</v>
      </c>
      <c r="G130" s="326" t="s">
        <v>3031</v>
      </c>
      <c r="H130" s="322" t="str">
        <f t="shared" si="1"/>
        <v>Nguyễn Nguyễn Quốc Nam_12AS10</v>
      </c>
      <c r="I130" s="322" t="s">
        <v>3334</v>
      </c>
    </row>
    <row r="131" spans="1:9">
      <c r="A131" s="325">
        <v>125</v>
      </c>
      <c r="B131" s="326" t="s">
        <v>461</v>
      </c>
      <c r="C131" s="326" t="s">
        <v>3274</v>
      </c>
      <c r="D131" s="327" t="s">
        <v>3275</v>
      </c>
      <c r="E131" s="326" t="s">
        <v>17</v>
      </c>
      <c r="F131" s="326" t="s">
        <v>3030</v>
      </c>
      <c r="G131" s="326" t="s">
        <v>3031</v>
      </c>
      <c r="H131" s="322" t="str">
        <f t="shared" si="1"/>
        <v>Trương Quang Lê_12AS11</v>
      </c>
      <c r="I131" s="322" t="s">
        <v>3334</v>
      </c>
    </row>
    <row r="132" spans="1:9">
      <c r="A132" s="325">
        <v>126</v>
      </c>
      <c r="B132" s="326" t="s">
        <v>460</v>
      </c>
      <c r="C132" s="326" t="s">
        <v>3276</v>
      </c>
      <c r="D132" s="327" t="s">
        <v>3277</v>
      </c>
      <c r="E132" s="326" t="s">
        <v>17</v>
      </c>
      <c r="F132" s="326" t="s">
        <v>3030</v>
      </c>
      <c r="G132" s="326" t="s">
        <v>3031</v>
      </c>
      <c r="H132" s="322" t="str">
        <f t="shared" si="1"/>
        <v>Dương Trí Tâm_12AS12</v>
      </c>
      <c r="I132" s="322" t="s">
        <v>3334</v>
      </c>
    </row>
    <row r="133" spans="1:9">
      <c r="A133" s="325">
        <v>127</v>
      </c>
      <c r="B133" s="326" t="s">
        <v>460</v>
      </c>
      <c r="C133" s="326" t="s">
        <v>3278</v>
      </c>
      <c r="D133" s="327" t="s">
        <v>3279</v>
      </c>
      <c r="E133" s="326" t="s">
        <v>3029</v>
      </c>
      <c r="F133" s="326" t="s">
        <v>3030</v>
      </c>
      <c r="G133" s="326" t="s">
        <v>3154</v>
      </c>
      <c r="H133" s="322" t="str">
        <f t="shared" si="1"/>
        <v>Nguyễn Ngọc Bảo Thy_12AS12</v>
      </c>
      <c r="I133" s="322" t="s">
        <v>3334</v>
      </c>
    </row>
    <row r="134" spans="1:9">
      <c r="A134" s="325">
        <v>128</v>
      </c>
      <c r="B134" s="326" t="s">
        <v>476</v>
      </c>
      <c r="C134" s="326" t="s">
        <v>3280</v>
      </c>
      <c r="D134" s="327" t="s">
        <v>3281</v>
      </c>
      <c r="E134" s="326" t="s">
        <v>17</v>
      </c>
      <c r="F134" s="326" t="s">
        <v>3030</v>
      </c>
      <c r="G134" s="326" t="s">
        <v>3031</v>
      </c>
      <c r="H134" s="322" t="str">
        <f t="shared" si="1"/>
        <v>Cao Nguyễn Gia Bảo_12AT1</v>
      </c>
      <c r="I134" s="322" t="s">
        <v>3334</v>
      </c>
    </row>
    <row r="135" spans="1:9">
      <c r="A135" s="325">
        <v>129</v>
      </c>
      <c r="B135" s="326" t="s">
        <v>476</v>
      </c>
      <c r="C135" s="326" t="s">
        <v>3282</v>
      </c>
      <c r="D135" s="327" t="s">
        <v>3283</v>
      </c>
      <c r="E135" s="326" t="s">
        <v>17</v>
      </c>
      <c r="F135" s="326" t="s">
        <v>3030</v>
      </c>
      <c r="G135" s="326" t="s">
        <v>3031</v>
      </c>
      <c r="H135" s="322" t="str">
        <f t="shared" si="1"/>
        <v>Nguyễn Nhật Duy_12AT1</v>
      </c>
      <c r="I135" s="322" t="s">
        <v>3334</v>
      </c>
    </row>
    <row r="136" spans="1:9">
      <c r="A136" s="325">
        <v>130</v>
      </c>
      <c r="B136" s="326" t="s">
        <v>476</v>
      </c>
      <c r="C136" s="326" t="s">
        <v>3284</v>
      </c>
      <c r="D136" s="327" t="s">
        <v>3285</v>
      </c>
      <c r="E136" s="326" t="s">
        <v>3029</v>
      </c>
      <c r="F136" s="326" t="s">
        <v>3030</v>
      </c>
      <c r="G136" s="326" t="s">
        <v>3154</v>
      </c>
      <c r="H136" s="322" t="str">
        <f t="shared" si="1"/>
        <v>Đỗ Thị Thu Hiền_12AT1</v>
      </c>
      <c r="I136" s="322" t="s">
        <v>3334</v>
      </c>
    </row>
    <row r="137" spans="1:9">
      <c r="A137" s="325">
        <v>131</v>
      </c>
      <c r="B137" s="326" t="s">
        <v>476</v>
      </c>
      <c r="C137" s="326" t="s">
        <v>3286</v>
      </c>
      <c r="D137" s="327" t="s">
        <v>3287</v>
      </c>
      <c r="E137" s="326" t="s">
        <v>17</v>
      </c>
      <c r="F137" s="326" t="s">
        <v>3030</v>
      </c>
      <c r="G137" s="326" t="s">
        <v>3031</v>
      </c>
      <c r="H137" s="322" t="str">
        <f t="shared" ref="H137:H160" si="2">C137&amp;"_"&amp;B137</f>
        <v>Nguyễn Đình Thắng_12AT1</v>
      </c>
      <c r="I137" s="322" t="s">
        <v>3334</v>
      </c>
    </row>
    <row r="138" spans="1:9">
      <c r="A138" s="325">
        <v>132</v>
      </c>
      <c r="B138" s="326" t="s">
        <v>476</v>
      </c>
      <c r="C138" s="326" t="s">
        <v>3288</v>
      </c>
      <c r="D138" s="327" t="s">
        <v>3289</v>
      </c>
      <c r="E138" s="326" t="s">
        <v>3029</v>
      </c>
      <c r="F138" s="326" t="s">
        <v>3290</v>
      </c>
      <c r="G138" s="326" t="s">
        <v>3154</v>
      </c>
      <c r="H138" s="322" t="str">
        <f t="shared" si="2"/>
        <v>Jơ Nưng Sang Tuyết_12AT1</v>
      </c>
      <c r="I138" s="322" t="s">
        <v>3334</v>
      </c>
    </row>
    <row r="139" spans="1:9">
      <c r="A139" s="325">
        <v>133</v>
      </c>
      <c r="B139" s="326" t="s">
        <v>475</v>
      </c>
      <c r="C139" s="326" t="s">
        <v>3291</v>
      </c>
      <c r="D139" s="327" t="s">
        <v>3292</v>
      </c>
      <c r="E139" s="326" t="s">
        <v>17</v>
      </c>
      <c r="F139" s="326" t="s">
        <v>3030</v>
      </c>
      <c r="G139" s="326" t="s">
        <v>3031</v>
      </c>
      <c r="H139" s="322" t="str">
        <f t="shared" si="2"/>
        <v>Nguyễn Thành Đạt_12AT2</v>
      </c>
      <c r="I139" s="322" t="s">
        <v>3334</v>
      </c>
    </row>
    <row r="140" spans="1:9">
      <c r="A140" s="325">
        <v>134</v>
      </c>
      <c r="B140" s="326" t="s">
        <v>475</v>
      </c>
      <c r="C140" s="326" t="s">
        <v>3293</v>
      </c>
      <c r="D140" s="327" t="s">
        <v>3294</v>
      </c>
      <c r="E140" s="326" t="s">
        <v>17</v>
      </c>
      <c r="F140" s="326" t="s">
        <v>3030</v>
      </c>
      <c r="G140" s="326" t="s">
        <v>3154</v>
      </c>
      <c r="H140" s="322" t="str">
        <f t="shared" si="2"/>
        <v>Đào Minh Hiếu_12AT2</v>
      </c>
      <c r="I140" s="322" t="s">
        <v>3334</v>
      </c>
    </row>
    <row r="141" spans="1:9">
      <c r="A141" s="325">
        <v>135</v>
      </c>
      <c r="B141" s="326" t="s">
        <v>475</v>
      </c>
      <c r="C141" s="326" t="s">
        <v>3295</v>
      </c>
      <c r="D141" s="327" t="s">
        <v>3296</v>
      </c>
      <c r="E141" s="326" t="s">
        <v>17</v>
      </c>
      <c r="F141" s="326" t="s">
        <v>3030</v>
      </c>
      <c r="G141" s="326" t="s">
        <v>3154</v>
      </c>
      <c r="H141" s="322" t="str">
        <f t="shared" si="2"/>
        <v>Trần Duy Huấn_12AT2</v>
      </c>
      <c r="I141" s="322" t="s">
        <v>3334</v>
      </c>
    </row>
    <row r="142" spans="1:9">
      <c r="A142" s="325">
        <v>136</v>
      </c>
      <c r="B142" s="326" t="s">
        <v>475</v>
      </c>
      <c r="C142" s="326" t="s">
        <v>3297</v>
      </c>
      <c r="D142" s="327" t="s">
        <v>3298</v>
      </c>
      <c r="E142" s="326" t="s">
        <v>17</v>
      </c>
      <c r="F142" s="326" t="s">
        <v>3030</v>
      </c>
      <c r="G142" s="326" t="s">
        <v>3154</v>
      </c>
      <c r="H142" s="322" t="str">
        <f t="shared" si="2"/>
        <v>Lê Tuấn Kiệt_12AT2</v>
      </c>
      <c r="I142" s="322" t="s">
        <v>3334</v>
      </c>
    </row>
    <row r="143" spans="1:9">
      <c r="A143" s="325">
        <v>137</v>
      </c>
      <c r="B143" s="326" t="s">
        <v>475</v>
      </c>
      <c r="C143" s="326" t="s">
        <v>3299</v>
      </c>
      <c r="D143" s="327" t="s">
        <v>3300</v>
      </c>
      <c r="E143" s="326" t="s">
        <v>17</v>
      </c>
      <c r="F143" s="326" t="s">
        <v>3030</v>
      </c>
      <c r="G143" s="326" t="s">
        <v>3031</v>
      </c>
      <c r="H143" s="322" t="str">
        <f t="shared" si="2"/>
        <v>Nguyễn Trần Nguyên Lộc_12AT2</v>
      </c>
      <c r="I143" s="322" t="s">
        <v>3334</v>
      </c>
    </row>
    <row r="144" spans="1:9">
      <c r="A144" s="325">
        <v>138</v>
      </c>
      <c r="B144" s="326" t="s">
        <v>475</v>
      </c>
      <c r="C144" s="326" t="s">
        <v>3301</v>
      </c>
      <c r="D144" s="327" t="s">
        <v>3302</v>
      </c>
      <c r="E144" s="326" t="s">
        <v>3029</v>
      </c>
      <c r="F144" s="326" t="s">
        <v>3030</v>
      </c>
      <c r="G144" s="326" t="s">
        <v>3154</v>
      </c>
      <c r="H144" s="322" t="str">
        <f t="shared" si="2"/>
        <v>Dương Ái Vy_12AT2</v>
      </c>
      <c r="I144" s="322" t="s">
        <v>3334</v>
      </c>
    </row>
    <row r="145" spans="1:9">
      <c r="A145" s="325">
        <v>139</v>
      </c>
      <c r="B145" s="326" t="s">
        <v>485</v>
      </c>
      <c r="C145" s="326" t="s">
        <v>3303</v>
      </c>
      <c r="D145" s="327" t="s">
        <v>3304</v>
      </c>
      <c r="E145" s="326" t="s">
        <v>3029</v>
      </c>
      <c r="F145" s="326" t="s">
        <v>3030</v>
      </c>
      <c r="G145" s="326" t="s">
        <v>3031</v>
      </c>
      <c r="H145" s="322" t="str">
        <f t="shared" si="2"/>
        <v>Trần Ngọc Tâm Như_12AT3</v>
      </c>
      <c r="I145" s="322" t="s">
        <v>3334</v>
      </c>
    </row>
    <row r="146" spans="1:9">
      <c r="A146" s="325">
        <v>140</v>
      </c>
      <c r="B146" s="326" t="s">
        <v>485</v>
      </c>
      <c r="C146" s="326" t="s">
        <v>3305</v>
      </c>
      <c r="D146" s="327" t="s">
        <v>3306</v>
      </c>
      <c r="E146" s="326" t="s">
        <v>3029</v>
      </c>
      <c r="F146" s="326" t="s">
        <v>3030</v>
      </c>
      <c r="G146" s="326" t="s">
        <v>3154</v>
      </c>
      <c r="H146" s="322" t="str">
        <f t="shared" si="2"/>
        <v>Nguyễn Thị Cẩm Tú_12AT3</v>
      </c>
      <c r="I146" s="322" t="s">
        <v>3334</v>
      </c>
    </row>
    <row r="147" spans="1:9">
      <c r="A147" s="325">
        <v>141</v>
      </c>
      <c r="B147" s="326" t="s">
        <v>2492</v>
      </c>
      <c r="C147" s="326" t="s">
        <v>3307</v>
      </c>
      <c r="D147" s="327" t="s">
        <v>3308</v>
      </c>
      <c r="E147" s="326" t="s">
        <v>3029</v>
      </c>
      <c r="F147" s="326" t="s">
        <v>3030</v>
      </c>
      <c r="G147" s="326" t="s">
        <v>3154</v>
      </c>
      <c r="H147" s="322" t="str">
        <f t="shared" si="2"/>
        <v>Nguyễn Vũ Mai Nhi_12VH1</v>
      </c>
      <c r="I147" s="322" t="s">
        <v>3334</v>
      </c>
    </row>
    <row r="148" spans="1:9">
      <c r="A148" s="325">
        <v>142</v>
      </c>
      <c r="B148" s="326" t="s">
        <v>2493</v>
      </c>
      <c r="C148" s="326" t="s">
        <v>3309</v>
      </c>
      <c r="D148" s="327" t="s">
        <v>3310</v>
      </c>
      <c r="E148" s="326" t="s">
        <v>17</v>
      </c>
      <c r="F148" s="326" t="s">
        <v>3030</v>
      </c>
      <c r="G148" s="326" t="s">
        <v>3031</v>
      </c>
      <c r="H148" s="322" t="str">
        <f t="shared" si="2"/>
        <v>Nguyễn Ngọc Hiếu_12VH2</v>
      </c>
      <c r="I148" s="322" t="s">
        <v>3334</v>
      </c>
    </row>
    <row r="149" spans="1:9">
      <c r="A149" s="325">
        <v>143</v>
      </c>
      <c r="B149" s="326" t="s">
        <v>2493</v>
      </c>
      <c r="C149" s="326" t="s">
        <v>2893</v>
      </c>
      <c r="D149" s="327" t="s">
        <v>3311</v>
      </c>
      <c r="E149" s="326" t="s">
        <v>17</v>
      </c>
      <c r="F149" s="326" t="s">
        <v>3030</v>
      </c>
      <c r="G149" s="326" t="s">
        <v>3031</v>
      </c>
      <c r="H149" s="322" t="str">
        <f t="shared" si="2"/>
        <v>Nguyễn Hoàng Việt_12VH2</v>
      </c>
      <c r="I149" s="322" t="s">
        <v>3334</v>
      </c>
    </row>
    <row r="150" spans="1:9">
      <c r="A150" s="325">
        <v>144</v>
      </c>
      <c r="B150" s="326" t="s">
        <v>2495</v>
      </c>
      <c r="C150" s="326" t="s">
        <v>3312</v>
      </c>
      <c r="D150" s="327" t="s">
        <v>3313</v>
      </c>
      <c r="E150" s="326" t="s">
        <v>17</v>
      </c>
      <c r="F150" s="326" t="s">
        <v>3030</v>
      </c>
      <c r="G150" s="326" t="s">
        <v>3031</v>
      </c>
      <c r="H150" s="322" t="str">
        <f t="shared" si="2"/>
        <v>Nguyễn Chí Bình_12VH3</v>
      </c>
      <c r="I150" s="322" t="s">
        <v>3334</v>
      </c>
    </row>
    <row r="151" spans="1:9">
      <c r="A151" s="325">
        <v>145</v>
      </c>
      <c r="B151" s="326" t="s">
        <v>2495</v>
      </c>
      <c r="C151" s="326" t="s">
        <v>3314</v>
      </c>
      <c r="D151" s="327" t="s">
        <v>3315</v>
      </c>
      <c r="E151" s="326" t="s">
        <v>17</v>
      </c>
      <c r="F151" s="326" t="s">
        <v>3030</v>
      </c>
      <c r="G151" s="326" t="s">
        <v>3154</v>
      </c>
      <c r="H151" s="322" t="str">
        <f t="shared" si="2"/>
        <v>Lê Nguyễn Gia Khang_12VH3</v>
      </c>
      <c r="I151" s="322" t="s">
        <v>3334</v>
      </c>
    </row>
    <row r="152" spans="1:9">
      <c r="A152" s="325">
        <v>146</v>
      </c>
      <c r="B152" s="326" t="s">
        <v>2495</v>
      </c>
      <c r="C152" s="326" t="s">
        <v>3316</v>
      </c>
      <c r="D152" s="327" t="s">
        <v>3317</v>
      </c>
      <c r="E152" s="326" t="s">
        <v>3029</v>
      </c>
      <c r="F152" s="326" t="s">
        <v>3030</v>
      </c>
      <c r="G152" s="326" t="s">
        <v>3154</v>
      </c>
      <c r="H152" s="322" t="str">
        <f t="shared" si="2"/>
        <v>Đinh Ngọc Tuyết Nhi_12VH3</v>
      </c>
      <c r="I152" s="322" t="s">
        <v>3334</v>
      </c>
    </row>
    <row r="153" spans="1:9">
      <c r="A153" s="325">
        <v>147</v>
      </c>
      <c r="B153" s="326" t="s">
        <v>2576</v>
      </c>
      <c r="C153" s="326" t="s">
        <v>3318</v>
      </c>
      <c r="D153" s="327" t="s">
        <v>3283</v>
      </c>
      <c r="E153" s="326" t="s">
        <v>17</v>
      </c>
      <c r="F153" s="326" t="s">
        <v>3030</v>
      </c>
      <c r="G153" s="326" t="s">
        <v>3031</v>
      </c>
      <c r="H153" s="322" t="str">
        <f t="shared" si="2"/>
        <v>Hoàng Minh Đức_12VH5</v>
      </c>
      <c r="I153" s="322" t="s">
        <v>3334</v>
      </c>
    </row>
    <row r="154" spans="1:9">
      <c r="A154" s="325">
        <v>148</v>
      </c>
      <c r="B154" s="326" t="s">
        <v>2576</v>
      </c>
      <c r="C154" s="326" t="s">
        <v>3319</v>
      </c>
      <c r="D154" s="327" t="s">
        <v>3320</v>
      </c>
      <c r="E154" s="326" t="s">
        <v>3029</v>
      </c>
      <c r="F154" s="326" t="s">
        <v>3030</v>
      </c>
      <c r="G154" s="326" t="s">
        <v>3031</v>
      </c>
      <c r="H154" s="322" t="str">
        <f t="shared" si="2"/>
        <v>Lê Ngọc Hải My_12VH5</v>
      </c>
      <c r="I154" s="322" t="s">
        <v>3334</v>
      </c>
    </row>
    <row r="155" spans="1:9">
      <c r="A155" s="325">
        <v>149</v>
      </c>
      <c r="B155" s="326" t="s">
        <v>2581</v>
      </c>
      <c r="C155" s="326" t="s">
        <v>3321</v>
      </c>
      <c r="D155" s="327" t="s">
        <v>3322</v>
      </c>
      <c r="E155" s="326" t="s">
        <v>17</v>
      </c>
      <c r="F155" s="326" t="s">
        <v>3030</v>
      </c>
      <c r="G155" s="326" t="s">
        <v>3031</v>
      </c>
      <c r="H155" s="322" t="str">
        <f t="shared" si="2"/>
        <v>Lê Đức Anh Vũ_12VH6</v>
      </c>
      <c r="I155" s="322" t="s">
        <v>3334</v>
      </c>
    </row>
    <row r="156" spans="1:9">
      <c r="A156" s="325">
        <v>150</v>
      </c>
      <c r="B156" s="326" t="s">
        <v>2578</v>
      </c>
      <c r="C156" s="326" t="s">
        <v>3323</v>
      </c>
      <c r="D156" s="327" t="s">
        <v>3324</v>
      </c>
      <c r="E156" s="326" t="s">
        <v>3029</v>
      </c>
      <c r="F156" s="326" t="s">
        <v>3030</v>
      </c>
      <c r="G156" s="326" t="s">
        <v>3031</v>
      </c>
      <c r="H156" s="322" t="str">
        <f t="shared" si="2"/>
        <v>Hồ Thanh Ngọc_12VH7</v>
      </c>
      <c r="I156" s="322" t="s">
        <v>3334</v>
      </c>
    </row>
    <row r="157" spans="1:9">
      <c r="A157" s="325">
        <v>151</v>
      </c>
      <c r="B157" s="326" t="s">
        <v>2578</v>
      </c>
      <c r="C157" s="326" t="s">
        <v>3325</v>
      </c>
      <c r="D157" s="327" t="s">
        <v>3326</v>
      </c>
      <c r="E157" s="326" t="s">
        <v>17</v>
      </c>
      <c r="F157" s="326" t="s">
        <v>3030</v>
      </c>
      <c r="G157" s="326" t="s">
        <v>3154</v>
      </c>
      <c r="H157" s="322" t="str">
        <f t="shared" si="2"/>
        <v>Huỳnh Hàn Minh Trí_12VH7</v>
      </c>
      <c r="I157" s="322" t="s">
        <v>3334</v>
      </c>
    </row>
    <row r="158" spans="1:9">
      <c r="A158" s="325">
        <v>152</v>
      </c>
      <c r="B158" s="326" t="s">
        <v>3006</v>
      </c>
      <c r="C158" s="326" t="s">
        <v>3327</v>
      </c>
      <c r="D158" s="327" t="s">
        <v>3328</v>
      </c>
      <c r="E158" s="326" t="s">
        <v>3029</v>
      </c>
      <c r="F158" s="326" t="s">
        <v>3030</v>
      </c>
      <c r="G158" s="326" t="s">
        <v>3136</v>
      </c>
      <c r="H158" s="322" t="str">
        <f t="shared" si="2"/>
        <v>Phạm Đỗ Phương Vy_12KT2</v>
      </c>
      <c r="I158" s="322" t="s">
        <v>3334</v>
      </c>
    </row>
    <row r="159" spans="1:9">
      <c r="A159" s="325">
        <v>153</v>
      </c>
      <c r="B159" s="326" t="s">
        <v>3004</v>
      </c>
      <c r="C159" s="326" t="s">
        <v>3329</v>
      </c>
      <c r="D159" s="327" t="s">
        <v>3330</v>
      </c>
      <c r="E159" s="326" t="s">
        <v>17</v>
      </c>
      <c r="F159" s="326" t="s">
        <v>3030</v>
      </c>
      <c r="G159" s="326" t="s">
        <v>3031</v>
      </c>
      <c r="H159" s="322" t="str">
        <f t="shared" si="2"/>
        <v>Lê Tiến Minh_12KT3</v>
      </c>
      <c r="I159" s="322" t="s">
        <v>3334</v>
      </c>
    </row>
    <row r="160" spans="1:9">
      <c r="A160" s="325">
        <v>154</v>
      </c>
      <c r="B160" s="326" t="s">
        <v>3005</v>
      </c>
      <c r="C160" s="326" t="s">
        <v>3331</v>
      </c>
      <c r="D160" s="327" t="s">
        <v>3332</v>
      </c>
      <c r="E160" s="326" t="s">
        <v>17</v>
      </c>
      <c r="F160" s="326" t="s">
        <v>3030</v>
      </c>
      <c r="G160" s="326" t="s">
        <v>3031</v>
      </c>
      <c r="H160" s="322" t="str">
        <f t="shared" si="2"/>
        <v>Đoàn Nguyễn Đức Sơn_12KT4</v>
      </c>
      <c r="I160" s="322" t="s">
        <v>3334</v>
      </c>
    </row>
    <row r="163" spans="1:6" customFormat="1" ht="33.950000000000003" customHeight="1">
      <c r="A163" s="323"/>
      <c r="D163" s="364" t="s">
        <v>3333</v>
      </c>
      <c r="E163" s="364"/>
      <c r="F163" s="364"/>
    </row>
  </sheetData>
  <mergeCells count="5">
    <mergeCell ref="A1:D1"/>
    <mergeCell ref="A2:D2"/>
    <mergeCell ref="A3:G3"/>
    <mergeCell ref="A4:G4"/>
    <mergeCell ref="D163:F1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514"/>
  <sheetViews>
    <sheetView topLeftCell="A211" workbookViewId="0">
      <selection activeCell="B137" sqref="B137:D468"/>
    </sheetView>
  </sheetViews>
  <sheetFormatPr defaultColWidth="8.85546875" defaultRowHeight="12.75"/>
  <cols>
    <col min="1" max="1" width="9.140625" style="3" customWidth="1"/>
    <col min="2" max="2" width="35.7109375" customWidth="1"/>
  </cols>
  <sheetData>
    <row r="1" spans="1:5" s="9" customFormat="1">
      <c r="A1" s="4"/>
      <c r="B1" s="9" t="s">
        <v>493</v>
      </c>
      <c r="C1" s="9">
        <f>COUNTIF(C2:C514,"HP")</f>
        <v>506</v>
      </c>
      <c r="D1" s="9">
        <f>COUNTIF(D2:D514,"HP")</f>
        <v>0</v>
      </c>
      <c r="E1" s="9">
        <f>C1-D1</f>
        <v>506</v>
      </c>
    </row>
    <row r="2" spans="1:5">
      <c r="A2" s="3">
        <v>1</v>
      </c>
      <c r="B2" t="s">
        <v>530</v>
      </c>
      <c r="C2" s="5" t="s">
        <v>409</v>
      </c>
      <c r="D2" t="e">
        <f>VLOOKUP(B2,'DS_Tong_12AS-AT-VH'!$T$9:$V$3025,3,0)</f>
        <v>#N/A</v>
      </c>
    </row>
    <row r="3" spans="1:5">
      <c r="A3" s="3">
        <v>2</v>
      </c>
      <c r="B3" t="s">
        <v>531</v>
      </c>
      <c r="C3" s="5" t="s">
        <v>409</v>
      </c>
      <c r="D3" t="e">
        <f>VLOOKUP(B3,'DS_Tong_12AS-AT-VH'!$T$9:$V$3025,3,0)</f>
        <v>#N/A</v>
      </c>
    </row>
    <row r="4" spans="1:5">
      <c r="A4" s="3">
        <v>3</v>
      </c>
      <c r="B4" t="s">
        <v>532</v>
      </c>
      <c r="C4" s="5" t="s">
        <v>409</v>
      </c>
      <c r="D4" t="e">
        <f>VLOOKUP(B4,'DS_Tong_12AS-AT-VH'!$T$9:$V$3025,3,0)</f>
        <v>#N/A</v>
      </c>
    </row>
    <row r="5" spans="1:5">
      <c r="A5" s="3">
        <v>4</v>
      </c>
      <c r="B5" t="s">
        <v>533</v>
      </c>
      <c r="C5" s="5" t="s">
        <v>409</v>
      </c>
      <c r="D5" t="e">
        <f>VLOOKUP(B5,'DS_Tong_12AS-AT-VH'!$T$9:$V$3025,3,0)</f>
        <v>#N/A</v>
      </c>
    </row>
    <row r="6" spans="1:5">
      <c r="A6" s="3">
        <v>5</v>
      </c>
      <c r="B6" t="s">
        <v>534</v>
      </c>
      <c r="C6" s="5" t="s">
        <v>409</v>
      </c>
      <c r="D6" t="e">
        <f>VLOOKUP(B6,'DS_Tong_12AS-AT-VH'!$T$9:$V$3025,3,0)</f>
        <v>#N/A</v>
      </c>
    </row>
    <row r="7" spans="1:5">
      <c r="A7" s="3">
        <v>6</v>
      </c>
      <c r="B7" t="s">
        <v>535</v>
      </c>
      <c r="C7" s="5" t="s">
        <v>409</v>
      </c>
      <c r="D7" t="e">
        <f>VLOOKUP(B7,'DS_Tong_12AS-AT-VH'!$T$9:$V$3025,3,0)</f>
        <v>#N/A</v>
      </c>
    </row>
    <row r="8" spans="1:5">
      <c r="A8" s="3">
        <v>7</v>
      </c>
      <c r="B8" t="s">
        <v>536</v>
      </c>
      <c r="C8" s="5" t="s">
        <v>409</v>
      </c>
      <c r="D8" t="e">
        <f>VLOOKUP(B8,'DS_Tong_12AS-AT-VH'!$T$9:$V$3025,3,0)</f>
        <v>#N/A</v>
      </c>
    </row>
    <row r="9" spans="1:5">
      <c r="A9" s="3">
        <v>8</v>
      </c>
      <c r="B9" t="s">
        <v>537</v>
      </c>
      <c r="C9" s="5" t="s">
        <v>409</v>
      </c>
      <c r="D9" t="e">
        <f>VLOOKUP(B9,'DS_Tong_12AS-AT-VH'!$T$9:$V$3025,3,0)</f>
        <v>#N/A</v>
      </c>
    </row>
    <row r="10" spans="1:5">
      <c r="A10" s="3">
        <v>9</v>
      </c>
      <c r="B10" t="s">
        <v>538</v>
      </c>
      <c r="C10" s="5" t="s">
        <v>409</v>
      </c>
      <c r="D10" t="e">
        <f>VLOOKUP(B10,'DS_Tong_12AS-AT-VH'!$T$9:$V$3025,3,0)</f>
        <v>#N/A</v>
      </c>
    </row>
    <row r="11" spans="1:5">
      <c r="A11" s="3">
        <v>10</v>
      </c>
      <c r="B11" t="s">
        <v>539</v>
      </c>
      <c r="C11" s="5" t="s">
        <v>409</v>
      </c>
      <c r="D11" t="e">
        <f>VLOOKUP(B11,'DS_Tong_12AS-AT-VH'!$T$9:$V$3025,3,0)</f>
        <v>#N/A</v>
      </c>
    </row>
    <row r="12" spans="1:5">
      <c r="A12" s="3">
        <v>11</v>
      </c>
      <c r="B12" t="s">
        <v>540</v>
      </c>
      <c r="C12" s="5" t="s">
        <v>409</v>
      </c>
      <c r="D12" t="e">
        <f>VLOOKUP(B12,'DS_Tong_12AS-AT-VH'!$T$9:$V$3025,3,0)</f>
        <v>#N/A</v>
      </c>
    </row>
    <row r="13" spans="1:5">
      <c r="A13" s="3">
        <v>12</v>
      </c>
      <c r="B13" t="s">
        <v>541</v>
      </c>
      <c r="C13" s="5" t="s">
        <v>409</v>
      </c>
      <c r="D13" t="e">
        <f>VLOOKUP(B13,'DS_Tong_12AS-AT-VH'!$T$9:$V$3025,3,0)</f>
        <v>#N/A</v>
      </c>
    </row>
    <row r="14" spans="1:5">
      <c r="A14" s="3">
        <v>13</v>
      </c>
      <c r="B14" t="s">
        <v>542</v>
      </c>
      <c r="C14" s="5" t="s">
        <v>409</v>
      </c>
      <c r="D14" t="e">
        <f>VLOOKUP(B14,'DS_Tong_12AS-AT-VH'!$T$9:$V$3025,3,0)</f>
        <v>#N/A</v>
      </c>
    </row>
    <row r="15" spans="1:5">
      <c r="A15" s="3">
        <v>14</v>
      </c>
      <c r="B15" t="s">
        <v>543</v>
      </c>
      <c r="C15" s="5" t="s">
        <v>409</v>
      </c>
      <c r="D15" t="e">
        <f>VLOOKUP(B15,'DS_Tong_12AS-AT-VH'!$T$9:$V$3025,3,0)</f>
        <v>#N/A</v>
      </c>
    </row>
    <row r="16" spans="1:5">
      <c r="A16" s="3">
        <v>15</v>
      </c>
      <c r="B16" t="s">
        <v>544</v>
      </c>
      <c r="C16" s="5" t="s">
        <v>409</v>
      </c>
      <c r="D16" t="e">
        <f>VLOOKUP(B16,'DS_Tong_12AS-AT-VH'!$T$9:$V$3025,3,0)</f>
        <v>#N/A</v>
      </c>
    </row>
    <row r="17" spans="1:5">
      <c r="A17" s="3">
        <v>16</v>
      </c>
      <c r="B17" t="s">
        <v>545</v>
      </c>
      <c r="C17" s="5" t="s">
        <v>409</v>
      </c>
      <c r="D17" t="e">
        <f>VLOOKUP(B17,'DS_Tong_12AS-AT-VH'!$T$9:$V$3025,3,0)</f>
        <v>#N/A</v>
      </c>
    </row>
    <row r="18" spans="1:5">
      <c r="A18" s="3">
        <v>17</v>
      </c>
      <c r="B18" s="142" t="s">
        <v>546</v>
      </c>
      <c r="C18" s="143" t="s">
        <v>409</v>
      </c>
      <c r="D18" s="142" t="e">
        <f>VLOOKUP(B18,'DS_Tong_12AS-AT-VH'!$T$9:$V$3025,3,0)</f>
        <v>#N/A</v>
      </c>
      <c r="E18" s="5" t="s">
        <v>529</v>
      </c>
    </row>
    <row r="19" spans="1:5">
      <c r="A19" s="3">
        <v>18</v>
      </c>
      <c r="B19" t="s">
        <v>547</v>
      </c>
      <c r="C19" s="5" t="s">
        <v>409</v>
      </c>
      <c r="D19" t="e">
        <f>VLOOKUP(B19,'DS_Tong_12AS-AT-VH'!$T$9:$V$3025,3,0)</f>
        <v>#N/A</v>
      </c>
    </row>
    <row r="20" spans="1:5">
      <c r="A20" s="3">
        <v>19</v>
      </c>
      <c r="B20" t="s">
        <v>548</v>
      </c>
      <c r="C20" s="5" t="s">
        <v>409</v>
      </c>
      <c r="D20" t="e">
        <f>VLOOKUP(B20,'DS_Tong_12AS-AT-VH'!$T$9:$V$3025,3,0)</f>
        <v>#N/A</v>
      </c>
    </row>
    <row r="21" spans="1:5">
      <c r="A21" s="3">
        <v>20</v>
      </c>
      <c r="B21" t="s">
        <v>549</v>
      </c>
      <c r="C21" s="5" t="s">
        <v>409</v>
      </c>
      <c r="D21" t="e">
        <f>VLOOKUP(B21,'DS_Tong_12AS-AT-VH'!$T$9:$V$3025,3,0)</f>
        <v>#N/A</v>
      </c>
    </row>
    <row r="22" spans="1:5">
      <c r="A22" s="3">
        <v>21</v>
      </c>
      <c r="B22" t="s">
        <v>550</v>
      </c>
      <c r="C22" s="5" t="s">
        <v>409</v>
      </c>
      <c r="D22" t="e">
        <f>VLOOKUP(B22,'DS_Tong_12AS-AT-VH'!$T$9:$V$3025,3,0)</f>
        <v>#N/A</v>
      </c>
    </row>
    <row r="23" spans="1:5">
      <c r="A23" s="3">
        <v>22</v>
      </c>
      <c r="B23" t="s">
        <v>551</v>
      </c>
      <c r="C23" s="5" t="s">
        <v>409</v>
      </c>
      <c r="D23" t="e">
        <f>VLOOKUP(B23,'DS_Tong_12AS-AT-VH'!$T$9:$V$3025,3,0)</f>
        <v>#N/A</v>
      </c>
    </row>
    <row r="24" spans="1:5">
      <c r="A24" s="3">
        <v>23</v>
      </c>
      <c r="B24" t="s">
        <v>552</v>
      </c>
      <c r="C24" s="5" t="s">
        <v>409</v>
      </c>
      <c r="D24" t="e">
        <f>VLOOKUP(B24,'DS_Tong_12AS-AT-VH'!$T$9:$V$3025,3,0)</f>
        <v>#N/A</v>
      </c>
    </row>
    <row r="25" spans="1:5">
      <c r="A25" s="3">
        <v>24</v>
      </c>
      <c r="B25" t="s">
        <v>553</v>
      </c>
      <c r="C25" s="5" t="s">
        <v>409</v>
      </c>
      <c r="D25" t="e">
        <f>VLOOKUP(B25,'DS_Tong_12AS-AT-VH'!$T$9:$V$3025,3,0)</f>
        <v>#N/A</v>
      </c>
    </row>
    <row r="26" spans="1:5">
      <c r="A26" s="3">
        <v>25</v>
      </c>
      <c r="B26" t="s">
        <v>554</v>
      </c>
      <c r="C26" s="5" t="s">
        <v>409</v>
      </c>
      <c r="D26" t="e">
        <f>VLOOKUP(B26,'DS_Tong_12AS-AT-VH'!$T$9:$V$3025,3,0)</f>
        <v>#N/A</v>
      </c>
    </row>
    <row r="27" spans="1:5">
      <c r="A27" s="3">
        <v>26</v>
      </c>
      <c r="B27" t="s">
        <v>555</v>
      </c>
      <c r="C27" s="5" t="s">
        <v>409</v>
      </c>
      <c r="D27" t="e">
        <f>VLOOKUP(B27,'DS_Tong_12AS-AT-VH'!$T$9:$V$3025,3,0)</f>
        <v>#N/A</v>
      </c>
    </row>
    <row r="28" spans="1:5">
      <c r="A28" s="3">
        <v>27</v>
      </c>
      <c r="B28" t="s">
        <v>556</v>
      </c>
      <c r="C28" s="5" t="s">
        <v>409</v>
      </c>
      <c r="D28" t="e">
        <f>VLOOKUP(B28,'DS_Tong_12AS-AT-VH'!$T$9:$V$3025,3,0)</f>
        <v>#N/A</v>
      </c>
    </row>
    <row r="29" spans="1:5">
      <c r="A29" s="3">
        <v>28</v>
      </c>
      <c r="B29" t="s">
        <v>557</v>
      </c>
      <c r="C29" s="5" t="s">
        <v>409</v>
      </c>
      <c r="D29" t="e">
        <f>VLOOKUP(B29,'DS_Tong_12AS-AT-VH'!$T$9:$V$3025,3,0)</f>
        <v>#N/A</v>
      </c>
    </row>
    <row r="30" spans="1:5">
      <c r="A30" s="3">
        <v>29</v>
      </c>
      <c r="B30" t="s">
        <v>558</v>
      </c>
      <c r="C30" s="5" t="s">
        <v>409</v>
      </c>
      <c r="D30" t="e">
        <f>VLOOKUP(B30,'DS_Tong_12AS-AT-VH'!$T$9:$V$3025,3,0)</f>
        <v>#N/A</v>
      </c>
    </row>
    <row r="31" spans="1:5">
      <c r="A31" s="3">
        <v>30</v>
      </c>
      <c r="B31" t="s">
        <v>559</v>
      </c>
      <c r="C31" s="5" t="s">
        <v>409</v>
      </c>
      <c r="D31" t="e">
        <f>VLOOKUP(B31,'DS_Tong_12AS-AT-VH'!$T$9:$V$3025,3,0)</f>
        <v>#N/A</v>
      </c>
    </row>
    <row r="32" spans="1:5">
      <c r="A32" s="3">
        <v>31</v>
      </c>
      <c r="B32" t="s">
        <v>560</v>
      </c>
      <c r="C32" s="5" t="s">
        <v>409</v>
      </c>
      <c r="D32" t="e">
        <f>VLOOKUP(B32,'DS_Tong_12AS-AT-VH'!$T$9:$V$3025,3,0)</f>
        <v>#N/A</v>
      </c>
    </row>
    <row r="33" spans="1:5">
      <c r="A33" s="3">
        <v>32</v>
      </c>
      <c r="B33" t="s">
        <v>561</v>
      </c>
      <c r="C33" s="5" t="s">
        <v>409</v>
      </c>
      <c r="D33" t="e">
        <f>VLOOKUP(B33,'DS_Tong_12AS-AT-VH'!$T$9:$V$3025,3,0)</f>
        <v>#N/A</v>
      </c>
    </row>
    <row r="34" spans="1:5">
      <c r="A34" s="3">
        <v>33</v>
      </c>
      <c r="B34" t="s">
        <v>562</v>
      </c>
      <c r="C34" s="5" t="s">
        <v>409</v>
      </c>
      <c r="D34" t="e">
        <f>VLOOKUP(B34,'DS_Tong_12AS-AT-VH'!$T$9:$V$3025,3,0)</f>
        <v>#N/A</v>
      </c>
    </row>
    <row r="35" spans="1:5">
      <c r="A35" s="3">
        <v>34</v>
      </c>
      <c r="B35" t="s">
        <v>563</v>
      </c>
      <c r="C35" s="5" t="s">
        <v>409</v>
      </c>
      <c r="D35" t="e">
        <f>VLOOKUP(B35,'DS_Tong_12AS-AT-VH'!$T$9:$V$3025,3,0)</f>
        <v>#N/A</v>
      </c>
    </row>
    <row r="36" spans="1:5">
      <c r="A36" s="3">
        <v>35</v>
      </c>
      <c r="B36" t="s">
        <v>564</v>
      </c>
      <c r="C36" s="5" t="s">
        <v>409</v>
      </c>
      <c r="D36" t="e">
        <f>VLOOKUP(B36,'DS_Tong_12AS-AT-VH'!$T$9:$V$3025,3,0)</f>
        <v>#N/A</v>
      </c>
    </row>
    <row r="37" spans="1:5">
      <c r="A37" s="3">
        <v>36</v>
      </c>
      <c r="B37" t="s">
        <v>565</v>
      </c>
      <c r="C37" s="5" t="s">
        <v>409</v>
      </c>
      <c r="D37" t="e">
        <f>VLOOKUP(B37,'DS_Tong_12AS-AT-VH'!$T$9:$V$3025,3,0)</f>
        <v>#N/A</v>
      </c>
    </row>
    <row r="38" spans="1:5">
      <c r="A38" s="3">
        <v>37</v>
      </c>
      <c r="B38" t="s">
        <v>566</v>
      </c>
      <c r="C38" s="5" t="s">
        <v>409</v>
      </c>
      <c r="D38" t="e">
        <f>VLOOKUP(B38,'DS_Tong_12AS-AT-VH'!$T$9:$V$3025,3,0)</f>
        <v>#N/A</v>
      </c>
    </row>
    <row r="39" spans="1:5">
      <c r="A39" s="3">
        <v>38</v>
      </c>
      <c r="B39" t="s">
        <v>567</v>
      </c>
      <c r="C39" s="5" t="s">
        <v>409</v>
      </c>
      <c r="D39" t="e">
        <f>VLOOKUP(B39,'DS_Tong_12AS-AT-VH'!$T$9:$V$3025,3,0)</f>
        <v>#N/A</v>
      </c>
    </row>
    <row r="40" spans="1:5">
      <c r="A40" s="3">
        <v>39</v>
      </c>
      <c r="B40" t="s">
        <v>568</v>
      </c>
      <c r="C40" s="5" t="s">
        <v>409</v>
      </c>
      <c r="D40" t="e">
        <f>VLOOKUP(B40,'DS_Tong_12AS-AT-VH'!$T$9:$V$3025,3,0)</f>
        <v>#N/A</v>
      </c>
    </row>
    <row r="41" spans="1:5">
      <c r="A41" s="3">
        <v>40</v>
      </c>
      <c r="B41" t="s">
        <v>569</v>
      </c>
      <c r="C41" s="5" t="s">
        <v>409</v>
      </c>
      <c r="D41" t="e">
        <f>VLOOKUP(B41,'DS_Tong_12AS-AT-VH'!$T$9:$V$3025,3,0)</f>
        <v>#N/A</v>
      </c>
    </row>
    <row r="42" spans="1:5">
      <c r="A42" s="3">
        <v>41</v>
      </c>
      <c r="B42" s="142" t="s">
        <v>570</v>
      </c>
      <c r="C42" s="143" t="s">
        <v>409</v>
      </c>
      <c r="D42" s="142" t="e">
        <f>VLOOKUP(B42,'DS_Tong_12AS-AT-VH'!$T$9:$V$3025,3,0)</f>
        <v>#N/A</v>
      </c>
      <c r="E42" s="5" t="s">
        <v>529</v>
      </c>
    </row>
    <row r="43" spans="1:5">
      <c r="A43" s="3">
        <v>42</v>
      </c>
      <c r="B43" t="s">
        <v>571</v>
      </c>
      <c r="C43" s="5" t="s">
        <v>409</v>
      </c>
      <c r="D43" t="e">
        <f>VLOOKUP(B43,'DS_Tong_12AS-AT-VH'!$T$9:$V$3025,3,0)</f>
        <v>#N/A</v>
      </c>
    </row>
    <row r="44" spans="1:5">
      <c r="A44" s="3">
        <v>43</v>
      </c>
      <c r="B44" t="s">
        <v>572</v>
      </c>
      <c r="C44" s="5" t="s">
        <v>409</v>
      </c>
      <c r="D44" t="e">
        <f>VLOOKUP(B44,'DS_Tong_12AS-AT-VH'!$T$9:$V$3025,3,0)</f>
        <v>#N/A</v>
      </c>
    </row>
    <row r="45" spans="1:5">
      <c r="A45" s="3">
        <v>44</v>
      </c>
      <c r="B45" t="s">
        <v>573</v>
      </c>
      <c r="C45" s="5" t="s">
        <v>409</v>
      </c>
      <c r="D45" t="e">
        <f>VLOOKUP(B45,'DS_Tong_12AS-AT-VH'!$T$9:$V$3025,3,0)</f>
        <v>#N/A</v>
      </c>
    </row>
    <row r="46" spans="1:5">
      <c r="A46" s="3">
        <v>45</v>
      </c>
      <c r="B46" t="s">
        <v>574</v>
      </c>
      <c r="C46" s="5" t="s">
        <v>409</v>
      </c>
      <c r="D46" t="e">
        <f>VLOOKUP(B46,'DS_Tong_12AS-AT-VH'!$T$9:$V$3025,3,0)</f>
        <v>#N/A</v>
      </c>
    </row>
    <row r="47" spans="1:5">
      <c r="A47" s="3">
        <v>46</v>
      </c>
      <c r="B47" t="s">
        <v>575</v>
      </c>
      <c r="C47" s="5" t="s">
        <v>409</v>
      </c>
      <c r="D47" t="e">
        <f>VLOOKUP(B47,'DS_Tong_12AS-AT-VH'!$T$9:$V$3025,3,0)</f>
        <v>#N/A</v>
      </c>
    </row>
    <row r="48" spans="1:5">
      <c r="A48" s="3">
        <v>47</v>
      </c>
      <c r="B48" t="s">
        <v>576</v>
      </c>
      <c r="C48" s="5" t="s">
        <v>409</v>
      </c>
      <c r="D48" t="e">
        <f>VLOOKUP(B48,'DS_Tong_12AS-AT-VH'!$T$9:$V$3025,3,0)</f>
        <v>#N/A</v>
      </c>
    </row>
    <row r="49" spans="1:4">
      <c r="A49" s="3">
        <v>48</v>
      </c>
      <c r="B49" t="s">
        <v>577</v>
      </c>
      <c r="C49" s="5" t="s">
        <v>409</v>
      </c>
      <c r="D49" t="e">
        <f>VLOOKUP(B49,'DS_Tong_12AS-AT-VH'!$T$9:$V$3025,3,0)</f>
        <v>#N/A</v>
      </c>
    </row>
    <row r="50" spans="1:4">
      <c r="A50" s="3">
        <v>49</v>
      </c>
      <c r="B50" t="s">
        <v>578</v>
      </c>
      <c r="C50" s="5" t="s">
        <v>409</v>
      </c>
      <c r="D50" t="e">
        <f>VLOOKUP(B50,'DS_Tong_12AS-AT-VH'!$T$9:$V$3025,3,0)</f>
        <v>#N/A</v>
      </c>
    </row>
    <row r="51" spans="1:4">
      <c r="A51" s="3">
        <v>50</v>
      </c>
      <c r="B51" t="s">
        <v>579</v>
      </c>
      <c r="C51" s="5" t="s">
        <v>409</v>
      </c>
      <c r="D51" t="e">
        <f>VLOOKUP(B51,'DS_Tong_12AS-AT-VH'!$T$9:$V$3025,3,0)</f>
        <v>#N/A</v>
      </c>
    </row>
    <row r="52" spans="1:4">
      <c r="A52" s="3">
        <v>51</v>
      </c>
      <c r="B52" t="s">
        <v>580</v>
      </c>
      <c r="C52" s="5" t="s">
        <v>409</v>
      </c>
      <c r="D52" t="e">
        <f>VLOOKUP(B52,'DS_Tong_12AS-AT-VH'!$T$9:$V$3025,3,0)</f>
        <v>#N/A</v>
      </c>
    </row>
    <row r="53" spans="1:4">
      <c r="A53" s="3">
        <v>52</v>
      </c>
      <c r="B53" t="s">
        <v>581</v>
      </c>
      <c r="C53" s="5" t="s">
        <v>409</v>
      </c>
      <c r="D53" t="e">
        <f>VLOOKUP(B53,'DS_Tong_12AS-AT-VH'!$T$9:$V$3025,3,0)</f>
        <v>#N/A</v>
      </c>
    </row>
    <row r="54" spans="1:4">
      <c r="A54" s="3">
        <v>53</v>
      </c>
      <c r="B54" t="s">
        <v>582</v>
      </c>
      <c r="C54" s="5" t="s">
        <v>409</v>
      </c>
      <c r="D54" t="e">
        <f>VLOOKUP(B54,'DS_Tong_12AS-AT-VH'!$T$9:$V$3025,3,0)</f>
        <v>#N/A</v>
      </c>
    </row>
    <row r="55" spans="1:4">
      <c r="A55" s="3">
        <v>54</v>
      </c>
      <c r="B55" t="s">
        <v>583</v>
      </c>
      <c r="C55" s="5" t="s">
        <v>409</v>
      </c>
      <c r="D55" t="e">
        <f>VLOOKUP(B55,'DS_Tong_12AS-AT-VH'!$T$9:$V$3025,3,0)</f>
        <v>#N/A</v>
      </c>
    </row>
    <row r="56" spans="1:4">
      <c r="A56" s="3">
        <v>55</v>
      </c>
      <c r="B56" t="s">
        <v>584</v>
      </c>
      <c r="C56" s="5" t="s">
        <v>409</v>
      </c>
      <c r="D56" t="e">
        <f>VLOOKUP(B56,'DS_Tong_12AS-AT-VH'!$T$9:$V$3025,3,0)</f>
        <v>#N/A</v>
      </c>
    </row>
    <row r="57" spans="1:4">
      <c r="A57" s="3">
        <v>56</v>
      </c>
      <c r="B57" t="s">
        <v>585</v>
      </c>
      <c r="C57" s="5" t="s">
        <v>409</v>
      </c>
      <c r="D57" t="e">
        <f>VLOOKUP(B57,'DS_Tong_12AS-AT-VH'!$T$9:$V$3025,3,0)</f>
        <v>#N/A</v>
      </c>
    </row>
    <row r="58" spans="1:4">
      <c r="A58" s="3">
        <v>57</v>
      </c>
      <c r="B58" t="s">
        <v>586</v>
      </c>
      <c r="C58" s="5" t="s">
        <v>409</v>
      </c>
      <c r="D58" t="e">
        <f>VLOOKUP(B58,'DS_Tong_12AS-AT-VH'!$T$9:$V$3025,3,0)</f>
        <v>#N/A</v>
      </c>
    </row>
    <row r="59" spans="1:4">
      <c r="A59" s="3">
        <v>58</v>
      </c>
      <c r="B59" t="s">
        <v>587</v>
      </c>
      <c r="C59" s="5" t="s">
        <v>409</v>
      </c>
      <c r="D59" t="e">
        <f>VLOOKUP(B59,'DS_Tong_12AS-AT-VH'!$T$9:$V$3025,3,0)</f>
        <v>#N/A</v>
      </c>
    </row>
    <row r="60" spans="1:4">
      <c r="A60" s="3">
        <v>59</v>
      </c>
      <c r="B60" t="s">
        <v>588</v>
      </c>
      <c r="C60" s="5" t="s">
        <v>409</v>
      </c>
      <c r="D60" t="e">
        <f>VLOOKUP(B60,'DS_Tong_12AS-AT-VH'!$T$9:$V$3025,3,0)</f>
        <v>#N/A</v>
      </c>
    </row>
    <row r="61" spans="1:4">
      <c r="A61" s="3">
        <v>60</v>
      </c>
      <c r="B61" t="s">
        <v>589</v>
      </c>
      <c r="C61" s="5" t="s">
        <v>409</v>
      </c>
      <c r="D61" t="e">
        <f>VLOOKUP(B61,'DS_Tong_12AS-AT-VH'!$T$9:$V$3025,3,0)</f>
        <v>#N/A</v>
      </c>
    </row>
    <row r="62" spans="1:4">
      <c r="A62" s="3">
        <v>61</v>
      </c>
      <c r="B62" t="s">
        <v>590</v>
      </c>
      <c r="C62" s="5" t="s">
        <v>409</v>
      </c>
      <c r="D62" t="e">
        <f>VLOOKUP(B62,'DS_Tong_12AS-AT-VH'!$T$9:$V$3025,3,0)</f>
        <v>#N/A</v>
      </c>
    </row>
    <row r="63" spans="1:4">
      <c r="A63" s="3">
        <v>62</v>
      </c>
      <c r="B63" t="s">
        <v>591</v>
      </c>
      <c r="C63" s="5" t="s">
        <v>409</v>
      </c>
      <c r="D63" t="e">
        <f>VLOOKUP(B63,'DS_Tong_12AS-AT-VH'!$T$9:$V$3025,3,0)</f>
        <v>#N/A</v>
      </c>
    </row>
    <row r="64" spans="1:4">
      <c r="A64" s="3">
        <v>63</v>
      </c>
      <c r="B64" t="s">
        <v>592</v>
      </c>
      <c r="C64" s="5" t="s">
        <v>409</v>
      </c>
      <c r="D64" t="e">
        <f>VLOOKUP(B64,'DS_Tong_12AS-AT-VH'!$T$9:$V$3025,3,0)</f>
        <v>#N/A</v>
      </c>
    </row>
    <row r="65" spans="1:4">
      <c r="A65" s="3">
        <v>64</v>
      </c>
      <c r="B65" t="s">
        <v>593</v>
      </c>
      <c r="C65" s="5" t="s">
        <v>409</v>
      </c>
      <c r="D65" t="e">
        <f>VLOOKUP(B65,'DS_Tong_12AS-AT-VH'!$T$9:$V$3025,3,0)</f>
        <v>#N/A</v>
      </c>
    </row>
    <row r="66" spans="1:4">
      <c r="A66" s="3">
        <v>65</v>
      </c>
      <c r="B66" t="s">
        <v>594</v>
      </c>
      <c r="C66" s="5" t="s">
        <v>409</v>
      </c>
      <c r="D66" t="e">
        <f>VLOOKUP(B66,'DS_Tong_12AS-AT-VH'!$T$9:$V$3025,3,0)</f>
        <v>#N/A</v>
      </c>
    </row>
    <row r="67" spans="1:4">
      <c r="A67" s="3">
        <v>66</v>
      </c>
      <c r="B67" t="s">
        <v>595</v>
      </c>
      <c r="C67" s="5" t="s">
        <v>409</v>
      </c>
      <c r="D67" t="e">
        <f>VLOOKUP(B67,'DS_Tong_12AS-AT-VH'!$T$9:$V$3025,3,0)</f>
        <v>#N/A</v>
      </c>
    </row>
    <row r="68" spans="1:4">
      <c r="A68" s="3">
        <v>67</v>
      </c>
      <c r="B68" t="s">
        <v>596</v>
      </c>
      <c r="C68" s="5" t="s">
        <v>409</v>
      </c>
      <c r="D68" t="e">
        <f>VLOOKUP(B68,'DS_Tong_12AS-AT-VH'!$T$9:$V$3025,3,0)</f>
        <v>#N/A</v>
      </c>
    </row>
    <row r="69" spans="1:4">
      <c r="A69" s="3">
        <v>68</v>
      </c>
      <c r="B69" t="s">
        <v>597</v>
      </c>
      <c r="C69" s="5" t="s">
        <v>409</v>
      </c>
      <c r="D69" t="e">
        <f>VLOOKUP(B69,'DS_Tong_12AS-AT-VH'!$T$9:$V$3025,3,0)</f>
        <v>#N/A</v>
      </c>
    </row>
    <row r="70" spans="1:4">
      <c r="A70" s="3">
        <v>69</v>
      </c>
      <c r="B70" t="s">
        <v>598</v>
      </c>
      <c r="C70" s="5" t="s">
        <v>409</v>
      </c>
      <c r="D70" t="e">
        <f>VLOOKUP(B70,'DS_Tong_12AS-AT-VH'!$T$9:$V$3025,3,0)</f>
        <v>#N/A</v>
      </c>
    </row>
    <row r="71" spans="1:4">
      <c r="A71" s="3">
        <v>70</v>
      </c>
      <c r="B71" t="s">
        <v>599</v>
      </c>
      <c r="C71" s="5" t="s">
        <v>409</v>
      </c>
      <c r="D71" t="e">
        <f>VLOOKUP(B71,'DS_Tong_12AS-AT-VH'!$T$9:$V$3025,3,0)</f>
        <v>#N/A</v>
      </c>
    </row>
    <row r="72" spans="1:4">
      <c r="A72" s="3">
        <v>71</v>
      </c>
      <c r="B72" t="s">
        <v>600</v>
      </c>
      <c r="C72" s="5" t="s">
        <v>409</v>
      </c>
      <c r="D72" t="e">
        <f>VLOOKUP(B72,'DS_Tong_12AS-AT-VH'!$T$9:$V$3025,3,0)</f>
        <v>#N/A</v>
      </c>
    </row>
    <row r="73" spans="1:4">
      <c r="A73" s="3">
        <v>72</v>
      </c>
      <c r="B73" t="s">
        <v>601</v>
      </c>
      <c r="C73" s="5" t="s">
        <v>409</v>
      </c>
      <c r="D73" t="e">
        <f>VLOOKUP(B73,'DS_Tong_12AS-AT-VH'!$T$9:$V$3025,3,0)</f>
        <v>#N/A</v>
      </c>
    </row>
    <row r="74" spans="1:4">
      <c r="A74" s="3">
        <v>73</v>
      </c>
      <c r="B74" t="s">
        <v>602</v>
      </c>
      <c r="C74" s="5" t="s">
        <v>409</v>
      </c>
      <c r="D74" t="e">
        <f>VLOOKUP(B74,'DS_Tong_12AS-AT-VH'!$T$9:$V$3025,3,0)</f>
        <v>#N/A</v>
      </c>
    </row>
    <row r="75" spans="1:4">
      <c r="A75" s="3">
        <v>74</v>
      </c>
      <c r="B75" t="s">
        <v>603</v>
      </c>
      <c r="C75" s="5" t="s">
        <v>409</v>
      </c>
      <c r="D75" t="e">
        <f>VLOOKUP(B75,'DS_Tong_12AS-AT-VH'!$T$9:$V$3025,3,0)</f>
        <v>#N/A</v>
      </c>
    </row>
    <row r="76" spans="1:4">
      <c r="A76" s="3">
        <v>75</v>
      </c>
      <c r="B76" t="s">
        <v>604</v>
      </c>
      <c r="C76" s="5" t="s">
        <v>409</v>
      </c>
      <c r="D76" t="e">
        <f>VLOOKUP(B76,'DS_Tong_12AS-AT-VH'!$T$9:$V$3025,3,0)</f>
        <v>#N/A</v>
      </c>
    </row>
    <row r="77" spans="1:4">
      <c r="A77" s="3">
        <v>76</v>
      </c>
      <c r="B77" t="s">
        <v>605</v>
      </c>
      <c r="C77" s="5" t="s">
        <v>409</v>
      </c>
      <c r="D77" t="e">
        <f>VLOOKUP(B77,'DS_Tong_12AS-AT-VH'!$T$9:$V$3025,3,0)</f>
        <v>#N/A</v>
      </c>
    </row>
    <row r="78" spans="1:4">
      <c r="A78" s="3">
        <v>77</v>
      </c>
      <c r="B78" t="s">
        <v>606</v>
      </c>
      <c r="C78" s="5" t="s">
        <v>409</v>
      </c>
      <c r="D78" t="e">
        <f>VLOOKUP(B78,'DS_Tong_12AS-AT-VH'!$T$9:$V$3025,3,0)</f>
        <v>#N/A</v>
      </c>
    </row>
    <row r="79" spans="1:4">
      <c r="A79" s="3">
        <v>78</v>
      </c>
      <c r="B79" t="s">
        <v>607</v>
      </c>
      <c r="C79" s="5" t="s">
        <v>409</v>
      </c>
      <c r="D79" t="e">
        <f>VLOOKUP(B79,'DS_Tong_12AS-AT-VH'!$T$9:$V$3025,3,0)</f>
        <v>#N/A</v>
      </c>
    </row>
    <row r="80" spans="1:4">
      <c r="A80" s="3">
        <v>79</v>
      </c>
      <c r="B80" t="s">
        <v>608</v>
      </c>
      <c r="C80" s="5" t="s">
        <v>409</v>
      </c>
      <c r="D80" t="e">
        <f>VLOOKUP(B80,'DS_Tong_12AS-AT-VH'!$T$9:$V$3025,3,0)</f>
        <v>#N/A</v>
      </c>
    </row>
    <row r="81" spans="1:4">
      <c r="A81" s="3">
        <v>80</v>
      </c>
      <c r="B81" t="s">
        <v>609</v>
      </c>
      <c r="C81" s="5" t="s">
        <v>409</v>
      </c>
      <c r="D81" t="e">
        <f>VLOOKUP(B81,'DS_Tong_12AS-AT-VH'!$T$9:$V$3025,3,0)</f>
        <v>#N/A</v>
      </c>
    </row>
    <row r="82" spans="1:4">
      <c r="A82" s="3">
        <v>81</v>
      </c>
      <c r="B82" t="s">
        <v>610</v>
      </c>
      <c r="C82" s="5" t="s">
        <v>409</v>
      </c>
      <c r="D82" t="e">
        <f>VLOOKUP(B82,'DS_Tong_12AS-AT-VH'!$T$9:$V$3025,3,0)</f>
        <v>#N/A</v>
      </c>
    </row>
    <row r="83" spans="1:4">
      <c r="A83" s="3">
        <v>82</v>
      </c>
      <c r="B83" t="s">
        <v>611</v>
      </c>
      <c r="C83" s="5" t="s">
        <v>409</v>
      </c>
      <c r="D83" t="e">
        <f>VLOOKUP(B83,'DS_Tong_12AS-AT-VH'!$T$9:$V$3025,3,0)</f>
        <v>#N/A</v>
      </c>
    </row>
    <row r="84" spans="1:4">
      <c r="A84" s="3">
        <v>83</v>
      </c>
      <c r="B84" t="s">
        <v>612</v>
      </c>
      <c r="C84" s="5" t="s">
        <v>409</v>
      </c>
      <c r="D84" t="e">
        <f>VLOOKUP(B84,'DS_Tong_12AS-AT-VH'!$T$9:$V$3025,3,0)</f>
        <v>#N/A</v>
      </c>
    </row>
    <row r="85" spans="1:4">
      <c r="A85" s="3">
        <v>84</v>
      </c>
      <c r="B85" t="s">
        <v>613</v>
      </c>
      <c r="C85" s="5" t="s">
        <v>409</v>
      </c>
      <c r="D85" t="e">
        <f>VLOOKUP(B85,'DS_Tong_12AS-AT-VH'!$T$9:$V$3025,3,0)</f>
        <v>#N/A</v>
      </c>
    </row>
    <row r="86" spans="1:4">
      <c r="A86" s="3">
        <v>85</v>
      </c>
      <c r="B86" t="s">
        <v>614</v>
      </c>
      <c r="C86" s="5" t="s">
        <v>409</v>
      </c>
      <c r="D86" t="e">
        <f>VLOOKUP(B86,'DS_Tong_12AS-AT-VH'!$T$9:$V$3025,3,0)</f>
        <v>#N/A</v>
      </c>
    </row>
    <row r="87" spans="1:4">
      <c r="A87" s="3">
        <v>86</v>
      </c>
      <c r="B87" t="s">
        <v>615</v>
      </c>
      <c r="C87" s="5" t="s">
        <v>409</v>
      </c>
      <c r="D87" t="e">
        <f>VLOOKUP(B87,'DS_Tong_12AS-AT-VH'!$T$9:$V$3025,3,0)</f>
        <v>#N/A</v>
      </c>
    </row>
    <row r="88" spans="1:4">
      <c r="A88" s="3">
        <v>87</v>
      </c>
      <c r="B88" t="s">
        <v>616</v>
      </c>
      <c r="C88" s="5" t="s">
        <v>409</v>
      </c>
      <c r="D88" t="e">
        <f>VLOOKUP(B88,'DS_Tong_12AS-AT-VH'!$T$9:$V$3025,3,0)</f>
        <v>#N/A</v>
      </c>
    </row>
    <row r="89" spans="1:4">
      <c r="A89" s="3">
        <v>88</v>
      </c>
      <c r="B89" t="s">
        <v>617</v>
      </c>
      <c r="C89" s="5" t="s">
        <v>409</v>
      </c>
      <c r="D89" t="e">
        <f>VLOOKUP(B89,'DS_Tong_12AS-AT-VH'!$T$9:$V$3025,3,0)</f>
        <v>#N/A</v>
      </c>
    </row>
    <row r="90" spans="1:4">
      <c r="A90" s="3">
        <v>89</v>
      </c>
      <c r="B90" t="s">
        <v>618</v>
      </c>
      <c r="C90" s="5" t="s">
        <v>409</v>
      </c>
      <c r="D90" t="e">
        <f>VLOOKUP(B90,'DS_Tong_12AS-AT-VH'!$T$9:$V$3025,3,0)</f>
        <v>#N/A</v>
      </c>
    </row>
    <row r="91" spans="1:4">
      <c r="A91" s="3">
        <v>90</v>
      </c>
      <c r="B91" t="s">
        <v>619</v>
      </c>
      <c r="C91" s="5" t="s">
        <v>409</v>
      </c>
      <c r="D91" t="e">
        <f>VLOOKUP(B91,'DS_Tong_12AS-AT-VH'!$T$9:$V$3025,3,0)</f>
        <v>#N/A</v>
      </c>
    </row>
    <row r="92" spans="1:4">
      <c r="A92" s="3">
        <v>91</v>
      </c>
      <c r="B92" t="s">
        <v>620</v>
      </c>
      <c r="C92" s="5" t="s">
        <v>409</v>
      </c>
      <c r="D92" t="e">
        <f>VLOOKUP(B92,'DS_Tong_12AS-AT-VH'!$T$9:$V$3025,3,0)</f>
        <v>#N/A</v>
      </c>
    </row>
    <row r="93" spans="1:4">
      <c r="A93" s="3">
        <v>92</v>
      </c>
      <c r="B93" t="s">
        <v>621</v>
      </c>
      <c r="C93" s="5" t="s">
        <v>409</v>
      </c>
      <c r="D93" t="e">
        <f>VLOOKUP(B93,'DS_Tong_12AS-AT-VH'!$T$9:$V$3025,3,0)</f>
        <v>#N/A</v>
      </c>
    </row>
    <row r="94" spans="1:4">
      <c r="A94" s="3">
        <v>93</v>
      </c>
      <c r="B94" t="s">
        <v>622</v>
      </c>
      <c r="C94" s="5" t="s">
        <v>409</v>
      </c>
      <c r="D94" t="e">
        <f>VLOOKUP(B94,'DS_Tong_12AS-AT-VH'!$T$9:$V$3025,3,0)</f>
        <v>#N/A</v>
      </c>
    </row>
    <row r="95" spans="1:4">
      <c r="A95" s="3">
        <v>94</v>
      </c>
      <c r="B95" t="s">
        <v>623</v>
      </c>
      <c r="C95" s="5" t="s">
        <v>409</v>
      </c>
      <c r="D95" t="e">
        <f>VLOOKUP(B95,'DS_Tong_12AS-AT-VH'!$T$9:$V$3025,3,0)</f>
        <v>#N/A</v>
      </c>
    </row>
    <row r="96" spans="1:4">
      <c r="A96" s="3">
        <v>95</v>
      </c>
      <c r="B96" t="s">
        <v>624</v>
      </c>
      <c r="C96" s="5" t="s">
        <v>409</v>
      </c>
      <c r="D96" t="e">
        <f>VLOOKUP(B96,'DS_Tong_12AS-AT-VH'!$T$9:$V$3025,3,0)</f>
        <v>#N/A</v>
      </c>
    </row>
    <row r="97" spans="1:4">
      <c r="A97" s="3">
        <v>96</v>
      </c>
      <c r="B97" t="s">
        <v>625</v>
      </c>
      <c r="C97" s="5" t="s">
        <v>409</v>
      </c>
      <c r="D97" t="e">
        <f>VLOOKUP(B97,'DS_Tong_12AS-AT-VH'!$T$9:$V$3025,3,0)</f>
        <v>#N/A</v>
      </c>
    </row>
    <row r="98" spans="1:4">
      <c r="A98" s="3">
        <v>97</v>
      </c>
      <c r="B98" t="s">
        <v>626</v>
      </c>
      <c r="C98" s="5" t="s">
        <v>409</v>
      </c>
      <c r="D98" t="e">
        <f>VLOOKUP(B98,'DS_Tong_12AS-AT-VH'!$T$9:$V$3025,3,0)</f>
        <v>#N/A</v>
      </c>
    </row>
    <row r="99" spans="1:4">
      <c r="A99" s="3">
        <v>98</v>
      </c>
      <c r="B99" t="s">
        <v>627</v>
      </c>
      <c r="C99" s="5" t="s">
        <v>409</v>
      </c>
      <c r="D99" t="e">
        <f>VLOOKUP(B99,'DS_Tong_12AS-AT-VH'!$T$9:$V$3025,3,0)</f>
        <v>#N/A</v>
      </c>
    </row>
    <row r="100" spans="1:4">
      <c r="A100" s="3">
        <v>99</v>
      </c>
      <c r="B100" t="s">
        <v>628</v>
      </c>
      <c r="C100" s="5" t="s">
        <v>409</v>
      </c>
      <c r="D100" t="e">
        <f>VLOOKUP(B100,'DS_Tong_12AS-AT-VH'!$T$9:$V$3025,3,0)</f>
        <v>#N/A</v>
      </c>
    </row>
    <row r="101" spans="1:4">
      <c r="A101" s="3">
        <v>100</v>
      </c>
      <c r="B101" t="s">
        <v>629</v>
      </c>
      <c r="C101" s="5" t="s">
        <v>409</v>
      </c>
      <c r="D101" t="e">
        <f>VLOOKUP(B101,'DS_Tong_12AS-AT-VH'!$T$9:$V$3025,3,0)</f>
        <v>#N/A</v>
      </c>
    </row>
    <row r="102" spans="1:4">
      <c r="A102" s="3">
        <v>101</v>
      </c>
      <c r="B102" t="s">
        <v>630</v>
      </c>
      <c r="C102" s="5" t="s">
        <v>409</v>
      </c>
      <c r="D102" t="e">
        <f>VLOOKUP(B102,'DS_Tong_12AS-AT-VH'!$T$9:$V$3025,3,0)</f>
        <v>#N/A</v>
      </c>
    </row>
    <row r="103" spans="1:4">
      <c r="A103" s="3">
        <v>102</v>
      </c>
      <c r="B103" t="s">
        <v>631</v>
      </c>
      <c r="C103" s="5" t="s">
        <v>409</v>
      </c>
      <c r="D103" t="e">
        <f>VLOOKUP(B103,'DS_Tong_12AS-AT-VH'!$T$9:$V$3025,3,0)</f>
        <v>#N/A</v>
      </c>
    </row>
    <row r="104" spans="1:4">
      <c r="A104" s="3">
        <v>103</v>
      </c>
      <c r="B104" t="s">
        <v>632</v>
      </c>
      <c r="C104" s="5" t="s">
        <v>409</v>
      </c>
      <c r="D104" t="e">
        <f>VLOOKUP(B104,'DS_Tong_12AS-AT-VH'!$T$9:$V$3025,3,0)</f>
        <v>#N/A</v>
      </c>
    </row>
    <row r="105" spans="1:4">
      <c r="A105" s="3">
        <v>104</v>
      </c>
      <c r="B105" t="s">
        <v>633</v>
      </c>
      <c r="C105" s="5" t="s">
        <v>409</v>
      </c>
      <c r="D105" t="e">
        <f>VLOOKUP(B105,'DS_Tong_12AS-AT-VH'!$T$9:$V$3025,3,0)</f>
        <v>#N/A</v>
      </c>
    </row>
    <row r="106" spans="1:4">
      <c r="A106" s="3">
        <v>105</v>
      </c>
      <c r="B106" t="s">
        <v>634</v>
      </c>
      <c r="C106" s="5" t="s">
        <v>409</v>
      </c>
      <c r="D106" t="e">
        <f>VLOOKUP(B106,'DS_Tong_12AS-AT-VH'!$T$9:$V$3025,3,0)</f>
        <v>#N/A</v>
      </c>
    </row>
    <row r="107" spans="1:4">
      <c r="A107" s="3">
        <v>106</v>
      </c>
      <c r="B107" t="s">
        <v>635</v>
      </c>
      <c r="C107" s="5" t="s">
        <v>409</v>
      </c>
      <c r="D107" t="e">
        <f>VLOOKUP(B107,'DS_Tong_12AS-AT-VH'!$T$9:$V$3025,3,0)</f>
        <v>#N/A</v>
      </c>
    </row>
    <row r="108" spans="1:4">
      <c r="A108" s="3">
        <v>107</v>
      </c>
      <c r="B108" t="s">
        <v>636</v>
      </c>
      <c r="C108" s="5" t="s">
        <v>409</v>
      </c>
      <c r="D108" t="e">
        <f>VLOOKUP(B108,'DS_Tong_12AS-AT-VH'!$T$9:$V$3025,3,0)</f>
        <v>#N/A</v>
      </c>
    </row>
    <row r="109" spans="1:4">
      <c r="A109" s="3">
        <v>108</v>
      </c>
      <c r="B109" t="s">
        <v>637</v>
      </c>
      <c r="C109" s="5" t="s">
        <v>409</v>
      </c>
      <c r="D109" t="e">
        <f>VLOOKUP(B109,'DS_Tong_12AS-AT-VH'!$T$9:$V$3025,3,0)</f>
        <v>#N/A</v>
      </c>
    </row>
    <row r="110" spans="1:4">
      <c r="A110" s="3">
        <v>109</v>
      </c>
      <c r="B110" t="s">
        <v>638</v>
      </c>
      <c r="C110" s="5" t="s">
        <v>409</v>
      </c>
      <c r="D110" t="e">
        <f>VLOOKUP(B110,'DS_Tong_12AS-AT-VH'!$T$9:$V$3025,3,0)</f>
        <v>#N/A</v>
      </c>
    </row>
    <row r="111" spans="1:4">
      <c r="A111" s="3">
        <v>110</v>
      </c>
      <c r="B111" t="s">
        <v>639</v>
      </c>
      <c r="C111" s="5" t="s">
        <v>409</v>
      </c>
      <c r="D111" t="e">
        <f>VLOOKUP(B111,'DS_Tong_12AS-AT-VH'!$T$9:$V$3025,3,0)</f>
        <v>#N/A</v>
      </c>
    </row>
    <row r="112" spans="1:4">
      <c r="A112" s="3">
        <v>111</v>
      </c>
      <c r="B112" t="s">
        <v>640</v>
      </c>
      <c r="C112" s="5" t="s">
        <v>409</v>
      </c>
      <c r="D112" t="e">
        <f>VLOOKUP(B112,'DS_Tong_12AS-AT-VH'!$T$9:$V$3025,3,0)</f>
        <v>#N/A</v>
      </c>
    </row>
    <row r="113" spans="1:4">
      <c r="A113" s="3">
        <v>112</v>
      </c>
      <c r="B113" t="s">
        <v>641</v>
      </c>
      <c r="C113" s="5" t="s">
        <v>409</v>
      </c>
      <c r="D113" t="e">
        <f>VLOOKUP(B113,'DS_Tong_12AS-AT-VH'!$T$9:$V$3025,3,0)</f>
        <v>#N/A</v>
      </c>
    </row>
    <row r="114" spans="1:4">
      <c r="A114" s="3">
        <v>113</v>
      </c>
      <c r="B114" t="s">
        <v>642</v>
      </c>
      <c r="C114" s="5" t="s">
        <v>409</v>
      </c>
      <c r="D114" t="e">
        <f>VLOOKUP(B114,'DS_Tong_12AS-AT-VH'!$T$9:$V$3025,3,0)</f>
        <v>#N/A</v>
      </c>
    </row>
    <row r="115" spans="1:4">
      <c r="A115" s="3">
        <v>114</v>
      </c>
      <c r="B115" t="s">
        <v>643</v>
      </c>
      <c r="C115" s="5" t="s">
        <v>409</v>
      </c>
      <c r="D115" t="e">
        <f>VLOOKUP(B115,'DS_Tong_12AS-AT-VH'!$T$9:$V$3025,3,0)</f>
        <v>#N/A</v>
      </c>
    </row>
    <row r="116" spans="1:4">
      <c r="A116" s="3">
        <v>115</v>
      </c>
      <c r="B116" t="s">
        <v>644</v>
      </c>
      <c r="C116" s="5" t="s">
        <v>409</v>
      </c>
      <c r="D116" t="e">
        <f>VLOOKUP(B116,'DS_Tong_12AS-AT-VH'!$T$9:$V$3025,3,0)</f>
        <v>#N/A</v>
      </c>
    </row>
    <row r="117" spans="1:4">
      <c r="A117" s="3">
        <v>116</v>
      </c>
      <c r="B117" t="s">
        <v>645</v>
      </c>
      <c r="C117" s="5" t="s">
        <v>409</v>
      </c>
      <c r="D117" t="e">
        <f>VLOOKUP(B117,'DS_Tong_12AS-AT-VH'!$T$9:$V$3025,3,0)</f>
        <v>#N/A</v>
      </c>
    </row>
    <row r="118" spans="1:4">
      <c r="A118" s="3">
        <v>117</v>
      </c>
      <c r="B118" t="s">
        <v>646</v>
      </c>
      <c r="C118" s="5" t="s">
        <v>409</v>
      </c>
      <c r="D118" t="e">
        <f>VLOOKUP(B118,'DS_Tong_12AS-AT-VH'!$T$9:$V$3025,3,0)</f>
        <v>#N/A</v>
      </c>
    </row>
    <row r="119" spans="1:4">
      <c r="A119" s="3">
        <v>118</v>
      </c>
      <c r="B119" t="s">
        <v>647</v>
      </c>
      <c r="C119" s="5" t="s">
        <v>409</v>
      </c>
      <c r="D119" t="e">
        <f>VLOOKUP(B119,'DS_Tong_12AS-AT-VH'!$T$9:$V$3025,3,0)</f>
        <v>#N/A</v>
      </c>
    </row>
    <row r="120" spans="1:4">
      <c r="A120" s="3">
        <v>119</v>
      </c>
      <c r="B120" t="s">
        <v>648</v>
      </c>
      <c r="C120" s="5" t="s">
        <v>409</v>
      </c>
      <c r="D120" t="e">
        <f>VLOOKUP(B120,'DS_Tong_12AS-AT-VH'!$T$9:$V$3025,3,0)</f>
        <v>#N/A</v>
      </c>
    </row>
    <row r="121" spans="1:4">
      <c r="A121" s="3">
        <v>120</v>
      </c>
      <c r="B121" t="s">
        <v>649</v>
      </c>
      <c r="C121" s="5" t="s">
        <v>409</v>
      </c>
      <c r="D121" t="e">
        <f>VLOOKUP(B121,'DS_Tong_12AS-AT-VH'!$T$9:$V$3025,3,0)</f>
        <v>#N/A</v>
      </c>
    </row>
    <row r="122" spans="1:4">
      <c r="A122" s="3">
        <v>121</v>
      </c>
      <c r="B122" t="s">
        <v>650</v>
      </c>
      <c r="C122" s="5" t="s">
        <v>409</v>
      </c>
      <c r="D122" t="e">
        <f>VLOOKUP(B122,'DS_Tong_12AS-AT-VH'!$T$9:$V$3025,3,0)</f>
        <v>#N/A</v>
      </c>
    </row>
    <row r="123" spans="1:4">
      <c r="A123" s="3">
        <v>122</v>
      </c>
      <c r="B123" t="s">
        <v>651</v>
      </c>
      <c r="C123" s="5" t="s">
        <v>409</v>
      </c>
      <c r="D123" t="e">
        <f>VLOOKUP(B123,'DS_Tong_12AS-AT-VH'!$T$9:$V$3025,3,0)</f>
        <v>#N/A</v>
      </c>
    </row>
    <row r="124" spans="1:4">
      <c r="A124" s="3">
        <v>123</v>
      </c>
      <c r="B124" t="s">
        <v>652</v>
      </c>
      <c r="C124" s="5" t="s">
        <v>409</v>
      </c>
      <c r="D124" t="e">
        <f>VLOOKUP(B124,'DS_Tong_12AS-AT-VH'!$T$9:$V$3025,3,0)</f>
        <v>#N/A</v>
      </c>
    </row>
    <row r="125" spans="1:4">
      <c r="A125" s="3">
        <v>124</v>
      </c>
      <c r="B125" t="s">
        <v>653</v>
      </c>
      <c r="C125" s="5" t="s">
        <v>409</v>
      </c>
      <c r="D125" t="e">
        <f>VLOOKUP(B125,'DS_Tong_12AS-AT-VH'!$T$9:$V$3025,3,0)</f>
        <v>#N/A</v>
      </c>
    </row>
    <row r="126" spans="1:4">
      <c r="A126" s="3">
        <v>125</v>
      </c>
      <c r="B126" t="s">
        <v>654</v>
      </c>
      <c r="C126" s="5" t="s">
        <v>409</v>
      </c>
      <c r="D126" t="e">
        <f>VLOOKUP(B126,'DS_Tong_12AS-AT-VH'!$T$9:$V$3025,3,0)</f>
        <v>#N/A</v>
      </c>
    </row>
    <row r="127" spans="1:4">
      <c r="A127" s="3">
        <v>126</v>
      </c>
      <c r="B127" t="s">
        <v>655</v>
      </c>
      <c r="C127" s="5" t="s">
        <v>409</v>
      </c>
      <c r="D127" t="e">
        <f>VLOOKUP(B127,'DS_Tong_12AS-AT-VH'!$T$9:$V$3025,3,0)</f>
        <v>#N/A</v>
      </c>
    </row>
    <row r="128" spans="1:4">
      <c r="A128" s="3">
        <v>127</v>
      </c>
      <c r="B128" t="s">
        <v>656</v>
      </c>
      <c r="C128" s="5" t="s">
        <v>409</v>
      </c>
      <c r="D128" t="e">
        <f>VLOOKUP(B128,'DS_Tong_12AS-AT-VH'!$T$9:$V$3025,3,0)</f>
        <v>#N/A</v>
      </c>
    </row>
    <row r="129" spans="1:5">
      <c r="A129" s="3">
        <v>128</v>
      </c>
      <c r="B129" t="s">
        <v>657</v>
      </c>
      <c r="C129" s="5" t="s">
        <v>409</v>
      </c>
      <c r="D129" t="e">
        <f>VLOOKUP(B129,'DS_Tong_12AS-AT-VH'!$T$9:$V$3025,3,0)</f>
        <v>#N/A</v>
      </c>
    </row>
    <row r="130" spans="1:5">
      <c r="A130" s="3">
        <v>129</v>
      </c>
      <c r="B130" t="s">
        <v>658</v>
      </c>
      <c r="C130" s="5" t="s">
        <v>409</v>
      </c>
      <c r="D130" t="e">
        <f>VLOOKUP(B130,'DS_Tong_12AS-AT-VH'!$T$9:$V$3025,3,0)</f>
        <v>#N/A</v>
      </c>
    </row>
    <row r="131" spans="1:5">
      <c r="A131" s="3">
        <v>130</v>
      </c>
      <c r="B131" t="s">
        <v>659</v>
      </c>
      <c r="C131" s="5" t="s">
        <v>409</v>
      </c>
      <c r="D131" t="e">
        <f>VLOOKUP(B131,'DS_Tong_12AS-AT-VH'!$T$9:$V$3025,3,0)</f>
        <v>#N/A</v>
      </c>
    </row>
    <row r="132" spans="1:5">
      <c r="A132" s="3">
        <v>131</v>
      </c>
      <c r="B132" t="s">
        <v>660</v>
      </c>
      <c r="C132" s="5" t="s">
        <v>409</v>
      </c>
      <c r="D132" t="e">
        <f>VLOOKUP(B132,'DS_Tong_12AS-AT-VH'!$T$9:$V$3025,3,0)</f>
        <v>#N/A</v>
      </c>
    </row>
    <row r="133" spans="1:5">
      <c r="A133" s="3">
        <v>132</v>
      </c>
      <c r="B133" t="s">
        <v>661</v>
      </c>
      <c r="C133" s="5" t="s">
        <v>409</v>
      </c>
      <c r="D133" t="e">
        <f>VLOOKUP(B133,'DS_Tong_12AS-AT-VH'!$T$9:$V$3025,3,0)</f>
        <v>#N/A</v>
      </c>
    </row>
    <row r="134" spans="1:5">
      <c r="A134" s="3">
        <v>133</v>
      </c>
      <c r="B134" t="s">
        <v>662</v>
      </c>
      <c r="C134" s="5" t="s">
        <v>409</v>
      </c>
      <c r="D134" t="e">
        <f>VLOOKUP(B134,'DS_Tong_12AS-AT-VH'!$T$9:$V$3025,3,0)</f>
        <v>#N/A</v>
      </c>
    </row>
    <row r="135" spans="1:5">
      <c r="A135" s="3">
        <v>134</v>
      </c>
      <c r="B135" t="s">
        <v>663</v>
      </c>
      <c r="C135" s="5" t="s">
        <v>409</v>
      </c>
      <c r="D135" t="e">
        <f>VLOOKUP(B135,'DS_Tong_12AS-AT-VH'!$T$9:$V$3025,3,0)</f>
        <v>#N/A</v>
      </c>
    </row>
    <row r="136" spans="1:5">
      <c r="A136" s="3">
        <v>135</v>
      </c>
      <c r="B136" t="s">
        <v>664</v>
      </c>
      <c r="C136" s="5" t="s">
        <v>409</v>
      </c>
      <c r="D136" t="e">
        <f>VLOOKUP(B136,'DS_Tong_12AS-AT-VH'!$T$9:$V$3025,3,0)</f>
        <v>#N/A</v>
      </c>
    </row>
    <row r="137" spans="1:5">
      <c r="A137" s="3">
        <v>136</v>
      </c>
      <c r="B137" s="142" t="s">
        <v>665</v>
      </c>
      <c r="C137" s="143" t="s">
        <v>409</v>
      </c>
      <c r="D137" s="142" t="e">
        <f>VLOOKUP(B137,'DS_Tong_12AS-AT-VH'!$T$9:$V$3025,3,0)</f>
        <v>#N/A</v>
      </c>
      <c r="E137" s="5" t="s">
        <v>529</v>
      </c>
    </row>
    <row r="138" spans="1:5">
      <c r="A138" s="3">
        <v>137</v>
      </c>
      <c r="B138" t="s">
        <v>666</v>
      </c>
      <c r="C138" s="5" t="s">
        <v>409</v>
      </c>
      <c r="D138" t="e">
        <f>VLOOKUP(B138,'DS_Tong_12AS-AT-VH'!$T$9:$V$3025,3,0)</f>
        <v>#N/A</v>
      </c>
    </row>
    <row r="139" spans="1:5">
      <c r="A139" s="3">
        <v>138</v>
      </c>
      <c r="B139" t="s">
        <v>667</v>
      </c>
      <c r="C139" s="5" t="s">
        <v>409</v>
      </c>
      <c r="D139" t="e">
        <f>VLOOKUP(B139,'DS_Tong_12AS-AT-VH'!$T$9:$V$3025,3,0)</f>
        <v>#N/A</v>
      </c>
    </row>
    <row r="140" spans="1:5">
      <c r="A140" s="3">
        <v>139</v>
      </c>
      <c r="B140" s="142" t="s">
        <v>668</v>
      </c>
      <c r="C140" s="143" t="s">
        <v>409</v>
      </c>
      <c r="D140" s="142" t="e">
        <f>VLOOKUP(B140,'DS_Tong_12AS-AT-VH'!$T$9:$V$3025,3,0)</f>
        <v>#N/A</v>
      </c>
    </row>
    <row r="141" spans="1:5">
      <c r="A141" s="3">
        <v>140</v>
      </c>
      <c r="B141" t="s">
        <v>669</v>
      </c>
      <c r="C141" s="5" t="s">
        <v>409</v>
      </c>
      <c r="D141" t="e">
        <f>VLOOKUP(B141,'DS_Tong_12AS-AT-VH'!$T$9:$V$3025,3,0)</f>
        <v>#N/A</v>
      </c>
    </row>
    <row r="142" spans="1:5">
      <c r="A142" s="3">
        <v>141</v>
      </c>
      <c r="B142" t="s">
        <v>670</v>
      </c>
      <c r="C142" s="5" t="s">
        <v>409</v>
      </c>
      <c r="D142" t="e">
        <f>VLOOKUP(B142,'DS_Tong_12AS-AT-VH'!$T$9:$V$3025,3,0)</f>
        <v>#N/A</v>
      </c>
    </row>
    <row r="143" spans="1:5">
      <c r="A143" s="3">
        <v>142</v>
      </c>
      <c r="B143" t="s">
        <v>671</v>
      </c>
      <c r="C143" s="5" t="s">
        <v>409</v>
      </c>
      <c r="D143" t="e">
        <f>VLOOKUP(B143,'DS_Tong_12AS-AT-VH'!$T$9:$V$3025,3,0)</f>
        <v>#N/A</v>
      </c>
    </row>
    <row r="144" spans="1:5">
      <c r="A144" s="3">
        <v>143</v>
      </c>
      <c r="B144" t="s">
        <v>672</v>
      </c>
      <c r="C144" s="5" t="s">
        <v>409</v>
      </c>
      <c r="D144" t="e">
        <f>VLOOKUP(B144,'DS_Tong_12AS-AT-VH'!$T$9:$V$3025,3,0)</f>
        <v>#N/A</v>
      </c>
    </row>
    <row r="145" spans="1:4">
      <c r="A145" s="3">
        <v>144</v>
      </c>
      <c r="B145" t="s">
        <v>673</v>
      </c>
      <c r="C145" s="5" t="s">
        <v>409</v>
      </c>
      <c r="D145" t="e">
        <f>VLOOKUP(B145,'DS_Tong_12AS-AT-VH'!$T$9:$V$3025,3,0)</f>
        <v>#N/A</v>
      </c>
    </row>
    <row r="146" spans="1:4">
      <c r="A146" s="3">
        <v>145</v>
      </c>
      <c r="B146" t="s">
        <v>674</v>
      </c>
      <c r="C146" s="5" t="s">
        <v>409</v>
      </c>
      <c r="D146" t="e">
        <f>VLOOKUP(B146,'DS_Tong_12AS-AT-VH'!$T$9:$V$3025,3,0)</f>
        <v>#N/A</v>
      </c>
    </row>
    <row r="147" spans="1:4">
      <c r="A147" s="3">
        <v>146</v>
      </c>
      <c r="B147" t="s">
        <v>675</v>
      </c>
      <c r="C147" s="5" t="s">
        <v>409</v>
      </c>
      <c r="D147" t="e">
        <f>VLOOKUP(B147,'DS_Tong_12AS-AT-VH'!$T$9:$V$3025,3,0)</f>
        <v>#N/A</v>
      </c>
    </row>
    <row r="148" spans="1:4">
      <c r="A148" s="3">
        <v>147</v>
      </c>
      <c r="B148" t="s">
        <v>676</v>
      </c>
      <c r="C148" s="5" t="s">
        <v>409</v>
      </c>
      <c r="D148" t="e">
        <f>VLOOKUP(B148,'DS_Tong_12AS-AT-VH'!$T$9:$V$3025,3,0)</f>
        <v>#N/A</v>
      </c>
    </row>
    <row r="149" spans="1:4">
      <c r="A149" s="3">
        <v>148</v>
      </c>
      <c r="B149" t="s">
        <v>677</v>
      </c>
      <c r="C149" s="5" t="s">
        <v>409</v>
      </c>
      <c r="D149" t="e">
        <f>VLOOKUP(B149,'DS_Tong_12AS-AT-VH'!$T$9:$V$3025,3,0)</f>
        <v>#N/A</v>
      </c>
    </row>
    <row r="150" spans="1:4">
      <c r="A150" s="3">
        <v>149</v>
      </c>
      <c r="B150" t="s">
        <v>678</v>
      </c>
      <c r="C150" s="5" t="s">
        <v>409</v>
      </c>
      <c r="D150" t="e">
        <f>VLOOKUP(B150,'DS_Tong_12AS-AT-VH'!$T$9:$V$3025,3,0)</f>
        <v>#N/A</v>
      </c>
    </row>
    <row r="151" spans="1:4">
      <c r="A151" s="3">
        <v>150</v>
      </c>
      <c r="B151" t="s">
        <v>679</v>
      </c>
      <c r="C151" s="5" t="s">
        <v>409</v>
      </c>
      <c r="D151" t="e">
        <f>VLOOKUP(B151,'DS_Tong_12AS-AT-VH'!$T$9:$V$3025,3,0)</f>
        <v>#N/A</v>
      </c>
    </row>
    <row r="152" spans="1:4">
      <c r="A152" s="3">
        <v>151</v>
      </c>
      <c r="B152" t="s">
        <v>680</v>
      </c>
      <c r="C152" s="5" t="s">
        <v>409</v>
      </c>
      <c r="D152" t="e">
        <f>VLOOKUP(B152,'DS_Tong_12AS-AT-VH'!$T$9:$V$3025,3,0)</f>
        <v>#N/A</v>
      </c>
    </row>
    <row r="153" spans="1:4">
      <c r="A153" s="3">
        <v>152</v>
      </c>
      <c r="B153" t="s">
        <v>681</v>
      </c>
      <c r="C153" s="5" t="s">
        <v>409</v>
      </c>
      <c r="D153" t="e">
        <f>VLOOKUP(B153,'DS_Tong_12AS-AT-VH'!$T$9:$V$3025,3,0)</f>
        <v>#N/A</v>
      </c>
    </row>
    <row r="154" spans="1:4">
      <c r="A154" s="3">
        <v>153</v>
      </c>
      <c r="B154" t="s">
        <v>682</v>
      </c>
      <c r="C154" s="5" t="s">
        <v>409</v>
      </c>
      <c r="D154" t="e">
        <f>VLOOKUP(B154,'DS_Tong_12AS-AT-VH'!$T$9:$V$3025,3,0)</f>
        <v>#N/A</v>
      </c>
    </row>
    <row r="155" spans="1:4">
      <c r="A155" s="3">
        <v>154</v>
      </c>
      <c r="B155" t="s">
        <v>683</v>
      </c>
      <c r="C155" s="5" t="s">
        <v>409</v>
      </c>
      <c r="D155" t="e">
        <f>VLOOKUP(B155,'DS_Tong_12AS-AT-VH'!$T$9:$V$3025,3,0)</f>
        <v>#N/A</v>
      </c>
    </row>
    <row r="156" spans="1:4">
      <c r="A156" s="3">
        <v>155</v>
      </c>
      <c r="B156" t="s">
        <v>684</v>
      </c>
      <c r="C156" s="5" t="s">
        <v>409</v>
      </c>
      <c r="D156" t="e">
        <f>VLOOKUP(B156,'DS_Tong_12AS-AT-VH'!$T$9:$V$3025,3,0)</f>
        <v>#N/A</v>
      </c>
    </row>
    <row r="157" spans="1:4">
      <c r="A157" s="3">
        <v>156</v>
      </c>
      <c r="B157" t="s">
        <v>685</v>
      </c>
      <c r="C157" s="5" t="s">
        <v>409</v>
      </c>
      <c r="D157" t="e">
        <f>VLOOKUP(B157,'DS_Tong_12AS-AT-VH'!$T$9:$V$3025,3,0)</f>
        <v>#N/A</v>
      </c>
    </row>
    <row r="158" spans="1:4">
      <c r="A158" s="3">
        <v>157</v>
      </c>
      <c r="B158" t="s">
        <v>686</v>
      </c>
      <c r="C158" s="5" t="s">
        <v>409</v>
      </c>
      <c r="D158" t="e">
        <f>VLOOKUP(B158,'DS_Tong_12AS-AT-VH'!$T$9:$V$3025,3,0)</f>
        <v>#N/A</v>
      </c>
    </row>
    <row r="159" spans="1:4">
      <c r="A159" s="3">
        <v>158</v>
      </c>
      <c r="B159" t="s">
        <v>687</v>
      </c>
      <c r="C159" s="5" t="s">
        <v>409</v>
      </c>
      <c r="D159" t="e">
        <f>VLOOKUP(B159,'DS_Tong_12AS-AT-VH'!$T$9:$V$3025,3,0)</f>
        <v>#N/A</v>
      </c>
    </row>
    <row r="160" spans="1:4">
      <c r="A160" s="3">
        <v>159</v>
      </c>
      <c r="B160" t="s">
        <v>688</v>
      </c>
      <c r="C160" s="5" t="s">
        <v>409</v>
      </c>
      <c r="D160" t="e">
        <f>VLOOKUP(B160,'DS_Tong_12AS-AT-VH'!$T$9:$V$3025,3,0)</f>
        <v>#N/A</v>
      </c>
    </row>
    <row r="161" spans="1:4">
      <c r="A161" s="3">
        <v>160</v>
      </c>
      <c r="B161" t="s">
        <v>689</v>
      </c>
      <c r="C161" s="5" t="s">
        <v>409</v>
      </c>
      <c r="D161" t="e">
        <f>VLOOKUP(B161,'DS_Tong_12AS-AT-VH'!$T$9:$V$3025,3,0)</f>
        <v>#N/A</v>
      </c>
    </row>
    <row r="162" spans="1:4">
      <c r="A162" s="3">
        <v>161</v>
      </c>
      <c r="B162" t="s">
        <v>690</v>
      </c>
      <c r="C162" s="5" t="s">
        <v>409</v>
      </c>
      <c r="D162" t="e">
        <f>VLOOKUP(B162,'DS_Tong_12AS-AT-VH'!$T$9:$V$3025,3,0)</f>
        <v>#N/A</v>
      </c>
    </row>
    <row r="163" spans="1:4">
      <c r="A163" s="3">
        <v>162</v>
      </c>
      <c r="B163" t="s">
        <v>691</v>
      </c>
      <c r="C163" s="5" t="s">
        <v>409</v>
      </c>
      <c r="D163" t="e">
        <f>VLOOKUP(B163,'DS_Tong_12AS-AT-VH'!$T$9:$V$3025,3,0)</f>
        <v>#N/A</v>
      </c>
    </row>
    <row r="164" spans="1:4">
      <c r="A164" s="3">
        <v>163</v>
      </c>
      <c r="B164" t="s">
        <v>692</v>
      </c>
      <c r="C164" s="5" t="s">
        <v>409</v>
      </c>
      <c r="D164" t="e">
        <f>VLOOKUP(B164,'DS_Tong_12AS-AT-VH'!$T$9:$V$3025,3,0)</f>
        <v>#N/A</v>
      </c>
    </row>
    <row r="165" spans="1:4">
      <c r="A165" s="3">
        <v>164</v>
      </c>
      <c r="B165" t="s">
        <v>693</v>
      </c>
      <c r="C165" s="5" t="s">
        <v>409</v>
      </c>
      <c r="D165" t="e">
        <f>VLOOKUP(B165,'DS_Tong_12AS-AT-VH'!$T$9:$V$3025,3,0)</f>
        <v>#N/A</v>
      </c>
    </row>
    <row r="166" spans="1:4">
      <c r="A166" s="3">
        <v>165</v>
      </c>
      <c r="B166" t="s">
        <v>694</v>
      </c>
      <c r="C166" s="5" t="s">
        <v>409</v>
      </c>
      <c r="D166" t="e">
        <f>VLOOKUP(B166,'DS_Tong_12AS-AT-VH'!$T$9:$V$3025,3,0)</f>
        <v>#N/A</v>
      </c>
    </row>
    <row r="167" spans="1:4">
      <c r="A167" s="3">
        <v>166</v>
      </c>
      <c r="B167" t="s">
        <v>695</v>
      </c>
      <c r="C167" s="5" t="s">
        <v>409</v>
      </c>
      <c r="D167" t="e">
        <f>VLOOKUP(B167,'DS_Tong_12AS-AT-VH'!$T$9:$V$3025,3,0)</f>
        <v>#N/A</v>
      </c>
    </row>
    <row r="168" spans="1:4">
      <c r="A168" s="3">
        <v>167</v>
      </c>
      <c r="B168" t="s">
        <v>696</v>
      </c>
      <c r="C168" s="5" t="s">
        <v>409</v>
      </c>
      <c r="D168" t="e">
        <f>VLOOKUP(B168,'DS_Tong_12AS-AT-VH'!$T$9:$V$3025,3,0)</f>
        <v>#N/A</v>
      </c>
    </row>
    <row r="169" spans="1:4">
      <c r="A169" s="3">
        <v>168</v>
      </c>
      <c r="B169" t="s">
        <v>697</v>
      </c>
      <c r="C169" s="5" t="s">
        <v>409</v>
      </c>
      <c r="D169" t="e">
        <f>VLOOKUP(B169,'DS_Tong_12AS-AT-VH'!$T$9:$V$3025,3,0)</f>
        <v>#N/A</v>
      </c>
    </row>
    <row r="170" spans="1:4">
      <c r="A170" s="3">
        <v>169</v>
      </c>
      <c r="B170" t="s">
        <v>698</v>
      </c>
      <c r="C170" s="5" t="s">
        <v>409</v>
      </c>
      <c r="D170" t="e">
        <f>VLOOKUP(B170,'DS_Tong_12AS-AT-VH'!$T$9:$V$3025,3,0)</f>
        <v>#N/A</v>
      </c>
    </row>
    <row r="171" spans="1:4">
      <c r="A171" s="3">
        <v>170</v>
      </c>
      <c r="B171" t="s">
        <v>699</v>
      </c>
      <c r="C171" s="5" t="s">
        <v>409</v>
      </c>
      <c r="D171" t="e">
        <f>VLOOKUP(B171,'DS_Tong_12AS-AT-VH'!$T$9:$V$3025,3,0)</f>
        <v>#N/A</v>
      </c>
    </row>
    <row r="172" spans="1:4">
      <c r="A172" s="3">
        <v>171</v>
      </c>
      <c r="B172" t="s">
        <v>700</v>
      </c>
      <c r="C172" s="5" t="s">
        <v>409</v>
      </c>
      <c r="D172" t="e">
        <f>VLOOKUP(B172,'DS_Tong_12AS-AT-VH'!$T$9:$V$3025,3,0)</f>
        <v>#N/A</v>
      </c>
    </row>
    <row r="173" spans="1:4">
      <c r="A173" s="3">
        <v>172</v>
      </c>
      <c r="B173" t="s">
        <v>701</v>
      </c>
      <c r="C173" s="5" t="s">
        <v>409</v>
      </c>
      <c r="D173" t="e">
        <f>VLOOKUP(B173,'DS_Tong_12AS-AT-VH'!$T$9:$V$3025,3,0)</f>
        <v>#N/A</v>
      </c>
    </row>
    <row r="174" spans="1:4">
      <c r="A174" s="3">
        <v>173</v>
      </c>
      <c r="B174" t="s">
        <v>702</v>
      </c>
      <c r="C174" s="5" t="s">
        <v>409</v>
      </c>
      <c r="D174" t="e">
        <f>VLOOKUP(B174,'DS_Tong_12AS-AT-VH'!$T$9:$V$3025,3,0)</f>
        <v>#N/A</v>
      </c>
    </row>
    <row r="175" spans="1:4">
      <c r="A175" s="3">
        <v>174</v>
      </c>
      <c r="B175" s="5" t="s">
        <v>703</v>
      </c>
      <c r="C175" s="5" t="s">
        <v>409</v>
      </c>
      <c r="D175" t="e">
        <f>VLOOKUP(B175,'DS_Tong_12AS-AT-VH'!$T$9:$V$3025,3,0)</f>
        <v>#N/A</v>
      </c>
    </row>
    <row r="176" spans="1:4">
      <c r="A176" s="3">
        <v>175</v>
      </c>
      <c r="B176" t="s">
        <v>704</v>
      </c>
      <c r="C176" s="5" t="s">
        <v>409</v>
      </c>
      <c r="D176" t="e">
        <f>VLOOKUP(B176,'DS_Tong_12AS-AT-VH'!$T$9:$V$3025,3,0)</f>
        <v>#N/A</v>
      </c>
    </row>
    <row r="177" spans="1:5">
      <c r="A177" s="3">
        <v>176</v>
      </c>
      <c r="B177" t="s">
        <v>705</v>
      </c>
      <c r="C177" s="5" t="s">
        <v>409</v>
      </c>
      <c r="D177" t="e">
        <f>VLOOKUP(B177,'DS_Tong_12AS-AT-VH'!$T$9:$V$3025,3,0)</f>
        <v>#N/A</v>
      </c>
    </row>
    <row r="178" spans="1:5">
      <c r="A178" s="3">
        <v>177</v>
      </c>
      <c r="B178" s="5" t="s">
        <v>706</v>
      </c>
      <c r="C178" s="5" t="s">
        <v>409</v>
      </c>
      <c r="D178" t="e">
        <f>VLOOKUP(B178,'DS_Tong_12AS-AT-VH'!$T$9:$V$3025,3,0)</f>
        <v>#N/A</v>
      </c>
    </row>
    <row r="179" spans="1:5">
      <c r="A179" s="3">
        <v>178</v>
      </c>
      <c r="B179" t="s">
        <v>707</v>
      </c>
      <c r="C179" s="5" t="s">
        <v>409</v>
      </c>
      <c r="D179" t="e">
        <f>VLOOKUP(B179,'DS_Tong_12AS-AT-VH'!$T$9:$V$3025,3,0)</f>
        <v>#N/A</v>
      </c>
    </row>
    <row r="180" spans="1:5">
      <c r="A180" s="3">
        <v>179</v>
      </c>
      <c r="B180" t="s">
        <v>708</v>
      </c>
      <c r="C180" s="5" t="s">
        <v>409</v>
      </c>
      <c r="D180" t="e">
        <f>VLOOKUP(B180,'DS_Tong_12AS-AT-VH'!$T$9:$V$3025,3,0)</f>
        <v>#N/A</v>
      </c>
    </row>
    <row r="181" spans="1:5">
      <c r="A181" s="3">
        <v>180</v>
      </c>
      <c r="B181" t="s">
        <v>709</v>
      </c>
      <c r="C181" s="5" t="s">
        <v>409</v>
      </c>
      <c r="D181" t="e">
        <f>VLOOKUP(B181,'DS_Tong_12AS-AT-VH'!$T$9:$V$3025,3,0)</f>
        <v>#N/A</v>
      </c>
    </row>
    <row r="182" spans="1:5">
      <c r="A182" s="3">
        <v>181</v>
      </c>
      <c r="B182" t="s">
        <v>710</v>
      </c>
      <c r="C182" s="5" t="s">
        <v>409</v>
      </c>
      <c r="D182" t="e">
        <f>VLOOKUP(B182,'DS_Tong_12AS-AT-VH'!$T$9:$V$3025,3,0)</f>
        <v>#N/A</v>
      </c>
    </row>
    <row r="183" spans="1:5">
      <c r="A183" s="3">
        <v>182</v>
      </c>
      <c r="B183" t="s">
        <v>711</v>
      </c>
      <c r="C183" s="5" t="s">
        <v>409</v>
      </c>
      <c r="D183" t="e">
        <f>VLOOKUP(B183,'DS_Tong_12AS-AT-VH'!$T$9:$V$3025,3,0)</f>
        <v>#N/A</v>
      </c>
    </row>
    <row r="184" spans="1:5">
      <c r="A184" s="3">
        <v>183</v>
      </c>
      <c r="B184" s="142" t="s">
        <v>712</v>
      </c>
      <c r="C184" s="143" t="s">
        <v>409</v>
      </c>
      <c r="D184" s="142" t="e">
        <f>VLOOKUP(B184,'DS_Tong_12AS-AT-VH'!$T$9:$V$3025,3,0)</f>
        <v>#N/A</v>
      </c>
      <c r="E184" s="5" t="s">
        <v>529</v>
      </c>
    </row>
    <row r="185" spans="1:5">
      <c r="A185" s="3">
        <v>184</v>
      </c>
      <c r="B185" t="s">
        <v>713</v>
      </c>
      <c r="C185" s="5" t="s">
        <v>409</v>
      </c>
      <c r="D185" t="e">
        <f>VLOOKUP(B185,'DS_Tong_12AS-AT-VH'!$T$9:$V$3025,3,0)</f>
        <v>#N/A</v>
      </c>
    </row>
    <row r="186" spans="1:5">
      <c r="A186" s="3">
        <v>185</v>
      </c>
      <c r="B186" s="5" t="s">
        <v>714</v>
      </c>
      <c r="C186" s="5" t="s">
        <v>409</v>
      </c>
      <c r="D186" t="e">
        <f>VLOOKUP(B186,'DS_Tong_12AS-AT-VH'!$T$9:$V$3025,3,0)</f>
        <v>#N/A</v>
      </c>
    </row>
    <row r="187" spans="1:5">
      <c r="A187" s="3">
        <v>186</v>
      </c>
      <c r="B187" t="s">
        <v>715</v>
      </c>
      <c r="C187" s="5" t="s">
        <v>409</v>
      </c>
      <c r="D187" t="e">
        <f>VLOOKUP(B187,'DS_Tong_12AS-AT-VH'!$T$9:$V$3025,3,0)</f>
        <v>#N/A</v>
      </c>
    </row>
    <row r="188" spans="1:5">
      <c r="A188" s="3">
        <v>187</v>
      </c>
      <c r="B188" s="142" t="s">
        <v>716</v>
      </c>
      <c r="C188" s="143" t="s">
        <v>409</v>
      </c>
      <c r="D188" s="142" t="e">
        <f>VLOOKUP(B188,'DS_Tong_12AS-AT-VH'!$T$9:$V$3025,3,0)</f>
        <v>#N/A</v>
      </c>
    </row>
    <row r="189" spans="1:5">
      <c r="A189" s="3">
        <v>188</v>
      </c>
      <c r="B189" s="142" t="s">
        <v>717</v>
      </c>
      <c r="C189" s="143" t="s">
        <v>409</v>
      </c>
      <c r="D189" s="142" t="e">
        <f>VLOOKUP(B189,'DS_Tong_12AS-AT-VH'!$T$9:$V$3025,3,0)</f>
        <v>#N/A</v>
      </c>
      <c r="E189" s="5" t="s">
        <v>529</v>
      </c>
    </row>
    <row r="190" spans="1:5">
      <c r="A190" s="3">
        <v>189</v>
      </c>
      <c r="B190" t="s">
        <v>718</v>
      </c>
      <c r="C190" s="5" t="s">
        <v>409</v>
      </c>
      <c r="D190" t="e">
        <f>VLOOKUP(B190,'DS_Tong_12AS-AT-VH'!$T$9:$V$3025,3,0)</f>
        <v>#N/A</v>
      </c>
    </row>
    <row r="191" spans="1:5">
      <c r="A191" s="3">
        <v>190</v>
      </c>
      <c r="B191" t="s">
        <v>719</v>
      </c>
      <c r="C191" s="5" t="s">
        <v>409</v>
      </c>
      <c r="D191" t="e">
        <f>VLOOKUP(B191,'DS_Tong_12AS-AT-VH'!$T$9:$V$3025,3,0)</f>
        <v>#N/A</v>
      </c>
    </row>
    <row r="192" spans="1:5">
      <c r="A192" s="3">
        <v>191</v>
      </c>
      <c r="B192" t="s">
        <v>720</v>
      </c>
      <c r="C192" s="5" t="s">
        <v>409</v>
      </c>
      <c r="D192" t="e">
        <f>VLOOKUP(B192,'DS_Tong_12AS-AT-VH'!$T$9:$V$3025,3,0)</f>
        <v>#N/A</v>
      </c>
    </row>
    <row r="193" spans="1:5">
      <c r="A193" s="3">
        <v>192</v>
      </c>
      <c r="B193" s="142" t="s">
        <v>721</v>
      </c>
      <c r="C193" s="143" t="s">
        <v>409</v>
      </c>
      <c r="D193" s="142" t="e">
        <f>VLOOKUP(B193,'DS_Tong_12AS-AT-VH'!$T$9:$V$3025,3,0)</f>
        <v>#N/A</v>
      </c>
    </row>
    <row r="194" spans="1:5">
      <c r="A194" s="3">
        <v>193</v>
      </c>
      <c r="B194" t="s">
        <v>722</v>
      </c>
      <c r="C194" s="5" t="s">
        <v>409</v>
      </c>
      <c r="D194" t="e">
        <f>VLOOKUP(B194,'DS_Tong_12AS-AT-VH'!$T$9:$V$3025,3,0)</f>
        <v>#N/A</v>
      </c>
    </row>
    <row r="195" spans="1:5">
      <c r="A195" s="3">
        <v>194</v>
      </c>
      <c r="B195" t="s">
        <v>723</v>
      </c>
      <c r="C195" s="5" t="s">
        <v>409</v>
      </c>
      <c r="D195" t="e">
        <f>VLOOKUP(B195,'DS_Tong_12AS-AT-VH'!$T$9:$V$3025,3,0)</f>
        <v>#N/A</v>
      </c>
    </row>
    <row r="196" spans="1:5">
      <c r="A196" s="3">
        <v>195</v>
      </c>
      <c r="B196" t="s">
        <v>724</v>
      </c>
      <c r="C196" s="5" t="s">
        <v>409</v>
      </c>
      <c r="D196" t="e">
        <f>VLOOKUP(B196,'DS_Tong_12AS-AT-VH'!$T$9:$V$3025,3,0)</f>
        <v>#N/A</v>
      </c>
    </row>
    <row r="197" spans="1:5">
      <c r="A197" s="3">
        <v>196</v>
      </c>
      <c r="B197" t="s">
        <v>725</v>
      </c>
      <c r="C197" s="5" t="s">
        <v>409</v>
      </c>
      <c r="D197" t="e">
        <f>VLOOKUP(B197,'DS_Tong_12AS-AT-VH'!$T$9:$V$3025,3,0)</f>
        <v>#N/A</v>
      </c>
    </row>
    <row r="198" spans="1:5">
      <c r="A198" s="3">
        <v>197</v>
      </c>
      <c r="B198" t="s">
        <v>726</v>
      </c>
      <c r="C198" s="5" t="s">
        <v>409</v>
      </c>
      <c r="D198" t="e">
        <f>VLOOKUP(B198,'DS_Tong_12AS-AT-VH'!$T$9:$V$3025,3,0)</f>
        <v>#N/A</v>
      </c>
    </row>
    <row r="199" spans="1:5">
      <c r="A199" s="3">
        <v>198</v>
      </c>
      <c r="B199" t="s">
        <v>727</v>
      </c>
      <c r="C199" s="5" t="s">
        <v>409</v>
      </c>
      <c r="D199" t="e">
        <f>VLOOKUP(B199,'DS_Tong_12AS-AT-VH'!$T$9:$V$3025,3,0)</f>
        <v>#N/A</v>
      </c>
    </row>
    <row r="200" spans="1:5">
      <c r="A200" s="3">
        <v>199</v>
      </c>
      <c r="B200" t="s">
        <v>728</v>
      </c>
      <c r="C200" s="5" t="s">
        <v>409</v>
      </c>
      <c r="D200" t="e">
        <f>VLOOKUP(B200,'DS_Tong_12AS-AT-VH'!$T$9:$V$3025,3,0)</f>
        <v>#N/A</v>
      </c>
    </row>
    <row r="201" spans="1:5">
      <c r="A201" s="3">
        <v>200</v>
      </c>
      <c r="B201" t="s">
        <v>729</v>
      </c>
      <c r="C201" s="5" t="s">
        <v>409</v>
      </c>
      <c r="D201" t="e">
        <f>VLOOKUP(B201,'DS_Tong_12AS-AT-VH'!$T$9:$V$3025,3,0)</f>
        <v>#N/A</v>
      </c>
    </row>
    <row r="202" spans="1:5">
      <c r="A202" s="3">
        <v>201</v>
      </c>
      <c r="B202" t="s">
        <v>730</v>
      </c>
      <c r="C202" s="5" t="s">
        <v>409</v>
      </c>
      <c r="D202" t="e">
        <f>VLOOKUP(B202,'DS_Tong_12AS-AT-VH'!$T$9:$V$3025,3,0)</f>
        <v>#N/A</v>
      </c>
    </row>
    <row r="203" spans="1:5">
      <c r="A203" s="3">
        <v>202</v>
      </c>
      <c r="B203" t="s">
        <v>731</v>
      </c>
      <c r="C203" s="5" t="s">
        <v>409</v>
      </c>
      <c r="D203" t="e">
        <f>VLOOKUP(B203,'DS_Tong_12AS-AT-VH'!$T$9:$V$3025,3,0)</f>
        <v>#N/A</v>
      </c>
    </row>
    <row r="204" spans="1:5">
      <c r="A204" s="3">
        <v>203</v>
      </c>
      <c r="B204" t="s">
        <v>732</v>
      </c>
      <c r="C204" s="5" t="s">
        <v>409</v>
      </c>
      <c r="D204" t="e">
        <f>VLOOKUP(B204,'DS_Tong_12AS-AT-VH'!$T$9:$V$3025,3,0)</f>
        <v>#N/A</v>
      </c>
    </row>
    <row r="205" spans="1:5">
      <c r="A205" s="3">
        <v>204</v>
      </c>
      <c r="B205" t="s">
        <v>733</v>
      </c>
      <c r="C205" s="5" t="s">
        <v>409</v>
      </c>
      <c r="D205" t="e">
        <f>VLOOKUP(B205,'DS_Tong_12AS-AT-VH'!$T$9:$V$3025,3,0)</f>
        <v>#N/A</v>
      </c>
    </row>
    <row r="206" spans="1:5">
      <c r="A206" s="3">
        <v>205</v>
      </c>
      <c r="B206" t="s">
        <v>734</v>
      </c>
      <c r="C206" s="5" t="s">
        <v>409</v>
      </c>
      <c r="D206" t="e">
        <f>VLOOKUP(B206,'DS_Tong_12AS-AT-VH'!$T$9:$V$3025,3,0)</f>
        <v>#N/A</v>
      </c>
    </row>
    <row r="207" spans="1:5">
      <c r="A207" s="3">
        <v>206</v>
      </c>
      <c r="B207" s="142" t="s">
        <v>735</v>
      </c>
      <c r="C207" s="143" t="s">
        <v>409</v>
      </c>
      <c r="D207" s="142" t="e">
        <f>VLOOKUP(B207,'DS_Tong_12AS-AT-VH'!$T$9:$V$3025,3,0)</f>
        <v>#N/A</v>
      </c>
      <c r="E207" s="5" t="s">
        <v>529</v>
      </c>
    </row>
    <row r="208" spans="1:5">
      <c r="A208" s="3">
        <v>207</v>
      </c>
      <c r="B208" t="s">
        <v>736</v>
      </c>
      <c r="C208" s="5" t="s">
        <v>409</v>
      </c>
      <c r="D208" t="e">
        <f>VLOOKUP(B208,'DS_Tong_12AS-AT-VH'!$T$9:$V$3025,3,0)</f>
        <v>#N/A</v>
      </c>
    </row>
    <row r="209" spans="1:4">
      <c r="A209" s="3">
        <v>208</v>
      </c>
      <c r="B209" t="s">
        <v>737</v>
      </c>
      <c r="C209" s="5" t="s">
        <v>409</v>
      </c>
      <c r="D209" t="e">
        <f>VLOOKUP(B209,'DS_Tong_12AS-AT-VH'!$T$9:$V$3025,3,0)</f>
        <v>#N/A</v>
      </c>
    </row>
    <row r="210" spans="1:4">
      <c r="A210" s="3">
        <v>209</v>
      </c>
      <c r="B210" t="s">
        <v>738</v>
      </c>
      <c r="C210" s="5" t="s">
        <v>409</v>
      </c>
      <c r="D210" t="e">
        <f>VLOOKUP(B210,'DS_Tong_12AS-AT-VH'!$T$9:$V$3025,3,0)</f>
        <v>#N/A</v>
      </c>
    </row>
    <row r="211" spans="1:4">
      <c r="A211" s="3">
        <v>210</v>
      </c>
      <c r="B211" t="s">
        <v>739</v>
      </c>
      <c r="C211" s="5" t="s">
        <v>409</v>
      </c>
      <c r="D211" t="e">
        <f>VLOOKUP(B211,'DS_Tong_12AS-AT-VH'!$T$9:$V$3025,3,0)</f>
        <v>#N/A</v>
      </c>
    </row>
    <row r="212" spans="1:4">
      <c r="A212" s="3">
        <v>211</v>
      </c>
      <c r="B212" s="142" t="s">
        <v>740</v>
      </c>
      <c r="C212" s="143" t="s">
        <v>409</v>
      </c>
      <c r="D212" s="142" t="e">
        <f>VLOOKUP(B212,'DS_Tong_12AS-AT-VH'!$T$9:$V$3025,3,0)</f>
        <v>#N/A</v>
      </c>
    </row>
    <row r="213" spans="1:4">
      <c r="A213" s="3">
        <v>212</v>
      </c>
      <c r="B213" t="s">
        <v>741</v>
      </c>
      <c r="C213" s="5" t="s">
        <v>409</v>
      </c>
      <c r="D213" t="e">
        <f>VLOOKUP(B213,'DS_Tong_12AS-AT-VH'!$T$9:$V$3025,3,0)</f>
        <v>#N/A</v>
      </c>
    </row>
    <row r="214" spans="1:4">
      <c r="A214" s="3">
        <v>213</v>
      </c>
      <c r="B214" t="s">
        <v>742</v>
      </c>
      <c r="C214" s="5" t="s">
        <v>409</v>
      </c>
      <c r="D214" t="e">
        <f>VLOOKUP(B214,'DS_Tong_12AS-AT-VH'!$T$9:$V$3025,3,0)</f>
        <v>#N/A</v>
      </c>
    </row>
    <row r="215" spans="1:4">
      <c r="A215" s="3">
        <v>214</v>
      </c>
      <c r="B215" t="s">
        <v>743</v>
      </c>
      <c r="C215" s="5" t="s">
        <v>409</v>
      </c>
      <c r="D215" t="e">
        <f>VLOOKUP(B215,'DS_Tong_12AS-AT-VH'!$T$9:$V$3025,3,0)</f>
        <v>#N/A</v>
      </c>
    </row>
    <row r="216" spans="1:4">
      <c r="A216" s="3">
        <v>215</v>
      </c>
      <c r="B216" t="s">
        <v>744</v>
      </c>
      <c r="C216" s="5" t="s">
        <v>409</v>
      </c>
      <c r="D216" t="e">
        <f>VLOOKUP(B216,'DS_Tong_12AS-AT-VH'!$T$9:$V$3025,3,0)</f>
        <v>#N/A</v>
      </c>
    </row>
    <row r="217" spans="1:4">
      <c r="A217" s="3">
        <v>216</v>
      </c>
      <c r="B217" t="s">
        <v>745</v>
      </c>
      <c r="C217" s="5" t="s">
        <v>409</v>
      </c>
      <c r="D217" t="e">
        <f>VLOOKUP(B217,'DS_Tong_12AS-AT-VH'!$T$9:$V$3025,3,0)</f>
        <v>#N/A</v>
      </c>
    </row>
    <row r="218" spans="1:4">
      <c r="A218" s="3">
        <v>217</v>
      </c>
      <c r="B218" t="s">
        <v>746</v>
      </c>
      <c r="C218" s="5" t="s">
        <v>409</v>
      </c>
      <c r="D218" t="e">
        <f>VLOOKUP(B218,'DS_Tong_12AS-AT-VH'!$T$9:$V$3025,3,0)</f>
        <v>#N/A</v>
      </c>
    </row>
    <row r="219" spans="1:4">
      <c r="A219" s="3">
        <v>218</v>
      </c>
      <c r="B219" t="s">
        <v>747</v>
      </c>
      <c r="C219" s="5" t="s">
        <v>409</v>
      </c>
      <c r="D219" t="e">
        <f>VLOOKUP(B219,'DS_Tong_12AS-AT-VH'!$T$9:$V$3025,3,0)</f>
        <v>#N/A</v>
      </c>
    </row>
    <row r="220" spans="1:4">
      <c r="A220" s="3">
        <v>219</v>
      </c>
      <c r="B220" t="s">
        <v>748</v>
      </c>
      <c r="C220" s="5" t="s">
        <v>409</v>
      </c>
      <c r="D220" t="e">
        <f>VLOOKUP(B220,'DS_Tong_12AS-AT-VH'!$T$9:$V$3025,3,0)</f>
        <v>#N/A</v>
      </c>
    </row>
    <row r="221" spans="1:4">
      <c r="A221" s="3">
        <v>220</v>
      </c>
      <c r="B221" t="s">
        <v>749</v>
      </c>
      <c r="C221" s="5" t="s">
        <v>409</v>
      </c>
      <c r="D221" t="e">
        <f>VLOOKUP(B221,'DS_Tong_12AS-AT-VH'!$T$9:$V$3025,3,0)</f>
        <v>#N/A</v>
      </c>
    </row>
    <row r="222" spans="1:4">
      <c r="A222" s="3">
        <v>221</v>
      </c>
      <c r="B222" t="s">
        <v>750</v>
      </c>
      <c r="C222" s="5" t="s">
        <v>409</v>
      </c>
      <c r="D222" t="e">
        <f>VLOOKUP(B222,'DS_Tong_12AS-AT-VH'!$T$9:$V$3025,3,0)</f>
        <v>#N/A</v>
      </c>
    </row>
    <row r="223" spans="1:4">
      <c r="A223" s="3">
        <v>222</v>
      </c>
      <c r="B223" t="s">
        <v>751</v>
      </c>
      <c r="C223" s="5" t="s">
        <v>409</v>
      </c>
      <c r="D223" t="e">
        <f>VLOOKUP(B223,'DS_Tong_12AS-AT-VH'!$T$9:$V$3025,3,0)</f>
        <v>#N/A</v>
      </c>
    </row>
    <row r="224" spans="1:4">
      <c r="A224" s="3">
        <v>223</v>
      </c>
      <c r="B224" t="s">
        <v>752</v>
      </c>
      <c r="C224" s="5" t="s">
        <v>409</v>
      </c>
      <c r="D224" t="e">
        <f>VLOOKUP(B224,'DS_Tong_12AS-AT-VH'!$T$9:$V$3025,3,0)</f>
        <v>#N/A</v>
      </c>
    </row>
    <row r="225" spans="1:4">
      <c r="A225" s="3">
        <v>224</v>
      </c>
      <c r="B225" t="s">
        <v>753</v>
      </c>
      <c r="C225" s="5" t="s">
        <v>409</v>
      </c>
      <c r="D225" t="e">
        <f>VLOOKUP(B225,'DS_Tong_12AS-AT-VH'!$T$9:$V$3025,3,0)</f>
        <v>#N/A</v>
      </c>
    </row>
    <row r="226" spans="1:4">
      <c r="A226" s="3">
        <v>225</v>
      </c>
      <c r="B226" t="s">
        <v>754</v>
      </c>
      <c r="C226" s="5" t="s">
        <v>409</v>
      </c>
      <c r="D226" t="e">
        <f>VLOOKUP(B226,'DS_Tong_12AS-AT-VH'!$T$9:$V$3025,3,0)</f>
        <v>#N/A</v>
      </c>
    </row>
    <row r="227" spans="1:4">
      <c r="A227" s="3">
        <v>226</v>
      </c>
      <c r="B227" t="s">
        <v>755</v>
      </c>
      <c r="C227" s="5" t="s">
        <v>409</v>
      </c>
      <c r="D227" t="e">
        <f>VLOOKUP(B227,'DS_Tong_12AS-AT-VH'!$T$9:$V$3025,3,0)</f>
        <v>#N/A</v>
      </c>
    </row>
    <row r="228" spans="1:4">
      <c r="A228" s="3">
        <v>227</v>
      </c>
      <c r="B228" t="s">
        <v>756</v>
      </c>
      <c r="C228" s="5" t="s">
        <v>409</v>
      </c>
      <c r="D228" t="e">
        <f>VLOOKUP(B228,'DS_Tong_12AS-AT-VH'!$T$9:$V$3025,3,0)</f>
        <v>#N/A</v>
      </c>
    </row>
    <row r="229" spans="1:4">
      <c r="A229" s="3">
        <v>228</v>
      </c>
      <c r="B229" t="s">
        <v>757</v>
      </c>
      <c r="C229" s="5" t="s">
        <v>409</v>
      </c>
      <c r="D229" t="e">
        <f>VLOOKUP(B229,'DS_Tong_12AS-AT-VH'!$T$9:$V$3025,3,0)</f>
        <v>#N/A</v>
      </c>
    </row>
    <row r="230" spans="1:4">
      <c r="A230" s="3">
        <v>229</v>
      </c>
      <c r="B230" t="s">
        <v>758</v>
      </c>
      <c r="C230" s="5" t="s">
        <v>409</v>
      </c>
      <c r="D230" t="e">
        <f>VLOOKUP(B230,'DS_Tong_12AS-AT-VH'!$T$9:$V$3025,3,0)</f>
        <v>#N/A</v>
      </c>
    </row>
    <row r="231" spans="1:4">
      <c r="A231" s="3">
        <v>230</v>
      </c>
      <c r="B231" t="s">
        <v>759</v>
      </c>
      <c r="C231" s="5" t="s">
        <v>409</v>
      </c>
      <c r="D231" t="e">
        <f>VLOOKUP(B231,'DS_Tong_12AS-AT-VH'!$T$9:$V$3025,3,0)</f>
        <v>#N/A</v>
      </c>
    </row>
    <row r="232" spans="1:4">
      <c r="A232" s="3">
        <v>231</v>
      </c>
      <c r="B232" t="s">
        <v>760</v>
      </c>
      <c r="C232" s="5" t="s">
        <v>409</v>
      </c>
      <c r="D232" t="e">
        <f>VLOOKUP(B232,'DS_Tong_12AS-AT-VH'!$T$9:$V$3025,3,0)</f>
        <v>#N/A</v>
      </c>
    </row>
    <row r="233" spans="1:4">
      <c r="A233" s="3">
        <v>232</v>
      </c>
      <c r="B233" t="s">
        <v>761</v>
      </c>
      <c r="C233" s="5" t="s">
        <v>409</v>
      </c>
      <c r="D233" t="e">
        <f>VLOOKUP(B233,'DS_Tong_12AS-AT-VH'!$T$9:$V$3025,3,0)</f>
        <v>#N/A</v>
      </c>
    </row>
    <row r="234" spans="1:4">
      <c r="A234" s="3">
        <v>233</v>
      </c>
      <c r="B234" t="s">
        <v>762</v>
      </c>
      <c r="C234" s="5" t="s">
        <v>409</v>
      </c>
      <c r="D234" t="e">
        <f>VLOOKUP(B234,'DS_Tong_12AS-AT-VH'!$T$9:$V$3025,3,0)</f>
        <v>#N/A</v>
      </c>
    </row>
    <row r="235" spans="1:4">
      <c r="A235" s="3">
        <v>234</v>
      </c>
      <c r="B235" t="s">
        <v>763</v>
      </c>
      <c r="C235" s="5" t="s">
        <v>409</v>
      </c>
      <c r="D235" t="e">
        <f>VLOOKUP(B235,'DS_Tong_12AS-AT-VH'!$T$9:$V$3025,3,0)</f>
        <v>#N/A</v>
      </c>
    </row>
    <row r="236" spans="1:4">
      <c r="A236" s="3">
        <v>235</v>
      </c>
      <c r="B236" t="s">
        <v>764</v>
      </c>
      <c r="C236" s="5" t="s">
        <v>409</v>
      </c>
      <c r="D236" t="e">
        <f>VLOOKUP(B236,'DS_Tong_12AS-AT-VH'!$T$9:$V$3025,3,0)</f>
        <v>#N/A</v>
      </c>
    </row>
    <row r="237" spans="1:4">
      <c r="A237" s="3">
        <v>236</v>
      </c>
      <c r="B237" t="s">
        <v>765</v>
      </c>
      <c r="C237" s="5" t="s">
        <v>409</v>
      </c>
      <c r="D237" t="e">
        <f>VLOOKUP(B237,'DS_Tong_12AS-AT-VH'!$T$9:$V$3025,3,0)</f>
        <v>#N/A</v>
      </c>
    </row>
    <row r="238" spans="1:4">
      <c r="A238" s="3">
        <v>237</v>
      </c>
      <c r="B238" t="s">
        <v>766</v>
      </c>
      <c r="C238" s="5" t="s">
        <v>409</v>
      </c>
      <c r="D238" t="e">
        <f>VLOOKUP(B238,'DS_Tong_12AS-AT-VH'!$T$9:$V$3025,3,0)</f>
        <v>#N/A</v>
      </c>
    </row>
    <row r="239" spans="1:4">
      <c r="A239" s="3">
        <v>238</v>
      </c>
      <c r="B239" t="s">
        <v>767</v>
      </c>
      <c r="C239" s="5" t="s">
        <v>409</v>
      </c>
      <c r="D239" t="e">
        <f>VLOOKUP(B239,'DS_Tong_12AS-AT-VH'!$T$9:$V$3025,3,0)</f>
        <v>#N/A</v>
      </c>
    </row>
    <row r="240" spans="1:4">
      <c r="A240" s="3">
        <v>239</v>
      </c>
      <c r="B240" t="s">
        <v>768</v>
      </c>
      <c r="C240" s="5" t="s">
        <v>409</v>
      </c>
      <c r="D240" t="e">
        <f>VLOOKUP(B240,'DS_Tong_12AS-AT-VH'!$T$9:$V$3025,3,0)</f>
        <v>#N/A</v>
      </c>
    </row>
    <row r="241" spans="1:4">
      <c r="A241" s="3">
        <v>240</v>
      </c>
      <c r="B241" t="s">
        <v>769</v>
      </c>
      <c r="C241" s="5" t="s">
        <v>409</v>
      </c>
      <c r="D241" t="e">
        <f>VLOOKUP(B241,'DS_Tong_12AS-AT-VH'!$T$9:$V$3025,3,0)</f>
        <v>#N/A</v>
      </c>
    </row>
    <row r="242" spans="1:4">
      <c r="A242" s="3">
        <v>241</v>
      </c>
      <c r="B242" t="s">
        <v>770</v>
      </c>
      <c r="C242" s="5" t="s">
        <v>409</v>
      </c>
      <c r="D242" t="e">
        <f>VLOOKUP(B242,'DS_Tong_12AS-AT-VH'!$T$9:$V$3025,3,0)</f>
        <v>#N/A</v>
      </c>
    </row>
    <row r="243" spans="1:4">
      <c r="A243" s="3">
        <v>242</v>
      </c>
      <c r="B243" t="s">
        <v>771</v>
      </c>
      <c r="C243" s="5" t="s">
        <v>409</v>
      </c>
      <c r="D243" t="e">
        <f>VLOOKUP(B243,'DS_Tong_12AS-AT-VH'!$T$9:$V$3025,3,0)</f>
        <v>#N/A</v>
      </c>
    </row>
    <row r="244" spans="1:4">
      <c r="A244" s="3">
        <v>243</v>
      </c>
      <c r="B244" t="s">
        <v>772</v>
      </c>
      <c r="C244" s="5" t="s">
        <v>409</v>
      </c>
      <c r="D244" t="e">
        <f>VLOOKUP(B244,'DS_Tong_12AS-AT-VH'!$T$9:$V$3025,3,0)</f>
        <v>#N/A</v>
      </c>
    </row>
    <row r="245" spans="1:4">
      <c r="A245" s="3">
        <v>244</v>
      </c>
      <c r="B245" t="s">
        <v>773</v>
      </c>
      <c r="C245" s="5" t="s">
        <v>409</v>
      </c>
      <c r="D245" t="e">
        <f>VLOOKUP(B245,'DS_Tong_12AS-AT-VH'!$T$9:$V$3025,3,0)</f>
        <v>#N/A</v>
      </c>
    </row>
    <row r="246" spans="1:4">
      <c r="A246" s="3">
        <v>245</v>
      </c>
      <c r="B246" t="s">
        <v>774</v>
      </c>
      <c r="C246" s="5" t="s">
        <v>409</v>
      </c>
      <c r="D246" t="e">
        <f>VLOOKUP(B246,'DS_Tong_12AS-AT-VH'!$T$9:$V$3025,3,0)</f>
        <v>#N/A</v>
      </c>
    </row>
    <row r="247" spans="1:4">
      <c r="A247" s="3">
        <v>246</v>
      </c>
      <c r="B247" t="s">
        <v>775</v>
      </c>
      <c r="C247" s="5" t="s">
        <v>409</v>
      </c>
      <c r="D247" t="e">
        <f>VLOOKUP(B247,'DS_Tong_12AS-AT-VH'!$T$9:$V$3025,3,0)</f>
        <v>#N/A</v>
      </c>
    </row>
    <row r="248" spans="1:4">
      <c r="A248" s="3">
        <v>247</v>
      </c>
      <c r="B248" t="s">
        <v>776</v>
      </c>
      <c r="C248" s="5" t="s">
        <v>409</v>
      </c>
      <c r="D248" t="e">
        <f>VLOOKUP(B248,'DS_Tong_12AS-AT-VH'!$T$9:$V$3025,3,0)</f>
        <v>#N/A</v>
      </c>
    </row>
    <row r="249" spans="1:4">
      <c r="A249" s="3">
        <v>248</v>
      </c>
      <c r="B249" t="s">
        <v>777</v>
      </c>
      <c r="C249" s="5" t="s">
        <v>409</v>
      </c>
      <c r="D249" t="e">
        <f>VLOOKUP(B249,'DS_Tong_12AS-AT-VH'!$T$9:$V$3025,3,0)</f>
        <v>#N/A</v>
      </c>
    </row>
    <row r="250" spans="1:4">
      <c r="A250" s="3">
        <v>249</v>
      </c>
      <c r="B250" t="s">
        <v>778</v>
      </c>
      <c r="C250" s="5" t="s">
        <v>409</v>
      </c>
      <c r="D250" t="e">
        <f>VLOOKUP(B250,'DS_Tong_12AS-AT-VH'!$T$9:$V$3025,3,0)</f>
        <v>#N/A</v>
      </c>
    </row>
    <row r="251" spans="1:4">
      <c r="A251" s="3">
        <v>250</v>
      </c>
      <c r="B251" t="s">
        <v>779</v>
      </c>
      <c r="C251" s="5" t="s">
        <v>409</v>
      </c>
      <c r="D251" t="e">
        <f>VLOOKUP(B251,'DS_Tong_12AS-AT-VH'!$T$9:$V$3025,3,0)</f>
        <v>#N/A</v>
      </c>
    </row>
    <row r="252" spans="1:4">
      <c r="A252" s="3">
        <v>251</v>
      </c>
      <c r="B252" t="s">
        <v>780</v>
      </c>
      <c r="C252" s="5" t="s">
        <v>409</v>
      </c>
      <c r="D252" t="e">
        <f>VLOOKUP(B252,'DS_Tong_12AS-AT-VH'!$T$9:$V$3025,3,0)</f>
        <v>#N/A</v>
      </c>
    </row>
    <row r="253" spans="1:4">
      <c r="A253" s="3">
        <v>252</v>
      </c>
      <c r="B253" t="s">
        <v>781</v>
      </c>
      <c r="C253" s="5" t="s">
        <v>409</v>
      </c>
      <c r="D253" t="e">
        <f>VLOOKUP(B253,'DS_Tong_12AS-AT-VH'!$T$9:$V$3025,3,0)</f>
        <v>#N/A</v>
      </c>
    </row>
    <row r="254" spans="1:4">
      <c r="A254" s="3">
        <v>253</v>
      </c>
      <c r="B254" t="s">
        <v>782</v>
      </c>
      <c r="C254" s="5" t="s">
        <v>409</v>
      </c>
      <c r="D254" t="e">
        <f>VLOOKUP(B254,'DS_Tong_12AS-AT-VH'!$T$9:$V$3025,3,0)</f>
        <v>#N/A</v>
      </c>
    </row>
    <row r="255" spans="1:4">
      <c r="A255" s="3">
        <v>254</v>
      </c>
      <c r="B255" t="s">
        <v>783</v>
      </c>
      <c r="C255" s="5" t="s">
        <v>409</v>
      </c>
      <c r="D255" t="e">
        <f>VLOOKUP(B255,'DS_Tong_12AS-AT-VH'!$T$9:$V$3025,3,0)</f>
        <v>#N/A</v>
      </c>
    </row>
    <row r="256" spans="1:4">
      <c r="A256" s="3">
        <v>255</v>
      </c>
      <c r="B256" t="s">
        <v>784</v>
      </c>
      <c r="C256" s="5" t="s">
        <v>409</v>
      </c>
      <c r="D256" t="e">
        <f>VLOOKUP(B256,'DS_Tong_12AS-AT-VH'!$T$9:$V$3025,3,0)</f>
        <v>#N/A</v>
      </c>
    </row>
    <row r="257" spans="1:4">
      <c r="A257" s="3">
        <v>256</v>
      </c>
      <c r="B257" t="s">
        <v>785</v>
      </c>
      <c r="C257" s="5" t="s">
        <v>409</v>
      </c>
      <c r="D257" t="e">
        <f>VLOOKUP(B257,'DS_Tong_12AS-AT-VH'!$T$9:$V$3025,3,0)</f>
        <v>#N/A</v>
      </c>
    </row>
    <row r="258" spans="1:4">
      <c r="A258" s="3">
        <v>257</v>
      </c>
      <c r="B258" t="s">
        <v>786</v>
      </c>
      <c r="C258" s="5" t="s">
        <v>409</v>
      </c>
      <c r="D258" t="e">
        <f>VLOOKUP(B258,'DS_Tong_12AS-AT-VH'!$T$9:$V$3025,3,0)</f>
        <v>#N/A</v>
      </c>
    </row>
    <row r="259" spans="1:4">
      <c r="A259" s="3">
        <v>258</v>
      </c>
      <c r="B259" t="s">
        <v>787</v>
      </c>
      <c r="C259" s="5" t="s">
        <v>409</v>
      </c>
      <c r="D259" t="e">
        <f>VLOOKUP(B259,'DS_Tong_12AS-AT-VH'!$T$9:$V$3025,3,0)</f>
        <v>#N/A</v>
      </c>
    </row>
    <row r="260" spans="1:4">
      <c r="A260" s="3">
        <v>259</v>
      </c>
      <c r="B260" t="s">
        <v>788</v>
      </c>
      <c r="C260" s="5" t="s">
        <v>409</v>
      </c>
      <c r="D260" t="e">
        <f>VLOOKUP(B260,'DS_Tong_12AS-AT-VH'!$T$9:$V$3025,3,0)</f>
        <v>#N/A</v>
      </c>
    </row>
    <row r="261" spans="1:4">
      <c r="A261" s="3">
        <v>260</v>
      </c>
      <c r="B261" t="s">
        <v>789</v>
      </c>
      <c r="C261" s="5" t="s">
        <v>409</v>
      </c>
      <c r="D261" t="e">
        <f>VLOOKUP(B261,'DS_Tong_12AS-AT-VH'!$T$9:$V$3025,3,0)</f>
        <v>#N/A</v>
      </c>
    </row>
    <row r="262" spans="1:4">
      <c r="A262" s="3">
        <v>261</v>
      </c>
      <c r="B262" t="s">
        <v>790</v>
      </c>
      <c r="C262" s="5" t="s">
        <v>409</v>
      </c>
      <c r="D262" t="e">
        <f>VLOOKUP(B262,'DS_Tong_12AS-AT-VH'!$T$9:$V$3025,3,0)</f>
        <v>#N/A</v>
      </c>
    </row>
    <row r="263" spans="1:4">
      <c r="A263" s="3">
        <v>262</v>
      </c>
      <c r="B263" t="s">
        <v>791</v>
      </c>
      <c r="C263" s="5" t="s">
        <v>409</v>
      </c>
      <c r="D263" t="e">
        <f>VLOOKUP(B263,'DS_Tong_12AS-AT-VH'!$T$9:$V$3025,3,0)</f>
        <v>#N/A</v>
      </c>
    </row>
    <row r="264" spans="1:4">
      <c r="A264" s="3">
        <v>263</v>
      </c>
      <c r="B264" t="s">
        <v>792</v>
      </c>
      <c r="C264" s="5" t="s">
        <v>409</v>
      </c>
      <c r="D264" t="e">
        <f>VLOOKUP(B264,'DS_Tong_12AS-AT-VH'!$T$9:$V$3025,3,0)</f>
        <v>#N/A</v>
      </c>
    </row>
    <row r="265" spans="1:4">
      <c r="A265" s="3">
        <v>264</v>
      </c>
      <c r="B265" t="s">
        <v>793</v>
      </c>
      <c r="C265" s="5" t="s">
        <v>409</v>
      </c>
      <c r="D265" t="e">
        <f>VLOOKUP(B265,'DS_Tong_12AS-AT-VH'!$T$9:$V$3025,3,0)</f>
        <v>#N/A</v>
      </c>
    </row>
    <row r="266" spans="1:4">
      <c r="A266" s="3">
        <v>265</v>
      </c>
      <c r="B266" t="s">
        <v>794</v>
      </c>
      <c r="C266" s="5" t="s">
        <v>409</v>
      </c>
      <c r="D266" t="e">
        <f>VLOOKUP(B266,'DS_Tong_12AS-AT-VH'!$T$9:$V$3025,3,0)</f>
        <v>#N/A</v>
      </c>
    </row>
    <row r="267" spans="1:4">
      <c r="A267" s="3">
        <v>266</v>
      </c>
      <c r="B267" t="s">
        <v>795</v>
      </c>
      <c r="C267" s="5" t="s">
        <v>409</v>
      </c>
      <c r="D267" t="e">
        <f>VLOOKUP(B267,'DS_Tong_12AS-AT-VH'!$T$9:$V$3025,3,0)</f>
        <v>#N/A</v>
      </c>
    </row>
    <row r="268" spans="1:4">
      <c r="A268" s="3">
        <v>267</v>
      </c>
      <c r="B268" t="s">
        <v>796</v>
      </c>
      <c r="C268" s="5" t="s">
        <v>409</v>
      </c>
      <c r="D268" t="e">
        <f>VLOOKUP(B268,'DS_Tong_12AS-AT-VH'!$T$9:$V$3025,3,0)</f>
        <v>#N/A</v>
      </c>
    </row>
    <row r="269" spans="1:4">
      <c r="A269" s="3">
        <v>268</v>
      </c>
      <c r="B269" t="s">
        <v>797</v>
      </c>
      <c r="C269" s="5" t="s">
        <v>409</v>
      </c>
      <c r="D269" t="e">
        <f>VLOOKUP(B269,'DS_Tong_12AS-AT-VH'!$T$9:$V$3025,3,0)</f>
        <v>#N/A</v>
      </c>
    </row>
    <row r="270" spans="1:4">
      <c r="A270" s="3">
        <v>269</v>
      </c>
      <c r="B270" t="s">
        <v>798</v>
      </c>
      <c r="C270" s="5" t="s">
        <v>409</v>
      </c>
      <c r="D270" t="e">
        <f>VLOOKUP(B270,'DS_Tong_12AS-AT-VH'!$T$9:$V$3025,3,0)</f>
        <v>#N/A</v>
      </c>
    </row>
    <row r="271" spans="1:4">
      <c r="A271" s="3">
        <v>270</v>
      </c>
      <c r="B271" t="s">
        <v>799</v>
      </c>
      <c r="C271" s="5" t="s">
        <v>409</v>
      </c>
      <c r="D271" t="e">
        <f>VLOOKUP(B271,'DS_Tong_12AS-AT-VH'!$T$9:$V$3025,3,0)</f>
        <v>#N/A</v>
      </c>
    </row>
    <row r="272" spans="1:4">
      <c r="A272" s="3">
        <v>271</v>
      </c>
      <c r="B272" t="s">
        <v>800</v>
      </c>
      <c r="C272" s="5" t="s">
        <v>409</v>
      </c>
      <c r="D272" t="e">
        <f>VLOOKUP(B272,'DS_Tong_12AS-AT-VH'!$T$9:$V$3025,3,0)</f>
        <v>#N/A</v>
      </c>
    </row>
    <row r="273" spans="1:4">
      <c r="A273" s="3">
        <v>272</v>
      </c>
      <c r="B273" t="s">
        <v>801</v>
      </c>
      <c r="C273" s="5" t="s">
        <v>409</v>
      </c>
      <c r="D273" t="e">
        <f>VLOOKUP(B273,'DS_Tong_12AS-AT-VH'!$T$9:$V$3025,3,0)</f>
        <v>#N/A</v>
      </c>
    </row>
    <row r="274" spans="1:4">
      <c r="A274" s="3">
        <v>273</v>
      </c>
      <c r="B274" t="s">
        <v>802</v>
      </c>
      <c r="C274" s="5" t="s">
        <v>409</v>
      </c>
      <c r="D274" t="e">
        <f>VLOOKUP(B274,'DS_Tong_12AS-AT-VH'!$T$9:$V$3025,3,0)</f>
        <v>#N/A</v>
      </c>
    </row>
    <row r="275" spans="1:4">
      <c r="A275" s="3">
        <v>274</v>
      </c>
      <c r="B275" t="s">
        <v>803</v>
      </c>
      <c r="C275" s="5" t="s">
        <v>409</v>
      </c>
      <c r="D275" t="e">
        <f>VLOOKUP(B275,'DS_Tong_12AS-AT-VH'!$T$9:$V$3025,3,0)</f>
        <v>#N/A</v>
      </c>
    </row>
    <row r="276" spans="1:4">
      <c r="A276" s="3">
        <v>275</v>
      </c>
      <c r="B276" t="s">
        <v>804</v>
      </c>
      <c r="C276" s="5" t="s">
        <v>409</v>
      </c>
      <c r="D276" t="e">
        <f>VLOOKUP(B276,'DS_Tong_12AS-AT-VH'!$T$9:$V$3025,3,0)</f>
        <v>#N/A</v>
      </c>
    </row>
    <row r="277" spans="1:4">
      <c r="A277" s="3">
        <v>276</v>
      </c>
      <c r="B277" t="s">
        <v>805</v>
      </c>
      <c r="C277" s="5" t="s">
        <v>409</v>
      </c>
      <c r="D277" t="e">
        <f>VLOOKUP(B277,'DS_Tong_12AS-AT-VH'!$T$9:$V$3025,3,0)</f>
        <v>#N/A</v>
      </c>
    </row>
    <row r="278" spans="1:4">
      <c r="A278" s="3">
        <v>277</v>
      </c>
      <c r="B278" t="s">
        <v>806</v>
      </c>
      <c r="C278" s="5" t="s">
        <v>409</v>
      </c>
      <c r="D278" t="e">
        <f>VLOOKUP(B278,'DS_Tong_12AS-AT-VH'!$T$9:$V$3025,3,0)</f>
        <v>#N/A</v>
      </c>
    </row>
    <row r="279" spans="1:4">
      <c r="A279" s="3">
        <v>278</v>
      </c>
      <c r="B279" t="s">
        <v>807</v>
      </c>
      <c r="C279" s="5" t="s">
        <v>409</v>
      </c>
      <c r="D279" t="e">
        <f>VLOOKUP(B279,'DS_Tong_12AS-AT-VH'!$T$9:$V$3025,3,0)</f>
        <v>#N/A</v>
      </c>
    </row>
    <row r="280" spans="1:4">
      <c r="A280" s="3">
        <v>279</v>
      </c>
      <c r="B280" t="s">
        <v>808</v>
      </c>
      <c r="C280" s="5" t="s">
        <v>409</v>
      </c>
      <c r="D280" t="e">
        <f>VLOOKUP(B280,'DS_Tong_12AS-AT-VH'!$T$9:$V$3025,3,0)</f>
        <v>#N/A</v>
      </c>
    </row>
    <row r="281" spans="1:4">
      <c r="A281" s="3">
        <v>280</v>
      </c>
      <c r="B281" t="s">
        <v>809</v>
      </c>
      <c r="C281" s="5" t="s">
        <v>409</v>
      </c>
      <c r="D281" t="e">
        <f>VLOOKUP(B281,'DS_Tong_12AS-AT-VH'!$T$9:$V$3025,3,0)</f>
        <v>#N/A</v>
      </c>
    </row>
    <row r="282" spans="1:4">
      <c r="A282" s="3">
        <v>281</v>
      </c>
      <c r="B282" t="s">
        <v>810</v>
      </c>
      <c r="C282" s="5" t="s">
        <v>409</v>
      </c>
      <c r="D282" t="e">
        <f>VLOOKUP(B282,'DS_Tong_12AS-AT-VH'!$T$9:$V$3025,3,0)</f>
        <v>#N/A</v>
      </c>
    </row>
    <row r="283" spans="1:4">
      <c r="A283" s="3">
        <v>282</v>
      </c>
      <c r="B283" t="s">
        <v>811</v>
      </c>
      <c r="C283" s="5" t="s">
        <v>409</v>
      </c>
      <c r="D283" t="e">
        <f>VLOOKUP(B283,'DS_Tong_12AS-AT-VH'!$T$9:$V$3025,3,0)</f>
        <v>#N/A</v>
      </c>
    </row>
    <row r="284" spans="1:4">
      <c r="A284" s="3">
        <v>283</v>
      </c>
      <c r="B284" t="s">
        <v>812</v>
      </c>
      <c r="C284" s="5" t="s">
        <v>409</v>
      </c>
      <c r="D284" t="e">
        <f>VLOOKUP(B284,'DS_Tong_12AS-AT-VH'!$T$9:$V$3025,3,0)</f>
        <v>#N/A</v>
      </c>
    </row>
    <row r="285" spans="1:4">
      <c r="A285" s="3">
        <v>284</v>
      </c>
      <c r="B285" t="s">
        <v>813</v>
      </c>
      <c r="C285" s="5" t="s">
        <v>409</v>
      </c>
      <c r="D285" t="e">
        <f>VLOOKUP(B285,'DS_Tong_12AS-AT-VH'!$T$9:$V$3025,3,0)</f>
        <v>#N/A</v>
      </c>
    </row>
    <row r="286" spans="1:4">
      <c r="A286" s="3">
        <v>285</v>
      </c>
      <c r="B286" t="s">
        <v>814</v>
      </c>
      <c r="C286" s="5" t="s">
        <v>409</v>
      </c>
      <c r="D286" t="e">
        <f>VLOOKUP(B286,'DS_Tong_12AS-AT-VH'!$T$9:$V$3025,3,0)</f>
        <v>#N/A</v>
      </c>
    </row>
    <row r="287" spans="1:4">
      <c r="A287" s="3">
        <v>286</v>
      </c>
      <c r="B287" t="s">
        <v>815</v>
      </c>
      <c r="C287" s="5" t="s">
        <v>409</v>
      </c>
      <c r="D287" t="e">
        <f>VLOOKUP(B287,'DS_Tong_12AS-AT-VH'!$T$9:$V$3025,3,0)</f>
        <v>#N/A</v>
      </c>
    </row>
    <row r="288" spans="1:4">
      <c r="A288" s="3">
        <v>287</v>
      </c>
      <c r="B288" t="s">
        <v>816</v>
      </c>
      <c r="C288" s="5" t="s">
        <v>409</v>
      </c>
      <c r="D288" t="e">
        <f>VLOOKUP(B288,'DS_Tong_12AS-AT-VH'!$T$9:$V$3025,3,0)</f>
        <v>#N/A</v>
      </c>
    </row>
    <row r="289" spans="1:4">
      <c r="A289" s="3">
        <v>288</v>
      </c>
      <c r="B289" t="s">
        <v>817</v>
      </c>
      <c r="C289" s="5" t="s">
        <v>409</v>
      </c>
      <c r="D289" t="e">
        <f>VLOOKUP(B289,'DS_Tong_12AS-AT-VH'!$T$9:$V$3025,3,0)</f>
        <v>#N/A</v>
      </c>
    </row>
    <row r="290" spans="1:4">
      <c r="A290" s="3">
        <v>289</v>
      </c>
      <c r="B290" t="s">
        <v>818</v>
      </c>
      <c r="C290" s="5" t="s">
        <v>409</v>
      </c>
      <c r="D290" t="e">
        <f>VLOOKUP(B290,'DS_Tong_12AS-AT-VH'!$T$9:$V$3025,3,0)</f>
        <v>#N/A</v>
      </c>
    </row>
    <row r="291" spans="1:4">
      <c r="A291" s="3">
        <v>290</v>
      </c>
      <c r="B291" t="s">
        <v>819</v>
      </c>
      <c r="C291" s="5" t="s">
        <v>409</v>
      </c>
      <c r="D291" t="e">
        <f>VLOOKUP(B291,'DS_Tong_12AS-AT-VH'!$T$9:$V$3025,3,0)</f>
        <v>#N/A</v>
      </c>
    </row>
    <row r="292" spans="1:4">
      <c r="A292" s="3">
        <v>291</v>
      </c>
      <c r="B292" t="s">
        <v>820</v>
      </c>
      <c r="C292" s="5" t="s">
        <v>409</v>
      </c>
      <c r="D292" t="e">
        <f>VLOOKUP(B292,'DS_Tong_12AS-AT-VH'!$T$9:$V$3025,3,0)</f>
        <v>#N/A</v>
      </c>
    </row>
    <row r="293" spans="1:4">
      <c r="A293" s="3">
        <v>292</v>
      </c>
      <c r="B293" t="s">
        <v>821</v>
      </c>
      <c r="C293" s="5" t="s">
        <v>409</v>
      </c>
      <c r="D293" t="e">
        <f>VLOOKUP(B293,'DS_Tong_12AS-AT-VH'!$T$9:$V$3025,3,0)</f>
        <v>#N/A</v>
      </c>
    </row>
    <row r="294" spans="1:4">
      <c r="A294" s="3">
        <v>293</v>
      </c>
      <c r="B294" t="s">
        <v>822</v>
      </c>
      <c r="C294" s="5" t="s">
        <v>409</v>
      </c>
      <c r="D294" t="e">
        <f>VLOOKUP(B294,'DS_Tong_12AS-AT-VH'!$T$9:$V$3025,3,0)</f>
        <v>#N/A</v>
      </c>
    </row>
    <row r="295" spans="1:4">
      <c r="A295" s="3">
        <v>294</v>
      </c>
      <c r="B295" t="s">
        <v>823</v>
      </c>
      <c r="C295" s="5" t="s">
        <v>409</v>
      </c>
      <c r="D295" t="e">
        <f>VLOOKUP(B295,'DS_Tong_12AS-AT-VH'!$T$9:$V$3025,3,0)</f>
        <v>#N/A</v>
      </c>
    </row>
    <row r="296" spans="1:4">
      <c r="A296" s="3">
        <v>295</v>
      </c>
      <c r="B296" t="s">
        <v>824</v>
      </c>
      <c r="C296" s="5" t="s">
        <v>409</v>
      </c>
      <c r="D296" t="e">
        <f>VLOOKUP(B296,'DS_Tong_12AS-AT-VH'!$T$9:$V$3025,3,0)</f>
        <v>#N/A</v>
      </c>
    </row>
    <row r="297" spans="1:4">
      <c r="A297" s="3">
        <v>296</v>
      </c>
      <c r="B297" t="s">
        <v>825</v>
      </c>
      <c r="C297" s="5" t="s">
        <v>409</v>
      </c>
      <c r="D297" t="e">
        <f>VLOOKUP(B297,'DS_Tong_12AS-AT-VH'!$T$9:$V$3025,3,0)</f>
        <v>#N/A</v>
      </c>
    </row>
    <row r="298" spans="1:4">
      <c r="A298" s="3">
        <v>297</v>
      </c>
      <c r="B298" t="s">
        <v>826</v>
      </c>
      <c r="C298" s="5" t="s">
        <v>409</v>
      </c>
      <c r="D298" t="e">
        <f>VLOOKUP(B298,'DS_Tong_12AS-AT-VH'!$T$9:$V$3025,3,0)</f>
        <v>#N/A</v>
      </c>
    </row>
    <row r="299" spans="1:4">
      <c r="A299" s="3">
        <v>298</v>
      </c>
      <c r="B299" t="s">
        <v>827</v>
      </c>
      <c r="C299" s="5" t="s">
        <v>409</v>
      </c>
      <c r="D299" t="e">
        <f>VLOOKUP(B299,'DS_Tong_12AS-AT-VH'!$T$9:$V$3025,3,0)</f>
        <v>#N/A</v>
      </c>
    </row>
    <row r="300" spans="1:4">
      <c r="A300" s="3">
        <v>299</v>
      </c>
      <c r="B300" t="s">
        <v>828</v>
      </c>
      <c r="C300" s="5" t="s">
        <v>409</v>
      </c>
      <c r="D300" t="e">
        <f>VLOOKUP(B300,'DS_Tong_12AS-AT-VH'!$T$9:$V$3025,3,0)</f>
        <v>#N/A</v>
      </c>
    </row>
    <row r="301" spans="1:4">
      <c r="A301" s="3">
        <v>300</v>
      </c>
      <c r="B301" t="s">
        <v>829</v>
      </c>
      <c r="C301" s="5" t="s">
        <v>409</v>
      </c>
      <c r="D301" t="e">
        <f>VLOOKUP(B301,'DS_Tong_12AS-AT-VH'!$T$9:$V$3025,3,0)</f>
        <v>#N/A</v>
      </c>
    </row>
    <row r="302" spans="1:4">
      <c r="A302" s="3">
        <v>301</v>
      </c>
      <c r="B302" t="s">
        <v>830</v>
      </c>
      <c r="C302" s="5" t="s">
        <v>409</v>
      </c>
      <c r="D302" t="e">
        <f>VLOOKUP(B302,'DS_Tong_12AS-AT-VH'!$T$9:$V$3025,3,0)</f>
        <v>#N/A</v>
      </c>
    </row>
    <row r="303" spans="1:4">
      <c r="A303" s="3">
        <v>302</v>
      </c>
      <c r="B303" t="s">
        <v>831</v>
      </c>
      <c r="C303" s="5" t="s">
        <v>409</v>
      </c>
      <c r="D303" t="e">
        <f>VLOOKUP(B303,'DS_Tong_12AS-AT-VH'!$T$9:$V$3025,3,0)</f>
        <v>#N/A</v>
      </c>
    </row>
    <row r="304" spans="1:4">
      <c r="A304" s="3">
        <v>303</v>
      </c>
      <c r="B304" t="s">
        <v>832</v>
      </c>
      <c r="C304" s="5" t="s">
        <v>409</v>
      </c>
      <c r="D304" t="e">
        <f>VLOOKUP(B304,'DS_Tong_12AS-AT-VH'!$T$9:$V$3025,3,0)</f>
        <v>#N/A</v>
      </c>
    </row>
    <row r="305" spans="1:4">
      <c r="A305" s="3">
        <v>304</v>
      </c>
      <c r="B305" t="s">
        <v>833</v>
      </c>
      <c r="C305" s="5" t="s">
        <v>409</v>
      </c>
      <c r="D305" t="e">
        <f>VLOOKUP(B305,'DS_Tong_12AS-AT-VH'!$T$9:$V$3025,3,0)</f>
        <v>#N/A</v>
      </c>
    </row>
    <row r="306" spans="1:4">
      <c r="A306" s="3">
        <v>305</v>
      </c>
      <c r="B306" t="s">
        <v>834</v>
      </c>
      <c r="C306" s="5" t="s">
        <v>409</v>
      </c>
      <c r="D306" t="e">
        <f>VLOOKUP(B306,'DS_Tong_12AS-AT-VH'!$T$9:$V$3025,3,0)</f>
        <v>#N/A</v>
      </c>
    </row>
    <row r="307" spans="1:4">
      <c r="A307" s="3">
        <v>306</v>
      </c>
      <c r="B307" t="s">
        <v>835</v>
      </c>
      <c r="C307" s="5" t="s">
        <v>409</v>
      </c>
      <c r="D307" t="e">
        <f>VLOOKUP(B307,'DS_Tong_12AS-AT-VH'!$T$9:$V$3025,3,0)</f>
        <v>#N/A</v>
      </c>
    </row>
    <row r="308" spans="1:4">
      <c r="A308" s="3">
        <v>307</v>
      </c>
      <c r="B308" t="s">
        <v>836</v>
      </c>
      <c r="C308" s="5" t="s">
        <v>409</v>
      </c>
      <c r="D308" t="e">
        <f>VLOOKUP(B308,'DS_Tong_12AS-AT-VH'!$T$9:$V$3025,3,0)</f>
        <v>#N/A</v>
      </c>
    </row>
    <row r="309" spans="1:4">
      <c r="A309" s="3">
        <v>308</v>
      </c>
      <c r="B309" t="s">
        <v>837</v>
      </c>
      <c r="C309" s="5" t="s">
        <v>409</v>
      </c>
      <c r="D309" t="e">
        <f>VLOOKUP(B309,'DS_Tong_12AS-AT-VH'!$T$9:$V$3025,3,0)</f>
        <v>#N/A</v>
      </c>
    </row>
    <row r="310" spans="1:4">
      <c r="A310" s="3">
        <v>309</v>
      </c>
      <c r="B310" t="s">
        <v>838</v>
      </c>
      <c r="C310" s="5" t="s">
        <v>409</v>
      </c>
      <c r="D310" t="e">
        <f>VLOOKUP(B310,'DS_Tong_12AS-AT-VH'!$T$9:$V$3025,3,0)</f>
        <v>#N/A</v>
      </c>
    </row>
    <row r="311" spans="1:4">
      <c r="A311" s="3">
        <v>310</v>
      </c>
      <c r="B311" t="s">
        <v>839</v>
      </c>
      <c r="C311" s="5" t="s">
        <v>409</v>
      </c>
      <c r="D311" t="e">
        <f>VLOOKUP(B311,'DS_Tong_12AS-AT-VH'!$T$9:$V$3025,3,0)</f>
        <v>#N/A</v>
      </c>
    </row>
    <row r="312" spans="1:4">
      <c r="A312" s="3">
        <v>311</v>
      </c>
      <c r="B312" t="s">
        <v>840</v>
      </c>
      <c r="C312" s="5" t="s">
        <v>409</v>
      </c>
      <c r="D312" t="e">
        <f>VLOOKUP(B312,'DS_Tong_12AS-AT-VH'!$T$9:$V$3025,3,0)</f>
        <v>#N/A</v>
      </c>
    </row>
    <row r="313" spans="1:4">
      <c r="A313" s="3">
        <v>312</v>
      </c>
      <c r="B313" t="s">
        <v>841</v>
      </c>
      <c r="C313" s="5" t="s">
        <v>409</v>
      </c>
      <c r="D313" t="e">
        <f>VLOOKUP(B313,'DS_Tong_12AS-AT-VH'!$T$9:$V$3025,3,0)</f>
        <v>#N/A</v>
      </c>
    </row>
    <row r="314" spans="1:4">
      <c r="A314" s="3">
        <v>313</v>
      </c>
      <c r="B314" t="s">
        <v>842</v>
      </c>
      <c r="C314" s="5" t="s">
        <v>409</v>
      </c>
      <c r="D314" t="e">
        <f>VLOOKUP(B314,'DS_Tong_12AS-AT-VH'!$T$9:$V$3025,3,0)</f>
        <v>#N/A</v>
      </c>
    </row>
    <row r="315" spans="1:4">
      <c r="A315" s="3">
        <v>314</v>
      </c>
      <c r="B315" t="s">
        <v>843</v>
      </c>
      <c r="C315" s="5" t="s">
        <v>409</v>
      </c>
      <c r="D315" t="e">
        <f>VLOOKUP(B315,'DS_Tong_12AS-AT-VH'!$T$9:$V$3025,3,0)</f>
        <v>#N/A</v>
      </c>
    </row>
    <row r="316" spans="1:4">
      <c r="A316" s="3">
        <v>315</v>
      </c>
      <c r="B316" t="s">
        <v>844</v>
      </c>
      <c r="C316" s="5" t="s">
        <v>409</v>
      </c>
      <c r="D316" t="e">
        <f>VLOOKUP(B316,'DS_Tong_12AS-AT-VH'!$T$9:$V$3025,3,0)</f>
        <v>#N/A</v>
      </c>
    </row>
    <row r="317" spans="1:4">
      <c r="A317" s="3">
        <v>316</v>
      </c>
      <c r="B317" t="s">
        <v>845</v>
      </c>
      <c r="C317" s="5" t="s">
        <v>409</v>
      </c>
      <c r="D317" t="e">
        <f>VLOOKUP(B317,'DS_Tong_12AS-AT-VH'!$T$9:$V$3025,3,0)</f>
        <v>#N/A</v>
      </c>
    </row>
    <row r="318" spans="1:4">
      <c r="A318" s="3">
        <v>317</v>
      </c>
      <c r="B318" t="s">
        <v>846</v>
      </c>
      <c r="C318" s="5" t="s">
        <v>409</v>
      </c>
      <c r="D318" t="e">
        <f>VLOOKUP(B318,'DS_Tong_12AS-AT-VH'!$T$9:$V$3025,3,0)</f>
        <v>#N/A</v>
      </c>
    </row>
    <row r="319" spans="1:4">
      <c r="A319" s="3">
        <v>318</v>
      </c>
      <c r="B319" t="s">
        <v>847</v>
      </c>
      <c r="C319" s="5" t="s">
        <v>409</v>
      </c>
      <c r="D319" t="e">
        <f>VLOOKUP(B319,'DS_Tong_12AS-AT-VH'!$T$9:$V$3025,3,0)</f>
        <v>#N/A</v>
      </c>
    </row>
    <row r="320" spans="1:4">
      <c r="A320" s="3">
        <v>319</v>
      </c>
      <c r="B320" t="s">
        <v>848</v>
      </c>
      <c r="C320" s="5" t="s">
        <v>409</v>
      </c>
      <c r="D320" t="e">
        <f>VLOOKUP(B320,'DS_Tong_12AS-AT-VH'!$T$9:$V$3025,3,0)</f>
        <v>#N/A</v>
      </c>
    </row>
    <row r="321" spans="1:4">
      <c r="A321" s="3">
        <v>320</v>
      </c>
      <c r="B321" t="s">
        <v>849</v>
      </c>
      <c r="C321" s="5" t="s">
        <v>409</v>
      </c>
      <c r="D321" t="e">
        <f>VLOOKUP(B321,'DS_Tong_12AS-AT-VH'!$T$9:$V$3025,3,0)</f>
        <v>#N/A</v>
      </c>
    </row>
    <row r="322" spans="1:4">
      <c r="A322" s="3">
        <v>321</v>
      </c>
      <c r="B322" t="s">
        <v>850</v>
      </c>
      <c r="C322" s="5" t="s">
        <v>409</v>
      </c>
      <c r="D322" t="e">
        <f>VLOOKUP(B322,'DS_Tong_12AS-AT-VH'!$T$9:$V$3025,3,0)</f>
        <v>#N/A</v>
      </c>
    </row>
    <row r="323" spans="1:4">
      <c r="A323" s="3">
        <v>322</v>
      </c>
      <c r="B323" t="s">
        <v>851</v>
      </c>
      <c r="C323" s="5" t="s">
        <v>409</v>
      </c>
      <c r="D323" t="e">
        <f>VLOOKUP(B323,'DS_Tong_12AS-AT-VH'!$T$9:$V$3025,3,0)</f>
        <v>#N/A</v>
      </c>
    </row>
    <row r="324" spans="1:4">
      <c r="A324" s="3">
        <v>323</v>
      </c>
      <c r="B324" t="s">
        <v>852</v>
      </c>
      <c r="C324" s="5" t="s">
        <v>409</v>
      </c>
      <c r="D324" t="e">
        <f>VLOOKUP(B324,'DS_Tong_12AS-AT-VH'!$T$9:$V$3025,3,0)</f>
        <v>#N/A</v>
      </c>
    </row>
    <row r="325" spans="1:4">
      <c r="A325" s="3">
        <v>324</v>
      </c>
      <c r="B325" t="s">
        <v>853</v>
      </c>
      <c r="C325" s="5" t="s">
        <v>409</v>
      </c>
      <c r="D325" t="e">
        <f>VLOOKUP(B325,'DS_Tong_12AS-AT-VH'!$T$9:$V$3025,3,0)</f>
        <v>#N/A</v>
      </c>
    </row>
    <row r="326" spans="1:4">
      <c r="A326" s="3">
        <v>325</v>
      </c>
      <c r="B326" t="s">
        <v>854</v>
      </c>
      <c r="C326" s="5" t="s">
        <v>409</v>
      </c>
      <c r="D326" t="e">
        <f>VLOOKUP(B326,'DS_Tong_12AS-AT-VH'!$T$9:$V$3025,3,0)</f>
        <v>#N/A</v>
      </c>
    </row>
    <row r="327" spans="1:4">
      <c r="A327" s="3">
        <v>326</v>
      </c>
      <c r="B327" t="s">
        <v>855</v>
      </c>
      <c r="C327" s="5" t="s">
        <v>409</v>
      </c>
      <c r="D327" t="e">
        <f>VLOOKUP(B327,'DS_Tong_12AS-AT-VH'!$T$9:$V$3025,3,0)</f>
        <v>#N/A</v>
      </c>
    </row>
    <row r="328" spans="1:4">
      <c r="A328" s="3">
        <v>327</v>
      </c>
      <c r="B328" t="s">
        <v>856</v>
      </c>
      <c r="C328" s="5" t="s">
        <v>409</v>
      </c>
      <c r="D328" t="e">
        <f>VLOOKUP(B328,'DS_Tong_12AS-AT-VH'!$T$9:$V$3025,3,0)</f>
        <v>#N/A</v>
      </c>
    </row>
    <row r="329" spans="1:4">
      <c r="A329" s="3">
        <v>328</v>
      </c>
      <c r="B329" t="s">
        <v>857</v>
      </c>
      <c r="C329" s="5" t="s">
        <v>409</v>
      </c>
      <c r="D329" t="e">
        <f>VLOOKUP(B329,'DS_Tong_12AS-AT-VH'!$T$9:$V$3025,3,0)</f>
        <v>#N/A</v>
      </c>
    </row>
    <row r="330" spans="1:4">
      <c r="A330" s="3">
        <v>329</v>
      </c>
      <c r="B330" t="s">
        <v>858</v>
      </c>
      <c r="C330" s="5" t="s">
        <v>409</v>
      </c>
      <c r="D330" t="e">
        <f>VLOOKUP(B330,'DS_Tong_12AS-AT-VH'!$T$9:$V$3025,3,0)</f>
        <v>#N/A</v>
      </c>
    </row>
    <row r="331" spans="1:4">
      <c r="A331" s="3">
        <v>330</v>
      </c>
      <c r="B331" t="s">
        <v>859</v>
      </c>
      <c r="C331" s="5" t="s">
        <v>409</v>
      </c>
      <c r="D331" t="e">
        <f>VLOOKUP(B331,'DS_Tong_12AS-AT-VH'!$T$9:$V$3025,3,0)</f>
        <v>#N/A</v>
      </c>
    </row>
    <row r="332" spans="1:4">
      <c r="A332" s="3">
        <v>331</v>
      </c>
      <c r="B332" t="s">
        <v>860</v>
      </c>
      <c r="C332" s="5" t="s">
        <v>409</v>
      </c>
      <c r="D332" t="e">
        <f>VLOOKUP(B332,'DS_Tong_12AS-AT-VH'!$T$9:$V$3025,3,0)</f>
        <v>#N/A</v>
      </c>
    </row>
    <row r="333" spans="1:4">
      <c r="A333" s="3">
        <v>332</v>
      </c>
      <c r="B333" t="s">
        <v>861</v>
      </c>
      <c r="C333" s="5" t="s">
        <v>409</v>
      </c>
      <c r="D333" t="e">
        <f>VLOOKUP(B333,'DS_Tong_12AS-AT-VH'!$T$9:$V$3025,3,0)</f>
        <v>#N/A</v>
      </c>
    </row>
    <row r="334" spans="1:4">
      <c r="A334" s="3">
        <v>333</v>
      </c>
      <c r="B334" t="s">
        <v>862</v>
      </c>
      <c r="C334" s="5" t="s">
        <v>409</v>
      </c>
      <c r="D334" t="e">
        <f>VLOOKUP(B334,'DS_Tong_12AS-AT-VH'!$T$9:$V$3025,3,0)</f>
        <v>#N/A</v>
      </c>
    </row>
    <row r="335" spans="1:4">
      <c r="A335" s="3">
        <v>334</v>
      </c>
      <c r="B335" t="s">
        <v>863</v>
      </c>
      <c r="C335" s="5" t="s">
        <v>409</v>
      </c>
      <c r="D335" t="e">
        <f>VLOOKUP(B335,'DS_Tong_12AS-AT-VH'!$T$9:$V$3025,3,0)</f>
        <v>#N/A</v>
      </c>
    </row>
    <row r="336" spans="1:4">
      <c r="A336" s="3">
        <v>335</v>
      </c>
      <c r="B336" t="s">
        <v>864</v>
      </c>
      <c r="C336" s="5" t="s">
        <v>409</v>
      </c>
      <c r="D336" t="e">
        <f>VLOOKUP(B336,'DS_Tong_12AS-AT-VH'!$T$9:$V$3025,3,0)</f>
        <v>#N/A</v>
      </c>
    </row>
    <row r="337" spans="1:5">
      <c r="A337" s="3">
        <v>336</v>
      </c>
      <c r="B337" t="s">
        <v>865</v>
      </c>
      <c r="C337" s="5" t="s">
        <v>409</v>
      </c>
      <c r="D337" t="e">
        <f>VLOOKUP(B337,'DS_Tong_12AS-AT-VH'!$T$9:$V$3025,3,0)</f>
        <v>#N/A</v>
      </c>
    </row>
    <row r="338" spans="1:5">
      <c r="A338" s="3">
        <v>337</v>
      </c>
      <c r="B338" t="s">
        <v>866</v>
      </c>
      <c r="C338" s="5" t="s">
        <v>409</v>
      </c>
      <c r="D338" t="e">
        <f>VLOOKUP(B338,'DS_Tong_12AS-AT-VH'!$T$9:$V$3025,3,0)</f>
        <v>#N/A</v>
      </c>
    </row>
    <row r="339" spans="1:5">
      <c r="A339" s="3">
        <v>338</v>
      </c>
      <c r="B339" t="s">
        <v>867</v>
      </c>
      <c r="C339" s="5" t="s">
        <v>409</v>
      </c>
      <c r="D339" t="e">
        <f>VLOOKUP(B339,'DS_Tong_12AS-AT-VH'!$T$9:$V$3025,3,0)</f>
        <v>#N/A</v>
      </c>
    </row>
    <row r="340" spans="1:5">
      <c r="A340" s="3">
        <v>339</v>
      </c>
      <c r="B340" t="s">
        <v>868</v>
      </c>
      <c r="C340" s="5" t="s">
        <v>409</v>
      </c>
      <c r="D340" t="e">
        <f>VLOOKUP(B340,'DS_Tong_12AS-AT-VH'!$T$9:$V$3025,3,0)</f>
        <v>#N/A</v>
      </c>
    </row>
    <row r="341" spans="1:5">
      <c r="A341" s="3">
        <v>340</v>
      </c>
      <c r="B341" t="s">
        <v>869</v>
      </c>
      <c r="C341" s="5" t="s">
        <v>409</v>
      </c>
      <c r="D341" t="e">
        <f>VLOOKUP(B341,'DS_Tong_12AS-AT-VH'!$T$9:$V$3025,3,0)</f>
        <v>#N/A</v>
      </c>
    </row>
    <row r="342" spans="1:5">
      <c r="A342" s="3">
        <v>341</v>
      </c>
      <c r="B342" t="s">
        <v>870</v>
      </c>
      <c r="C342" s="5" t="s">
        <v>409</v>
      </c>
      <c r="D342" t="e">
        <f>VLOOKUP(B342,'DS_Tong_12AS-AT-VH'!$T$9:$V$3025,3,0)</f>
        <v>#N/A</v>
      </c>
    </row>
    <row r="343" spans="1:5">
      <c r="A343" s="3">
        <v>342</v>
      </c>
      <c r="B343" t="s">
        <v>871</v>
      </c>
      <c r="C343" s="5" t="s">
        <v>409</v>
      </c>
      <c r="D343" t="e">
        <f>VLOOKUP(B343,'DS_Tong_12AS-AT-VH'!$T$9:$V$3025,3,0)</f>
        <v>#N/A</v>
      </c>
    </row>
    <row r="344" spans="1:5">
      <c r="A344" s="3">
        <v>343</v>
      </c>
      <c r="B344" t="s">
        <v>872</v>
      </c>
      <c r="C344" s="5" t="s">
        <v>409</v>
      </c>
      <c r="D344" t="e">
        <f>VLOOKUP(B344,'DS_Tong_12AS-AT-VH'!$T$9:$V$3025,3,0)</f>
        <v>#N/A</v>
      </c>
    </row>
    <row r="345" spans="1:5">
      <c r="A345" s="3">
        <v>344</v>
      </c>
      <c r="B345" t="s">
        <v>873</v>
      </c>
      <c r="C345" s="5" t="s">
        <v>409</v>
      </c>
      <c r="D345" t="e">
        <f>VLOOKUP(B345,'DS_Tong_12AS-AT-VH'!$T$9:$V$3025,3,0)</f>
        <v>#N/A</v>
      </c>
    </row>
    <row r="346" spans="1:5">
      <c r="A346" s="3">
        <v>345</v>
      </c>
      <c r="B346" t="s">
        <v>874</v>
      </c>
      <c r="C346" s="5" t="s">
        <v>409</v>
      </c>
      <c r="D346" t="e">
        <f>VLOOKUP(B346,'DS_Tong_12AS-AT-VH'!$T$9:$V$3025,3,0)</f>
        <v>#N/A</v>
      </c>
    </row>
    <row r="347" spans="1:5">
      <c r="A347" s="3">
        <v>346</v>
      </c>
      <c r="B347" t="s">
        <v>875</v>
      </c>
      <c r="C347" s="5" t="s">
        <v>409</v>
      </c>
      <c r="D347" t="e">
        <f>VLOOKUP(B347,'DS_Tong_12AS-AT-VH'!$T$9:$V$3025,3,0)</f>
        <v>#N/A</v>
      </c>
    </row>
    <row r="348" spans="1:5">
      <c r="A348" s="3">
        <v>347</v>
      </c>
      <c r="B348" t="s">
        <v>876</v>
      </c>
      <c r="C348" s="5" t="s">
        <v>409</v>
      </c>
      <c r="D348" t="e">
        <f>VLOOKUP(B348,'DS_Tong_12AS-AT-VH'!$T$9:$V$3025,3,0)</f>
        <v>#N/A</v>
      </c>
    </row>
    <row r="349" spans="1:5">
      <c r="A349" s="3">
        <v>348</v>
      </c>
      <c r="B349" t="s">
        <v>877</v>
      </c>
      <c r="C349" s="5" t="s">
        <v>409</v>
      </c>
      <c r="D349" t="e">
        <f>VLOOKUP(B349,'DS_Tong_12AS-AT-VH'!$T$9:$V$3025,3,0)</f>
        <v>#N/A</v>
      </c>
    </row>
    <row r="350" spans="1:5">
      <c r="A350" s="3">
        <v>349</v>
      </c>
      <c r="B350" t="s">
        <v>878</v>
      </c>
      <c r="C350" s="5" t="s">
        <v>409</v>
      </c>
      <c r="D350" t="e">
        <f>VLOOKUP(B350,'DS_Tong_12AS-AT-VH'!$T$9:$V$3025,3,0)</f>
        <v>#N/A</v>
      </c>
    </row>
    <row r="351" spans="1:5">
      <c r="A351" s="3">
        <v>350</v>
      </c>
      <c r="B351" s="142" t="s">
        <v>879</v>
      </c>
      <c r="C351" s="143" t="s">
        <v>409</v>
      </c>
      <c r="D351" s="142" t="e">
        <f>VLOOKUP(B351,'DS_Tong_12AS-AT-VH'!$T$9:$V$3025,3,0)</f>
        <v>#N/A</v>
      </c>
      <c r="E351" s="5" t="s">
        <v>529</v>
      </c>
    </row>
    <row r="352" spans="1:5">
      <c r="A352" s="3">
        <v>351</v>
      </c>
      <c r="B352" t="s">
        <v>880</v>
      </c>
      <c r="C352" s="5" t="s">
        <v>409</v>
      </c>
      <c r="D352" t="e">
        <f>VLOOKUP(B352,'DS_Tong_12AS-AT-VH'!$T$9:$V$3025,3,0)</f>
        <v>#N/A</v>
      </c>
    </row>
    <row r="353" spans="1:4">
      <c r="A353" s="3">
        <v>352</v>
      </c>
      <c r="B353" t="s">
        <v>881</v>
      </c>
      <c r="C353" s="5" t="s">
        <v>409</v>
      </c>
      <c r="D353" t="e">
        <f>VLOOKUP(B353,'DS_Tong_12AS-AT-VH'!$T$9:$V$3025,3,0)</f>
        <v>#N/A</v>
      </c>
    </row>
    <row r="354" spans="1:4">
      <c r="A354" s="3">
        <v>353</v>
      </c>
      <c r="B354" t="s">
        <v>882</v>
      </c>
      <c r="C354" s="5" t="s">
        <v>409</v>
      </c>
      <c r="D354" t="e">
        <f>VLOOKUP(B354,'DS_Tong_12AS-AT-VH'!$T$9:$V$3025,3,0)</f>
        <v>#N/A</v>
      </c>
    </row>
    <row r="355" spans="1:4">
      <c r="A355" s="3">
        <v>354</v>
      </c>
      <c r="B355" t="s">
        <v>883</v>
      </c>
      <c r="C355" s="5" t="s">
        <v>409</v>
      </c>
      <c r="D355" t="e">
        <f>VLOOKUP(B355,'DS_Tong_12AS-AT-VH'!$T$9:$V$3025,3,0)</f>
        <v>#N/A</v>
      </c>
    </row>
    <row r="356" spans="1:4">
      <c r="A356" s="3">
        <v>355</v>
      </c>
      <c r="B356" t="s">
        <v>884</v>
      </c>
      <c r="C356" s="5" t="s">
        <v>409</v>
      </c>
      <c r="D356" t="e">
        <f>VLOOKUP(B356,'DS_Tong_12AS-AT-VH'!$T$9:$V$3025,3,0)</f>
        <v>#N/A</v>
      </c>
    </row>
    <row r="357" spans="1:4">
      <c r="A357" s="3">
        <v>356</v>
      </c>
      <c r="B357" s="142" t="s">
        <v>885</v>
      </c>
      <c r="C357" s="143" t="s">
        <v>409</v>
      </c>
      <c r="D357" s="142" t="e">
        <f>VLOOKUP(B357,'DS_Tong_12AS-AT-VH'!$T$9:$V$3025,3,0)</f>
        <v>#N/A</v>
      </c>
    </row>
    <row r="358" spans="1:4">
      <c r="A358" s="3">
        <v>357</v>
      </c>
      <c r="B358" t="s">
        <v>886</v>
      </c>
      <c r="C358" s="5" t="s">
        <v>409</v>
      </c>
      <c r="D358" t="e">
        <f>VLOOKUP(B358,'DS_Tong_12AS-AT-VH'!$T$9:$V$3025,3,0)</f>
        <v>#N/A</v>
      </c>
    </row>
    <row r="359" spans="1:4">
      <c r="A359" s="3">
        <v>358</v>
      </c>
      <c r="B359" t="s">
        <v>887</v>
      </c>
      <c r="C359" s="5" t="s">
        <v>409</v>
      </c>
      <c r="D359" t="e">
        <f>VLOOKUP(B359,'DS_Tong_12AS-AT-VH'!$T$9:$V$3025,3,0)</f>
        <v>#N/A</v>
      </c>
    </row>
    <row r="360" spans="1:4">
      <c r="A360" s="3">
        <v>359</v>
      </c>
      <c r="B360" t="s">
        <v>888</v>
      </c>
      <c r="C360" s="5" t="s">
        <v>409</v>
      </c>
      <c r="D360" t="e">
        <f>VLOOKUP(B360,'DS_Tong_12AS-AT-VH'!$T$9:$V$3025,3,0)</f>
        <v>#N/A</v>
      </c>
    </row>
    <row r="361" spans="1:4">
      <c r="A361" s="3">
        <v>360</v>
      </c>
      <c r="B361" t="s">
        <v>889</v>
      </c>
      <c r="C361" s="5" t="s">
        <v>409</v>
      </c>
      <c r="D361" t="e">
        <f>VLOOKUP(B361,'DS_Tong_12AS-AT-VH'!$T$9:$V$3025,3,0)</f>
        <v>#N/A</v>
      </c>
    </row>
    <row r="362" spans="1:4">
      <c r="A362" s="3">
        <v>361</v>
      </c>
      <c r="B362" t="s">
        <v>890</v>
      </c>
      <c r="C362" s="5" t="s">
        <v>409</v>
      </c>
      <c r="D362" t="e">
        <f>VLOOKUP(B362,'DS_Tong_12AS-AT-VH'!$T$9:$V$3025,3,0)</f>
        <v>#N/A</v>
      </c>
    </row>
    <row r="363" spans="1:4">
      <c r="A363" s="3">
        <v>362</v>
      </c>
      <c r="B363" t="s">
        <v>891</v>
      </c>
      <c r="C363" s="5" t="s">
        <v>409</v>
      </c>
      <c r="D363" t="e">
        <f>VLOOKUP(B363,'DS_Tong_12AS-AT-VH'!$T$9:$V$3025,3,0)</f>
        <v>#N/A</v>
      </c>
    </row>
    <row r="364" spans="1:4">
      <c r="A364" s="3">
        <v>363</v>
      </c>
      <c r="B364" t="s">
        <v>892</v>
      </c>
      <c r="C364" s="5" t="s">
        <v>409</v>
      </c>
      <c r="D364" t="e">
        <f>VLOOKUP(B364,'DS_Tong_12AS-AT-VH'!$T$9:$V$3025,3,0)</f>
        <v>#N/A</v>
      </c>
    </row>
    <row r="365" spans="1:4">
      <c r="A365" s="3">
        <v>364</v>
      </c>
      <c r="B365" t="s">
        <v>893</v>
      </c>
      <c r="C365" s="5" t="s">
        <v>409</v>
      </c>
      <c r="D365" t="e">
        <f>VLOOKUP(B365,'DS_Tong_12AS-AT-VH'!$T$9:$V$3025,3,0)</f>
        <v>#N/A</v>
      </c>
    </row>
    <row r="366" spans="1:4">
      <c r="A366" s="3">
        <v>365</v>
      </c>
      <c r="B366" t="s">
        <v>894</v>
      </c>
      <c r="C366" s="5" t="s">
        <v>409</v>
      </c>
      <c r="D366" t="e">
        <f>VLOOKUP(B366,'DS_Tong_12AS-AT-VH'!$T$9:$V$3025,3,0)</f>
        <v>#N/A</v>
      </c>
    </row>
    <row r="367" spans="1:4">
      <c r="A367" s="3">
        <v>366</v>
      </c>
      <c r="B367" t="s">
        <v>895</v>
      </c>
      <c r="C367" s="5" t="s">
        <v>409</v>
      </c>
      <c r="D367" t="e">
        <f>VLOOKUP(B367,'DS_Tong_12AS-AT-VH'!$T$9:$V$3025,3,0)</f>
        <v>#N/A</v>
      </c>
    </row>
    <row r="368" spans="1:4">
      <c r="A368" s="3">
        <v>367</v>
      </c>
      <c r="B368" t="s">
        <v>896</v>
      </c>
      <c r="C368" s="5" t="s">
        <v>409</v>
      </c>
      <c r="D368" t="e">
        <f>VLOOKUP(B368,'DS_Tong_12AS-AT-VH'!$T$9:$V$3025,3,0)</f>
        <v>#N/A</v>
      </c>
    </row>
    <row r="369" spans="1:5">
      <c r="A369" s="3">
        <v>368</v>
      </c>
      <c r="B369" t="s">
        <v>897</v>
      </c>
      <c r="C369" s="5" t="s">
        <v>409</v>
      </c>
      <c r="D369" t="e">
        <f>VLOOKUP(B369,'DS_Tong_12AS-AT-VH'!$T$9:$V$3025,3,0)</f>
        <v>#N/A</v>
      </c>
    </row>
    <row r="370" spans="1:5">
      <c r="A370" s="3">
        <v>369</v>
      </c>
      <c r="B370" s="142" t="s">
        <v>898</v>
      </c>
      <c r="C370" s="143" t="s">
        <v>409</v>
      </c>
      <c r="D370" s="142" t="e">
        <f>VLOOKUP(B370,'DS_Tong_12AS-AT-VH'!$T$9:$V$3025,3,0)</f>
        <v>#N/A</v>
      </c>
      <c r="E370" s="5" t="s">
        <v>529</v>
      </c>
    </row>
    <row r="371" spans="1:5">
      <c r="A371" s="3">
        <v>370</v>
      </c>
      <c r="B371" t="s">
        <v>899</v>
      </c>
      <c r="C371" s="5" t="s">
        <v>409</v>
      </c>
      <c r="D371" t="e">
        <f>VLOOKUP(B371,'DS_Tong_12AS-AT-VH'!$T$9:$V$3025,3,0)</f>
        <v>#N/A</v>
      </c>
    </row>
    <row r="372" spans="1:5">
      <c r="A372" s="3">
        <v>371</v>
      </c>
      <c r="B372" t="s">
        <v>900</v>
      </c>
      <c r="C372" s="5" t="s">
        <v>409</v>
      </c>
      <c r="D372" t="e">
        <f>VLOOKUP(B372,'DS_Tong_12AS-AT-VH'!$T$9:$V$3025,3,0)</f>
        <v>#N/A</v>
      </c>
    </row>
    <row r="373" spans="1:5">
      <c r="A373" s="3">
        <v>372</v>
      </c>
      <c r="B373" t="s">
        <v>901</v>
      </c>
      <c r="C373" s="5" t="s">
        <v>409</v>
      </c>
      <c r="D373" t="e">
        <f>VLOOKUP(B373,'DS_Tong_12AS-AT-VH'!$T$9:$V$3025,3,0)</f>
        <v>#N/A</v>
      </c>
    </row>
    <row r="374" spans="1:5">
      <c r="A374" s="3">
        <v>373</v>
      </c>
      <c r="B374" t="s">
        <v>902</v>
      </c>
      <c r="C374" s="5" t="s">
        <v>409</v>
      </c>
      <c r="D374" t="e">
        <f>VLOOKUP(B374,'DS_Tong_12AS-AT-VH'!$T$9:$V$3025,3,0)</f>
        <v>#N/A</v>
      </c>
    </row>
    <row r="375" spans="1:5">
      <c r="A375" s="3">
        <v>374</v>
      </c>
      <c r="B375" t="s">
        <v>903</v>
      </c>
      <c r="C375" s="5" t="s">
        <v>409</v>
      </c>
      <c r="D375" t="e">
        <f>VLOOKUP(B375,'DS_Tong_12AS-AT-VH'!$T$9:$V$3025,3,0)</f>
        <v>#N/A</v>
      </c>
    </row>
    <row r="376" spans="1:5">
      <c r="A376" s="3">
        <v>375</v>
      </c>
      <c r="B376" s="142" t="s">
        <v>904</v>
      </c>
      <c r="C376" s="143" t="s">
        <v>409</v>
      </c>
      <c r="D376" s="142" t="e">
        <f>VLOOKUP(B376,'DS_Tong_12AS-AT-VH'!$T$9:$V$3025,3,0)</f>
        <v>#N/A</v>
      </c>
    </row>
    <row r="377" spans="1:5">
      <c r="A377" s="3">
        <v>376</v>
      </c>
      <c r="B377" t="s">
        <v>905</v>
      </c>
      <c r="C377" s="5" t="s">
        <v>409</v>
      </c>
      <c r="D377" t="e">
        <f>VLOOKUP(B377,'DS_Tong_12AS-AT-VH'!$T$9:$V$3025,3,0)</f>
        <v>#N/A</v>
      </c>
    </row>
    <row r="378" spans="1:5">
      <c r="A378" s="3">
        <v>377</v>
      </c>
      <c r="B378" t="s">
        <v>906</v>
      </c>
      <c r="C378" s="5" t="s">
        <v>409</v>
      </c>
      <c r="D378" t="e">
        <f>VLOOKUP(B378,'DS_Tong_12AS-AT-VH'!$T$9:$V$3025,3,0)</f>
        <v>#N/A</v>
      </c>
    </row>
    <row r="379" spans="1:5">
      <c r="A379" s="3">
        <v>378</v>
      </c>
      <c r="B379" t="s">
        <v>907</v>
      </c>
      <c r="C379" s="5" t="s">
        <v>409</v>
      </c>
      <c r="D379" t="e">
        <f>VLOOKUP(B379,'DS_Tong_12AS-AT-VH'!$T$9:$V$3025,3,0)</f>
        <v>#N/A</v>
      </c>
    </row>
    <row r="380" spans="1:5">
      <c r="A380" s="3">
        <v>379</v>
      </c>
      <c r="B380" t="s">
        <v>908</v>
      </c>
      <c r="C380" s="5" t="s">
        <v>409</v>
      </c>
      <c r="D380" t="e">
        <f>VLOOKUP(B380,'DS_Tong_12AS-AT-VH'!$T$9:$V$3025,3,0)</f>
        <v>#N/A</v>
      </c>
    </row>
    <row r="381" spans="1:5">
      <c r="A381" s="3">
        <v>380</v>
      </c>
      <c r="B381" t="s">
        <v>909</v>
      </c>
      <c r="C381" s="5" t="s">
        <v>409</v>
      </c>
      <c r="D381" t="e">
        <f>VLOOKUP(B381,'DS_Tong_12AS-AT-VH'!$T$9:$V$3025,3,0)</f>
        <v>#N/A</v>
      </c>
    </row>
    <row r="382" spans="1:5">
      <c r="A382" s="3">
        <v>381</v>
      </c>
      <c r="B382" s="142" t="s">
        <v>910</v>
      </c>
      <c r="C382" s="143" t="s">
        <v>409</v>
      </c>
      <c r="D382" s="142" t="e">
        <f>VLOOKUP(B382,'DS_Tong_12AS-AT-VH'!$T$9:$V$3025,3,0)</f>
        <v>#N/A</v>
      </c>
      <c r="E382" s="5" t="s">
        <v>529</v>
      </c>
    </row>
    <row r="383" spans="1:5">
      <c r="A383" s="3">
        <v>382</v>
      </c>
      <c r="B383" t="s">
        <v>911</v>
      </c>
      <c r="C383" s="5" t="s">
        <v>409</v>
      </c>
      <c r="D383" t="e">
        <f>VLOOKUP(B383,'DS_Tong_12AS-AT-VH'!$T$9:$V$3025,3,0)</f>
        <v>#N/A</v>
      </c>
    </row>
    <row r="384" spans="1:5">
      <c r="A384" s="3">
        <v>383</v>
      </c>
      <c r="B384" t="s">
        <v>912</v>
      </c>
      <c r="C384" s="5" t="s">
        <v>409</v>
      </c>
      <c r="D384" t="e">
        <f>VLOOKUP(B384,'DS_Tong_12AS-AT-VH'!$T$9:$V$3025,3,0)</f>
        <v>#N/A</v>
      </c>
    </row>
    <row r="385" spans="1:4">
      <c r="A385" s="3">
        <v>384</v>
      </c>
      <c r="B385" t="s">
        <v>913</v>
      </c>
      <c r="C385" s="5" t="s">
        <v>409</v>
      </c>
      <c r="D385" t="e">
        <f>VLOOKUP(B385,'DS_Tong_12AS-AT-VH'!$T$9:$V$3025,3,0)</f>
        <v>#N/A</v>
      </c>
    </row>
    <row r="386" spans="1:4">
      <c r="A386" s="3">
        <v>385</v>
      </c>
      <c r="B386" t="s">
        <v>914</v>
      </c>
      <c r="C386" s="5" t="s">
        <v>409</v>
      </c>
      <c r="D386" t="e">
        <f>VLOOKUP(B386,'DS_Tong_12AS-AT-VH'!$T$9:$V$3025,3,0)</f>
        <v>#N/A</v>
      </c>
    </row>
    <row r="387" spans="1:4">
      <c r="A387" s="3">
        <v>386</v>
      </c>
      <c r="B387" t="s">
        <v>915</v>
      </c>
      <c r="C387" s="5" t="s">
        <v>409</v>
      </c>
      <c r="D387" t="e">
        <f>VLOOKUP(B387,'DS_Tong_12AS-AT-VH'!$T$9:$V$3025,3,0)</f>
        <v>#N/A</v>
      </c>
    </row>
    <row r="388" spans="1:4">
      <c r="A388" s="3">
        <v>387</v>
      </c>
      <c r="B388" s="142" t="s">
        <v>916</v>
      </c>
      <c r="C388" s="143" t="s">
        <v>409</v>
      </c>
      <c r="D388" s="142" t="e">
        <f>VLOOKUP(B388,'DS_Tong_12AS-AT-VH'!$T$9:$V$3025,3,0)</f>
        <v>#N/A</v>
      </c>
    </row>
    <row r="389" spans="1:4">
      <c r="A389" s="3">
        <v>388</v>
      </c>
      <c r="B389" t="s">
        <v>917</v>
      </c>
      <c r="C389" s="5" t="s">
        <v>409</v>
      </c>
      <c r="D389" t="e">
        <f>VLOOKUP(B389,'DS_Tong_12AS-AT-VH'!$T$9:$V$3025,3,0)</f>
        <v>#N/A</v>
      </c>
    </row>
    <row r="390" spans="1:4">
      <c r="A390" s="3">
        <v>389</v>
      </c>
      <c r="B390" t="s">
        <v>918</v>
      </c>
      <c r="C390" s="5" t="s">
        <v>409</v>
      </c>
      <c r="D390" t="e">
        <f>VLOOKUP(B390,'DS_Tong_12AS-AT-VH'!$T$9:$V$3025,3,0)</f>
        <v>#N/A</v>
      </c>
    </row>
    <row r="391" spans="1:4">
      <c r="A391" s="3">
        <v>390</v>
      </c>
      <c r="B391" t="s">
        <v>919</v>
      </c>
      <c r="C391" s="5" t="s">
        <v>409</v>
      </c>
      <c r="D391" t="e">
        <f>VLOOKUP(B391,'DS_Tong_12AS-AT-VH'!$T$9:$V$3025,3,0)</f>
        <v>#N/A</v>
      </c>
    </row>
    <row r="392" spans="1:4">
      <c r="A392" s="3">
        <v>391</v>
      </c>
      <c r="B392" t="s">
        <v>920</v>
      </c>
      <c r="C392" s="5" t="s">
        <v>409</v>
      </c>
      <c r="D392" t="e">
        <f>VLOOKUP(B392,'DS_Tong_12AS-AT-VH'!$T$9:$V$3025,3,0)</f>
        <v>#N/A</v>
      </c>
    </row>
    <row r="393" spans="1:4">
      <c r="A393" s="3">
        <v>392</v>
      </c>
      <c r="B393" t="s">
        <v>921</v>
      </c>
      <c r="C393" s="5" t="s">
        <v>409</v>
      </c>
      <c r="D393" t="e">
        <f>VLOOKUP(B393,'DS_Tong_12AS-AT-VH'!$T$9:$V$3025,3,0)</f>
        <v>#N/A</v>
      </c>
    </row>
    <row r="394" spans="1:4">
      <c r="A394" s="3">
        <v>393</v>
      </c>
      <c r="B394" t="s">
        <v>922</v>
      </c>
      <c r="C394" s="5" t="s">
        <v>409</v>
      </c>
      <c r="D394" t="e">
        <f>VLOOKUP(B394,'DS_Tong_12AS-AT-VH'!$T$9:$V$3025,3,0)</f>
        <v>#N/A</v>
      </c>
    </row>
    <row r="395" spans="1:4">
      <c r="A395" s="3">
        <v>394</v>
      </c>
      <c r="B395" t="s">
        <v>923</v>
      </c>
      <c r="C395" s="5" t="s">
        <v>409</v>
      </c>
      <c r="D395" t="e">
        <f>VLOOKUP(B395,'DS_Tong_12AS-AT-VH'!$T$9:$V$3025,3,0)</f>
        <v>#N/A</v>
      </c>
    </row>
    <row r="396" spans="1:4">
      <c r="A396" s="3">
        <v>395</v>
      </c>
      <c r="B396" t="s">
        <v>924</v>
      </c>
      <c r="C396" s="5" t="s">
        <v>409</v>
      </c>
      <c r="D396" t="e">
        <f>VLOOKUP(B396,'DS_Tong_12AS-AT-VH'!$T$9:$V$3025,3,0)</f>
        <v>#N/A</v>
      </c>
    </row>
    <row r="397" spans="1:4">
      <c r="A397" s="3">
        <v>396</v>
      </c>
      <c r="B397" t="s">
        <v>925</v>
      </c>
      <c r="C397" s="5" t="s">
        <v>409</v>
      </c>
      <c r="D397" t="e">
        <f>VLOOKUP(B397,'DS_Tong_12AS-AT-VH'!$T$9:$V$3025,3,0)</f>
        <v>#N/A</v>
      </c>
    </row>
    <row r="398" spans="1:4">
      <c r="A398" s="3">
        <v>397</v>
      </c>
      <c r="B398" t="s">
        <v>926</v>
      </c>
      <c r="C398" s="5" t="s">
        <v>409</v>
      </c>
      <c r="D398" t="e">
        <f>VLOOKUP(B398,'DS_Tong_12AS-AT-VH'!$T$9:$V$3025,3,0)</f>
        <v>#N/A</v>
      </c>
    </row>
    <row r="399" spans="1:4">
      <c r="A399" s="3">
        <v>398</v>
      </c>
      <c r="B399" t="s">
        <v>927</v>
      </c>
      <c r="C399" s="5" t="s">
        <v>409</v>
      </c>
      <c r="D399" t="e">
        <f>VLOOKUP(B399,'DS_Tong_12AS-AT-VH'!$T$9:$V$3025,3,0)</f>
        <v>#N/A</v>
      </c>
    </row>
    <row r="400" spans="1:4">
      <c r="A400" s="3">
        <v>399</v>
      </c>
      <c r="B400" t="s">
        <v>928</v>
      </c>
      <c r="C400" s="5" t="s">
        <v>409</v>
      </c>
      <c r="D400" t="e">
        <f>VLOOKUP(B400,'DS_Tong_12AS-AT-VH'!$T$9:$V$3025,3,0)</f>
        <v>#N/A</v>
      </c>
    </row>
    <row r="401" spans="1:5">
      <c r="A401" s="3">
        <v>400</v>
      </c>
      <c r="B401" t="s">
        <v>929</v>
      </c>
      <c r="C401" s="5" t="s">
        <v>409</v>
      </c>
      <c r="D401" t="e">
        <f>VLOOKUP(B401,'DS_Tong_12AS-AT-VH'!$T$9:$V$3025,3,0)</f>
        <v>#N/A</v>
      </c>
    </row>
    <row r="402" spans="1:5">
      <c r="A402" s="3">
        <v>401</v>
      </c>
      <c r="B402" t="s">
        <v>930</v>
      </c>
      <c r="C402" s="5" t="s">
        <v>409</v>
      </c>
      <c r="D402" t="e">
        <f>VLOOKUP(B402,'DS_Tong_12AS-AT-VH'!$T$9:$V$3025,3,0)</f>
        <v>#N/A</v>
      </c>
    </row>
    <row r="403" spans="1:5">
      <c r="A403" s="3">
        <v>402</v>
      </c>
      <c r="B403" s="142" t="s">
        <v>931</v>
      </c>
      <c r="C403" s="143" t="s">
        <v>409</v>
      </c>
      <c r="D403" s="142" t="e">
        <f>VLOOKUP(B403,'DS_Tong_12AS-AT-VH'!$T$9:$V$3025,3,0)</f>
        <v>#N/A</v>
      </c>
      <c r="E403" s="5" t="s">
        <v>529</v>
      </c>
    </row>
    <row r="404" spans="1:5">
      <c r="A404" s="3">
        <v>403</v>
      </c>
      <c r="B404" t="s">
        <v>932</v>
      </c>
      <c r="C404" s="5" t="s">
        <v>409</v>
      </c>
      <c r="D404" t="e">
        <f>VLOOKUP(B404,'DS_Tong_12AS-AT-VH'!$T$9:$V$3025,3,0)</f>
        <v>#N/A</v>
      </c>
    </row>
    <row r="405" spans="1:5">
      <c r="A405" s="3">
        <v>404</v>
      </c>
      <c r="B405" t="s">
        <v>933</v>
      </c>
      <c r="C405" s="5" t="s">
        <v>409</v>
      </c>
      <c r="D405" t="e">
        <f>VLOOKUP(B405,'DS_Tong_12AS-AT-VH'!$T$9:$V$3025,3,0)</f>
        <v>#N/A</v>
      </c>
    </row>
    <row r="406" spans="1:5">
      <c r="A406" s="3">
        <v>405</v>
      </c>
      <c r="B406" t="s">
        <v>934</v>
      </c>
      <c r="C406" s="5" t="s">
        <v>409</v>
      </c>
      <c r="D406" t="e">
        <f>VLOOKUP(B406,'DS_Tong_12AS-AT-VH'!$T$9:$V$3025,3,0)</f>
        <v>#N/A</v>
      </c>
    </row>
    <row r="407" spans="1:5">
      <c r="A407" s="3">
        <v>406</v>
      </c>
      <c r="B407" t="s">
        <v>935</v>
      </c>
      <c r="C407" s="5" t="s">
        <v>409</v>
      </c>
      <c r="D407" t="e">
        <f>VLOOKUP(B407,'DS_Tong_12AS-AT-VH'!$T$9:$V$3025,3,0)</f>
        <v>#N/A</v>
      </c>
    </row>
    <row r="408" spans="1:5">
      <c r="A408" s="3">
        <v>407</v>
      </c>
      <c r="B408" t="s">
        <v>936</v>
      </c>
      <c r="C408" s="5" t="s">
        <v>409</v>
      </c>
      <c r="D408" t="e">
        <f>VLOOKUP(B408,'DS_Tong_12AS-AT-VH'!$T$9:$V$3025,3,0)</f>
        <v>#N/A</v>
      </c>
    </row>
    <row r="409" spans="1:5">
      <c r="A409" s="3">
        <v>408</v>
      </c>
      <c r="B409" s="142" t="s">
        <v>937</v>
      </c>
      <c r="C409" s="143" t="s">
        <v>409</v>
      </c>
      <c r="D409" s="142" t="e">
        <f>VLOOKUP(B409,'DS_Tong_12AS-AT-VH'!$T$9:$V$3025,3,0)</f>
        <v>#N/A</v>
      </c>
    </row>
    <row r="410" spans="1:5">
      <c r="A410" s="3">
        <v>409</v>
      </c>
      <c r="B410" t="s">
        <v>938</v>
      </c>
      <c r="C410" s="5" t="s">
        <v>409</v>
      </c>
      <c r="D410" t="e">
        <f>VLOOKUP(B410,'DS_Tong_12AS-AT-VH'!$T$9:$V$3025,3,0)</f>
        <v>#N/A</v>
      </c>
    </row>
    <row r="411" spans="1:5">
      <c r="A411" s="3">
        <v>410</v>
      </c>
      <c r="B411" t="s">
        <v>939</v>
      </c>
      <c r="C411" s="5" t="s">
        <v>409</v>
      </c>
      <c r="D411" t="e">
        <f>VLOOKUP(B411,'DS_Tong_12AS-AT-VH'!$T$9:$V$3025,3,0)</f>
        <v>#N/A</v>
      </c>
    </row>
    <row r="412" spans="1:5">
      <c r="A412" s="3">
        <v>411</v>
      </c>
      <c r="B412" t="s">
        <v>940</v>
      </c>
      <c r="C412" s="5" t="s">
        <v>409</v>
      </c>
      <c r="D412" t="e">
        <f>VLOOKUP(B412,'DS_Tong_12AS-AT-VH'!$T$9:$V$3025,3,0)</f>
        <v>#N/A</v>
      </c>
    </row>
    <row r="413" spans="1:5">
      <c r="A413" s="3">
        <v>412</v>
      </c>
      <c r="B413" t="s">
        <v>941</v>
      </c>
      <c r="C413" s="5" t="s">
        <v>409</v>
      </c>
      <c r="D413" t="e">
        <f>VLOOKUP(B413,'DS_Tong_12AS-AT-VH'!$T$9:$V$3025,3,0)</f>
        <v>#N/A</v>
      </c>
    </row>
    <row r="414" spans="1:5">
      <c r="A414" s="3">
        <v>413</v>
      </c>
      <c r="B414" t="s">
        <v>942</v>
      </c>
      <c r="C414" s="5" t="s">
        <v>409</v>
      </c>
      <c r="D414" t="e">
        <f>VLOOKUP(B414,'DS_Tong_12AS-AT-VH'!$T$9:$V$3025,3,0)</f>
        <v>#N/A</v>
      </c>
    </row>
    <row r="415" spans="1:5">
      <c r="A415" s="3">
        <v>414</v>
      </c>
      <c r="B415" t="s">
        <v>943</v>
      </c>
      <c r="C415" s="5" t="s">
        <v>409</v>
      </c>
      <c r="D415" t="e">
        <f>VLOOKUP(B415,'DS_Tong_12AS-AT-VH'!$T$9:$V$3025,3,0)</f>
        <v>#N/A</v>
      </c>
    </row>
    <row r="416" spans="1:5">
      <c r="A416" s="3">
        <v>415</v>
      </c>
      <c r="B416" t="s">
        <v>944</v>
      </c>
      <c r="C416" s="5" t="s">
        <v>409</v>
      </c>
      <c r="D416" t="e">
        <f>VLOOKUP(B416,'DS_Tong_12AS-AT-VH'!$T$9:$V$3025,3,0)</f>
        <v>#N/A</v>
      </c>
    </row>
    <row r="417" spans="1:5">
      <c r="A417" s="3">
        <v>416</v>
      </c>
      <c r="B417" t="s">
        <v>945</v>
      </c>
      <c r="C417" s="5" t="s">
        <v>409</v>
      </c>
      <c r="D417" t="e">
        <f>VLOOKUP(B417,'DS_Tong_12AS-AT-VH'!$T$9:$V$3025,3,0)</f>
        <v>#N/A</v>
      </c>
    </row>
    <row r="418" spans="1:5">
      <c r="A418" s="3">
        <v>417</v>
      </c>
      <c r="B418" t="s">
        <v>946</v>
      </c>
      <c r="C418" s="5" t="s">
        <v>409</v>
      </c>
      <c r="D418" t="e">
        <f>VLOOKUP(B418,'DS_Tong_12AS-AT-VH'!$T$9:$V$3025,3,0)</f>
        <v>#N/A</v>
      </c>
    </row>
    <row r="419" spans="1:5">
      <c r="A419" s="3">
        <v>418</v>
      </c>
      <c r="B419" t="s">
        <v>947</v>
      </c>
      <c r="C419" s="5" t="s">
        <v>409</v>
      </c>
      <c r="D419" t="e">
        <f>VLOOKUP(B419,'DS_Tong_12AS-AT-VH'!$T$9:$V$3025,3,0)</f>
        <v>#N/A</v>
      </c>
    </row>
    <row r="420" spans="1:5">
      <c r="A420" s="3">
        <v>419</v>
      </c>
      <c r="B420" t="s">
        <v>948</v>
      </c>
      <c r="C420" s="5" t="s">
        <v>409</v>
      </c>
      <c r="D420" t="e">
        <f>VLOOKUP(B420,'DS_Tong_12AS-AT-VH'!$T$9:$V$3025,3,0)</f>
        <v>#N/A</v>
      </c>
    </row>
    <row r="421" spans="1:5">
      <c r="A421" s="3">
        <v>420</v>
      </c>
      <c r="B421" t="s">
        <v>949</v>
      </c>
      <c r="C421" s="5" t="s">
        <v>409</v>
      </c>
      <c r="D421" t="e">
        <f>VLOOKUP(B421,'DS_Tong_12AS-AT-VH'!$T$9:$V$3025,3,0)</f>
        <v>#N/A</v>
      </c>
    </row>
    <row r="422" spans="1:5">
      <c r="A422" s="3">
        <v>421</v>
      </c>
      <c r="B422" t="s">
        <v>950</v>
      </c>
      <c r="C422" s="5" t="s">
        <v>409</v>
      </c>
      <c r="D422" t="e">
        <f>VLOOKUP(B422,'DS_Tong_12AS-AT-VH'!$T$9:$V$3025,3,0)</f>
        <v>#N/A</v>
      </c>
    </row>
    <row r="423" spans="1:5">
      <c r="A423" s="3">
        <v>422</v>
      </c>
      <c r="B423" t="s">
        <v>951</v>
      </c>
      <c r="C423" s="5" t="s">
        <v>409</v>
      </c>
      <c r="D423" t="e">
        <f>VLOOKUP(B423,'DS_Tong_12AS-AT-VH'!$T$9:$V$3025,3,0)</f>
        <v>#N/A</v>
      </c>
    </row>
    <row r="424" spans="1:5">
      <c r="A424" s="3">
        <v>423</v>
      </c>
      <c r="B424" t="s">
        <v>952</v>
      </c>
      <c r="C424" s="5" t="s">
        <v>409</v>
      </c>
      <c r="D424" t="e">
        <f>VLOOKUP(B424,'DS_Tong_12AS-AT-VH'!$T$9:$V$3025,3,0)</f>
        <v>#N/A</v>
      </c>
    </row>
    <row r="425" spans="1:5">
      <c r="A425" s="3">
        <v>424</v>
      </c>
      <c r="B425" t="s">
        <v>953</v>
      </c>
      <c r="C425" s="5" t="s">
        <v>409</v>
      </c>
      <c r="D425" t="e">
        <f>VLOOKUP(B425,'DS_Tong_12AS-AT-VH'!$T$9:$V$3025,3,0)</f>
        <v>#N/A</v>
      </c>
    </row>
    <row r="426" spans="1:5">
      <c r="A426" s="3">
        <v>425</v>
      </c>
      <c r="B426" t="s">
        <v>954</v>
      </c>
      <c r="C426" s="5" t="s">
        <v>409</v>
      </c>
      <c r="D426" t="e">
        <f>VLOOKUP(B426,'DS_Tong_12AS-AT-VH'!$T$9:$V$3025,3,0)</f>
        <v>#N/A</v>
      </c>
    </row>
    <row r="427" spans="1:5">
      <c r="A427" s="3">
        <v>426</v>
      </c>
      <c r="B427" s="142" t="s">
        <v>955</v>
      </c>
      <c r="C427" s="143" t="s">
        <v>409</v>
      </c>
      <c r="D427" s="142" t="e">
        <f>VLOOKUP(B427,'DS_Tong_12AS-AT-VH'!$T$9:$V$3025,3,0)</f>
        <v>#N/A</v>
      </c>
      <c r="E427" s="5" t="s">
        <v>529</v>
      </c>
    </row>
    <row r="428" spans="1:5">
      <c r="A428" s="3">
        <v>427</v>
      </c>
      <c r="B428" t="s">
        <v>956</v>
      </c>
      <c r="C428" s="5" t="s">
        <v>409</v>
      </c>
      <c r="D428" t="e">
        <f>VLOOKUP(B428,'DS_Tong_12AS-AT-VH'!$T$9:$V$3025,3,0)</f>
        <v>#N/A</v>
      </c>
    </row>
    <row r="429" spans="1:5">
      <c r="A429" s="3">
        <v>428</v>
      </c>
      <c r="B429" t="s">
        <v>957</v>
      </c>
      <c r="C429" s="5" t="s">
        <v>409</v>
      </c>
      <c r="D429" t="e">
        <f>VLOOKUP(B429,'DS_Tong_12AS-AT-VH'!$T$9:$V$3025,3,0)</f>
        <v>#N/A</v>
      </c>
    </row>
    <row r="430" spans="1:5">
      <c r="A430" s="3">
        <v>429</v>
      </c>
      <c r="B430" t="s">
        <v>958</v>
      </c>
      <c r="C430" s="5" t="s">
        <v>409</v>
      </c>
      <c r="D430" t="e">
        <f>VLOOKUP(B430,'DS_Tong_12AS-AT-VH'!$T$9:$V$3025,3,0)</f>
        <v>#N/A</v>
      </c>
    </row>
    <row r="431" spans="1:5">
      <c r="A431" s="3">
        <v>430</v>
      </c>
      <c r="B431" t="s">
        <v>959</v>
      </c>
      <c r="C431" s="5" t="s">
        <v>409</v>
      </c>
      <c r="D431" t="e">
        <f>VLOOKUP(B431,'DS_Tong_12AS-AT-VH'!$T$9:$V$3025,3,0)</f>
        <v>#N/A</v>
      </c>
    </row>
    <row r="432" spans="1:5">
      <c r="A432" s="3">
        <v>431</v>
      </c>
      <c r="B432" t="s">
        <v>960</v>
      </c>
      <c r="C432" s="5" t="s">
        <v>409</v>
      </c>
      <c r="D432" t="e">
        <f>VLOOKUP(B432,'DS_Tong_12AS-AT-VH'!$T$9:$V$3025,3,0)</f>
        <v>#N/A</v>
      </c>
    </row>
    <row r="433" spans="1:5">
      <c r="A433" s="3">
        <v>432</v>
      </c>
      <c r="B433" s="142" t="s">
        <v>961</v>
      </c>
      <c r="C433" s="143" t="s">
        <v>409</v>
      </c>
      <c r="D433" s="142" t="e">
        <f>VLOOKUP(B433,'DS_Tong_12AS-AT-VH'!$T$9:$V$3025,3,0)</f>
        <v>#N/A</v>
      </c>
    </row>
    <row r="434" spans="1:5">
      <c r="A434" s="3">
        <v>433</v>
      </c>
      <c r="B434" t="s">
        <v>962</v>
      </c>
      <c r="C434" s="5" t="s">
        <v>409</v>
      </c>
      <c r="D434" t="e">
        <f>VLOOKUP(B434,'DS_Tong_12AS-AT-VH'!$T$9:$V$3025,3,0)</f>
        <v>#N/A</v>
      </c>
    </row>
    <row r="435" spans="1:5">
      <c r="A435" s="3">
        <v>434</v>
      </c>
      <c r="B435" t="s">
        <v>963</v>
      </c>
      <c r="C435" s="5" t="s">
        <v>409</v>
      </c>
      <c r="D435" t="e">
        <f>VLOOKUP(B435,'DS_Tong_12AS-AT-VH'!$T$9:$V$3025,3,0)</f>
        <v>#N/A</v>
      </c>
    </row>
    <row r="436" spans="1:5">
      <c r="A436" s="3">
        <v>435</v>
      </c>
      <c r="B436" s="142" t="s">
        <v>964</v>
      </c>
      <c r="C436" s="143" t="s">
        <v>409</v>
      </c>
      <c r="D436" s="142" t="e">
        <f>VLOOKUP(B436,'DS_Tong_12AS-AT-VH'!$T$9:$V$3025,3,0)</f>
        <v>#N/A</v>
      </c>
      <c r="E436" s="5" t="s">
        <v>529</v>
      </c>
    </row>
    <row r="437" spans="1:5">
      <c r="A437" s="3">
        <v>436</v>
      </c>
      <c r="B437" t="s">
        <v>965</v>
      </c>
      <c r="C437" s="5" t="s">
        <v>409</v>
      </c>
      <c r="D437" t="e">
        <f>VLOOKUP(B437,'DS_Tong_12AS-AT-VH'!$T$9:$V$3025,3,0)</f>
        <v>#N/A</v>
      </c>
    </row>
    <row r="438" spans="1:5">
      <c r="A438" s="3">
        <v>437</v>
      </c>
      <c r="B438" t="s">
        <v>966</v>
      </c>
      <c r="C438" s="5" t="s">
        <v>409</v>
      </c>
      <c r="D438" t="e">
        <f>VLOOKUP(B438,'DS_Tong_12AS-AT-VH'!$T$9:$V$3025,3,0)</f>
        <v>#N/A</v>
      </c>
    </row>
    <row r="439" spans="1:5">
      <c r="A439" s="3">
        <v>438</v>
      </c>
      <c r="B439" t="s">
        <v>967</v>
      </c>
      <c r="C439" s="5" t="s">
        <v>409</v>
      </c>
      <c r="D439" t="e">
        <f>VLOOKUP(B439,'DS_Tong_12AS-AT-VH'!$T$9:$V$3025,3,0)</f>
        <v>#N/A</v>
      </c>
    </row>
    <row r="440" spans="1:5">
      <c r="A440" s="3">
        <v>439</v>
      </c>
      <c r="B440" t="s">
        <v>968</v>
      </c>
      <c r="C440" s="5" t="s">
        <v>409</v>
      </c>
      <c r="D440" t="e">
        <f>VLOOKUP(B440,'DS_Tong_12AS-AT-VH'!$T$9:$V$3025,3,0)</f>
        <v>#N/A</v>
      </c>
    </row>
    <row r="441" spans="1:5">
      <c r="A441" s="3">
        <v>440</v>
      </c>
      <c r="B441" t="s">
        <v>969</v>
      </c>
      <c r="C441" s="5" t="s">
        <v>409</v>
      </c>
      <c r="D441" t="e">
        <f>VLOOKUP(B441,'DS_Tong_12AS-AT-VH'!$T$9:$V$3025,3,0)</f>
        <v>#N/A</v>
      </c>
    </row>
    <row r="442" spans="1:5">
      <c r="A442" s="3">
        <v>441</v>
      </c>
      <c r="B442" s="142" t="s">
        <v>970</v>
      </c>
      <c r="C442" s="143" t="s">
        <v>409</v>
      </c>
      <c r="D442" s="142" t="e">
        <f>VLOOKUP(B442,'DS_Tong_12AS-AT-VH'!$T$9:$V$3025,3,0)</f>
        <v>#N/A</v>
      </c>
    </row>
    <row r="443" spans="1:5">
      <c r="A443" s="3">
        <v>442</v>
      </c>
      <c r="B443" t="s">
        <v>971</v>
      </c>
      <c r="C443" s="5" t="s">
        <v>409</v>
      </c>
      <c r="D443" t="e">
        <f>VLOOKUP(B443,'DS_Tong_12AS-AT-VH'!$T$9:$V$3025,3,0)</f>
        <v>#N/A</v>
      </c>
    </row>
    <row r="444" spans="1:5">
      <c r="A444" s="3">
        <v>443</v>
      </c>
      <c r="B444" t="s">
        <v>972</v>
      </c>
      <c r="C444" s="5" t="s">
        <v>409</v>
      </c>
      <c r="D444" t="e">
        <f>VLOOKUP(B444,'DS_Tong_12AS-AT-VH'!$T$9:$V$3025,3,0)</f>
        <v>#N/A</v>
      </c>
    </row>
    <row r="445" spans="1:5">
      <c r="A445" s="3">
        <v>444</v>
      </c>
      <c r="B445" t="s">
        <v>973</v>
      </c>
      <c r="C445" s="5" t="s">
        <v>409</v>
      </c>
      <c r="D445" t="e">
        <f>VLOOKUP(B445,'DS_Tong_12AS-AT-VH'!$T$9:$V$3025,3,0)</f>
        <v>#N/A</v>
      </c>
    </row>
    <row r="446" spans="1:5">
      <c r="A446" s="3">
        <v>445</v>
      </c>
      <c r="B446" t="s">
        <v>974</v>
      </c>
      <c r="C446" s="5" t="s">
        <v>409</v>
      </c>
      <c r="D446" t="e">
        <f>VLOOKUP(B446,'DS_Tong_12AS-AT-VH'!$T$9:$V$3025,3,0)</f>
        <v>#N/A</v>
      </c>
    </row>
    <row r="447" spans="1:5">
      <c r="A447" s="3">
        <v>446</v>
      </c>
      <c r="B447" t="s">
        <v>975</v>
      </c>
      <c r="C447" s="5" t="s">
        <v>409</v>
      </c>
      <c r="D447" t="e">
        <f>VLOOKUP(B447,'DS_Tong_12AS-AT-VH'!$T$9:$V$3025,3,0)</f>
        <v>#N/A</v>
      </c>
    </row>
    <row r="448" spans="1:5">
      <c r="A448" s="3">
        <v>447</v>
      </c>
      <c r="B448" t="s">
        <v>976</v>
      </c>
      <c r="C448" s="5" t="s">
        <v>409</v>
      </c>
      <c r="D448" t="e">
        <f>VLOOKUP(B448,'DS_Tong_12AS-AT-VH'!$T$9:$V$3025,3,0)</f>
        <v>#N/A</v>
      </c>
    </row>
    <row r="449" spans="1:5">
      <c r="A449" s="3">
        <v>448</v>
      </c>
      <c r="B449" t="s">
        <v>977</v>
      </c>
      <c r="C449" s="5" t="s">
        <v>409</v>
      </c>
      <c r="D449" t="e">
        <f>VLOOKUP(B449,'DS_Tong_12AS-AT-VH'!$T$9:$V$3025,3,0)</f>
        <v>#N/A</v>
      </c>
    </row>
    <row r="450" spans="1:5">
      <c r="A450" s="3">
        <v>449</v>
      </c>
      <c r="B450" t="s">
        <v>978</v>
      </c>
      <c r="C450" s="5" t="s">
        <v>409</v>
      </c>
      <c r="D450" t="e">
        <f>VLOOKUP(B450,'DS_Tong_12AS-AT-VH'!$T$9:$V$3025,3,0)</f>
        <v>#N/A</v>
      </c>
    </row>
    <row r="451" spans="1:5">
      <c r="A451" s="3">
        <v>450</v>
      </c>
      <c r="B451" t="s">
        <v>979</v>
      </c>
      <c r="C451" s="5" t="s">
        <v>409</v>
      </c>
      <c r="D451" t="e">
        <f>VLOOKUP(B451,'DS_Tong_12AS-AT-VH'!$T$9:$V$3025,3,0)</f>
        <v>#N/A</v>
      </c>
    </row>
    <row r="452" spans="1:5">
      <c r="A452" s="3">
        <v>451</v>
      </c>
      <c r="B452" t="s">
        <v>980</v>
      </c>
      <c r="C452" s="5" t="s">
        <v>409</v>
      </c>
      <c r="D452" t="e">
        <f>VLOOKUP(B452,'DS_Tong_12AS-AT-VH'!$T$9:$V$3025,3,0)</f>
        <v>#N/A</v>
      </c>
    </row>
    <row r="453" spans="1:5">
      <c r="A453" s="3">
        <v>452</v>
      </c>
      <c r="B453" t="s">
        <v>981</v>
      </c>
      <c r="C453" s="5" t="s">
        <v>409</v>
      </c>
      <c r="D453" t="e">
        <f>VLOOKUP(B453,'DS_Tong_12AS-AT-VH'!$T$9:$V$3025,3,0)</f>
        <v>#N/A</v>
      </c>
    </row>
    <row r="454" spans="1:5">
      <c r="A454" s="3">
        <v>453</v>
      </c>
      <c r="B454" t="s">
        <v>982</v>
      </c>
      <c r="C454" s="5" t="s">
        <v>409</v>
      </c>
      <c r="D454" t="e">
        <f>VLOOKUP(B454,'DS_Tong_12AS-AT-VH'!$T$9:$V$3025,3,0)</f>
        <v>#N/A</v>
      </c>
    </row>
    <row r="455" spans="1:5">
      <c r="A455" s="3">
        <v>454</v>
      </c>
      <c r="B455" t="s">
        <v>983</v>
      </c>
      <c r="C455" s="5" t="s">
        <v>409</v>
      </c>
      <c r="D455" t="e">
        <f>VLOOKUP(B455,'DS_Tong_12AS-AT-VH'!$T$9:$V$3025,3,0)</f>
        <v>#N/A</v>
      </c>
    </row>
    <row r="456" spans="1:5">
      <c r="A456" s="3">
        <v>455</v>
      </c>
      <c r="B456" t="s">
        <v>984</v>
      </c>
      <c r="C456" s="5" t="s">
        <v>409</v>
      </c>
      <c r="D456" t="e">
        <f>VLOOKUP(B456,'DS_Tong_12AS-AT-VH'!$T$9:$V$3025,3,0)</f>
        <v>#N/A</v>
      </c>
    </row>
    <row r="457" spans="1:5">
      <c r="A457" s="3">
        <v>456</v>
      </c>
      <c r="B457" t="s">
        <v>985</v>
      </c>
      <c r="C457" s="5" t="s">
        <v>409</v>
      </c>
      <c r="D457" t="e">
        <f>VLOOKUP(B457,'DS_Tong_12AS-AT-VH'!$T$9:$V$3025,3,0)</f>
        <v>#N/A</v>
      </c>
    </row>
    <row r="458" spans="1:5">
      <c r="A458" s="3">
        <v>457</v>
      </c>
      <c r="B458" t="s">
        <v>986</v>
      </c>
      <c r="C458" s="5" t="s">
        <v>409</v>
      </c>
      <c r="D458" t="e">
        <f>VLOOKUP(B458,'DS_Tong_12AS-AT-VH'!$T$9:$V$3025,3,0)</f>
        <v>#N/A</v>
      </c>
    </row>
    <row r="459" spans="1:5">
      <c r="A459" s="3">
        <v>458</v>
      </c>
      <c r="B459" t="s">
        <v>987</v>
      </c>
      <c r="C459" s="5" t="s">
        <v>409</v>
      </c>
      <c r="D459" t="e">
        <f>VLOOKUP(B459,'DS_Tong_12AS-AT-VH'!$T$9:$V$3025,3,0)</f>
        <v>#N/A</v>
      </c>
    </row>
    <row r="460" spans="1:5">
      <c r="A460" s="3">
        <v>459</v>
      </c>
      <c r="B460" s="142" t="s">
        <v>988</v>
      </c>
      <c r="C460" s="143" t="s">
        <v>409</v>
      </c>
      <c r="D460" s="142" t="e">
        <f>VLOOKUP(B460,'DS_Tong_12AS-AT-VH'!$T$9:$V$3025,3,0)</f>
        <v>#N/A</v>
      </c>
      <c r="E460" s="5" t="s">
        <v>529</v>
      </c>
    </row>
    <row r="461" spans="1:5">
      <c r="A461" s="3">
        <v>460</v>
      </c>
      <c r="B461" t="s">
        <v>989</v>
      </c>
      <c r="C461" s="5" t="s">
        <v>409</v>
      </c>
      <c r="D461" t="e">
        <f>VLOOKUP(B461,'DS_Tong_12AS-AT-VH'!$T$9:$V$3025,3,0)</f>
        <v>#N/A</v>
      </c>
    </row>
    <row r="462" spans="1:5">
      <c r="A462" s="3">
        <v>461</v>
      </c>
      <c r="B462" t="s">
        <v>990</v>
      </c>
      <c r="C462" s="5" t="s">
        <v>409</v>
      </c>
      <c r="D462" t="e">
        <f>VLOOKUP(B462,'DS_Tong_12AS-AT-VH'!$T$9:$V$3025,3,0)</f>
        <v>#N/A</v>
      </c>
    </row>
    <row r="463" spans="1:5">
      <c r="A463" s="3">
        <v>462</v>
      </c>
      <c r="B463" t="s">
        <v>991</v>
      </c>
      <c r="C463" s="5" t="s">
        <v>409</v>
      </c>
      <c r="D463" t="e">
        <f>VLOOKUP(B463,'DS_Tong_12AS-AT-VH'!$T$9:$V$3025,3,0)</f>
        <v>#N/A</v>
      </c>
    </row>
    <row r="464" spans="1:5">
      <c r="A464" s="3">
        <v>463</v>
      </c>
      <c r="B464" t="s">
        <v>992</v>
      </c>
      <c r="C464" s="5" t="s">
        <v>409</v>
      </c>
      <c r="D464" t="e">
        <f>VLOOKUP(B464,'DS_Tong_12AS-AT-VH'!$T$9:$V$3025,3,0)</f>
        <v>#N/A</v>
      </c>
    </row>
    <row r="465" spans="1:5">
      <c r="A465" s="3">
        <v>464</v>
      </c>
      <c r="B465" t="s">
        <v>993</v>
      </c>
      <c r="C465" s="5" t="s">
        <v>409</v>
      </c>
      <c r="D465" t="e">
        <f>VLOOKUP(B465,'DS_Tong_12AS-AT-VH'!$T$9:$V$3025,3,0)</f>
        <v>#N/A</v>
      </c>
    </row>
    <row r="466" spans="1:5">
      <c r="A466" s="3">
        <v>465</v>
      </c>
      <c r="B466" s="142" t="s">
        <v>994</v>
      </c>
      <c r="C466" s="143" t="s">
        <v>409</v>
      </c>
      <c r="D466" s="142" t="e">
        <f>VLOOKUP(B466,'DS_Tong_12AS-AT-VH'!$T$9:$V$3025,3,0)</f>
        <v>#N/A</v>
      </c>
    </row>
    <row r="467" spans="1:5">
      <c r="A467" s="3">
        <v>466</v>
      </c>
      <c r="B467" t="s">
        <v>995</v>
      </c>
      <c r="C467" s="5" t="s">
        <v>409</v>
      </c>
      <c r="D467" t="e">
        <f>VLOOKUP(B467,'DS_Tong_12AS-AT-VH'!$T$9:$V$3025,3,0)</f>
        <v>#N/A</v>
      </c>
    </row>
    <row r="468" spans="1:5">
      <c r="A468" s="3">
        <v>467</v>
      </c>
      <c r="B468" s="142" t="s">
        <v>996</v>
      </c>
      <c r="C468" s="143" t="s">
        <v>409</v>
      </c>
      <c r="D468" s="142" t="e">
        <f>VLOOKUP(B468,'DS_Tong_12AS-AT-VH'!$T$9:$V$3025,3,0)</f>
        <v>#N/A</v>
      </c>
      <c r="E468" s="5" t="s">
        <v>529</v>
      </c>
    </row>
    <row r="469" spans="1:5">
      <c r="A469" s="3">
        <v>468</v>
      </c>
      <c r="B469" t="s">
        <v>997</v>
      </c>
      <c r="C469" s="5" t="s">
        <v>409</v>
      </c>
      <c r="D469" t="e">
        <f>VLOOKUP(B469,'DS_Tong_12AS-AT-VH'!$T$9:$V$3025,3,0)</f>
        <v>#N/A</v>
      </c>
    </row>
    <row r="470" spans="1:5">
      <c r="A470" s="3">
        <v>469</v>
      </c>
      <c r="B470" t="s">
        <v>998</v>
      </c>
      <c r="C470" s="5" t="s">
        <v>409</v>
      </c>
      <c r="D470" t="e">
        <f>VLOOKUP(B470,'DS_Tong_12AS-AT-VH'!$T$9:$V$3025,3,0)</f>
        <v>#N/A</v>
      </c>
    </row>
    <row r="471" spans="1:5">
      <c r="A471" s="3">
        <v>470</v>
      </c>
      <c r="B471" t="s">
        <v>999</v>
      </c>
      <c r="C471" s="5" t="s">
        <v>409</v>
      </c>
      <c r="D471" t="e">
        <f>VLOOKUP(B471,'DS_Tong_12AS-AT-VH'!$T$9:$V$3025,3,0)</f>
        <v>#N/A</v>
      </c>
    </row>
    <row r="472" spans="1:5">
      <c r="A472" s="3">
        <v>471</v>
      </c>
      <c r="B472" t="s">
        <v>1000</v>
      </c>
      <c r="C472" s="5" t="s">
        <v>409</v>
      </c>
      <c r="D472" t="e">
        <f>VLOOKUP(B472,'DS_Tong_12AS-AT-VH'!$T$9:$V$3025,3,0)</f>
        <v>#N/A</v>
      </c>
    </row>
    <row r="473" spans="1:5">
      <c r="A473" s="3">
        <v>472</v>
      </c>
      <c r="B473" t="s">
        <v>1001</v>
      </c>
      <c r="C473" s="5" t="s">
        <v>409</v>
      </c>
      <c r="D473" t="e">
        <f>VLOOKUP(B473,'DS_Tong_12AS-AT-VH'!$T$9:$V$3025,3,0)</f>
        <v>#N/A</v>
      </c>
    </row>
    <row r="474" spans="1:5">
      <c r="A474" s="3">
        <v>473</v>
      </c>
      <c r="B474" s="142" t="s">
        <v>1002</v>
      </c>
      <c r="C474" s="143" t="s">
        <v>409</v>
      </c>
      <c r="D474" s="142" t="e">
        <f>VLOOKUP(B474,'DS_Tong_12AS-AT-VH'!$T$9:$V$3025,3,0)</f>
        <v>#N/A</v>
      </c>
    </row>
    <row r="475" spans="1:5">
      <c r="A475" s="3">
        <v>474</v>
      </c>
      <c r="B475" t="s">
        <v>1003</v>
      </c>
      <c r="C475" s="5" t="s">
        <v>409</v>
      </c>
      <c r="D475" t="e">
        <f>VLOOKUP(B475,'DS_Tong_12AS-AT-VH'!$T$9:$V$3025,3,0)</f>
        <v>#N/A</v>
      </c>
    </row>
    <row r="476" spans="1:5">
      <c r="A476" s="3">
        <v>475</v>
      </c>
      <c r="B476" t="s">
        <v>1004</v>
      </c>
      <c r="C476" s="5" t="s">
        <v>409</v>
      </c>
      <c r="D476" t="e">
        <f>VLOOKUP(B476,'DS_Tong_12AS-AT-VH'!$T$9:$V$3025,3,0)</f>
        <v>#N/A</v>
      </c>
    </row>
    <row r="477" spans="1:5">
      <c r="A477" s="3">
        <v>476</v>
      </c>
      <c r="B477" t="s">
        <v>1005</v>
      </c>
      <c r="C477" s="5" t="s">
        <v>409</v>
      </c>
      <c r="D477" t="e">
        <f>VLOOKUP(B477,'DS_Tong_12AS-AT-VH'!$T$9:$V$3025,3,0)</f>
        <v>#N/A</v>
      </c>
    </row>
    <row r="478" spans="1:5">
      <c r="A478" s="3">
        <v>477</v>
      </c>
      <c r="B478" t="s">
        <v>1006</v>
      </c>
      <c r="C478" s="5" t="s">
        <v>409</v>
      </c>
      <c r="D478" t="e">
        <f>VLOOKUP(B478,'DS_Tong_12AS-AT-VH'!$T$9:$V$3025,3,0)</f>
        <v>#N/A</v>
      </c>
    </row>
    <row r="479" spans="1:5">
      <c r="A479" s="3">
        <v>478</v>
      </c>
      <c r="B479" t="s">
        <v>1007</v>
      </c>
      <c r="C479" s="5" t="s">
        <v>409</v>
      </c>
      <c r="D479" t="e">
        <f>VLOOKUP(B479,'DS_Tong_12AS-AT-VH'!$T$9:$V$3025,3,0)</f>
        <v>#N/A</v>
      </c>
    </row>
    <row r="480" spans="1:5">
      <c r="A480" s="3">
        <v>479</v>
      </c>
      <c r="B480" t="s">
        <v>1008</v>
      </c>
      <c r="C480" s="5" t="s">
        <v>409</v>
      </c>
      <c r="D480" t="e">
        <f>VLOOKUP(B480,'DS_Tong_12AS-AT-VH'!$T$9:$V$3025,3,0)</f>
        <v>#N/A</v>
      </c>
    </row>
    <row r="481" spans="1:4">
      <c r="A481" s="3">
        <v>480</v>
      </c>
      <c r="B481" t="s">
        <v>1009</v>
      </c>
      <c r="C481" s="5" t="s">
        <v>409</v>
      </c>
      <c r="D481" t="e">
        <f>VLOOKUP(B481,'DS_Tong_12AS-AT-VH'!$T$9:$V$3025,3,0)</f>
        <v>#N/A</v>
      </c>
    </row>
    <row r="482" spans="1:4">
      <c r="A482" s="3">
        <v>481</v>
      </c>
      <c r="B482" t="s">
        <v>1010</v>
      </c>
      <c r="C482" s="5" t="s">
        <v>409</v>
      </c>
      <c r="D482" t="e">
        <f>VLOOKUP(B482,'DS_Tong_12AS-AT-VH'!$T$9:$V$3025,3,0)</f>
        <v>#N/A</v>
      </c>
    </row>
    <row r="483" spans="1:4">
      <c r="A483" s="3">
        <v>482</v>
      </c>
      <c r="B483" t="s">
        <v>1011</v>
      </c>
      <c r="C483" s="5" t="s">
        <v>409</v>
      </c>
      <c r="D483" t="e">
        <f>VLOOKUP(B483,'DS_Tong_12AS-AT-VH'!$T$9:$V$3025,3,0)</f>
        <v>#N/A</v>
      </c>
    </row>
    <row r="484" spans="1:4">
      <c r="A484" s="3">
        <v>483</v>
      </c>
      <c r="B484" t="s">
        <v>1012</v>
      </c>
      <c r="C484" s="5" t="s">
        <v>409</v>
      </c>
      <c r="D484" t="e">
        <f>VLOOKUP(B484,'DS_Tong_12AS-AT-VH'!$T$9:$V$3025,3,0)</f>
        <v>#N/A</v>
      </c>
    </row>
    <row r="485" spans="1:4">
      <c r="A485" s="3">
        <v>484</v>
      </c>
      <c r="B485" t="s">
        <v>1013</v>
      </c>
      <c r="C485" s="5" t="s">
        <v>409</v>
      </c>
      <c r="D485" t="e">
        <f>VLOOKUP(B485,'DS_Tong_12AS-AT-VH'!$T$9:$V$3025,3,0)</f>
        <v>#N/A</v>
      </c>
    </row>
    <row r="486" spans="1:4">
      <c r="A486" s="3">
        <v>485</v>
      </c>
      <c r="B486" t="s">
        <v>1014</v>
      </c>
      <c r="C486" s="5" t="s">
        <v>409</v>
      </c>
      <c r="D486" t="e">
        <f>VLOOKUP(B486,'DS_Tong_12AS-AT-VH'!$T$9:$V$3025,3,0)</f>
        <v>#N/A</v>
      </c>
    </row>
    <row r="487" spans="1:4">
      <c r="A487" s="3">
        <v>486</v>
      </c>
      <c r="B487" t="s">
        <v>1015</v>
      </c>
      <c r="C487" s="5" t="s">
        <v>409</v>
      </c>
      <c r="D487" t="e">
        <f>VLOOKUP(B487,'DS_Tong_12AS-AT-VH'!$T$9:$V$3025,3,0)</f>
        <v>#N/A</v>
      </c>
    </row>
    <row r="488" spans="1:4">
      <c r="A488" s="3">
        <v>487</v>
      </c>
      <c r="B488" t="s">
        <v>1016</v>
      </c>
      <c r="C488" s="5" t="s">
        <v>409</v>
      </c>
      <c r="D488" t="e">
        <f>VLOOKUP(B488,'DS_Tong_12AS-AT-VH'!$T$9:$V$3025,3,0)</f>
        <v>#N/A</v>
      </c>
    </row>
    <row r="489" spans="1:4">
      <c r="A489" s="3">
        <v>488</v>
      </c>
      <c r="B489" t="s">
        <v>1017</v>
      </c>
      <c r="C489" s="5" t="s">
        <v>409</v>
      </c>
      <c r="D489" t="e">
        <f>VLOOKUP(B489,'DS_Tong_12AS-AT-VH'!$T$9:$V$3025,3,0)</f>
        <v>#N/A</v>
      </c>
    </row>
    <row r="490" spans="1:4">
      <c r="A490" s="3">
        <v>489</v>
      </c>
      <c r="B490" t="s">
        <v>1018</v>
      </c>
      <c r="C490" s="5" t="s">
        <v>409</v>
      </c>
      <c r="D490" t="e">
        <f>VLOOKUP(B490,'DS_Tong_12AS-AT-VH'!$T$9:$V$3025,3,0)</f>
        <v>#N/A</v>
      </c>
    </row>
    <row r="491" spans="1:4">
      <c r="A491" s="3">
        <v>490</v>
      </c>
      <c r="B491" t="s">
        <v>1019</v>
      </c>
      <c r="C491" s="5" t="s">
        <v>409</v>
      </c>
      <c r="D491" t="e">
        <f>VLOOKUP(B491,'DS_Tong_12AS-AT-VH'!$T$9:$V$3025,3,0)</f>
        <v>#N/A</v>
      </c>
    </row>
    <row r="492" spans="1:4">
      <c r="A492" s="3">
        <v>491</v>
      </c>
      <c r="B492" t="s">
        <v>1020</v>
      </c>
      <c r="C492" s="5" t="s">
        <v>409</v>
      </c>
      <c r="D492" t="e">
        <f>VLOOKUP(B492,'DS_Tong_12AS-AT-VH'!$T$9:$V$3025,3,0)</f>
        <v>#N/A</v>
      </c>
    </row>
    <row r="493" spans="1:4">
      <c r="A493" s="3">
        <v>492</v>
      </c>
      <c r="B493" t="s">
        <v>1021</v>
      </c>
      <c r="C493" s="5" t="s">
        <v>409</v>
      </c>
      <c r="D493" t="e">
        <f>VLOOKUP(B493,'DS_Tong_12AS-AT-VH'!$T$9:$V$3025,3,0)</f>
        <v>#N/A</v>
      </c>
    </row>
    <row r="494" spans="1:4">
      <c r="A494" s="3">
        <v>493</v>
      </c>
      <c r="B494" t="s">
        <v>1022</v>
      </c>
      <c r="C494" s="5" t="s">
        <v>409</v>
      </c>
      <c r="D494" t="e">
        <f>VLOOKUP(B494,'DS_Tong_12AS-AT-VH'!$T$9:$V$3025,3,0)</f>
        <v>#N/A</v>
      </c>
    </row>
    <row r="495" spans="1:4">
      <c r="A495" s="3">
        <v>494</v>
      </c>
      <c r="B495" t="s">
        <v>1023</v>
      </c>
      <c r="C495" s="5" t="s">
        <v>409</v>
      </c>
      <c r="D495" t="e">
        <f>VLOOKUP(B495,'DS_Tong_12AS-AT-VH'!$T$9:$V$3025,3,0)</f>
        <v>#N/A</v>
      </c>
    </row>
    <row r="496" spans="1:4">
      <c r="A496" s="3">
        <v>495</v>
      </c>
      <c r="B496" t="s">
        <v>1024</v>
      </c>
      <c r="C496" s="5" t="s">
        <v>409</v>
      </c>
      <c r="D496" t="e">
        <f>VLOOKUP(B496,'DS_Tong_12AS-AT-VH'!$T$9:$V$3025,3,0)</f>
        <v>#N/A</v>
      </c>
    </row>
    <row r="497" spans="1:4">
      <c r="A497" s="3">
        <v>496</v>
      </c>
      <c r="B497" t="s">
        <v>1025</v>
      </c>
      <c r="C497" s="5" t="s">
        <v>409</v>
      </c>
      <c r="D497" t="e">
        <f>VLOOKUP(B497,'DS_Tong_12AS-AT-VH'!$T$9:$V$3025,3,0)</f>
        <v>#N/A</v>
      </c>
    </row>
    <row r="498" spans="1:4">
      <c r="A498" s="3">
        <v>497</v>
      </c>
      <c r="B498" t="s">
        <v>1026</v>
      </c>
      <c r="C498" s="5" t="s">
        <v>409</v>
      </c>
      <c r="D498" t="e">
        <f>VLOOKUP(B498,'DS_Tong_12AS-AT-VH'!$T$9:$V$3025,3,0)</f>
        <v>#N/A</v>
      </c>
    </row>
    <row r="499" spans="1:4">
      <c r="A499" s="3">
        <v>498</v>
      </c>
      <c r="B499" t="s">
        <v>1027</v>
      </c>
      <c r="C499" s="5" t="s">
        <v>409</v>
      </c>
      <c r="D499" t="e">
        <f>VLOOKUP(B499,'DS_Tong_12AS-AT-VH'!$T$9:$V$3025,3,0)</f>
        <v>#N/A</v>
      </c>
    </row>
    <row r="500" spans="1:4">
      <c r="A500" s="3">
        <v>499</v>
      </c>
      <c r="B500" t="s">
        <v>1028</v>
      </c>
      <c r="C500" s="5" t="s">
        <v>409</v>
      </c>
      <c r="D500" t="e">
        <f>VLOOKUP(B500,'DS_Tong_12AS-AT-VH'!$T$9:$V$3025,3,0)</f>
        <v>#N/A</v>
      </c>
    </row>
    <row r="501" spans="1:4">
      <c r="A501" s="3">
        <v>500</v>
      </c>
      <c r="B501" t="s">
        <v>1029</v>
      </c>
      <c r="C501" s="5" t="s">
        <v>409</v>
      </c>
      <c r="D501" t="e">
        <f>VLOOKUP(B501,'DS_Tong_12AS-AT-VH'!$T$9:$V$3025,3,0)</f>
        <v>#N/A</v>
      </c>
    </row>
    <row r="502" spans="1:4">
      <c r="A502" s="3">
        <v>501</v>
      </c>
      <c r="B502" t="s">
        <v>1030</v>
      </c>
      <c r="C502" s="5" t="s">
        <v>409</v>
      </c>
      <c r="D502" t="e">
        <f>VLOOKUP(B502,'DS_Tong_12AS-AT-VH'!$T$9:$V$3025,3,0)</f>
        <v>#N/A</v>
      </c>
    </row>
    <row r="503" spans="1:4">
      <c r="A503" s="3">
        <v>502</v>
      </c>
      <c r="B503" t="s">
        <v>1031</v>
      </c>
      <c r="C503" s="5" t="s">
        <v>409</v>
      </c>
      <c r="D503" t="e">
        <f>VLOOKUP(B503,'DS_Tong_12AS-AT-VH'!$T$9:$V$3025,3,0)</f>
        <v>#N/A</v>
      </c>
    </row>
    <row r="504" spans="1:4">
      <c r="A504" s="3">
        <v>503</v>
      </c>
      <c r="B504" t="s">
        <v>1032</v>
      </c>
      <c r="C504" s="5" t="s">
        <v>409</v>
      </c>
      <c r="D504" t="e">
        <f>VLOOKUP(B504,'DS_Tong_12AS-AT-VH'!$T$9:$V$3025,3,0)</f>
        <v>#N/A</v>
      </c>
    </row>
    <row r="505" spans="1:4">
      <c r="A505" s="3">
        <v>504</v>
      </c>
      <c r="B505" t="s">
        <v>1033</v>
      </c>
      <c r="C505" s="5" t="s">
        <v>409</v>
      </c>
      <c r="D505" t="e">
        <f>VLOOKUP(B505,'DS_Tong_12AS-AT-VH'!$T$9:$V$3025,3,0)</f>
        <v>#N/A</v>
      </c>
    </row>
    <row r="506" spans="1:4">
      <c r="A506" s="3">
        <v>505</v>
      </c>
      <c r="B506" t="s">
        <v>1034</v>
      </c>
      <c r="C506" s="5" t="s">
        <v>409</v>
      </c>
      <c r="D506" t="e">
        <f>VLOOKUP(B506,'DS_Tong_12AS-AT-VH'!$T$9:$V$3025,3,0)</f>
        <v>#N/A</v>
      </c>
    </row>
    <row r="507" spans="1:4">
      <c r="A507" s="3">
        <v>506</v>
      </c>
      <c r="B507" t="s">
        <v>1035</v>
      </c>
      <c r="C507" s="5" t="s">
        <v>409</v>
      </c>
      <c r="D507" t="e">
        <f>VLOOKUP(B507,'DS_Tong_12AS-AT-VH'!$T$9:$V$3025,3,0)</f>
        <v>#N/A</v>
      </c>
    </row>
    <row r="508" spans="1:4">
      <c r="C508" s="5"/>
    </row>
    <row r="509" spans="1:4">
      <c r="C509" s="5"/>
    </row>
    <row r="510" spans="1:4">
      <c r="C510" s="5"/>
    </row>
    <row r="511" spans="1:4">
      <c r="C511" s="5"/>
    </row>
    <row r="512" spans="1:4">
      <c r="C512" s="5"/>
    </row>
    <row r="513" spans="3:3">
      <c r="C513" s="5"/>
    </row>
    <row r="514" spans="3:3">
      <c r="C514" s="5"/>
    </row>
  </sheetData>
  <autoFilter ref="A1:E507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U165"/>
  <sheetViews>
    <sheetView topLeftCell="A98" workbookViewId="0">
      <selection activeCell="C30" sqref="C30"/>
    </sheetView>
  </sheetViews>
  <sheetFormatPr defaultColWidth="8.85546875" defaultRowHeight="12.75"/>
  <cols>
    <col min="1" max="1" width="7.7109375" customWidth="1"/>
    <col min="2" max="2" width="12.85546875" style="4" customWidth="1"/>
    <col min="3" max="3" width="15.42578125" style="3" customWidth="1"/>
    <col min="4" max="4" width="8" style="3" customWidth="1"/>
    <col min="5" max="5" width="7.42578125" style="153" customWidth="1"/>
    <col min="6" max="6" width="7.28515625" style="10" customWidth="1"/>
    <col min="7" max="7" width="9.7109375" style="3" customWidth="1"/>
    <col min="8" max="8" width="9.42578125" style="3" customWidth="1"/>
    <col min="9" max="9" width="14.140625" style="3" customWidth="1"/>
    <col min="10" max="10" width="16.28515625" style="3" customWidth="1"/>
    <col min="11" max="11" width="8.7109375" customWidth="1"/>
    <col min="12" max="12" width="7.140625" customWidth="1"/>
    <col min="13" max="13" width="9.140625" style="3" customWidth="1"/>
    <col min="14" max="14" width="9.140625" style="222" customWidth="1"/>
    <col min="15" max="15" width="9.140625" style="3" customWidth="1"/>
    <col min="16" max="16" width="9.42578125" customWidth="1"/>
    <col min="17" max="17" width="8.7109375" customWidth="1"/>
    <col min="18" max="18" width="11.140625" customWidth="1"/>
    <col min="19" max="19" width="20.42578125" customWidth="1"/>
    <col min="20" max="20" width="18.140625" customWidth="1"/>
    <col min="21" max="21" width="17.42578125" customWidth="1"/>
  </cols>
  <sheetData>
    <row r="1" spans="1:21">
      <c r="A1" s="57"/>
      <c r="B1" s="58"/>
      <c r="C1" s="58"/>
      <c r="D1" s="58"/>
      <c r="E1" s="152"/>
      <c r="F1" s="4"/>
      <c r="G1" s="58"/>
      <c r="H1" s="298"/>
      <c r="I1" s="298"/>
      <c r="J1" s="298"/>
      <c r="K1" s="57">
        <v>5</v>
      </c>
      <c r="L1" s="57">
        <v>6</v>
      </c>
      <c r="M1" s="58">
        <v>7</v>
      </c>
      <c r="N1" s="216">
        <v>8</v>
      </c>
      <c r="O1" s="58">
        <v>9</v>
      </c>
      <c r="P1" s="58">
        <v>10</v>
      </c>
      <c r="Q1" s="204"/>
      <c r="R1" s="205"/>
      <c r="S1" s="208"/>
      <c r="T1" s="208"/>
      <c r="U1" s="208"/>
    </row>
    <row r="2" spans="1:21" s="6" customFormat="1" ht="16.5" customHeight="1">
      <c r="A2" s="53"/>
      <c r="B2" s="41" t="s">
        <v>1041</v>
      </c>
      <c r="C2" s="6" t="str">
        <f>"LỚP "&amp;D2&amp;" -"</f>
        <v>LỚP 12AS -</v>
      </c>
      <c r="D2" s="261" t="s">
        <v>503</v>
      </c>
      <c r="E2" s="262" t="s">
        <v>1046</v>
      </c>
      <c r="F2" s="263"/>
      <c r="G2" s="264"/>
      <c r="H2" s="265" t="s">
        <v>1059</v>
      </c>
      <c r="I2" s="266" t="s">
        <v>1042</v>
      </c>
      <c r="J2" s="267" t="s">
        <v>1043</v>
      </c>
      <c r="K2" s="371" t="s">
        <v>416</v>
      </c>
      <c r="L2" s="371" t="s">
        <v>1094</v>
      </c>
      <c r="M2" s="41"/>
      <c r="N2" s="217"/>
      <c r="O2" s="54"/>
      <c r="P2" s="201"/>
      <c r="Q2" s="206"/>
      <c r="R2" s="207"/>
      <c r="S2" s="209"/>
      <c r="T2" s="209"/>
      <c r="U2" s="209"/>
    </row>
    <row r="3" spans="1:21" s="6" customFormat="1" ht="16.5" customHeight="1">
      <c r="A3" s="53"/>
      <c r="B3" s="41" t="s">
        <v>1040</v>
      </c>
      <c r="C3" s="6" t="str">
        <f t="shared" ref="C3:C13" si="0">"LỚP "&amp;D3&amp;" -"</f>
        <v>LỚP 12KT -</v>
      </c>
      <c r="D3" s="268" t="s">
        <v>1056</v>
      </c>
      <c r="E3" s="269" t="s">
        <v>1046</v>
      </c>
      <c r="F3" s="270"/>
      <c r="G3" s="271"/>
      <c r="H3" s="272" t="s">
        <v>1059</v>
      </c>
      <c r="I3" s="273" t="s">
        <v>1042</v>
      </c>
      <c r="J3" s="274" t="s">
        <v>1043</v>
      </c>
      <c r="K3" s="372"/>
      <c r="L3" s="372"/>
      <c r="M3" s="41">
        <v>2</v>
      </c>
      <c r="N3" s="218">
        <v>3</v>
      </c>
      <c r="O3" s="41">
        <v>4</v>
      </c>
      <c r="P3" s="202">
        <v>5</v>
      </c>
      <c r="Q3" s="206"/>
      <c r="R3" s="207"/>
      <c r="S3" s="209"/>
      <c r="T3" s="209"/>
      <c r="U3" s="209"/>
    </row>
    <row r="4" spans="1:21" s="6" customFormat="1" ht="15" customHeight="1">
      <c r="A4" s="49"/>
      <c r="B4" s="42"/>
      <c r="C4" s="6" t="str">
        <f t="shared" si="0"/>
        <v>LỚP 10VH -</v>
      </c>
      <c r="D4" s="268" t="s">
        <v>1057</v>
      </c>
      <c r="E4" s="269" t="s">
        <v>1046</v>
      </c>
      <c r="F4" s="270"/>
      <c r="G4" s="271"/>
      <c r="H4" s="275" t="s">
        <v>1061</v>
      </c>
      <c r="I4" s="273" t="s">
        <v>1042</v>
      </c>
      <c r="J4" s="274" t="s">
        <v>1043</v>
      </c>
      <c r="K4" s="49"/>
      <c r="L4" s="43"/>
      <c r="M4" s="369"/>
      <c r="N4" s="373"/>
      <c r="O4" s="369"/>
      <c r="P4" s="370"/>
      <c r="Q4" s="206"/>
      <c r="R4" s="207"/>
      <c r="S4" s="210"/>
      <c r="T4" s="209"/>
      <c r="U4" s="209"/>
    </row>
    <row r="5" spans="1:21" s="6" customFormat="1" ht="15" customHeight="1">
      <c r="A5" s="149"/>
      <c r="B5" s="11"/>
      <c r="C5" s="6" t="str">
        <f t="shared" si="0"/>
        <v>LỚP 10KT -</v>
      </c>
      <c r="D5" s="276" t="s">
        <v>1058</v>
      </c>
      <c r="E5" s="277" t="s">
        <v>1046</v>
      </c>
      <c r="F5" s="278"/>
      <c r="G5" s="279"/>
      <c r="H5" s="280" t="s">
        <v>1061</v>
      </c>
      <c r="I5" s="281" t="s">
        <v>1042</v>
      </c>
      <c r="J5" s="282" t="s">
        <v>1043</v>
      </c>
      <c r="K5" s="149"/>
      <c r="L5" s="12" t="s">
        <v>362</v>
      </c>
      <c r="M5" s="150" t="s">
        <v>361</v>
      </c>
      <c r="N5" s="219" t="s">
        <v>367</v>
      </c>
      <c r="O5" s="150" t="s">
        <v>360</v>
      </c>
      <c r="P5" s="203" t="s">
        <v>368</v>
      </c>
      <c r="Q5" s="206"/>
      <c r="R5" s="207"/>
      <c r="S5" s="210"/>
      <c r="T5" s="209"/>
      <c r="U5" s="209"/>
    </row>
    <row r="6" spans="1:21" s="6" customFormat="1" ht="15" customHeight="1">
      <c r="A6" s="149"/>
      <c r="B6" s="11"/>
      <c r="C6" s="6" t="str">
        <f t="shared" si="0"/>
        <v>LỚP 12AT -</v>
      </c>
      <c r="D6" s="261" t="s">
        <v>504</v>
      </c>
      <c r="E6" s="262" t="s">
        <v>1047</v>
      </c>
      <c r="F6" s="263"/>
      <c r="G6" s="264"/>
      <c r="H6" s="283" t="s">
        <v>1060</v>
      </c>
      <c r="I6" s="284" t="s">
        <v>1042</v>
      </c>
      <c r="J6" s="285" t="s">
        <v>1044</v>
      </c>
      <c r="K6" s="149"/>
      <c r="L6" s="12" t="s">
        <v>363</v>
      </c>
      <c r="M6" s="150" t="s">
        <v>361</v>
      </c>
      <c r="N6" s="219" t="s">
        <v>369</v>
      </c>
      <c r="O6" s="150" t="s">
        <v>360</v>
      </c>
      <c r="P6" s="203" t="s">
        <v>368</v>
      </c>
      <c r="Q6" s="206"/>
      <c r="R6" s="207"/>
      <c r="S6" s="211"/>
      <c r="T6" s="211"/>
      <c r="U6" s="211"/>
    </row>
    <row r="7" spans="1:21" s="6" customFormat="1" ht="15" customHeight="1">
      <c r="A7" s="149"/>
      <c r="B7" s="11"/>
      <c r="C7" s="6" t="str">
        <f t="shared" si="0"/>
        <v>LỚP 12VH -</v>
      </c>
      <c r="D7" s="268" t="s">
        <v>505</v>
      </c>
      <c r="E7" s="269" t="s">
        <v>1047</v>
      </c>
      <c r="F7" s="270"/>
      <c r="G7" s="271"/>
      <c r="H7" s="286" t="s">
        <v>1060</v>
      </c>
      <c r="I7" s="287" t="s">
        <v>1042</v>
      </c>
      <c r="J7" s="288" t="s">
        <v>1044</v>
      </c>
      <c r="K7" s="149"/>
      <c r="L7" s="12" t="s">
        <v>364</v>
      </c>
      <c r="M7" s="150" t="s">
        <v>361</v>
      </c>
      <c r="N7" s="219" t="s">
        <v>370</v>
      </c>
      <c r="O7" s="150" t="s">
        <v>360</v>
      </c>
      <c r="P7" s="203" t="s">
        <v>368</v>
      </c>
      <c r="Q7" s="206"/>
      <c r="R7" s="207"/>
      <c r="S7" s="211"/>
      <c r="T7" s="211"/>
      <c r="U7" s="211"/>
    </row>
    <row r="8" spans="1:21" s="6" customFormat="1" ht="15" customHeight="1">
      <c r="A8" s="149"/>
      <c r="B8" s="11"/>
      <c r="C8" s="6" t="str">
        <f t="shared" si="0"/>
        <v>LỚP 10AT -</v>
      </c>
      <c r="D8" s="268" t="s">
        <v>1062</v>
      </c>
      <c r="E8" s="269" t="s">
        <v>1047</v>
      </c>
      <c r="F8" s="270"/>
      <c r="G8" s="271"/>
      <c r="H8" s="286" t="s">
        <v>1060</v>
      </c>
      <c r="I8" s="287" t="s">
        <v>1042</v>
      </c>
      <c r="J8" s="288" t="s">
        <v>1044</v>
      </c>
      <c r="K8" s="149"/>
      <c r="L8" s="12" t="s">
        <v>366</v>
      </c>
      <c r="M8" s="150" t="s">
        <v>361</v>
      </c>
      <c r="N8" s="219" t="s">
        <v>367</v>
      </c>
      <c r="O8" s="150" t="s">
        <v>360</v>
      </c>
      <c r="P8" s="203" t="s">
        <v>368</v>
      </c>
      <c r="Q8" s="206"/>
      <c r="R8" s="207"/>
      <c r="S8" s="211"/>
      <c r="T8" s="211"/>
      <c r="U8" s="211"/>
    </row>
    <row r="9" spans="1:21" s="6" customFormat="1" ht="15" customHeight="1">
      <c r="A9" s="149"/>
      <c r="B9" s="11"/>
      <c r="C9" s="6" t="str">
        <f t="shared" si="0"/>
        <v>LỚP 11AT -</v>
      </c>
      <c r="D9" s="276" t="s">
        <v>1063</v>
      </c>
      <c r="E9" s="277" t="s">
        <v>1047</v>
      </c>
      <c r="F9" s="278"/>
      <c r="G9" s="279"/>
      <c r="H9" s="289" t="s">
        <v>1060</v>
      </c>
      <c r="I9" s="290" t="s">
        <v>1042</v>
      </c>
      <c r="J9" s="291" t="s">
        <v>1044</v>
      </c>
      <c r="K9" s="149"/>
      <c r="L9" s="12" t="s">
        <v>365</v>
      </c>
      <c r="M9" s="150" t="s">
        <v>361</v>
      </c>
      <c r="N9" s="219" t="s">
        <v>370</v>
      </c>
      <c r="O9" s="150" t="s">
        <v>360</v>
      </c>
      <c r="P9" s="203" t="s">
        <v>368</v>
      </c>
      <c r="Q9" s="206"/>
      <c r="R9" s="207"/>
      <c r="S9" s="211"/>
      <c r="T9" s="211"/>
      <c r="U9" s="211"/>
    </row>
    <row r="10" spans="1:21" s="6" customFormat="1" ht="15" customHeight="1">
      <c r="A10" s="149"/>
      <c r="B10" s="11"/>
      <c r="C10" s="6" t="str">
        <f t="shared" si="0"/>
        <v>LỚP 10AS -</v>
      </c>
      <c r="D10" s="261" t="s">
        <v>1064</v>
      </c>
      <c r="E10" s="262" t="s">
        <v>1039</v>
      </c>
      <c r="F10" s="263"/>
      <c r="G10" s="264"/>
      <c r="H10" s="265" t="s">
        <v>1059</v>
      </c>
      <c r="I10" s="292" t="s">
        <v>1044</v>
      </c>
      <c r="J10" s="293" t="s">
        <v>1045</v>
      </c>
      <c r="K10" s="149"/>
      <c r="L10" s="12" t="s">
        <v>366</v>
      </c>
      <c r="M10" s="150" t="s">
        <v>361</v>
      </c>
      <c r="N10" s="219" t="s">
        <v>412</v>
      </c>
      <c r="O10" s="150" t="s">
        <v>360</v>
      </c>
      <c r="P10" s="203" t="s">
        <v>368</v>
      </c>
      <c r="Q10" s="206"/>
      <c r="R10" s="207"/>
      <c r="S10" s="209"/>
      <c r="T10" s="212"/>
      <c r="U10" s="212"/>
    </row>
    <row r="11" spans="1:21" s="6" customFormat="1" ht="15" customHeight="1">
      <c r="A11" s="149"/>
      <c r="B11" s="11"/>
      <c r="C11" s="6" t="str">
        <f t="shared" si="0"/>
        <v>LỚP 11AS -</v>
      </c>
      <c r="D11" s="268" t="s">
        <v>1065</v>
      </c>
      <c r="E11" s="262" t="s">
        <v>1039</v>
      </c>
      <c r="F11" s="270"/>
      <c r="G11" s="271"/>
      <c r="H11" s="272" t="s">
        <v>1059</v>
      </c>
      <c r="I11" s="294" t="s">
        <v>1044</v>
      </c>
      <c r="J11" s="295" t="s">
        <v>1045</v>
      </c>
      <c r="K11" s="149"/>
      <c r="L11" s="12"/>
      <c r="M11" s="150"/>
      <c r="N11" s="219"/>
      <c r="O11" s="150"/>
      <c r="P11" s="203"/>
      <c r="Q11" s="206"/>
      <c r="R11" s="207"/>
      <c r="S11" s="209"/>
      <c r="T11" s="212"/>
      <c r="U11" s="212"/>
    </row>
    <row r="12" spans="1:21" s="6" customFormat="1" ht="15" customHeight="1">
      <c r="A12" s="149"/>
      <c r="B12" s="11"/>
      <c r="C12" s="6" t="str">
        <f t="shared" si="0"/>
        <v>LỚP 11VH -</v>
      </c>
      <c r="D12" s="268" t="s">
        <v>506</v>
      </c>
      <c r="E12" s="262" t="s">
        <v>1039</v>
      </c>
      <c r="F12" s="270"/>
      <c r="G12" s="271"/>
      <c r="H12" s="275" t="s">
        <v>1061</v>
      </c>
      <c r="I12" s="294" t="s">
        <v>1044</v>
      </c>
      <c r="J12" s="295" t="s">
        <v>1045</v>
      </c>
      <c r="K12" s="149"/>
      <c r="L12" s="12"/>
      <c r="M12" s="150"/>
      <c r="N12" s="219"/>
      <c r="O12" s="150"/>
      <c r="P12" s="203"/>
      <c r="Q12" s="206"/>
      <c r="R12" s="207"/>
      <c r="S12" s="210"/>
      <c r="T12" s="212"/>
      <c r="U12" s="212"/>
    </row>
    <row r="13" spans="1:21" s="6" customFormat="1" ht="15" customHeight="1">
      <c r="A13" s="149"/>
      <c r="B13" s="11"/>
      <c r="C13" s="6" t="str">
        <f t="shared" si="0"/>
        <v>LỚP 11KT -</v>
      </c>
      <c r="D13" s="276" t="s">
        <v>1066</v>
      </c>
      <c r="E13" s="262" t="s">
        <v>1039</v>
      </c>
      <c r="F13" s="278"/>
      <c r="G13" s="279"/>
      <c r="H13" s="280" t="s">
        <v>1061</v>
      </c>
      <c r="I13" s="296" t="s">
        <v>1044</v>
      </c>
      <c r="J13" s="297" t="s">
        <v>1045</v>
      </c>
      <c r="K13" s="149"/>
      <c r="L13" s="12"/>
      <c r="M13" s="150"/>
      <c r="N13" s="219"/>
      <c r="O13" s="150"/>
      <c r="P13" s="203"/>
      <c r="Q13" s="206"/>
      <c r="R13" s="207"/>
      <c r="S13" s="210"/>
      <c r="T13" s="212"/>
      <c r="U13" s="212"/>
    </row>
    <row r="14" spans="1:21" s="6" customFormat="1" ht="15" customHeight="1">
      <c r="A14" s="303" t="s">
        <v>2137</v>
      </c>
      <c r="B14" s="303" t="s">
        <v>2138</v>
      </c>
      <c r="C14" s="303" t="s">
        <v>2139</v>
      </c>
      <c r="D14" s="303" t="s">
        <v>2140</v>
      </c>
      <c r="E14" s="303" t="s">
        <v>2141</v>
      </c>
      <c r="F14" s="303" t="s">
        <v>2142</v>
      </c>
      <c r="G14" s="303" t="s">
        <v>2143</v>
      </c>
      <c r="H14" s="303" t="s">
        <v>2144</v>
      </c>
      <c r="I14" s="303" t="s">
        <v>2145</v>
      </c>
      <c r="J14" s="303" t="s">
        <v>2146</v>
      </c>
      <c r="K14" s="303" t="s">
        <v>2147</v>
      </c>
      <c r="L14" s="303" t="s">
        <v>2148</v>
      </c>
      <c r="M14" s="303" t="s">
        <v>2149</v>
      </c>
      <c r="N14" s="303" t="s">
        <v>2150</v>
      </c>
      <c r="O14" s="303" t="s">
        <v>2151</v>
      </c>
      <c r="P14" s="303" t="s">
        <v>2152</v>
      </c>
      <c r="Q14" s="303" t="s">
        <v>2153</v>
      </c>
      <c r="R14" s="303" t="s">
        <v>2154</v>
      </c>
      <c r="S14" s="303" t="s">
        <v>2155</v>
      </c>
      <c r="T14" s="303" t="s">
        <v>2156</v>
      </c>
      <c r="U14"/>
    </row>
    <row r="15" spans="1:21" s="6" customFormat="1" ht="15" customHeight="1">
      <c r="A15" s="311" t="s">
        <v>2158</v>
      </c>
      <c r="B15" s="374" t="s">
        <v>2125</v>
      </c>
      <c r="C15" s="375"/>
      <c r="D15" s="375"/>
      <c r="E15" s="375"/>
      <c r="F15" s="368" t="s">
        <v>2126</v>
      </c>
      <c r="G15" s="368"/>
      <c r="H15" s="368"/>
      <c r="I15" s="368"/>
      <c r="J15" s="376"/>
      <c r="K15" s="149"/>
      <c r="L15" s="12"/>
      <c r="M15" s="150"/>
      <c r="N15" s="219"/>
      <c r="O15" s="150"/>
      <c r="P15" s="203"/>
      <c r="Q15" s="368" t="s">
        <v>2126</v>
      </c>
      <c r="R15" s="368"/>
      <c r="S15" s="299"/>
      <c r="T15" s="8"/>
      <c r="U15"/>
    </row>
    <row r="16" spans="1:21" s="6" customFormat="1" ht="15" customHeight="1">
      <c r="A16" s="304"/>
      <c r="B16" s="223" t="s">
        <v>1067</v>
      </c>
      <c r="C16" s="224" t="s">
        <v>1104</v>
      </c>
      <c r="D16" s="225">
        <v>382</v>
      </c>
      <c r="E16" s="226"/>
      <c r="F16" s="172"/>
      <c r="G16" s="173"/>
      <c r="H16" s="173"/>
      <c r="I16" s="173"/>
      <c r="J16" s="173"/>
      <c r="K16" s="171"/>
      <c r="L16" s="174"/>
      <c r="M16" s="175"/>
      <c r="N16" s="220"/>
      <c r="O16" s="175"/>
      <c r="P16" s="176"/>
      <c r="Q16" s="7"/>
      <c r="R16" s="7"/>
      <c r="S16" s="213"/>
      <c r="T16" s="8"/>
      <c r="U16"/>
    </row>
    <row r="17" spans="1:21" s="6" customFormat="1" ht="30" customHeight="1">
      <c r="A17" s="305"/>
      <c r="B17" s="227" t="s">
        <v>1068</v>
      </c>
      <c r="C17" s="228"/>
      <c r="D17" s="229">
        <v>93</v>
      </c>
      <c r="E17" s="230"/>
      <c r="F17" s="55"/>
      <c r="G17" s="56"/>
      <c r="H17" s="56"/>
      <c r="I17" s="56"/>
      <c r="J17" s="56"/>
      <c r="K17" s="51">
        <f>SUM(K18:K21)</f>
        <v>93</v>
      </c>
      <c r="L17" s="52">
        <f>SUM(L18:L21)</f>
        <v>0</v>
      </c>
      <c r="M17" s="50" t="str">
        <f>VLOOKUP($G18,$L$5:$P$10,M$3,0)</f>
        <v>VĂN</v>
      </c>
      <c r="N17" s="167" t="str">
        <f>VLOOKUP($G18,$L$5:$P$10,N$3,0)</f>
        <v>HÓA</v>
      </c>
      <c r="O17" s="50" t="str">
        <f>VLOOKUP($G18,$L$5:$P$10,O$3,0)</f>
        <v>TOÁN</v>
      </c>
      <c r="P17" s="50" t="str">
        <f>VLOOKUP($G18,$L$5:$P$10,P$3,0)</f>
        <v>SỬ</v>
      </c>
      <c r="Q17" s="7"/>
      <c r="R17" s="7"/>
      <c r="S17" s="7"/>
      <c r="T17" s="8"/>
      <c r="U17"/>
    </row>
    <row r="18" spans="1:21" s="6" customFormat="1" ht="15" customHeight="1">
      <c r="A18" s="319">
        <f>IF(F18="","",SUBTOTAL(3,$F$18:F18))</f>
        <v>1</v>
      </c>
      <c r="B18" s="231">
        <v>1</v>
      </c>
      <c r="C18" s="232" t="s">
        <v>371</v>
      </c>
      <c r="D18" s="233">
        <v>24</v>
      </c>
      <c r="E18" s="234"/>
      <c r="F18" s="156" t="str">
        <f>C18&amp;".S"</f>
        <v>1A.S</v>
      </c>
      <c r="G18" s="157" t="s">
        <v>363</v>
      </c>
      <c r="H18" s="157" t="s">
        <v>1064</v>
      </c>
      <c r="I18" s="158" t="str">
        <f>VLOOKUP($H18,$D$2:$J$13,6,0)</f>
        <v>Thứ Ba (23/12)</v>
      </c>
      <c r="J18" s="158" t="str">
        <f>VLOOKUP($H18,$D$2:$J$13,7,0)</f>
        <v>Thứ Năm (25/12)</v>
      </c>
      <c r="K18" s="168">
        <f>COUNTIF('DS_Tong_12AS-AT-VH'!$B$9:$B$426,F18)</f>
        <v>24</v>
      </c>
      <c r="L18" s="146">
        <f>D18-K18</f>
        <v>0</v>
      </c>
      <c r="M18" s="214" t="str">
        <f t="shared" ref="M18:P21" si="1">VLOOKUP($G18,$L$5:$P$9,M$3,0)</f>
        <v>VĂN</v>
      </c>
      <c r="N18" s="221" t="str">
        <f t="shared" si="1"/>
        <v>HÓA</v>
      </c>
      <c r="O18" s="214" t="str">
        <f t="shared" si="1"/>
        <v>TOÁN</v>
      </c>
      <c r="P18" s="214" t="str">
        <f t="shared" si="1"/>
        <v>SỬ</v>
      </c>
      <c r="Q18" s="7">
        <v>100001</v>
      </c>
      <c r="R18" s="7">
        <f>Q18+K18-1</f>
        <v>100024</v>
      </c>
      <c r="S18" s="300" t="s">
        <v>1068</v>
      </c>
      <c r="T18" s="8" t="str">
        <f>VLOOKUP($H18,$D$2:$G$13,2,0)</f>
        <v>NGÀY THI: 23+25/12/2025</v>
      </c>
      <c r="U18"/>
    </row>
    <row r="19" spans="1:21" s="6" customFormat="1" ht="15" customHeight="1">
      <c r="A19" s="319">
        <f>IF(F19="","",SUBTOTAL(3,$F$18:F19))</f>
        <v>2</v>
      </c>
      <c r="B19" s="235">
        <v>2</v>
      </c>
      <c r="C19" s="236" t="s">
        <v>372</v>
      </c>
      <c r="D19" s="237">
        <v>23</v>
      </c>
      <c r="E19" s="234"/>
      <c r="F19" s="156" t="str">
        <f t="shared" ref="F19:F33" si="2">C19&amp;".S"</f>
        <v>2A.S</v>
      </c>
      <c r="G19" s="157" t="s">
        <v>363</v>
      </c>
      <c r="H19" s="159" t="s">
        <v>1064</v>
      </c>
      <c r="I19" s="158" t="str">
        <f>VLOOKUP($H19,$D$2:$J$13,6,0)</f>
        <v>Thứ Ba (23/12)</v>
      </c>
      <c r="J19" s="158" t="str">
        <f>VLOOKUP($H19,$D$2:$J$13,7,0)</f>
        <v>Thứ Năm (25/12)</v>
      </c>
      <c r="K19" s="169">
        <f>COUNTIF('DS_Tong_12AS-AT-VH'!$B$9:$B$426,F19)</f>
        <v>23</v>
      </c>
      <c r="L19" s="146">
        <f>D19-K19</f>
        <v>0</v>
      </c>
      <c r="M19" s="214" t="str">
        <f t="shared" si="1"/>
        <v>VĂN</v>
      </c>
      <c r="N19" s="221" t="str">
        <f t="shared" si="1"/>
        <v>HÓA</v>
      </c>
      <c r="O19" s="214" t="str">
        <f t="shared" si="1"/>
        <v>TOÁN</v>
      </c>
      <c r="P19" s="214" t="str">
        <f t="shared" si="1"/>
        <v>SỬ</v>
      </c>
      <c r="Q19" s="7">
        <f>Q18+K18</f>
        <v>100025</v>
      </c>
      <c r="R19" s="7">
        <f>Q19+K19-1</f>
        <v>100047</v>
      </c>
      <c r="S19" s="300" t="s">
        <v>1068</v>
      </c>
      <c r="T19" s="8" t="str">
        <f t="shared" ref="T19:T82" si="3">VLOOKUP($H19,$D$2:$G$13,2,0)</f>
        <v>NGÀY THI: 23+25/12/2025</v>
      </c>
      <c r="U19"/>
    </row>
    <row r="20" spans="1:21" s="6" customFormat="1" ht="15" customHeight="1">
      <c r="A20" s="319">
        <f>IF(F20="","",SUBTOTAL(3,$F$18:F20))</f>
        <v>3</v>
      </c>
      <c r="B20" s="235">
        <v>3</v>
      </c>
      <c r="C20" s="236" t="s">
        <v>373</v>
      </c>
      <c r="D20" s="237">
        <v>23</v>
      </c>
      <c r="E20" s="234"/>
      <c r="F20" s="156" t="str">
        <f t="shared" si="2"/>
        <v>3A.S</v>
      </c>
      <c r="G20" s="157" t="s">
        <v>363</v>
      </c>
      <c r="H20" s="159" t="s">
        <v>1064</v>
      </c>
      <c r="I20" s="158" t="str">
        <f>VLOOKUP($H20,$D$2:$J$13,6,0)</f>
        <v>Thứ Ba (23/12)</v>
      </c>
      <c r="J20" s="158" t="str">
        <f>VLOOKUP($H20,$D$2:$J$13,7,0)</f>
        <v>Thứ Năm (25/12)</v>
      </c>
      <c r="K20" s="169">
        <f>COUNTIF('DS_Tong_12AS-AT-VH'!$B$9:$B$426,F20)</f>
        <v>23</v>
      </c>
      <c r="L20" s="146">
        <f>D20-K20</f>
        <v>0</v>
      </c>
      <c r="M20" s="214" t="str">
        <f t="shared" si="1"/>
        <v>VĂN</v>
      </c>
      <c r="N20" s="221" t="str">
        <f t="shared" si="1"/>
        <v>HÓA</v>
      </c>
      <c r="O20" s="214" t="str">
        <f t="shared" si="1"/>
        <v>TOÁN</v>
      </c>
      <c r="P20" s="214" t="str">
        <f t="shared" si="1"/>
        <v>SỬ</v>
      </c>
      <c r="Q20" s="7">
        <f>Q19+K19</f>
        <v>100048</v>
      </c>
      <c r="R20" s="7">
        <f>Q20+K20-1</f>
        <v>100070</v>
      </c>
      <c r="S20" s="300" t="s">
        <v>1068</v>
      </c>
      <c r="T20" s="8" t="str">
        <f t="shared" si="3"/>
        <v>NGÀY THI: 23+25/12/2025</v>
      </c>
      <c r="U20"/>
    </row>
    <row r="21" spans="1:21" s="6" customFormat="1" ht="15" customHeight="1">
      <c r="A21" s="319">
        <f>IF(F21="","",SUBTOTAL(3,$F$18:F21))</f>
        <v>4</v>
      </c>
      <c r="B21" s="238">
        <v>4</v>
      </c>
      <c r="C21" s="239" t="s">
        <v>374</v>
      </c>
      <c r="D21" s="240">
        <v>23</v>
      </c>
      <c r="E21" s="241"/>
      <c r="F21" s="156" t="str">
        <f t="shared" si="2"/>
        <v>4A.S</v>
      </c>
      <c r="G21" s="157" t="s">
        <v>363</v>
      </c>
      <c r="H21" s="161" t="s">
        <v>1064</v>
      </c>
      <c r="I21" s="158" t="str">
        <f>VLOOKUP($H21,$D$2:$J$13,6,0)</f>
        <v>Thứ Ba (23/12)</v>
      </c>
      <c r="J21" s="158" t="str">
        <f>VLOOKUP($H21,$D$2:$J$13,7,0)</f>
        <v>Thứ Năm (25/12)</v>
      </c>
      <c r="K21" s="170">
        <f>COUNTIF('DS_Tong_12AS-AT-VH'!$B$9:$B$426,F21)</f>
        <v>23</v>
      </c>
      <c r="L21" s="146">
        <f>D21-K21</f>
        <v>0</v>
      </c>
      <c r="M21" s="214" t="str">
        <f t="shared" si="1"/>
        <v>VĂN</v>
      </c>
      <c r="N21" s="221" t="str">
        <f t="shared" si="1"/>
        <v>HÓA</v>
      </c>
      <c r="O21" s="214" t="str">
        <f t="shared" si="1"/>
        <v>TOÁN</v>
      </c>
      <c r="P21" s="214" t="str">
        <f t="shared" si="1"/>
        <v>SỬ</v>
      </c>
      <c r="Q21" s="7">
        <f>Q20+K20</f>
        <v>100071</v>
      </c>
      <c r="R21" s="7">
        <f>Q21+K21-1</f>
        <v>100093</v>
      </c>
      <c r="S21" s="300" t="s">
        <v>1068</v>
      </c>
      <c r="T21" s="8" t="str">
        <f t="shared" si="3"/>
        <v>NGÀY THI: 23+25/12/2025</v>
      </c>
      <c r="U21"/>
    </row>
    <row r="22" spans="1:21" s="6" customFormat="1" ht="30" customHeight="1">
      <c r="A22" s="319" t="str">
        <f t="array" ref="A22">IF(C22="","",SUBTOTAL(3,$C$18:C22))</f>
        <v/>
      </c>
      <c r="B22" s="227" t="s">
        <v>1096</v>
      </c>
      <c r="C22" s="242"/>
      <c r="D22" s="243">
        <v>96</v>
      </c>
      <c r="E22" s="244"/>
      <c r="F22" s="151"/>
      <c r="G22" s="147"/>
      <c r="H22" s="147"/>
      <c r="I22" s="147"/>
      <c r="J22" s="147"/>
      <c r="K22" s="51">
        <f>SUM(K23:K26)</f>
        <v>95</v>
      </c>
      <c r="L22" s="52">
        <f>SUM(L23:L26)</f>
        <v>1</v>
      </c>
      <c r="M22" s="50" t="str">
        <f>VLOOKUP($G23,$L$5:$P$10,M$3,0)</f>
        <v>VĂN</v>
      </c>
      <c r="N22" s="167" t="str">
        <f>VLOOKUP($G23,$L$5:$P$10,N$3,0)</f>
        <v>KT-PL</v>
      </c>
      <c r="O22" s="50" t="str">
        <f>VLOOKUP($G23,$L$5:$P$10,O$3,0)</f>
        <v>TOÁN</v>
      </c>
      <c r="P22" s="50" t="str">
        <f>VLOOKUP($G23,$L$5:$P$10,P$3,0)</f>
        <v>SỬ</v>
      </c>
      <c r="Q22" s="7"/>
      <c r="R22" s="7"/>
      <c r="S22" s="7"/>
      <c r="T22" s="8" t="e">
        <f t="shared" si="3"/>
        <v>#N/A</v>
      </c>
      <c r="U22"/>
    </row>
    <row r="23" spans="1:21" s="6" customFormat="1" ht="15" customHeight="1">
      <c r="A23" s="319">
        <f>IF(F23="","",SUBTOTAL(3,$F$18:F23))</f>
        <v>5</v>
      </c>
      <c r="B23" s="231">
        <v>1</v>
      </c>
      <c r="C23" s="232" t="s">
        <v>375</v>
      </c>
      <c r="D23" s="240">
        <v>24</v>
      </c>
      <c r="E23" s="234" t="s">
        <v>1050</v>
      </c>
      <c r="F23" s="156" t="str">
        <f t="shared" si="2"/>
        <v>5A.S</v>
      </c>
      <c r="G23" s="157" t="s">
        <v>364</v>
      </c>
      <c r="H23" s="157" t="s">
        <v>1064</v>
      </c>
      <c r="I23" s="158" t="str">
        <f>VLOOKUP($H23,$D$2:$J$13,6,0)</f>
        <v>Thứ Ba (23/12)</v>
      </c>
      <c r="J23" s="158" t="str">
        <f>VLOOKUP($H23,$D$2:$J$13,7,0)</f>
        <v>Thứ Năm (25/12)</v>
      </c>
      <c r="K23" s="168">
        <f>COUNTIF('DS_Tong_12AS-AT-VH'!$B$9:$B$426,F23)</f>
        <v>24</v>
      </c>
      <c r="L23" s="146">
        <f>D23-K23</f>
        <v>0</v>
      </c>
      <c r="M23" s="214" t="str">
        <f t="shared" ref="M23:P26" si="4">VLOOKUP($G23,$L$5:$P$9,M$3,0)</f>
        <v>VĂN</v>
      </c>
      <c r="N23" s="221" t="str">
        <f t="shared" si="4"/>
        <v>KT-PL</v>
      </c>
      <c r="O23" s="214" t="str">
        <f t="shared" si="4"/>
        <v>TOÁN</v>
      </c>
      <c r="P23" s="214" t="str">
        <f t="shared" si="4"/>
        <v>SỬ</v>
      </c>
      <c r="Q23" s="7">
        <f>R21+1</f>
        <v>100094</v>
      </c>
      <c r="R23" s="7">
        <f>Q23+K23-1</f>
        <v>100117</v>
      </c>
      <c r="S23" s="300" t="s">
        <v>2129</v>
      </c>
      <c r="T23" s="8" t="str">
        <f t="shared" si="3"/>
        <v>NGÀY THI: 23+25/12/2025</v>
      </c>
      <c r="U23"/>
    </row>
    <row r="24" spans="1:21" s="6" customFormat="1" ht="15" customHeight="1">
      <c r="A24" s="319">
        <f>IF(F24="","",SUBTOTAL(3,$F$18:F24))</f>
        <v>6</v>
      </c>
      <c r="B24" s="235">
        <v>2</v>
      </c>
      <c r="C24" s="236" t="s">
        <v>376</v>
      </c>
      <c r="D24" s="240">
        <v>24</v>
      </c>
      <c r="E24" s="234"/>
      <c r="F24" s="156" t="str">
        <f t="shared" si="2"/>
        <v>6A.S</v>
      </c>
      <c r="G24" s="157" t="s">
        <v>364</v>
      </c>
      <c r="H24" s="159" t="s">
        <v>1064</v>
      </c>
      <c r="I24" s="158" t="str">
        <f>VLOOKUP($H24,$D$2:$J$13,6,0)</f>
        <v>Thứ Ba (23/12)</v>
      </c>
      <c r="J24" s="158" t="str">
        <f>VLOOKUP($H24,$D$2:$J$13,7,0)</f>
        <v>Thứ Năm (25/12)</v>
      </c>
      <c r="K24" s="169">
        <f>COUNTIF('DS_Tong_12AS-AT-VH'!$B$9:$B$426,F24)</f>
        <v>24</v>
      </c>
      <c r="L24" s="146">
        <f>D24-K24</f>
        <v>0</v>
      </c>
      <c r="M24" s="214" t="str">
        <f t="shared" si="4"/>
        <v>VĂN</v>
      </c>
      <c r="N24" s="221" t="str">
        <f t="shared" si="4"/>
        <v>KT-PL</v>
      </c>
      <c r="O24" s="214" t="str">
        <f t="shared" si="4"/>
        <v>TOÁN</v>
      </c>
      <c r="P24" s="214" t="str">
        <f t="shared" si="4"/>
        <v>SỬ</v>
      </c>
      <c r="Q24" s="7">
        <f>Q23+K23</f>
        <v>100118</v>
      </c>
      <c r="R24" s="7">
        <f>Q24+K24-1</f>
        <v>100141</v>
      </c>
      <c r="S24" s="300" t="s">
        <v>2129</v>
      </c>
      <c r="T24" s="8" t="str">
        <f t="shared" si="3"/>
        <v>NGÀY THI: 23+25/12/2025</v>
      </c>
      <c r="U24"/>
    </row>
    <row r="25" spans="1:21" s="6" customFormat="1" ht="15" customHeight="1">
      <c r="A25" s="319">
        <f>IF(F25="","",SUBTOTAL(3,$F$18:F25))</f>
        <v>7</v>
      </c>
      <c r="B25" s="235">
        <v>3</v>
      </c>
      <c r="C25" s="236" t="s">
        <v>377</v>
      </c>
      <c r="D25" s="240">
        <v>24</v>
      </c>
      <c r="E25" s="234"/>
      <c r="F25" s="156" t="str">
        <f t="shared" si="2"/>
        <v>9A.S</v>
      </c>
      <c r="G25" s="157" t="s">
        <v>364</v>
      </c>
      <c r="H25" s="159" t="s">
        <v>1064</v>
      </c>
      <c r="I25" s="158" t="str">
        <f>VLOOKUP($H25,$D$2:$J$13,6,0)</f>
        <v>Thứ Ba (23/12)</v>
      </c>
      <c r="J25" s="158" t="str">
        <f>VLOOKUP($H25,$D$2:$J$13,7,0)</f>
        <v>Thứ Năm (25/12)</v>
      </c>
      <c r="K25" s="169">
        <f>COUNTIF('DS_Tong_12AS-AT-VH'!$B$9:$B$426,F25)</f>
        <v>24</v>
      </c>
      <c r="L25" s="146">
        <f>D25-K25</f>
        <v>0</v>
      </c>
      <c r="M25" s="214" t="str">
        <f t="shared" si="4"/>
        <v>VĂN</v>
      </c>
      <c r="N25" s="221" t="str">
        <f t="shared" si="4"/>
        <v>KT-PL</v>
      </c>
      <c r="O25" s="214" t="str">
        <f t="shared" si="4"/>
        <v>TOÁN</v>
      </c>
      <c r="P25" s="214" t="str">
        <f t="shared" si="4"/>
        <v>SỬ</v>
      </c>
      <c r="Q25" s="7">
        <f>Q24+K24</f>
        <v>100142</v>
      </c>
      <c r="R25" s="7">
        <f>Q25+K25-1</f>
        <v>100165</v>
      </c>
      <c r="S25" s="300" t="s">
        <v>2129</v>
      </c>
      <c r="T25" s="8" t="str">
        <f t="shared" si="3"/>
        <v>NGÀY THI: 23+25/12/2025</v>
      </c>
      <c r="U25"/>
    </row>
    <row r="26" spans="1:21" s="6" customFormat="1" ht="15" customHeight="1">
      <c r="A26" s="319">
        <f>IF(F26="","",SUBTOTAL(3,$F$18:F26))</f>
        <v>8</v>
      </c>
      <c r="B26" s="238">
        <v>4</v>
      </c>
      <c r="C26" s="239" t="s">
        <v>378</v>
      </c>
      <c r="D26" s="240">
        <v>24</v>
      </c>
      <c r="E26" s="241"/>
      <c r="F26" s="156" t="str">
        <f t="shared" si="2"/>
        <v>10A.S</v>
      </c>
      <c r="G26" s="157" t="s">
        <v>364</v>
      </c>
      <c r="H26" s="161" t="s">
        <v>1064</v>
      </c>
      <c r="I26" s="158" t="str">
        <f>VLOOKUP($H26,$D$2:$J$13,6,0)</f>
        <v>Thứ Ba (23/12)</v>
      </c>
      <c r="J26" s="158" t="str">
        <f>VLOOKUP($H26,$D$2:$J$13,7,0)</f>
        <v>Thứ Năm (25/12)</v>
      </c>
      <c r="K26" s="170">
        <f>COUNTIF('DS_Tong_12AS-AT-VH'!$B$9:$B$426,F26)</f>
        <v>23</v>
      </c>
      <c r="L26" s="146">
        <f>D26-K26</f>
        <v>1</v>
      </c>
      <c r="M26" s="214" t="str">
        <f t="shared" si="4"/>
        <v>VĂN</v>
      </c>
      <c r="N26" s="221" t="str">
        <f t="shared" si="4"/>
        <v>KT-PL</v>
      </c>
      <c r="O26" s="214" t="str">
        <f t="shared" si="4"/>
        <v>TOÁN</v>
      </c>
      <c r="P26" s="214" t="str">
        <f t="shared" si="4"/>
        <v>SỬ</v>
      </c>
      <c r="Q26" s="7">
        <f>Q25+K25</f>
        <v>100166</v>
      </c>
      <c r="R26" s="7">
        <f>Q26+K26-1</f>
        <v>100188</v>
      </c>
      <c r="S26" s="300" t="s">
        <v>2129</v>
      </c>
      <c r="T26" s="8" t="str">
        <f t="shared" si="3"/>
        <v>NGÀY THI: 23+25/12/2025</v>
      </c>
      <c r="U26"/>
    </row>
    <row r="27" spans="1:21" s="6" customFormat="1" ht="30.75" customHeight="1">
      <c r="A27" s="319" t="str">
        <f t="array" ref="A27">IF(C27="","",SUBTOTAL(3,$C$18:C27))</f>
        <v/>
      </c>
      <c r="B27" s="227" t="s">
        <v>1097</v>
      </c>
      <c r="C27" s="242"/>
      <c r="D27" s="243">
        <v>143</v>
      </c>
      <c r="E27" s="244"/>
      <c r="F27" s="151"/>
      <c r="G27" s="147"/>
      <c r="H27" s="147"/>
      <c r="I27" s="147"/>
      <c r="J27" s="147"/>
      <c r="K27" s="51">
        <f>SUM(K28:K31)</f>
        <v>96</v>
      </c>
      <c r="L27" s="52">
        <f>SUM(L28:L31)</f>
        <v>0</v>
      </c>
      <c r="M27" s="50" t="str">
        <f>VLOOKUP($G28,$L$5:$P$10,M$3,0)</f>
        <v>VĂN</v>
      </c>
      <c r="N27" s="167" t="str">
        <f>VLOOKUP($G28,$L$5:$P$10,N$3,0)</f>
        <v>LÝ</v>
      </c>
      <c r="O27" s="50" t="str">
        <f>VLOOKUP($G28,$L$5:$P$10,O$3,0)</f>
        <v>TOÁN</v>
      </c>
      <c r="P27" s="50" t="str">
        <f>VLOOKUP($G28,$L$5:$P$10,P$3,0)</f>
        <v>SỬ</v>
      </c>
      <c r="Q27" s="7"/>
      <c r="R27" s="7"/>
      <c r="S27" s="7"/>
      <c r="T27" s="8" t="e">
        <f t="shared" si="3"/>
        <v>#N/A</v>
      </c>
      <c r="U27"/>
    </row>
    <row r="28" spans="1:21" s="6" customFormat="1" ht="15" customHeight="1">
      <c r="A28" s="319">
        <f>IF(F28="","",SUBTOTAL(3,$F$18:F28))</f>
        <v>9</v>
      </c>
      <c r="B28" s="231">
        <v>1</v>
      </c>
      <c r="C28" s="232" t="s">
        <v>379</v>
      </c>
      <c r="D28" s="240">
        <v>24</v>
      </c>
      <c r="E28" s="234" t="s">
        <v>1050</v>
      </c>
      <c r="F28" s="156" t="str">
        <f t="shared" si="2"/>
        <v>11A.S</v>
      </c>
      <c r="G28" s="157" t="s">
        <v>366</v>
      </c>
      <c r="H28" s="157" t="s">
        <v>1064</v>
      </c>
      <c r="I28" s="158" t="str">
        <f t="shared" ref="I28:I33" si="5">VLOOKUP($H28,$D$2:$J$13,6,0)</f>
        <v>Thứ Ba (23/12)</v>
      </c>
      <c r="J28" s="158" t="str">
        <f t="shared" ref="J28:J33" si="6">VLOOKUP($H28,$D$2:$J$13,7,0)</f>
        <v>Thứ Năm (25/12)</v>
      </c>
      <c r="K28" s="168">
        <f>COUNTIF('DS_Tong_12AS-AT-VH'!$B$9:$B$426,F28)</f>
        <v>24</v>
      </c>
      <c r="L28" s="146">
        <f t="shared" ref="L28:L33" si="7">D28-K28</f>
        <v>0</v>
      </c>
      <c r="M28" s="214" t="str">
        <f t="shared" ref="M28:P33" si="8">VLOOKUP($G28,$L$5:$P$9,M$3,0)</f>
        <v>VĂN</v>
      </c>
      <c r="N28" s="221" t="str">
        <f t="shared" si="8"/>
        <v>LÝ</v>
      </c>
      <c r="O28" s="214" t="str">
        <f t="shared" si="8"/>
        <v>TOÁN</v>
      </c>
      <c r="P28" s="214" t="str">
        <f t="shared" si="8"/>
        <v>SỬ</v>
      </c>
      <c r="Q28" s="7">
        <f>R26+1</f>
        <v>100189</v>
      </c>
      <c r="R28" s="7">
        <f t="shared" ref="R28:R33" si="9">Q28+K28-1</f>
        <v>100212</v>
      </c>
      <c r="S28" s="300" t="s">
        <v>2130</v>
      </c>
      <c r="T28" s="8" t="str">
        <f t="shared" si="3"/>
        <v>NGÀY THI: 23+25/12/2025</v>
      </c>
      <c r="U28"/>
    </row>
    <row r="29" spans="1:21" s="6" customFormat="1" ht="15" customHeight="1">
      <c r="A29" s="319">
        <f>IF(F29="","",SUBTOTAL(3,$F$18:F29))</f>
        <v>10</v>
      </c>
      <c r="B29" s="235">
        <v>2</v>
      </c>
      <c r="C29" s="236" t="s">
        <v>380</v>
      </c>
      <c r="D29" s="240">
        <v>24</v>
      </c>
      <c r="E29" s="234"/>
      <c r="F29" s="156" t="str">
        <f t="shared" si="2"/>
        <v>12A.S</v>
      </c>
      <c r="G29" s="157" t="s">
        <v>366</v>
      </c>
      <c r="H29" s="159" t="s">
        <v>1064</v>
      </c>
      <c r="I29" s="158" t="str">
        <f t="shared" si="5"/>
        <v>Thứ Ba (23/12)</v>
      </c>
      <c r="J29" s="158" t="str">
        <f t="shared" si="6"/>
        <v>Thứ Năm (25/12)</v>
      </c>
      <c r="K29" s="169">
        <f>COUNTIF('DS_Tong_12AS-AT-VH'!$B$9:$B$426,F29)</f>
        <v>24</v>
      </c>
      <c r="L29" s="146">
        <f t="shared" si="7"/>
        <v>0</v>
      </c>
      <c r="M29" s="214" t="str">
        <f t="shared" si="8"/>
        <v>VĂN</v>
      </c>
      <c r="N29" s="221" t="str">
        <f t="shared" si="8"/>
        <v>LÝ</v>
      </c>
      <c r="O29" s="214" t="str">
        <f t="shared" si="8"/>
        <v>TOÁN</v>
      </c>
      <c r="P29" s="214" t="str">
        <f t="shared" si="8"/>
        <v>SỬ</v>
      </c>
      <c r="Q29" s="7">
        <f>Q28+K28</f>
        <v>100213</v>
      </c>
      <c r="R29" s="7">
        <f t="shared" si="9"/>
        <v>100236</v>
      </c>
      <c r="S29" s="300" t="s">
        <v>2130</v>
      </c>
      <c r="T29" s="8" t="str">
        <f t="shared" si="3"/>
        <v>NGÀY THI: 23+25/12/2025</v>
      </c>
      <c r="U29"/>
    </row>
    <row r="30" spans="1:21" s="6" customFormat="1" ht="15" customHeight="1">
      <c r="A30" s="319">
        <f>IF(F30="","",SUBTOTAL(3,$F$18:F30))</f>
        <v>11</v>
      </c>
      <c r="B30" s="235">
        <v>3</v>
      </c>
      <c r="C30" s="236" t="s">
        <v>381</v>
      </c>
      <c r="D30" s="240">
        <v>24</v>
      </c>
      <c r="E30" s="234"/>
      <c r="F30" s="156" t="str">
        <f t="shared" si="2"/>
        <v>13A.S</v>
      </c>
      <c r="G30" s="157" t="s">
        <v>366</v>
      </c>
      <c r="H30" s="159" t="s">
        <v>1064</v>
      </c>
      <c r="I30" s="158" t="str">
        <f t="shared" si="5"/>
        <v>Thứ Ba (23/12)</v>
      </c>
      <c r="J30" s="158" t="str">
        <f t="shared" si="6"/>
        <v>Thứ Năm (25/12)</v>
      </c>
      <c r="K30" s="169">
        <f>COUNTIF('DS_Tong_12AS-AT-VH'!$B$9:$B$426,F30)</f>
        <v>24</v>
      </c>
      <c r="L30" s="146">
        <f t="shared" si="7"/>
        <v>0</v>
      </c>
      <c r="M30" s="214" t="str">
        <f t="shared" si="8"/>
        <v>VĂN</v>
      </c>
      <c r="N30" s="221" t="str">
        <f t="shared" si="8"/>
        <v>LÝ</v>
      </c>
      <c r="O30" s="214" t="str">
        <f t="shared" si="8"/>
        <v>TOÁN</v>
      </c>
      <c r="P30" s="214" t="str">
        <f t="shared" si="8"/>
        <v>SỬ</v>
      </c>
      <c r="Q30" s="7">
        <f>Q29+K29</f>
        <v>100237</v>
      </c>
      <c r="R30" s="7">
        <f t="shared" si="9"/>
        <v>100260</v>
      </c>
      <c r="S30" s="300" t="s">
        <v>2130</v>
      </c>
      <c r="T30" s="8" t="str">
        <f t="shared" si="3"/>
        <v>NGÀY THI: 23+25/12/2025</v>
      </c>
      <c r="U30"/>
    </row>
    <row r="31" spans="1:21" s="6" customFormat="1" ht="15" customHeight="1">
      <c r="A31" s="319">
        <f>IF(F31="","",SUBTOTAL(3,$F$18:F31))</f>
        <v>12</v>
      </c>
      <c r="B31" s="245">
        <v>4</v>
      </c>
      <c r="C31" s="236" t="s">
        <v>382</v>
      </c>
      <c r="D31" s="240">
        <v>24</v>
      </c>
      <c r="E31" s="234"/>
      <c r="F31" s="156" t="str">
        <f t="shared" si="2"/>
        <v>14A.S</v>
      </c>
      <c r="G31" s="157" t="s">
        <v>366</v>
      </c>
      <c r="H31" s="159" t="s">
        <v>1064</v>
      </c>
      <c r="I31" s="158" t="str">
        <f t="shared" si="5"/>
        <v>Thứ Ba (23/12)</v>
      </c>
      <c r="J31" s="158" t="str">
        <f t="shared" si="6"/>
        <v>Thứ Năm (25/12)</v>
      </c>
      <c r="K31" s="169">
        <f>COUNTIF('DS_Tong_12AS-AT-VH'!$B$9:$B$426,F31)</f>
        <v>24</v>
      </c>
      <c r="L31" s="146">
        <f t="shared" si="7"/>
        <v>0</v>
      </c>
      <c r="M31" s="214" t="str">
        <f t="shared" si="8"/>
        <v>VĂN</v>
      </c>
      <c r="N31" s="221" t="str">
        <f t="shared" si="8"/>
        <v>LÝ</v>
      </c>
      <c r="O31" s="214" t="str">
        <f t="shared" si="8"/>
        <v>TOÁN</v>
      </c>
      <c r="P31" s="214" t="str">
        <f t="shared" si="8"/>
        <v>SỬ</v>
      </c>
      <c r="Q31" s="7">
        <f>Q30+K30</f>
        <v>100261</v>
      </c>
      <c r="R31" s="7">
        <f t="shared" si="9"/>
        <v>100284</v>
      </c>
      <c r="S31" s="300" t="s">
        <v>2130</v>
      </c>
      <c r="T31" s="8" t="str">
        <f t="shared" si="3"/>
        <v>NGÀY THI: 23+25/12/2025</v>
      </c>
      <c r="U31"/>
    </row>
    <row r="32" spans="1:21" s="6" customFormat="1" ht="15" customHeight="1">
      <c r="A32" s="319">
        <f>IF(F32="","",SUBTOTAL(3,$F$18:F32))</f>
        <v>13</v>
      </c>
      <c r="B32" s="235">
        <v>5</v>
      </c>
      <c r="C32" s="236" t="s">
        <v>383</v>
      </c>
      <c r="D32" s="240">
        <v>24</v>
      </c>
      <c r="E32" s="234"/>
      <c r="F32" s="156" t="str">
        <f t="shared" si="2"/>
        <v>2B.S</v>
      </c>
      <c r="G32" s="157" t="s">
        <v>366</v>
      </c>
      <c r="H32" s="159" t="s">
        <v>1064</v>
      </c>
      <c r="I32" s="158" t="str">
        <f t="shared" si="5"/>
        <v>Thứ Ba (23/12)</v>
      </c>
      <c r="J32" s="158" t="str">
        <f t="shared" si="6"/>
        <v>Thứ Năm (25/12)</v>
      </c>
      <c r="K32" s="169">
        <f>COUNTIF('DS_Tong_12AS-AT-VH'!$B$9:$B$426,F32)</f>
        <v>24</v>
      </c>
      <c r="L32" s="146">
        <f t="shared" si="7"/>
        <v>0</v>
      </c>
      <c r="M32" s="214" t="str">
        <f t="shared" si="8"/>
        <v>VĂN</v>
      </c>
      <c r="N32" s="221" t="str">
        <f t="shared" si="8"/>
        <v>LÝ</v>
      </c>
      <c r="O32" s="214" t="str">
        <f t="shared" si="8"/>
        <v>TOÁN</v>
      </c>
      <c r="P32" s="214" t="str">
        <f t="shared" si="8"/>
        <v>SỬ</v>
      </c>
      <c r="Q32" s="7">
        <f>Q31+K31</f>
        <v>100285</v>
      </c>
      <c r="R32" s="7">
        <f t="shared" si="9"/>
        <v>100308</v>
      </c>
      <c r="S32" s="300" t="s">
        <v>2130</v>
      </c>
      <c r="T32" s="8" t="str">
        <f t="shared" si="3"/>
        <v>NGÀY THI: 23+25/12/2025</v>
      </c>
      <c r="U32"/>
    </row>
    <row r="33" spans="1:21" s="6" customFormat="1" ht="15" customHeight="1">
      <c r="A33" s="319">
        <f>IF(F33="","",SUBTOTAL(3,$F$18:F33))</f>
        <v>14</v>
      </c>
      <c r="B33" s="246">
        <v>6</v>
      </c>
      <c r="C33" s="247" t="s">
        <v>384</v>
      </c>
      <c r="D33" s="240">
        <v>23</v>
      </c>
      <c r="E33" s="234"/>
      <c r="F33" s="156" t="str">
        <f t="shared" si="2"/>
        <v>3B.S</v>
      </c>
      <c r="G33" s="157" t="s">
        <v>366</v>
      </c>
      <c r="H33" s="160" t="s">
        <v>1064</v>
      </c>
      <c r="I33" s="158" t="str">
        <f t="shared" si="5"/>
        <v>Thứ Ba (23/12)</v>
      </c>
      <c r="J33" s="158" t="str">
        <f t="shared" si="6"/>
        <v>Thứ Năm (25/12)</v>
      </c>
      <c r="K33" s="169">
        <f>COUNTIF('DS_Tong_12AS-AT-VH'!$B$9:$B$426,F33)</f>
        <v>23</v>
      </c>
      <c r="L33" s="146">
        <f t="shared" si="7"/>
        <v>0</v>
      </c>
      <c r="M33" s="214" t="str">
        <f t="shared" si="8"/>
        <v>VĂN</v>
      </c>
      <c r="N33" s="221" t="str">
        <f t="shared" si="8"/>
        <v>LÝ</v>
      </c>
      <c r="O33" s="214" t="str">
        <f t="shared" si="8"/>
        <v>TOÁN</v>
      </c>
      <c r="P33" s="214" t="str">
        <f t="shared" si="8"/>
        <v>SỬ</v>
      </c>
      <c r="Q33" s="7">
        <f>Q32+K32</f>
        <v>100309</v>
      </c>
      <c r="R33" s="7">
        <f t="shared" si="9"/>
        <v>100331</v>
      </c>
      <c r="S33" s="300" t="s">
        <v>2130</v>
      </c>
      <c r="T33" s="8" t="str">
        <f t="shared" si="3"/>
        <v>NGÀY THI: 23+25/12/2025</v>
      </c>
      <c r="U33"/>
    </row>
    <row r="34" spans="1:21" s="6" customFormat="1" ht="15" customHeight="1">
      <c r="A34" s="304"/>
      <c r="B34" s="223" t="s">
        <v>1069</v>
      </c>
      <c r="C34" s="224" t="s">
        <v>1105</v>
      </c>
      <c r="D34" s="225">
        <v>87</v>
      </c>
      <c r="E34" s="226"/>
      <c r="F34" s="172"/>
      <c r="G34" s="173"/>
      <c r="H34" s="173"/>
      <c r="I34" s="173"/>
      <c r="J34" s="173"/>
      <c r="K34" s="171"/>
      <c r="L34" s="174"/>
      <c r="M34" s="175"/>
      <c r="N34" s="220"/>
      <c r="O34" s="175"/>
      <c r="P34" s="176"/>
      <c r="Q34" s="7"/>
      <c r="R34" s="7"/>
      <c r="S34" s="7"/>
      <c r="T34" s="8" t="e">
        <f t="shared" si="3"/>
        <v>#N/A</v>
      </c>
      <c r="U34"/>
    </row>
    <row r="35" spans="1:21" s="6" customFormat="1" ht="30.75" customHeight="1">
      <c r="A35" s="305"/>
      <c r="B35" s="227" t="s">
        <v>1098</v>
      </c>
      <c r="C35" s="242"/>
      <c r="D35" s="243">
        <v>87</v>
      </c>
      <c r="E35" s="244"/>
      <c r="F35" s="151"/>
      <c r="G35" s="147"/>
      <c r="H35" s="147"/>
      <c r="I35" s="147"/>
      <c r="J35" s="147"/>
      <c r="K35" s="51"/>
      <c r="L35" s="52"/>
      <c r="M35" s="50" t="str">
        <f>VLOOKUP($G36,$L$5:$P$10,M$3,0)</f>
        <v>VĂN</v>
      </c>
      <c r="N35" s="167" t="str">
        <f>VLOOKUP($G36,$L$5:$P$10,N$3,0)</f>
        <v>LÝ</v>
      </c>
      <c r="O35" s="50" t="str">
        <f>VLOOKUP($G36,$L$5:$P$10,O$3,0)</f>
        <v>TOÁN</v>
      </c>
      <c r="P35" s="50" t="str">
        <f>VLOOKUP($G36,$L$5:$P$10,P$3,0)</f>
        <v>SỬ</v>
      </c>
      <c r="Q35" s="7"/>
      <c r="R35" s="7"/>
      <c r="S35" s="7"/>
      <c r="T35" s="8" t="e">
        <f t="shared" si="3"/>
        <v>#N/A</v>
      </c>
      <c r="U35"/>
    </row>
    <row r="36" spans="1:21" s="6" customFormat="1" ht="15" customHeight="1">
      <c r="A36" s="319">
        <f>IF(F36="","",SUBTOTAL(3,$F$18:F36))</f>
        <v>15</v>
      </c>
      <c r="B36" s="231">
        <v>1</v>
      </c>
      <c r="C36" s="232" t="s">
        <v>388</v>
      </c>
      <c r="D36" s="240">
        <v>29</v>
      </c>
      <c r="E36" s="234"/>
      <c r="F36" s="156" t="str">
        <f>C36&amp;".T"</f>
        <v>7B.T</v>
      </c>
      <c r="G36" s="157" t="s">
        <v>366</v>
      </c>
      <c r="H36" s="157" t="s">
        <v>1062</v>
      </c>
      <c r="I36" s="158" t="str">
        <f>VLOOKUP($H36,$D$2:$J$13,6,0)</f>
        <v>Thứ Hai (22/12)</v>
      </c>
      <c r="J36" s="158" t="str">
        <f>VLOOKUP($H36,$D$2:$J$13,7,0)</f>
        <v>Thứ Ba (23/12)</v>
      </c>
      <c r="K36" s="168">
        <f>COUNTIF('DS_Tong_12AS-AT-VH'!$B$9:$B$426,F36)</f>
        <v>29</v>
      </c>
      <c r="L36" s="146">
        <f>D36-K36</f>
        <v>0</v>
      </c>
      <c r="M36" s="214" t="str">
        <f t="shared" ref="M36:P38" si="10">VLOOKUP($G36,$L$5:$P$9,M$3,0)</f>
        <v>VĂN</v>
      </c>
      <c r="N36" s="221" t="str">
        <f t="shared" si="10"/>
        <v>LÝ</v>
      </c>
      <c r="O36" s="214" t="str">
        <f t="shared" si="10"/>
        <v>TOÁN</v>
      </c>
      <c r="P36" s="214" t="str">
        <f t="shared" si="10"/>
        <v>SỬ</v>
      </c>
      <c r="Q36" s="7">
        <f>R33+1</f>
        <v>100332</v>
      </c>
      <c r="R36" s="7">
        <f>Q36+K36-1</f>
        <v>100360</v>
      </c>
      <c r="S36" s="300" t="s">
        <v>2131</v>
      </c>
      <c r="T36" s="8" t="str">
        <f t="shared" si="3"/>
        <v>NGÀY THI: 22+23/12/2025</v>
      </c>
      <c r="U36"/>
    </row>
    <row r="37" spans="1:21" s="6" customFormat="1" ht="15" customHeight="1">
      <c r="A37" s="319">
        <f>IF(F37="","",SUBTOTAL(3,$F$18:F37))</f>
        <v>16</v>
      </c>
      <c r="B37" s="235">
        <v>2</v>
      </c>
      <c r="C37" s="236" t="s">
        <v>389</v>
      </c>
      <c r="D37" s="240">
        <v>29</v>
      </c>
      <c r="E37" s="234"/>
      <c r="F37" s="156" t="str">
        <f>C37&amp;".T"</f>
        <v>8B.T</v>
      </c>
      <c r="G37" s="157" t="s">
        <v>366</v>
      </c>
      <c r="H37" s="157" t="s">
        <v>1062</v>
      </c>
      <c r="I37" s="158" t="str">
        <f>VLOOKUP($H37,$D$2:$J$13,6,0)</f>
        <v>Thứ Hai (22/12)</v>
      </c>
      <c r="J37" s="158" t="str">
        <f>VLOOKUP($H37,$D$2:$J$13,7,0)</f>
        <v>Thứ Ba (23/12)</v>
      </c>
      <c r="K37" s="169">
        <f>COUNTIF('DS_Tong_12AS-AT-VH'!$B$9:$B$426,F37)</f>
        <v>29</v>
      </c>
      <c r="L37" s="146">
        <f>D37-K37</f>
        <v>0</v>
      </c>
      <c r="M37" s="214" t="str">
        <f t="shared" si="10"/>
        <v>VĂN</v>
      </c>
      <c r="N37" s="221" t="str">
        <f t="shared" si="10"/>
        <v>LÝ</v>
      </c>
      <c r="O37" s="214" t="str">
        <f t="shared" si="10"/>
        <v>TOÁN</v>
      </c>
      <c r="P37" s="214" t="str">
        <f t="shared" si="10"/>
        <v>SỬ</v>
      </c>
      <c r="Q37" s="7">
        <f>Q36+K36</f>
        <v>100361</v>
      </c>
      <c r="R37" s="7">
        <f>Q37+K37-1</f>
        <v>100389</v>
      </c>
      <c r="S37" s="300" t="s">
        <v>2131</v>
      </c>
      <c r="T37" s="8" t="str">
        <f t="shared" si="3"/>
        <v>NGÀY THI: 22+23/12/2025</v>
      </c>
      <c r="U37"/>
    </row>
    <row r="38" spans="1:21" s="6" customFormat="1" ht="15" customHeight="1">
      <c r="A38" s="319">
        <f>IF(F38="","",SUBTOTAL(3,$F$18:F38))</f>
        <v>17</v>
      </c>
      <c r="B38" s="235">
        <v>3</v>
      </c>
      <c r="C38" s="236" t="s">
        <v>491</v>
      </c>
      <c r="D38" s="240">
        <v>29</v>
      </c>
      <c r="E38" s="241"/>
      <c r="F38" s="156" t="str">
        <f>C38&amp;".T"</f>
        <v>9B.T</v>
      </c>
      <c r="G38" s="157" t="s">
        <v>366</v>
      </c>
      <c r="H38" s="157" t="s">
        <v>1062</v>
      </c>
      <c r="I38" s="158" t="str">
        <f>VLOOKUP($H38,$D$2:$J$13,6,0)</f>
        <v>Thứ Hai (22/12)</v>
      </c>
      <c r="J38" s="158" t="str">
        <f>VLOOKUP($H38,$D$2:$J$13,7,0)</f>
        <v>Thứ Ba (23/12)</v>
      </c>
      <c r="K38" s="169">
        <f>COUNTIF('DS_Tong_12AS-AT-VH'!$B$9:$B$426,F38)</f>
        <v>29</v>
      </c>
      <c r="L38" s="146">
        <f>D38-K38</f>
        <v>0</v>
      </c>
      <c r="M38" s="214" t="str">
        <f t="shared" si="10"/>
        <v>VĂN</v>
      </c>
      <c r="N38" s="221" t="str">
        <f t="shared" si="10"/>
        <v>LÝ</v>
      </c>
      <c r="O38" s="214" t="str">
        <f t="shared" si="10"/>
        <v>TOÁN</v>
      </c>
      <c r="P38" s="214" t="str">
        <f t="shared" si="10"/>
        <v>SỬ</v>
      </c>
      <c r="Q38" s="7">
        <f>Q37+K37</f>
        <v>100390</v>
      </c>
      <c r="R38" s="7">
        <f>Q38+K38-1</f>
        <v>100418</v>
      </c>
      <c r="S38" s="300" t="s">
        <v>2131</v>
      </c>
      <c r="T38" s="8" t="str">
        <f t="shared" si="3"/>
        <v>NGÀY THI: 22+23/12/2025</v>
      </c>
      <c r="U38"/>
    </row>
    <row r="39" spans="1:21" s="6" customFormat="1" ht="15" customHeight="1">
      <c r="A39" s="304"/>
      <c r="B39" s="223" t="s">
        <v>1071</v>
      </c>
      <c r="C39" s="224" t="s">
        <v>1106</v>
      </c>
      <c r="D39" s="225">
        <v>142</v>
      </c>
      <c r="E39" s="226"/>
      <c r="F39" s="172"/>
      <c r="G39" s="173"/>
      <c r="H39" s="173"/>
      <c r="I39" s="173"/>
      <c r="J39" s="173"/>
      <c r="K39" s="171"/>
      <c r="L39" s="174"/>
      <c r="M39" s="175"/>
      <c r="N39" s="220"/>
      <c r="O39" s="175"/>
      <c r="P39" s="176"/>
      <c r="Q39" s="7"/>
      <c r="R39" s="7"/>
      <c r="S39" s="7"/>
      <c r="T39" s="8" t="e">
        <f t="shared" si="3"/>
        <v>#N/A</v>
      </c>
      <c r="U39"/>
    </row>
    <row r="40" spans="1:21" s="6" customFormat="1" ht="30.75" customHeight="1">
      <c r="A40" s="305"/>
      <c r="B40" s="227" t="s">
        <v>1099</v>
      </c>
      <c r="C40" s="242"/>
      <c r="D40" s="243">
        <v>142</v>
      </c>
      <c r="E40" s="244"/>
      <c r="F40" s="151"/>
      <c r="G40" s="147"/>
      <c r="H40" s="147"/>
      <c r="I40" s="147"/>
      <c r="J40" s="148"/>
      <c r="K40" s="51"/>
      <c r="L40" s="52"/>
      <c r="M40" s="50" t="str">
        <f>VLOOKUP($G41,$L$5:$P$10,M$3,0)</f>
        <v>VĂN</v>
      </c>
      <c r="N40" s="167" t="s">
        <v>412</v>
      </c>
      <c r="O40" s="50" t="str">
        <f>VLOOKUP($G41,$L$5:$P$10,O$3,0)</f>
        <v>TOÁN</v>
      </c>
      <c r="P40" s="50" t="str">
        <f>VLOOKUP($G41,$L$5:$P$10,P$3,0)</f>
        <v>SỬ</v>
      </c>
      <c r="Q40" s="7"/>
      <c r="R40" s="7"/>
      <c r="S40" s="7"/>
      <c r="T40" s="8" t="e">
        <f t="shared" si="3"/>
        <v>#N/A</v>
      </c>
      <c r="U40"/>
    </row>
    <row r="41" spans="1:21" s="6" customFormat="1" ht="15" customHeight="1">
      <c r="A41" s="319">
        <f>IF(F41="","",SUBTOTAL(3,$F$18:F41))</f>
        <v>18</v>
      </c>
      <c r="B41" s="231">
        <v>1</v>
      </c>
      <c r="C41" s="232" t="s">
        <v>385</v>
      </c>
      <c r="D41" s="240">
        <v>29</v>
      </c>
      <c r="E41" s="234"/>
      <c r="F41" s="156" t="str">
        <f>C41&amp;".S"</f>
        <v>4B.S</v>
      </c>
      <c r="G41" s="157" t="s">
        <v>366</v>
      </c>
      <c r="H41" s="157" t="s">
        <v>1065</v>
      </c>
      <c r="I41" s="158" t="str">
        <f>VLOOKUP($H41,$D$2:$J$13,6,0)</f>
        <v>Thứ Ba (23/12)</v>
      </c>
      <c r="J41" s="158" t="str">
        <f>VLOOKUP($H41,$D$2:$J$13,7,0)</f>
        <v>Thứ Năm (25/12)</v>
      </c>
      <c r="K41" s="168">
        <f>COUNTIF('DS_Tong_12AS-AT-VH'!$B$427:$B$945,F41)</f>
        <v>29</v>
      </c>
      <c r="L41" s="146">
        <f>D41-K41</f>
        <v>0</v>
      </c>
      <c r="M41" s="178" t="str">
        <f t="shared" ref="M41:P45" si="11">M$40</f>
        <v>VĂN</v>
      </c>
      <c r="N41" s="215" t="str">
        <f>N40</f>
        <v>SINH</v>
      </c>
      <c r="O41" s="178" t="str">
        <f t="shared" si="11"/>
        <v>TOÁN</v>
      </c>
      <c r="P41" s="178" t="str">
        <f t="shared" si="11"/>
        <v>SỬ</v>
      </c>
      <c r="Q41" s="7">
        <f>R38+1</f>
        <v>100419</v>
      </c>
      <c r="R41" s="7">
        <f>Q41+K41-1</f>
        <v>100447</v>
      </c>
      <c r="S41" s="300" t="s">
        <v>2132</v>
      </c>
      <c r="T41" s="8" t="str">
        <f t="shared" si="3"/>
        <v>NGÀY THI: 23+25/12/2025</v>
      </c>
      <c r="U41"/>
    </row>
    <row r="42" spans="1:21" s="6" customFormat="1" ht="15" customHeight="1">
      <c r="A42" s="319">
        <f>IF(F42="","",SUBTOTAL(3,$F$18:F42))</f>
        <v>19</v>
      </c>
      <c r="B42" s="235">
        <v>2</v>
      </c>
      <c r="C42" s="236" t="s">
        <v>386</v>
      </c>
      <c r="D42" s="240">
        <v>29</v>
      </c>
      <c r="E42" s="234"/>
      <c r="F42" s="156" t="str">
        <f>C42&amp;".S"</f>
        <v>5B.S</v>
      </c>
      <c r="G42" s="157" t="s">
        <v>366</v>
      </c>
      <c r="H42" s="157" t="s">
        <v>1065</v>
      </c>
      <c r="I42" s="158" t="str">
        <f>VLOOKUP($H42,$D$2:$J$13,6,0)</f>
        <v>Thứ Ba (23/12)</v>
      </c>
      <c r="J42" s="158" t="str">
        <f>VLOOKUP($H42,$D$2:$J$13,7,0)</f>
        <v>Thứ Năm (25/12)</v>
      </c>
      <c r="K42" s="169">
        <f>COUNTIF('DS_Tong_12AS-AT-VH'!$B$427:$B$945,F42)</f>
        <v>29</v>
      </c>
      <c r="L42" s="146">
        <f>D42-K42</f>
        <v>0</v>
      </c>
      <c r="M42" s="178" t="str">
        <f t="shared" si="11"/>
        <v>VĂN</v>
      </c>
      <c r="N42" s="215" t="str">
        <f>N41</f>
        <v>SINH</v>
      </c>
      <c r="O42" s="178" t="str">
        <f t="shared" si="11"/>
        <v>TOÁN</v>
      </c>
      <c r="P42" s="178" t="str">
        <f t="shared" si="11"/>
        <v>SỬ</v>
      </c>
      <c r="Q42" s="7">
        <f>Q41+K41</f>
        <v>100448</v>
      </c>
      <c r="R42" s="7">
        <f>Q42+K42-1</f>
        <v>100476</v>
      </c>
      <c r="S42" s="300" t="s">
        <v>2132</v>
      </c>
      <c r="T42" s="8" t="str">
        <f t="shared" si="3"/>
        <v>NGÀY THI: 23+25/12/2025</v>
      </c>
      <c r="U42"/>
    </row>
    <row r="43" spans="1:21" s="6" customFormat="1" ht="15" customHeight="1">
      <c r="A43" s="319">
        <f>IF(F43="","",SUBTOTAL(3,$F$18:F43))</f>
        <v>20</v>
      </c>
      <c r="B43" s="235">
        <v>3</v>
      </c>
      <c r="C43" s="236" t="s">
        <v>387</v>
      </c>
      <c r="D43" s="240">
        <v>28</v>
      </c>
      <c r="E43" s="234"/>
      <c r="F43" s="156" t="str">
        <f>C43&amp;".S"</f>
        <v>6B.S</v>
      </c>
      <c r="G43" s="157" t="s">
        <v>366</v>
      </c>
      <c r="H43" s="157" t="s">
        <v>1065</v>
      </c>
      <c r="I43" s="158" t="str">
        <f>VLOOKUP($H43,$D$2:$J$13,6,0)</f>
        <v>Thứ Ba (23/12)</v>
      </c>
      <c r="J43" s="158" t="str">
        <f>VLOOKUP($H43,$D$2:$J$13,7,0)</f>
        <v>Thứ Năm (25/12)</v>
      </c>
      <c r="K43" s="169">
        <f>COUNTIF('DS_Tong_12AS-AT-VH'!$B$427:$B$945,F43)</f>
        <v>28</v>
      </c>
      <c r="L43" s="146">
        <f>D43-K43</f>
        <v>0</v>
      </c>
      <c r="M43" s="178" t="str">
        <f t="shared" si="11"/>
        <v>VĂN</v>
      </c>
      <c r="N43" s="215" t="str">
        <f>N42</f>
        <v>SINH</v>
      </c>
      <c r="O43" s="178" t="str">
        <f t="shared" si="11"/>
        <v>TOÁN</v>
      </c>
      <c r="P43" s="178" t="str">
        <f t="shared" si="11"/>
        <v>SỬ</v>
      </c>
      <c r="Q43" s="7">
        <f>Q42+K42</f>
        <v>100477</v>
      </c>
      <c r="R43" s="7">
        <f>Q43+K43-1</f>
        <v>100504</v>
      </c>
      <c r="S43" s="300" t="s">
        <v>2132</v>
      </c>
      <c r="T43" s="8" t="str">
        <f t="shared" si="3"/>
        <v>NGÀY THI: 23+25/12/2025</v>
      </c>
      <c r="U43"/>
    </row>
    <row r="44" spans="1:21" s="6" customFormat="1" ht="15" customHeight="1">
      <c r="A44" s="319">
        <f>IF(F44="","",SUBTOTAL(3,$F$18:F44))</f>
        <v>21</v>
      </c>
      <c r="B44" s="231">
        <v>4</v>
      </c>
      <c r="C44" s="232" t="s">
        <v>388</v>
      </c>
      <c r="D44" s="240">
        <v>28</v>
      </c>
      <c r="E44" s="234"/>
      <c r="F44" s="156" t="str">
        <f>C44&amp;".S"</f>
        <v>7B.S</v>
      </c>
      <c r="G44" s="157" t="s">
        <v>366</v>
      </c>
      <c r="H44" s="157" t="s">
        <v>1065</v>
      </c>
      <c r="I44" s="158" t="str">
        <f>VLOOKUP($H44,$D$2:$J$13,6,0)</f>
        <v>Thứ Ba (23/12)</v>
      </c>
      <c r="J44" s="158" t="str">
        <f>VLOOKUP($H44,$D$2:$J$13,7,0)</f>
        <v>Thứ Năm (25/12)</v>
      </c>
      <c r="K44" s="169">
        <f>COUNTIF('DS_Tong_12AS-AT-VH'!$B$427:$B$945,F44)</f>
        <v>28</v>
      </c>
      <c r="L44" s="146">
        <f>D44-K44</f>
        <v>0</v>
      </c>
      <c r="M44" s="178" t="str">
        <f t="shared" si="11"/>
        <v>VĂN</v>
      </c>
      <c r="N44" s="215" t="str">
        <f>N43</f>
        <v>SINH</v>
      </c>
      <c r="O44" s="178" t="str">
        <f t="shared" si="11"/>
        <v>TOÁN</v>
      </c>
      <c r="P44" s="178" t="str">
        <f t="shared" si="11"/>
        <v>SỬ</v>
      </c>
      <c r="Q44" s="7">
        <f>Q43+K43</f>
        <v>100505</v>
      </c>
      <c r="R44" s="7">
        <f>Q44+K44-1</f>
        <v>100532</v>
      </c>
      <c r="S44" s="300" t="s">
        <v>2132</v>
      </c>
      <c r="T44" s="8" t="str">
        <f t="shared" si="3"/>
        <v>NGÀY THI: 23+25/12/2025</v>
      </c>
      <c r="U44"/>
    </row>
    <row r="45" spans="1:21" s="6" customFormat="1" ht="15" customHeight="1">
      <c r="A45" s="319">
        <f>IF(F45="","",SUBTOTAL(3,$F$18:F45))</f>
        <v>22</v>
      </c>
      <c r="B45" s="235">
        <v>5</v>
      </c>
      <c r="C45" s="236" t="s">
        <v>389</v>
      </c>
      <c r="D45" s="240">
        <v>28</v>
      </c>
      <c r="E45" s="234"/>
      <c r="F45" s="156" t="str">
        <f>C45&amp;".S"</f>
        <v>8B.S</v>
      </c>
      <c r="G45" s="157" t="s">
        <v>366</v>
      </c>
      <c r="H45" s="157" t="s">
        <v>1065</v>
      </c>
      <c r="I45" s="158" t="str">
        <f>VLOOKUP($H45,$D$2:$J$13,6,0)</f>
        <v>Thứ Ba (23/12)</v>
      </c>
      <c r="J45" s="158" t="str">
        <f>VLOOKUP($H45,$D$2:$J$13,7,0)</f>
        <v>Thứ Năm (25/12)</v>
      </c>
      <c r="K45" s="169">
        <f>COUNTIF('DS_Tong_12AS-AT-VH'!$B$427:$B$945,F45)</f>
        <v>28</v>
      </c>
      <c r="L45" s="146">
        <f>D45-K45</f>
        <v>0</v>
      </c>
      <c r="M45" s="178" t="str">
        <f t="shared" si="11"/>
        <v>VĂN</v>
      </c>
      <c r="N45" s="215" t="str">
        <f>N44</f>
        <v>SINH</v>
      </c>
      <c r="O45" s="178" t="str">
        <f t="shared" si="11"/>
        <v>TOÁN</v>
      </c>
      <c r="P45" s="178" t="str">
        <f t="shared" si="11"/>
        <v>SỬ</v>
      </c>
      <c r="Q45" s="7">
        <f>Q44+K44</f>
        <v>100533</v>
      </c>
      <c r="R45" s="7">
        <f>Q45+K45-1</f>
        <v>100560</v>
      </c>
      <c r="S45" s="300" t="s">
        <v>2132</v>
      </c>
      <c r="T45" s="8" t="str">
        <f t="shared" si="3"/>
        <v>NGÀY THI: 23+25/12/2025</v>
      </c>
      <c r="U45"/>
    </row>
    <row r="46" spans="1:21" s="6" customFormat="1" ht="15" customHeight="1">
      <c r="A46" s="304"/>
      <c r="B46" s="223" t="s">
        <v>1070</v>
      </c>
      <c r="C46" s="224" t="s">
        <v>1072</v>
      </c>
      <c r="D46" s="225">
        <v>379</v>
      </c>
      <c r="E46" s="226"/>
      <c r="F46" s="172"/>
      <c r="G46" s="173"/>
      <c r="H46" s="173"/>
      <c r="I46" s="173"/>
      <c r="J46" s="173"/>
      <c r="K46" s="171"/>
      <c r="L46" s="174"/>
      <c r="M46" s="175"/>
      <c r="N46" s="220"/>
      <c r="O46" s="175"/>
      <c r="P46" s="176"/>
      <c r="Q46" s="7"/>
      <c r="R46" s="7"/>
      <c r="S46" s="7"/>
      <c r="T46" s="8" t="e">
        <f t="shared" si="3"/>
        <v>#N/A</v>
      </c>
      <c r="U46"/>
    </row>
    <row r="47" spans="1:21" s="6" customFormat="1" ht="30" customHeight="1">
      <c r="A47" s="305"/>
      <c r="B47" s="227" t="s">
        <v>1100</v>
      </c>
      <c r="C47" s="242"/>
      <c r="D47" s="243">
        <v>100</v>
      </c>
      <c r="E47" s="244"/>
      <c r="F47" s="151"/>
      <c r="G47" s="147"/>
      <c r="H47" s="147"/>
      <c r="I47" s="147"/>
      <c r="J47" s="148"/>
      <c r="K47" s="51"/>
      <c r="L47" s="52"/>
      <c r="M47" s="50" t="str">
        <f>VLOOKUP($G48,$L$5:$P$10,M$3,0)</f>
        <v>VĂN</v>
      </c>
      <c r="N47" s="167" t="str">
        <f>VLOOKUP($G48,$L$5:$P$10,N$3,0)</f>
        <v>LÝ</v>
      </c>
      <c r="O47" s="50" t="str">
        <f>VLOOKUP($G48,$L$5:$P$10,O$3,0)</f>
        <v>TOÁN</v>
      </c>
      <c r="P47" s="50" t="str">
        <f>VLOOKUP($G48,$L$5:$P$10,P$3,0)</f>
        <v>SỬ</v>
      </c>
      <c r="Q47" s="7"/>
      <c r="R47" s="7"/>
      <c r="S47" s="7"/>
      <c r="T47" s="8" t="e">
        <f t="shared" si="3"/>
        <v>#N/A</v>
      </c>
      <c r="U47"/>
    </row>
    <row r="48" spans="1:21" s="6" customFormat="1" ht="15" customHeight="1">
      <c r="A48" s="319">
        <f>IF(F48="","",SUBTOTAL(3,$F$18:F48))</f>
        <v>23</v>
      </c>
      <c r="B48" s="248">
        <v>1</v>
      </c>
      <c r="C48" s="232" t="s">
        <v>371</v>
      </c>
      <c r="D48" s="240">
        <v>25</v>
      </c>
      <c r="E48" s="234"/>
      <c r="F48" s="156" t="str">
        <f>C48&amp;".T"</f>
        <v>1A.T</v>
      </c>
      <c r="G48" s="157" t="s">
        <v>362</v>
      </c>
      <c r="H48" s="157" t="s">
        <v>1063</v>
      </c>
      <c r="I48" s="158" t="str">
        <f>VLOOKUP($H48,$D$2:$J$13,6,0)</f>
        <v>Thứ Hai (22/12)</v>
      </c>
      <c r="J48" s="158" t="str">
        <f>VLOOKUP($H48,$D$2:$J$13,7,0)</f>
        <v>Thứ Ba (23/12)</v>
      </c>
      <c r="K48" s="168">
        <f>COUNTIF('DS_Tong_12AS-AT-VH'!$B$427:$B$945,F48)</f>
        <v>25</v>
      </c>
      <c r="L48" s="146">
        <f t="shared" ref="L48:L63" si="12">D48-K48</f>
        <v>0</v>
      </c>
      <c r="M48" s="214" t="str">
        <f t="shared" ref="M48:P51" si="13">VLOOKUP($G48,$L$5:$P$9,M$3,0)</f>
        <v>VĂN</v>
      </c>
      <c r="N48" s="221" t="str">
        <f t="shared" si="13"/>
        <v>LÝ</v>
      </c>
      <c r="O48" s="214" t="str">
        <f t="shared" si="13"/>
        <v>TOÁN</v>
      </c>
      <c r="P48" s="214" t="str">
        <f t="shared" si="13"/>
        <v>SỬ</v>
      </c>
      <c r="Q48" s="7">
        <f>R45+1</f>
        <v>100561</v>
      </c>
      <c r="R48" s="7">
        <f>Q48+K48-1</f>
        <v>100585</v>
      </c>
      <c r="S48" s="300" t="s">
        <v>2133</v>
      </c>
      <c r="T48" s="8" t="str">
        <f t="shared" si="3"/>
        <v>NGÀY THI: 22+23/12/2025</v>
      </c>
      <c r="U48"/>
    </row>
    <row r="49" spans="1:21" s="6" customFormat="1" ht="15" customHeight="1">
      <c r="A49" s="319">
        <f>IF(F49="","",SUBTOTAL(3,$F$18:F49))</f>
        <v>24</v>
      </c>
      <c r="B49" s="249">
        <v>2</v>
      </c>
      <c r="C49" s="232" t="s">
        <v>372</v>
      </c>
      <c r="D49" s="240">
        <v>25</v>
      </c>
      <c r="E49" s="234"/>
      <c r="F49" s="156" t="str">
        <f>C49&amp;".T"</f>
        <v>2A.T</v>
      </c>
      <c r="G49" s="157" t="s">
        <v>362</v>
      </c>
      <c r="H49" s="157" t="s">
        <v>1063</v>
      </c>
      <c r="I49" s="158" t="str">
        <f>VLOOKUP($H49,$D$2:$J$13,6,0)</f>
        <v>Thứ Hai (22/12)</v>
      </c>
      <c r="J49" s="158" t="str">
        <f>VLOOKUP($H49,$D$2:$J$13,7,0)</f>
        <v>Thứ Ba (23/12)</v>
      </c>
      <c r="K49" s="169">
        <f>COUNTIF('DS_Tong_12AS-AT-VH'!$B$427:$B$945,F49)</f>
        <v>25</v>
      </c>
      <c r="L49" s="146">
        <f t="shared" si="12"/>
        <v>0</v>
      </c>
      <c r="M49" s="214" t="str">
        <f t="shared" si="13"/>
        <v>VĂN</v>
      </c>
      <c r="N49" s="221" t="str">
        <f t="shared" si="13"/>
        <v>LÝ</v>
      </c>
      <c r="O49" s="214" t="str">
        <f t="shared" si="13"/>
        <v>TOÁN</v>
      </c>
      <c r="P49" s="214" t="str">
        <f t="shared" si="13"/>
        <v>SỬ</v>
      </c>
      <c r="Q49" s="7">
        <f>Q48+K48</f>
        <v>100586</v>
      </c>
      <c r="R49" s="7">
        <f>Q49+K49-1</f>
        <v>100610</v>
      </c>
      <c r="S49" s="300" t="s">
        <v>2133</v>
      </c>
      <c r="T49" s="8" t="str">
        <f t="shared" si="3"/>
        <v>NGÀY THI: 22+23/12/2025</v>
      </c>
      <c r="U49"/>
    </row>
    <row r="50" spans="1:21" s="6" customFormat="1" ht="15" customHeight="1">
      <c r="A50" s="319">
        <f>IF(F50="","",SUBTOTAL(3,$F$18:F50))</f>
        <v>25</v>
      </c>
      <c r="B50" s="249">
        <v>3</v>
      </c>
      <c r="C50" s="232" t="s">
        <v>373</v>
      </c>
      <c r="D50" s="240">
        <v>25</v>
      </c>
      <c r="E50" s="234"/>
      <c r="F50" s="156" t="str">
        <f>C50&amp;".T"</f>
        <v>3A.T</v>
      </c>
      <c r="G50" s="157" t="s">
        <v>362</v>
      </c>
      <c r="H50" s="157" t="s">
        <v>1063</v>
      </c>
      <c r="I50" s="158" t="str">
        <f>VLOOKUP($H50,$D$2:$J$13,6,0)</f>
        <v>Thứ Hai (22/12)</v>
      </c>
      <c r="J50" s="158" t="str">
        <f>VLOOKUP($H50,$D$2:$J$13,7,0)</f>
        <v>Thứ Ba (23/12)</v>
      </c>
      <c r="K50" s="169">
        <f>COUNTIF('DS_Tong_12AS-AT-VH'!$B$427:$B$945,F50)</f>
        <v>25</v>
      </c>
      <c r="L50" s="146">
        <f t="shared" si="12"/>
        <v>0</v>
      </c>
      <c r="M50" s="214" t="str">
        <f t="shared" si="13"/>
        <v>VĂN</v>
      </c>
      <c r="N50" s="221" t="str">
        <f t="shared" si="13"/>
        <v>LÝ</v>
      </c>
      <c r="O50" s="214" t="str">
        <f t="shared" si="13"/>
        <v>TOÁN</v>
      </c>
      <c r="P50" s="214" t="str">
        <f t="shared" si="13"/>
        <v>SỬ</v>
      </c>
      <c r="Q50" s="7">
        <f>Q49+K49</f>
        <v>100611</v>
      </c>
      <c r="R50" s="7">
        <f>Q50+K50-1</f>
        <v>100635</v>
      </c>
      <c r="S50" s="300" t="s">
        <v>2133</v>
      </c>
      <c r="T50" s="8" t="str">
        <f t="shared" si="3"/>
        <v>NGÀY THI: 22+23/12/2025</v>
      </c>
      <c r="U50"/>
    </row>
    <row r="51" spans="1:21" s="6" customFormat="1" ht="15" customHeight="1">
      <c r="A51" s="319">
        <f>IF(F51="","",SUBTOTAL(3,$F$18:F51))</f>
        <v>26</v>
      </c>
      <c r="B51" s="250">
        <v>4</v>
      </c>
      <c r="C51" s="232" t="s">
        <v>374</v>
      </c>
      <c r="D51" s="240">
        <v>25</v>
      </c>
      <c r="E51" s="234"/>
      <c r="F51" s="156" t="str">
        <f>C51&amp;".T"</f>
        <v>4A.T</v>
      </c>
      <c r="G51" s="157" t="s">
        <v>362</v>
      </c>
      <c r="H51" s="157" t="s">
        <v>1063</v>
      </c>
      <c r="I51" s="158" t="str">
        <f>VLOOKUP($H51,$D$2:$J$13,6,0)</f>
        <v>Thứ Hai (22/12)</v>
      </c>
      <c r="J51" s="158" t="str">
        <f>VLOOKUP($H51,$D$2:$J$13,7,0)</f>
        <v>Thứ Ba (23/12)</v>
      </c>
      <c r="K51" s="169">
        <f>COUNTIF('DS_Tong_12AS-AT-VH'!$B$427:$B$945,F51)</f>
        <v>24</v>
      </c>
      <c r="L51" s="146">
        <f t="shared" si="12"/>
        <v>1</v>
      </c>
      <c r="M51" s="214" t="str">
        <f t="shared" si="13"/>
        <v>VĂN</v>
      </c>
      <c r="N51" s="221" t="str">
        <f t="shared" si="13"/>
        <v>LÝ</v>
      </c>
      <c r="O51" s="214" t="str">
        <f t="shared" si="13"/>
        <v>TOÁN</v>
      </c>
      <c r="P51" s="214" t="str">
        <f t="shared" si="13"/>
        <v>SỬ</v>
      </c>
      <c r="Q51" s="7">
        <f>Q50+K50</f>
        <v>100636</v>
      </c>
      <c r="R51" s="7">
        <f>Q51+K51-1</f>
        <v>100659</v>
      </c>
      <c r="S51" s="300" t="s">
        <v>2133</v>
      </c>
      <c r="T51" s="8" t="str">
        <f t="shared" si="3"/>
        <v>NGÀY THI: 22+23/12/2025</v>
      </c>
      <c r="U51"/>
    </row>
    <row r="52" spans="1:21" s="6" customFormat="1" ht="30.75" customHeight="1">
      <c r="A52" s="305"/>
      <c r="B52" s="227" t="s">
        <v>1101</v>
      </c>
      <c r="C52" s="242"/>
      <c r="D52" s="243">
        <v>91</v>
      </c>
      <c r="E52" s="244"/>
      <c r="F52" s="151"/>
      <c r="G52" s="147"/>
      <c r="H52" s="147"/>
      <c r="I52" s="147"/>
      <c r="J52" s="148"/>
      <c r="K52" s="51"/>
      <c r="L52" s="52"/>
      <c r="M52" s="50" t="str">
        <f>VLOOKUP($G53,$L$5:$P$10,M$3,0)</f>
        <v>VĂN</v>
      </c>
      <c r="N52" s="167" t="str">
        <f>VLOOKUP($G53,$L$5:$P$10,N$3,0)</f>
        <v>HÓA</v>
      </c>
      <c r="O52" s="50" t="str">
        <f>VLOOKUP($G53,$L$5:$P$10,O$3,0)</f>
        <v>TOÁN</v>
      </c>
      <c r="P52" s="50" t="str">
        <f>VLOOKUP($G53,$L$5:$P$10,P$3,0)</f>
        <v>SỬ</v>
      </c>
      <c r="Q52" s="7"/>
      <c r="R52" s="7"/>
      <c r="S52" s="7"/>
      <c r="T52" s="8" t="e">
        <f t="shared" si="3"/>
        <v>#N/A</v>
      </c>
      <c r="U52"/>
    </row>
    <row r="53" spans="1:21" s="6" customFormat="1" ht="15" customHeight="1">
      <c r="A53" s="319">
        <f>IF(F53="","",SUBTOTAL(3,$F$18:F53))</f>
        <v>27</v>
      </c>
      <c r="B53" s="248">
        <v>1</v>
      </c>
      <c r="C53" s="232" t="s">
        <v>375</v>
      </c>
      <c r="D53" s="240">
        <v>31</v>
      </c>
      <c r="E53" s="234"/>
      <c r="F53" s="156" t="str">
        <f>C53&amp;".T"</f>
        <v>5A.T</v>
      </c>
      <c r="G53" s="157" t="s">
        <v>363</v>
      </c>
      <c r="H53" s="157" t="s">
        <v>1063</v>
      </c>
      <c r="I53" s="158" t="str">
        <f>VLOOKUP($H53,$D$2:$J$13,6,0)</f>
        <v>Thứ Hai (22/12)</v>
      </c>
      <c r="J53" s="158" t="str">
        <f>VLOOKUP($H53,$D$2:$J$13,7,0)</f>
        <v>Thứ Ba (23/12)</v>
      </c>
      <c r="K53" s="168">
        <f>COUNTIF('DS_Tong_12AS-AT-VH'!$B$427:$B$945,F53)</f>
        <v>31</v>
      </c>
      <c r="L53" s="146">
        <f t="shared" si="12"/>
        <v>0</v>
      </c>
      <c r="M53" s="214" t="str">
        <f t="shared" ref="M53:P55" si="14">VLOOKUP($G53,$L$5:$P$9,M$3,0)</f>
        <v>VĂN</v>
      </c>
      <c r="N53" s="221" t="str">
        <f t="shared" si="14"/>
        <v>HÓA</v>
      </c>
      <c r="O53" s="214" t="str">
        <f t="shared" si="14"/>
        <v>TOÁN</v>
      </c>
      <c r="P53" s="214" t="str">
        <f t="shared" si="14"/>
        <v>SỬ</v>
      </c>
      <c r="Q53" s="7">
        <f>R51+1</f>
        <v>100660</v>
      </c>
      <c r="R53" s="7">
        <f>Q53+K53-1</f>
        <v>100690</v>
      </c>
      <c r="S53" s="300" t="s">
        <v>2134</v>
      </c>
      <c r="T53" s="8" t="str">
        <f t="shared" si="3"/>
        <v>NGÀY THI: 22+23/12/2025</v>
      </c>
      <c r="U53"/>
    </row>
    <row r="54" spans="1:21" s="6" customFormat="1" ht="15" customHeight="1">
      <c r="A54" s="319">
        <f>IF(F54="","",SUBTOTAL(3,$F$18:F54))</f>
        <v>28</v>
      </c>
      <c r="B54" s="249">
        <v>2</v>
      </c>
      <c r="C54" s="232" t="s">
        <v>376</v>
      </c>
      <c r="D54" s="240">
        <v>30</v>
      </c>
      <c r="E54" s="234"/>
      <c r="F54" s="156" t="str">
        <f>C54&amp;".T"</f>
        <v>6A.T</v>
      </c>
      <c r="G54" s="157" t="s">
        <v>363</v>
      </c>
      <c r="H54" s="157" t="s">
        <v>1063</v>
      </c>
      <c r="I54" s="158" t="str">
        <f>VLOOKUP($H54,$D$2:$J$13,6,0)</f>
        <v>Thứ Hai (22/12)</v>
      </c>
      <c r="J54" s="158" t="str">
        <f>VLOOKUP($H54,$D$2:$J$13,7,0)</f>
        <v>Thứ Ba (23/12)</v>
      </c>
      <c r="K54" s="169">
        <f>COUNTIF('DS_Tong_12AS-AT-VH'!$B$427:$B$945,F54)</f>
        <v>30</v>
      </c>
      <c r="L54" s="146">
        <f t="shared" si="12"/>
        <v>0</v>
      </c>
      <c r="M54" s="214" t="str">
        <f t="shared" si="14"/>
        <v>VĂN</v>
      </c>
      <c r="N54" s="221" t="str">
        <f t="shared" si="14"/>
        <v>HÓA</v>
      </c>
      <c r="O54" s="214" t="str">
        <f t="shared" si="14"/>
        <v>TOÁN</v>
      </c>
      <c r="P54" s="214" t="str">
        <f t="shared" si="14"/>
        <v>SỬ</v>
      </c>
      <c r="Q54" s="7">
        <f>Q53+K53</f>
        <v>100691</v>
      </c>
      <c r="R54" s="7">
        <f>Q54+K54-1</f>
        <v>100720</v>
      </c>
      <c r="S54" s="300" t="s">
        <v>2134</v>
      </c>
      <c r="T54" s="8" t="str">
        <f t="shared" si="3"/>
        <v>NGÀY THI: 22+23/12/2025</v>
      </c>
      <c r="U54"/>
    </row>
    <row r="55" spans="1:21" s="6" customFormat="1" ht="15" customHeight="1">
      <c r="A55" s="319">
        <f>IF(F55="","",SUBTOTAL(3,$F$18:F55))</f>
        <v>29</v>
      </c>
      <c r="B55" s="249">
        <v>3</v>
      </c>
      <c r="C55" s="232" t="s">
        <v>1049</v>
      </c>
      <c r="D55" s="240">
        <v>30</v>
      </c>
      <c r="E55" s="234"/>
      <c r="F55" s="156" t="str">
        <f>C55&amp;".T"</f>
        <v>7A.T</v>
      </c>
      <c r="G55" s="157" t="s">
        <v>363</v>
      </c>
      <c r="H55" s="157" t="s">
        <v>1063</v>
      </c>
      <c r="I55" s="158" t="str">
        <f>VLOOKUP($H55,$D$2:$J$13,6,0)</f>
        <v>Thứ Hai (22/12)</v>
      </c>
      <c r="J55" s="158" t="str">
        <f>VLOOKUP($H55,$D$2:$J$13,7,0)</f>
        <v>Thứ Ba (23/12)</v>
      </c>
      <c r="K55" s="169">
        <f>COUNTIF('DS_Tong_12AS-AT-VH'!$B$427:$B$945,F55)</f>
        <v>30</v>
      </c>
      <c r="L55" s="146">
        <f t="shared" si="12"/>
        <v>0</v>
      </c>
      <c r="M55" s="214" t="str">
        <f t="shared" si="14"/>
        <v>VĂN</v>
      </c>
      <c r="N55" s="221" t="str">
        <f t="shared" si="14"/>
        <v>HÓA</v>
      </c>
      <c r="O55" s="214" t="str">
        <f t="shared" si="14"/>
        <v>TOÁN</v>
      </c>
      <c r="P55" s="214" t="str">
        <f t="shared" si="14"/>
        <v>SỬ</v>
      </c>
      <c r="Q55" s="7">
        <f>Q54+K54</f>
        <v>100721</v>
      </c>
      <c r="R55" s="7">
        <f>Q55+K55-1</f>
        <v>100750</v>
      </c>
      <c r="S55" s="300" t="s">
        <v>2134</v>
      </c>
      <c r="T55" s="8" t="str">
        <f t="shared" si="3"/>
        <v>NGÀY THI: 22+23/12/2025</v>
      </c>
      <c r="U55"/>
    </row>
    <row r="56" spans="1:21" s="6" customFormat="1" ht="30" customHeight="1">
      <c r="A56" s="319" t="str">
        <f>IF(F56="","",SUBTOTAL(3,$F$18:F56))</f>
        <v/>
      </c>
      <c r="B56" s="227" t="s">
        <v>1102</v>
      </c>
      <c r="C56" s="242"/>
      <c r="D56" s="243">
        <f>SUM(D57:D59)</f>
        <v>95</v>
      </c>
      <c r="E56" s="244"/>
      <c r="F56" s="151"/>
      <c r="G56" s="147"/>
      <c r="H56" s="147"/>
      <c r="I56" s="147"/>
      <c r="J56" s="148"/>
      <c r="K56" s="51"/>
      <c r="L56" s="52"/>
      <c r="M56" s="50" t="str">
        <f>VLOOKUP($G57,$L$5:$P$10,M$3,0)</f>
        <v>VĂN</v>
      </c>
      <c r="N56" s="167" t="str">
        <f>VLOOKUP($G57,$L$5:$P$10,N$3,0)</f>
        <v>KT-PL</v>
      </c>
      <c r="O56" s="50" t="str">
        <f>VLOOKUP($G57,$L$5:$P$10,O$3,0)</f>
        <v>TOÁN</v>
      </c>
      <c r="P56" s="50" t="str">
        <f>VLOOKUP($G57,$L$5:$P$10,P$3,0)</f>
        <v>SỬ</v>
      </c>
      <c r="Q56" s="7"/>
      <c r="R56" s="7"/>
      <c r="S56" s="7"/>
      <c r="T56" s="8" t="e">
        <f t="shared" si="3"/>
        <v>#N/A</v>
      </c>
      <c r="U56"/>
    </row>
    <row r="57" spans="1:21" s="6" customFormat="1" ht="15" customHeight="1">
      <c r="A57" s="319">
        <f>IF(F57="","",SUBTOTAL(3,$F$18:F57))</f>
        <v>30</v>
      </c>
      <c r="B57" s="248">
        <v>1</v>
      </c>
      <c r="C57" s="232" t="s">
        <v>377</v>
      </c>
      <c r="D57" s="240">
        <v>32</v>
      </c>
      <c r="E57" s="234"/>
      <c r="F57" s="156" t="str">
        <f>C57&amp;".T"</f>
        <v>9A.T</v>
      </c>
      <c r="G57" s="157" t="s">
        <v>364</v>
      </c>
      <c r="H57" s="157" t="s">
        <v>1063</v>
      </c>
      <c r="I57" s="158" t="str">
        <f>VLOOKUP($H57,$D$2:$J$13,6,0)</f>
        <v>Thứ Hai (22/12)</v>
      </c>
      <c r="J57" s="158" t="str">
        <f>VLOOKUP($H57,$D$2:$J$13,7,0)</f>
        <v>Thứ Ba (23/12)</v>
      </c>
      <c r="K57" s="168">
        <f>COUNTIF('DS_Tong_12AS-AT-VH'!$B$427:$B$945,F57)</f>
        <v>32</v>
      </c>
      <c r="L57" s="146">
        <f t="shared" si="12"/>
        <v>0</v>
      </c>
      <c r="M57" s="214" t="str">
        <f t="shared" ref="M57:P59" si="15">VLOOKUP($G57,$L$5:$P$9,M$3,0)</f>
        <v>VĂN</v>
      </c>
      <c r="N57" s="221" t="str">
        <f t="shared" si="15"/>
        <v>KT-PL</v>
      </c>
      <c r="O57" s="214" t="str">
        <f t="shared" si="15"/>
        <v>TOÁN</v>
      </c>
      <c r="P57" s="214" t="str">
        <f t="shared" si="15"/>
        <v>SỬ</v>
      </c>
      <c r="Q57" s="7">
        <f>R55+1</f>
        <v>100751</v>
      </c>
      <c r="R57" s="7">
        <f>Q57+K57-1</f>
        <v>100782</v>
      </c>
      <c r="S57" s="300" t="s">
        <v>2135</v>
      </c>
      <c r="T57" s="8" t="str">
        <f t="shared" si="3"/>
        <v>NGÀY THI: 22+23/12/2025</v>
      </c>
      <c r="U57"/>
    </row>
    <row r="58" spans="1:21" s="6" customFormat="1" ht="15" customHeight="1">
      <c r="A58" s="319">
        <f>IF(F58="","",SUBTOTAL(3,$F$18:F58))</f>
        <v>31</v>
      </c>
      <c r="B58" s="249">
        <v>2</v>
      </c>
      <c r="C58" s="232" t="s">
        <v>378</v>
      </c>
      <c r="D58" s="240">
        <v>32</v>
      </c>
      <c r="E58" s="234"/>
      <c r="F58" s="156" t="str">
        <f>C58&amp;".T"</f>
        <v>10A.T</v>
      </c>
      <c r="G58" s="157" t="s">
        <v>364</v>
      </c>
      <c r="H58" s="157" t="s">
        <v>1063</v>
      </c>
      <c r="I58" s="158" t="str">
        <f>VLOOKUP($H58,$D$2:$J$13,6,0)</f>
        <v>Thứ Hai (22/12)</v>
      </c>
      <c r="J58" s="158" t="str">
        <f>VLOOKUP($H58,$D$2:$J$13,7,0)</f>
        <v>Thứ Ba (23/12)</v>
      </c>
      <c r="K58" s="169">
        <f>COUNTIF('DS_Tong_12AS-AT-VH'!$B$427:$B$945,F58)</f>
        <v>31</v>
      </c>
      <c r="L58" s="146">
        <f t="shared" si="12"/>
        <v>1</v>
      </c>
      <c r="M58" s="214" t="str">
        <f t="shared" si="15"/>
        <v>VĂN</v>
      </c>
      <c r="N58" s="221" t="str">
        <f t="shared" si="15"/>
        <v>KT-PL</v>
      </c>
      <c r="O58" s="214" t="str">
        <f t="shared" si="15"/>
        <v>TOÁN</v>
      </c>
      <c r="P58" s="214" t="str">
        <f t="shared" si="15"/>
        <v>SỬ</v>
      </c>
      <c r="Q58" s="7">
        <f>Q57+K57</f>
        <v>100783</v>
      </c>
      <c r="R58" s="7">
        <f>Q58+K58-1</f>
        <v>100813</v>
      </c>
      <c r="S58" s="300" t="s">
        <v>2135</v>
      </c>
      <c r="T58" s="8" t="str">
        <f t="shared" si="3"/>
        <v>NGÀY THI: 22+23/12/2025</v>
      </c>
      <c r="U58"/>
    </row>
    <row r="59" spans="1:21" s="6" customFormat="1" ht="15" customHeight="1">
      <c r="A59" s="319">
        <f>IF(F59="","",SUBTOTAL(3,$F$18:F59))</f>
        <v>32</v>
      </c>
      <c r="B59" s="249">
        <v>3</v>
      </c>
      <c r="C59" s="232" t="s">
        <v>379</v>
      </c>
      <c r="D59" s="240">
        <v>31</v>
      </c>
      <c r="E59" s="234"/>
      <c r="F59" s="156" t="str">
        <f>C59&amp;".T"</f>
        <v>11A.T</v>
      </c>
      <c r="G59" s="157" t="s">
        <v>364</v>
      </c>
      <c r="H59" s="157" t="s">
        <v>1063</v>
      </c>
      <c r="I59" s="158" t="str">
        <f>VLOOKUP($H59,$D$2:$J$13,6,0)</f>
        <v>Thứ Hai (22/12)</v>
      </c>
      <c r="J59" s="158" t="str">
        <f>VLOOKUP($H59,$D$2:$J$13,7,0)</f>
        <v>Thứ Ba (23/12)</v>
      </c>
      <c r="K59" s="169">
        <f>COUNTIF('DS_Tong_12AS-AT-VH'!$B$427:$B$945,F59)</f>
        <v>31</v>
      </c>
      <c r="L59" s="146">
        <f t="shared" si="12"/>
        <v>0</v>
      </c>
      <c r="M59" s="214" t="str">
        <f t="shared" si="15"/>
        <v>VĂN</v>
      </c>
      <c r="N59" s="221" t="str">
        <f t="shared" si="15"/>
        <v>KT-PL</v>
      </c>
      <c r="O59" s="214" t="str">
        <f t="shared" si="15"/>
        <v>TOÁN</v>
      </c>
      <c r="P59" s="214" t="str">
        <f t="shared" si="15"/>
        <v>SỬ</v>
      </c>
      <c r="Q59" s="7">
        <f>Q58+K58</f>
        <v>100814</v>
      </c>
      <c r="R59" s="7">
        <f>Q59+K59-1</f>
        <v>100844</v>
      </c>
      <c r="S59" s="300" t="s">
        <v>2135</v>
      </c>
      <c r="T59" s="8" t="str">
        <f t="shared" si="3"/>
        <v>NGÀY THI: 22+23/12/2025</v>
      </c>
      <c r="U59"/>
    </row>
    <row r="60" spans="1:21" s="6" customFormat="1" ht="30" customHeight="1">
      <c r="A60" s="319" t="str">
        <f>IF(F60="","",SUBTOTAL(3,$F$18:F60))</f>
        <v/>
      </c>
      <c r="B60" s="227" t="s">
        <v>1103</v>
      </c>
      <c r="C60" s="242"/>
      <c r="D60" s="243">
        <f>SUM(D61:D63)</f>
        <v>93</v>
      </c>
      <c r="E60" s="244"/>
      <c r="F60" s="151"/>
      <c r="G60" s="147"/>
      <c r="H60" s="147"/>
      <c r="I60" s="147"/>
      <c r="J60" s="148"/>
      <c r="K60" s="51"/>
      <c r="L60" s="52"/>
      <c r="M60" s="50" t="str">
        <f>VLOOKUP($G61,$L$5:$P$10,M$3,0)</f>
        <v>VĂN</v>
      </c>
      <c r="N60" s="167" t="str">
        <f>VLOOKUP($G61,$L$5:$P$10,N$3,0)</f>
        <v>KT-PL</v>
      </c>
      <c r="O60" s="50" t="str">
        <f>VLOOKUP($G61,$L$5:$P$10,O$3,0)</f>
        <v>TOÁN</v>
      </c>
      <c r="P60" s="50" t="str">
        <f>VLOOKUP($G61,$L$5:$P$10,P$3,0)</f>
        <v>SỬ</v>
      </c>
      <c r="Q60" s="7"/>
      <c r="R60" s="7"/>
      <c r="S60" s="7"/>
      <c r="T60" s="8" t="e">
        <f t="shared" si="3"/>
        <v>#N/A</v>
      </c>
      <c r="U60"/>
    </row>
    <row r="61" spans="1:21" s="6" customFormat="1" ht="15" customHeight="1">
      <c r="A61" s="319">
        <f>IF(F61="","",SUBTOTAL(3,$F$18:F61))</f>
        <v>33</v>
      </c>
      <c r="B61" s="248">
        <v>1</v>
      </c>
      <c r="C61" s="232" t="s">
        <v>380</v>
      </c>
      <c r="D61" s="240">
        <v>31</v>
      </c>
      <c r="E61" s="234"/>
      <c r="F61" s="156" t="str">
        <f>C61&amp;".T"</f>
        <v>12A.T</v>
      </c>
      <c r="G61" s="157" t="s">
        <v>364</v>
      </c>
      <c r="H61" s="157" t="s">
        <v>1063</v>
      </c>
      <c r="I61" s="158" t="str">
        <f>VLOOKUP($H61,$D$2:$J$13,6,0)</f>
        <v>Thứ Hai (22/12)</v>
      </c>
      <c r="J61" s="158" t="str">
        <f>VLOOKUP($H61,$D$2:$J$13,7,0)</f>
        <v>Thứ Ba (23/12)</v>
      </c>
      <c r="K61" s="168">
        <f>COUNTIF('DS_Tong_12AS-AT-VH'!$B$427:$B$945,F61)</f>
        <v>31</v>
      </c>
      <c r="L61" s="146">
        <f t="shared" si="12"/>
        <v>0</v>
      </c>
      <c r="M61" s="214" t="str">
        <f t="shared" ref="M61:P63" si="16">VLOOKUP($G61,$L$5:$P$9,M$3,0)</f>
        <v>VĂN</v>
      </c>
      <c r="N61" s="221" t="str">
        <f t="shared" si="16"/>
        <v>KT-PL</v>
      </c>
      <c r="O61" s="214" t="str">
        <f t="shared" si="16"/>
        <v>TOÁN</v>
      </c>
      <c r="P61" s="214" t="str">
        <f t="shared" si="16"/>
        <v>SỬ</v>
      </c>
      <c r="Q61" s="7">
        <f>R59+1</f>
        <v>100845</v>
      </c>
      <c r="R61" s="7">
        <f>Q61+K61-1</f>
        <v>100875</v>
      </c>
      <c r="S61" s="300" t="s">
        <v>2136</v>
      </c>
      <c r="T61" s="8" t="str">
        <f t="shared" si="3"/>
        <v>NGÀY THI: 22+23/12/2025</v>
      </c>
      <c r="U61"/>
    </row>
    <row r="62" spans="1:21" s="6" customFormat="1" ht="15" customHeight="1">
      <c r="A62" s="319">
        <f>IF(F62="","",SUBTOTAL(3,$F$18:F62))</f>
        <v>34</v>
      </c>
      <c r="B62" s="249">
        <v>2</v>
      </c>
      <c r="C62" s="232" t="s">
        <v>381</v>
      </c>
      <c r="D62" s="240">
        <v>31</v>
      </c>
      <c r="E62" s="234"/>
      <c r="F62" s="156" t="str">
        <f>C62&amp;".T"</f>
        <v>13A.T</v>
      </c>
      <c r="G62" s="157" t="s">
        <v>364</v>
      </c>
      <c r="H62" s="157" t="s">
        <v>1063</v>
      </c>
      <c r="I62" s="158" t="str">
        <f>VLOOKUP($H62,$D$2:$J$13,6,0)</f>
        <v>Thứ Hai (22/12)</v>
      </c>
      <c r="J62" s="158" t="str">
        <f>VLOOKUP($H62,$D$2:$J$13,7,0)</f>
        <v>Thứ Ba (23/12)</v>
      </c>
      <c r="K62" s="169">
        <f>COUNTIF('DS_Tong_12AS-AT-VH'!$B$427:$B$945,F62)</f>
        <v>31</v>
      </c>
      <c r="L62" s="146">
        <f t="shared" si="12"/>
        <v>0</v>
      </c>
      <c r="M62" s="214" t="str">
        <f t="shared" si="16"/>
        <v>VĂN</v>
      </c>
      <c r="N62" s="221" t="str">
        <f t="shared" si="16"/>
        <v>KT-PL</v>
      </c>
      <c r="O62" s="214" t="str">
        <f t="shared" si="16"/>
        <v>TOÁN</v>
      </c>
      <c r="P62" s="214" t="str">
        <f t="shared" si="16"/>
        <v>SỬ</v>
      </c>
      <c r="Q62" s="7">
        <f>Q61+K61</f>
        <v>100876</v>
      </c>
      <c r="R62" s="7">
        <f>Q62+K62-1</f>
        <v>100906</v>
      </c>
      <c r="S62" s="300" t="s">
        <v>2136</v>
      </c>
      <c r="T62" s="8" t="str">
        <f t="shared" si="3"/>
        <v>NGÀY THI: 22+23/12/2025</v>
      </c>
      <c r="U62"/>
    </row>
    <row r="63" spans="1:21" s="6" customFormat="1" ht="15" customHeight="1">
      <c r="A63" s="319">
        <f>IF(F63="","",SUBTOTAL(3,$F$18:F63))</f>
        <v>35</v>
      </c>
      <c r="B63" s="249">
        <v>3</v>
      </c>
      <c r="C63" s="232" t="s">
        <v>382</v>
      </c>
      <c r="D63" s="240">
        <v>31</v>
      </c>
      <c r="E63" s="234"/>
      <c r="F63" s="156" t="str">
        <f>C63&amp;".T"</f>
        <v>14A.T</v>
      </c>
      <c r="G63" s="157" t="s">
        <v>364</v>
      </c>
      <c r="H63" s="157" t="s">
        <v>1063</v>
      </c>
      <c r="I63" s="158" t="str">
        <f>VLOOKUP($H63,$D$2:$J$13,6,0)</f>
        <v>Thứ Hai (22/12)</v>
      </c>
      <c r="J63" s="158" t="str">
        <f>VLOOKUP($H63,$D$2:$J$13,7,0)</f>
        <v>Thứ Ba (23/12)</v>
      </c>
      <c r="K63" s="169">
        <f>COUNTIF('DS_Tong_12AS-AT-VH'!$B$427:$B$945,F63)</f>
        <v>31</v>
      </c>
      <c r="L63" s="146">
        <f t="shared" si="12"/>
        <v>0</v>
      </c>
      <c r="M63" s="214" t="str">
        <f t="shared" si="16"/>
        <v>VĂN</v>
      </c>
      <c r="N63" s="221" t="str">
        <f t="shared" si="16"/>
        <v>KT-PL</v>
      </c>
      <c r="O63" s="214" t="str">
        <f t="shared" si="16"/>
        <v>TOÁN</v>
      </c>
      <c r="P63" s="214" t="str">
        <f t="shared" si="16"/>
        <v>SỬ</v>
      </c>
      <c r="Q63" s="7">
        <f>Q62+K62</f>
        <v>100907</v>
      </c>
      <c r="R63" s="7">
        <f>Q63+K63-1</f>
        <v>100937</v>
      </c>
      <c r="S63" s="300" t="s">
        <v>2136</v>
      </c>
      <c r="T63" s="8" t="str">
        <f t="shared" si="3"/>
        <v>NGÀY THI: 22+23/12/2025</v>
      </c>
      <c r="U63"/>
    </row>
    <row r="64" spans="1:21" s="6" customFormat="1" ht="15" customHeight="1">
      <c r="A64" s="319" t="str">
        <f>IF(F64="","",SUBTOTAL(3,$F$18:F64))</f>
        <v/>
      </c>
      <c r="B64" s="251" t="s">
        <v>413</v>
      </c>
      <c r="C64" s="224" t="s">
        <v>1107</v>
      </c>
      <c r="D64" s="225">
        <v>562</v>
      </c>
      <c r="E64" s="226"/>
      <c r="F64" s="172"/>
      <c r="G64" s="173"/>
      <c r="H64" s="173"/>
      <c r="I64" s="173"/>
      <c r="J64" s="173"/>
      <c r="K64" s="171"/>
      <c r="L64" s="174"/>
      <c r="M64" s="175"/>
      <c r="N64" s="220"/>
      <c r="O64" s="175"/>
      <c r="P64" s="176"/>
      <c r="Q64" s="7"/>
      <c r="R64" s="7"/>
      <c r="S64" s="7"/>
      <c r="T64" s="8" t="e">
        <f t="shared" si="3"/>
        <v>#N/A</v>
      </c>
      <c r="U64"/>
    </row>
    <row r="65" spans="1:20" ht="30" customHeight="1">
      <c r="A65" s="319" t="str">
        <f>IF(F65="","",SUBTOTAL(3,$F$18:F65))</f>
        <v/>
      </c>
      <c r="B65" s="227" t="s">
        <v>1051</v>
      </c>
      <c r="C65" s="242"/>
      <c r="D65" s="243">
        <v>125</v>
      </c>
      <c r="E65" s="244"/>
      <c r="F65" s="151"/>
      <c r="G65" s="147"/>
      <c r="H65" s="147"/>
      <c r="I65" s="147"/>
      <c r="J65" s="147"/>
      <c r="K65" s="51">
        <f>SUM(K66:K70)</f>
        <v>124</v>
      </c>
      <c r="L65" s="52">
        <f>SUM(L66:L70)</f>
        <v>1</v>
      </c>
      <c r="M65" s="50" t="str">
        <f>VLOOKUP($G66,$L$5:$P$10,M$3,0)</f>
        <v>VĂN</v>
      </c>
      <c r="N65" s="167" t="str">
        <f>VLOOKUP($G66,$L$5:$P$10,N$3,0)</f>
        <v>LÝ</v>
      </c>
      <c r="O65" s="50" t="str">
        <f>VLOOKUP($G66,$L$5:$P$10,O$3,0)</f>
        <v>TOÁN</v>
      </c>
      <c r="P65" s="50" t="str">
        <f>VLOOKUP($G66,$L$5:$P$10,P$3,0)</f>
        <v>SỬ</v>
      </c>
      <c r="Q65" s="7"/>
      <c r="R65" s="7"/>
      <c r="S65" s="7"/>
      <c r="T65" s="8" t="e">
        <f t="shared" si="3"/>
        <v>#N/A</v>
      </c>
    </row>
    <row r="66" spans="1:20" ht="15" customHeight="1">
      <c r="A66" s="319">
        <f>IF(F66="","",SUBTOTAL(3,$F$18:F66))</f>
        <v>36</v>
      </c>
      <c r="B66" s="252">
        <v>1</v>
      </c>
      <c r="C66" s="253" t="s">
        <v>371</v>
      </c>
      <c r="D66" s="240">
        <v>25</v>
      </c>
      <c r="E66" s="234"/>
      <c r="F66" s="162" t="str">
        <f>C66&amp;".S2"</f>
        <v>1A.S2</v>
      </c>
      <c r="G66" s="163" t="s">
        <v>362</v>
      </c>
      <c r="H66" s="163" t="s">
        <v>503</v>
      </c>
      <c r="I66" s="158" t="str">
        <f>VLOOKUP($H66,$D$2:$J$13,6,0)</f>
        <v>Thứ Hai (22/12)</v>
      </c>
      <c r="J66" s="158" t="str">
        <f>VLOOKUP($H66,$D$2:$J$13,7,0)</f>
        <v>Thứ Tư (24/12)</v>
      </c>
      <c r="K66" s="168">
        <f>COUNTIF('DS_Tong_12AS-AT-VH'!$B$946:$B$1653,F66)</f>
        <v>25</v>
      </c>
      <c r="L66" s="146">
        <f>D66-K66</f>
        <v>0</v>
      </c>
      <c r="M66" s="214" t="str">
        <f t="shared" ref="M66:P70" si="17">VLOOKUP($G66,$L$5:$P$9,M$3,0)</f>
        <v>VĂN</v>
      </c>
      <c r="N66" s="221" t="str">
        <f t="shared" si="17"/>
        <v>LÝ</v>
      </c>
      <c r="O66" s="214" t="str">
        <f t="shared" si="17"/>
        <v>TOÁN</v>
      </c>
      <c r="P66" s="214" t="str">
        <f t="shared" si="17"/>
        <v>SỬ</v>
      </c>
      <c r="Q66" s="7">
        <f>R63+1</f>
        <v>100938</v>
      </c>
      <c r="R66" s="7">
        <f>Q66+K66-1</f>
        <v>100962</v>
      </c>
      <c r="S66" s="300" t="s">
        <v>1051</v>
      </c>
      <c r="T66" s="8" t="str">
        <f t="shared" si="3"/>
        <v>NGÀY THI: 22+24/12/2025</v>
      </c>
    </row>
    <row r="67" spans="1:20" ht="15" customHeight="1">
      <c r="A67" s="319">
        <f>IF(F67="","",SUBTOTAL(3,$F$18:F67))</f>
        <v>37</v>
      </c>
      <c r="B67" s="235">
        <v>2</v>
      </c>
      <c r="C67" s="236" t="s">
        <v>372</v>
      </c>
      <c r="D67" s="240">
        <v>25</v>
      </c>
      <c r="E67" s="234"/>
      <c r="F67" s="164" t="str">
        <f>C67&amp;".S2"</f>
        <v>2A.S2</v>
      </c>
      <c r="G67" s="159" t="s">
        <v>362</v>
      </c>
      <c r="H67" s="159" t="s">
        <v>503</v>
      </c>
      <c r="I67" s="158" t="str">
        <f>VLOOKUP($H67,$D$2:$J$13,6,0)</f>
        <v>Thứ Hai (22/12)</v>
      </c>
      <c r="J67" s="158" t="str">
        <f>VLOOKUP($H67,$D$2:$J$13,7,0)</f>
        <v>Thứ Tư (24/12)</v>
      </c>
      <c r="K67" s="169">
        <f>COUNTIF('DS_Tong_12AS-AT-VH'!$B$946:$B$1653,F67)</f>
        <v>25</v>
      </c>
      <c r="L67" s="146">
        <f>D67-K67</f>
        <v>0</v>
      </c>
      <c r="M67" s="214" t="str">
        <f t="shared" si="17"/>
        <v>VĂN</v>
      </c>
      <c r="N67" s="221" t="str">
        <f t="shared" si="17"/>
        <v>LÝ</v>
      </c>
      <c r="O67" s="214" t="str">
        <f t="shared" si="17"/>
        <v>TOÁN</v>
      </c>
      <c r="P67" s="214" t="str">
        <f t="shared" si="17"/>
        <v>SỬ</v>
      </c>
      <c r="Q67" s="7">
        <f>Q66+K66</f>
        <v>100963</v>
      </c>
      <c r="R67" s="7">
        <f>Q67+K67-1</f>
        <v>100987</v>
      </c>
      <c r="S67" s="300" t="s">
        <v>1051</v>
      </c>
      <c r="T67" s="8" t="str">
        <f t="shared" si="3"/>
        <v>NGÀY THI: 22+24/12/2025</v>
      </c>
    </row>
    <row r="68" spans="1:20" ht="15" customHeight="1">
      <c r="A68" s="319">
        <f>IF(F68="","",SUBTOTAL(3,$F$18:F68))</f>
        <v>38</v>
      </c>
      <c r="B68" s="235">
        <v>3</v>
      </c>
      <c r="C68" s="236" t="s">
        <v>373</v>
      </c>
      <c r="D68" s="240">
        <v>25</v>
      </c>
      <c r="E68" s="234"/>
      <c r="F68" s="164" t="str">
        <f>C68&amp;".S2"</f>
        <v>3A.S2</v>
      </c>
      <c r="G68" s="159" t="s">
        <v>362</v>
      </c>
      <c r="H68" s="159" t="s">
        <v>503</v>
      </c>
      <c r="I68" s="158" t="str">
        <f>VLOOKUP($H68,$D$2:$J$13,6,0)</f>
        <v>Thứ Hai (22/12)</v>
      </c>
      <c r="J68" s="158" t="str">
        <f>VLOOKUP($H68,$D$2:$J$13,7,0)</f>
        <v>Thứ Tư (24/12)</v>
      </c>
      <c r="K68" s="169">
        <f>COUNTIF('DS_Tong_12AS-AT-VH'!$B$946:$B$1653,F68)</f>
        <v>25</v>
      </c>
      <c r="L68" s="146">
        <f>D68-K68</f>
        <v>0</v>
      </c>
      <c r="M68" s="214" t="str">
        <f t="shared" si="17"/>
        <v>VĂN</v>
      </c>
      <c r="N68" s="221" t="str">
        <f t="shared" si="17"/>
        <v>LÝ</v>
      </c>
      <c r="O68" s="214" t="str">
        <f t="shared" si="17"/>
        <v>TOÁN</v>
      </c>
      <c r="P68" s="214" t="str">
        <f t="shared" si="17"/>
        <v>SỬ</v>
      </c>
      <c r="Q68" s="7">
        <f>Q67+K67</f>
        <v>100988</v>
      </c>
      <c r="R68" s="7">
        <f>Q68+K68-1</f>
        <v>101012</v>
      </c>
      <c r="S68" s="300" t="s">
        <v>1051</v>
      </c>
      <c r="T68" s="8" t="str">
        <f t="shared" si="3"/>
        <v>NGÀY THI: 22+24/12/2025</v>
      </c>
    </row>
    <row r="69" spans="1:20" ht="15" customHeight="1">
      <c r="A69" s="319">
        <f>IF(F69="","",SUBTOTAL(3,$F$18:F69))</f>
        <v>39</v>
      </c>
      <c r="B69" s="235">
        <v>4</v>
      </c>
      <c r="C69" s="236" t="s">
        <v>374</v>
      </c>
      <c r="D69" s="240">
        <v>25</v>
      </c>
      <c r="E69" s="234"/>
      <c r="F69" s="164" t="str">
        <f>C69&amp;".S2"</f>
        <v>4A.S2</v>
      </c>
      <c r="G69" s="159" t="s">
        <v>362</v>
      </c>
      <c r="H69" s="159" t="s">
        <v>503</v>
      </c>
      <c r="I69" s="158" t="str">
        <f>VLOOKUP($H69,$D$2:$J$13,6,0)</f>
        <v>Thứ Hai (22/12)</v>
      </c>
      <c r="J69" s="158" t="str">
        <f>VLOOKUP($H69,$D$2:$J$13,7,0)</f>
        <v>Thứ Tư (24/12)</v>
      </c>
      <c r="K69" s="169">
        <f>COUNTIF('DS_Tong_12AS-AT-VH'!$B$946:$B$1653,F69)</f>
        <v>25</v>
      </c>
      <c r="L69" s="146">
        <f>D69-K69</f>
        <v>0</v>
      </c>
      <c r="M69" s="214" t="str">
        <f t="shared" si="17"/>
        <v>VĂN</v>
      </c>
      <c r="N69" s="221" t="str">
        <f t="shared" si="17"/>
        <v>LÝ</v>
      </c>
      <c r="O69" s="214" t="str">
        <f t="shared" si="17"/>
        <v>TOÁN</v>
      </c>
      <c r="P69" s="214" t="str">
        <f t="shared" si="17"/>
        <v>SỬ</v>
      </c>
      <c r="Q69" s="7">
        <f>Q68+K68</f>
        <v>101013</v>
      </c>
      <c r="R69" s="7">
        <f>Q69+K69-1</f>
        <v>101037</v>
      </c>
      <c r="S69" s="300" t="s">
        <v>1051</v>
      </c>
      <c r="T69" s="8" t="str">
        <f t="shared" si="3"/>
        <v>NGÀY THI: 22+24/12/2025</v>
      </c>
    </row>
    <row r="70" spans="1:20" ht="15" customHeight="1">
      <c r="A70" s="319">
        <f>IF(F70="","",SUBTOTAL(3,$F$18:F70))</f>
        <v>40</v>
      </c>
      <c r="B70" s="246">
        <v>5</v>
      </c>
      <c r="C70" s="247" t="s">
        <v>375</v>
      </c>
      <c r="D70" s="240">
        <v>25</v>
      </c>
      <c r="E70" s="234"/>
      <c r="F70" s="164" t="str">
        <f>C70&amp;".S2"</f>
        <v>5A.S2</v>
      </c>
      <c r="G70" s="160" t="s">
        <v>362</v>
      </c>
      <c r="H70" s="160" t="s">
        <v>503</v>
      </c>
      <c r="I70" s="158" t="str">
        <f>VLOOKUP($H70,$D$2:$J$13,6,0)</f>
        <v>Thứ Hai (22/12)</v>
      </c>
      <c r="J70" s="158" t="str">
        <f>VLOOKUP($H70,$D$2:$J$13,7,0)</f>
        <v>Thứ Tư (24/12)</v>
      </c>
      <c r="K70" s="169">
        <f>COUNTIF('DS_Tong_12AS-AT-VH'!$B$946:$B$1653,F70)</f>
        <v>24</v>
      </c>
      <c r="L70" s="146">
        <f>D70-K70</f>
        <v>1</v>
      </c>
      <c r="M70" s="214" t="str">
        <f t="shared" si="17"/>
        <v>VĂN</v>
      </c>
      <c r="N70" s="221" t="str">
        <f t="shared" si="17"/>
        <v>LÝ</v>
      </c>
      <c r="O70" s="214" t="str">
        <f t="shared" si="17"/>
        <v>TOÁN</v>
      </c>
      <c r="P70" s="214" t="str">
        <f t="shared" si="17"/>
        <v>SỬ</v>
      </c>
      <c r="Q70" s="7">
        <f>Q69+K69</f>
        <v>101038</v>
      </c>
      <c r="R70" s="7">
        <f>Q70+K70-1</f>
        <v>101061</v>
      </c>
      <c r="S70" s="300" t="s">
        <v>1051</v>
      </c>
      <c r="T70" s="8" t="str">
        <f t="shared" si="3"/>
        <v>NGÀY THI: 22+24/12/2025</v>
      </c>
    </row>
    <row r="71" spans="1:20" ht="30" customHeight="1">
      <c r="A71" s="319" t="str">
        <f>IF(F71="","",SUBTOTAL(3,$F$18:F71))</f>
        <v/>
      </c>
      <c r="B71" s="227" t="s">
        <v>1052</v>
      </c>
      <c r="C71" s="242"/>
      <c r="D71" s="243">
        <v>139</v>
      </c>
      <c r="E71" s="244"/>
      <c r="F71" s="151"/>
      <c r="G71" s="147"/>
      <c r="H71" s="147"/>
      <c r="I71" s="147"/>
      <c r="J71" s="147"/>
      <c r="K71" s="51">
        <f>SUM(K72:K76)</f>
        <v>139</v>
      </c>
      <c r="L71" s="52">
        <f>SUM(L72:L76)</f>
        <v>0</v>
      </c>
      <c r="M71" s="50" t="str">
        <f>VLOOKUP($G72,$L$5:$P$10,M$3,0)</f>
        <v>VĂN</v>
      </c>
      <c r="N71" s="167" t="str">
        <f>VLOOKUP($G72,$L$5:$P$10,N$3,0)</f>
        <v>HÓA</v>
      </c>
      <c r="O71" s="50" t="str">
        <f>VLOOKUP($G72,$L$5:$P$10,O$3,0)</f>
        <v>TOÁN</v>
      </c>
      <c r="P71" s="50" t="str">
        <f>VLOOKUP($G72,$L$5:$P$10,P$3,0)</f>
        <v>SỬ</v>
      </c>
      <c r="Q71" s="7"/>
      <c r="R71" s="7"/>
      <c r="S71" s="7"/>
      <c r="T71" s="8" t="e">
        <f t="shared" si="3"/>
        <v>#N/A</v>
      </c>
    </row>
    <row r="72" spans="1:20" ht="15" customHeight="1">
      <c r="A72" s="319">
        <f>IF(F72="","",SUBTOTAL(3,$F$18:F72))</f>
        <v>41</v>
      </c>
      <c r="B72" s="252">
        <v>1</v>
      </c>
      <c r="C72" s="253" t="s">
        <v>376</v>
      </c>
      <c r="D72" s="240">
        <v>28</v>
      </c>
      <c r="E72" s="234" t="s">
        <v>1037</v>
      </c>
      <c r="F72" s="162" t="str">
        <f>C72&amp;".S2"</f>
        <v>6A.S2</v>
      </c>
      <c r="G72" s="163" t="s">
        <v>363</v>
      </c>
      <c r="H72" s="163" t="s">
        <v>503</v>
      </c>
      <c r="I72" s="158" t="str">
        <f>VLOOKUP($H72,$D$2:$J$13,6,0)</f>
        <v>Thứ Hai (22/12)</v>
      </c>
      <c r="J72" s="158" t="str">
        <f>VLOOKUP($H72,$D$2:$J$13,7,0)</f>
        <v>Thứ Tư (24/12)</v>
      </c>
      <c r="K72" s="168">
        <f>COUNTIF('DS_Tong_12AS-AT-VH'!$B$946:$B$1653,F72)</f>
        <v>28</v>
      </c>
      <c r="L72" s="146">
        <f>D72-K72</f>
        <v>0</v>
      </c>
      <c r="M72" s="214" t="str">
        <f t="shared" ref="M72:P76" si="18">VLOOKUP($G72,$L$5:$P$9,M$3,0)</f>
        <v>VĂN</v>
      </c>
      <c r="N72" s="221" t="str">
        <f t="shared" si="18"/>
        <v>HÓA</v>
      </c>
      <c r="O72" s="214" t="str">
        <f t="shared" si="18"/>
        <v>TOÁN</v>
      </c>
      <c r="P72" s="214" t="str">
        <f t="shared" si="18"/>
        <v>SỬ</v>
      </c>
      <c r="Q72" s="7">
        <f>R70+1</f>
        <v>101062</v>
      </c>
      <c r="R72" s="7">
        <f>Q72+K72-1</f>
        <v>101089</v>
      </c>
      <c r="S72" s="300" t="s">
        <v>1052</v>
      </c>
      <c r="T72" s="8" t="str">
        <f t="shared" si="3"/>
        <v>NGÀY THI: 22+24/12/2025</v>
      </c>
    </row>
    <row r="73" spans="1:20" ht="15" customHeight="1">
      <c r="A73" s="319">
        <f>IF(F73="","",SUBTOTAL(3,$F$18:F73))</f>
        <v>42</v>
      </c>
      <c r="B73" s="235">
        <v>2</v>
      </c>
      <c r="C73" s="236" t="s">
        <v>1049</v>
      </c>
      <c r="D73" s="240">
        <v>28</v>
      </c>
      <c r="E73" s="234"/>
      <c r="F73" s="164" t="str">
        <f>C73&amp;".S2"</f>
        <v>7A.S2</v>
      </c>
      <c r="G73" s="159" t="s">
        <v>363</v>
      </c>
      <c r="H73" s="159" t="s">
        <v>503</v>
      </c>
      <c r="I73" s="158" t="str">
        <f>VLOOKUP($H73,$D$2:$J$13,6,0)</f>
        <v>Thứ Hai (22/12)</v>
      </c>
      <c r="J73" s="158" t="str">
        <f>VLOOKUP($H73,$D$2:$J$13,7,0)</f>
        <v>Thứ Tư (24/12)</v>
      </c>
      <c r="K73" s="169">
        <f>COUNTIF('DS_Tong_12AS-AT-VH'!$B$946:$B$1653,F73)</f>
        <v>28</v>
      </c>
      <c r="L73" s="146">
        <f>D73-K73</f>
        <v>0</v>
      </c>
      <c r="M73" s="214" t="str">
        <f t="shared" si="18"/>
        <v>VĂN</v>
      </c>
      <c r="N73" s="221" t="str">
        <f t="shared" si="18"/>
        <v>HÓA</v>
      </c>
      <c r="O73" s="214" t="str">
        <f t="shared" si="18"/>
        <v>TOÁN</v>
      </c>
      <c r="P73" s="214" t="str">
        <f t="shared" si="18"/>
        <v>SỬ</v>
      </c>
      <c r="Q73" s="7">
        <f>Q72+K72</f>
        <v>101090</v>
      </c>
      <c r="R73" s="7">
        <f>Q73+K73-1</f>
        <v>101117</v>
      </c>
      <c r="S73" s="300" t="s">
        <v>1052</v>
      </c>
      <c r="T73" s="8" t="str">
        <f t="shared" si="3"/>
        <v>NGÀY THI: 22+24/12/2025</v>
      </c>
    </row>
    <row r="74" spans="1:20" ht="15" customHeight="1">
      <c r="A74" s="319">
        <f>IF(F74="","",SUBTOTAL(3,$F$18:F74))</f>
        <v>43</v>
      </c>
      <c r="B74" s="235">
        <v>3</v>
      </c>
      <c r="C74" s="236" t="s">
        <v>377</v>
      </c>
      <c r="D74" s="240">
        <v>28</v>
      </c>
      <c r="E74" s="234"/>
      <c r="F74" s="164" t="str">
        <f>C74&amp;".S2"</f>
        <v>9A.S2</v>
      </c>
      <c r="G74" s="159" t="s">
        <v>363</v>
      </c>
      <c r="H74" s="159" t="s">
        <v>503</v>
      </c>
      <c r="I74" s="158" t="str">
        <f>VLOOKUP($H74,$D$2:$J$13,6,0)</f>
        <v>Thứ Hai (22/12)</v>
      </c>
      <c r="J74" s="158" t="str">
        <f>VLOOKUP($H74,$D$2:$J$13,7,0)</f>
        <v>Thứ Tư (24/12)</v>
      </c>
      <c r="K74" s="169">
        <f>COUNTIF('DS_Tong_12AS-AT-VH'!$B$946:$B$1653,F74)</f>
        <v>28</v>
      </c>
      <c r="L74" s="146">
        <f>D74-K74</f>
        <v>0</v>
      </c>
      <c r="M74" s="214" t="str">
        <f t="shared" si="18"/>
        <v>VĂN</v>
      </c>
      <c r="N74" s="221" t="str">
        <f t="shared" si="18"/>
        <v>HÓA</v>
      </c>
      <c r="O74" s="214" t="str">
        <f t="shared" si="18"/>
        <v>TOÁN</v>
      </c>
      <c r="P74" s="214" t="str">
        <f t="shared" si="18"/>
        <v>SỬ</v>
      </c>
      <c r="Q74" s="7">
        <f>Q73+K73</f>
        <v>101118</v>
      </c>
      <c r="R74" s="7">
        <f>Q74+K74-1</f>
        <v>101145</v>
      </c>
      <c r="S74" s="300" t="s">
        <v>1052</v>
      </c>
      <c r="T74" s="8" t="str">
        <f t="shared" si="3"/>
        <v>NGÀY THI: 22+24/12/2025</v>
      </c>
    </row>
    <row r="75" spans="1:20" ht="15" customHeight="1">
      <c r="A75" s="319">
        <f>IF(F75="","",SUBTOTAL(3,$F$18:F75))</f>
        <v>44</v>
      </c>
      <c r="B75" s="235">
        <v>4</v>
      </c>
      <c r="C75" s="236" t="s">
        <v>378</v>
      </c>
      <c r="D75" s="240">
        <v>28</v>
      </c>
      <c r="E75" s="234"/>
      <c r="F75" s="164" t="str">
        <f>C75&amp;".S2"</f>
        <v>10A.S2</v>
      </c>
      <c r="G75" s="159" t="s">
        <v>363</v>
      </c>
      <c r="H75" s="159" t="s">
        <v>503</v>
      </c>
      <c r="I75" s="158" t="str">
        <f>VLOOKUP($H75,$D$2:$J$13,6,0)</f>
        <v>Thứ Hai (22/12)</v>
      </c>
      <c r="J75" s="158" t="str">
        <f>VLOOKUP($H75,$D$2:$J$13,7,0)</f>
        <v>Thứ Tư (24/12)</v>
      </c>
      <c r="K75" s="169">
        <f>COUNTIF('DS_Tong_12AS-AT-VH'!$B$946:$B$1653,F75)</f>
        <v>28</v>
      </c>
      <c r="L75" s="146">
        <f>D75-K75</f>
        <v>0</v>
      </c>
      <c r="M75" s="214" t="str">
        <f t="shared" si="18"/>
        <v>VĂN</v>
      </c>
      <c r="N75" s="221" t="str">
        <f t="shared" si="18"/>
        <v>HÓA</v>
      </c>
      <c r="O75" s="214" t="str">
        <f t="shared" si="18"/>
        <v>TOÁN</v>
      </c>
      <c r="P75" s="214" t="str">
        <f t="shared" si="18"/>
        <v>SỬ</v>
      </c>
      <c r="Q75" s="7">
        <f>Q74+K74</f>
        <v>101146</v>
      </c>
      <c r="R75" s="7">
        <f>Q75+K75-1</f>
        <v>101173</v>
      </c>
      <c r="S75" s="300" t="s">
        <v>1052</v>
      </c>
      <c r="T75" s="8" t="str">
        <f t="shared" si="3"/>
        <v>NGÀY THI: 22+24/12/2025</v>
      </c>
    </row>
    <row r="76" spans="1:20" ht="15" customHeight="1">
      <c r="A76" s="319">
        <f>IF(F76="","",SUBTOTAL(3,$F$18:F76))</f>
        <v>45</v>
      </c>
      <c r="B76" s="246">
        <v>5</v>
      </c>
      <c r="C76" s="247" t="s">
        <v>379</v>
      </c>
      <c r="D76" s="240">
        <v>27</v>
      </c>
      <c r="E76" s="234"/>
      <c r="F76" s="164" t="str">
        <f>C76&amp;".S2"</f>
        <v>11A.S2</v>
      </c>
      <c r="G76" s="160" t="s">
        <v>363</v>
      </c>
      <c r="H76" s="160" t="s">
        <v>503</v>
      </c>
      <c r="I76" s="158" t="str">
        <f>VLOOKUP($H76,$D$2:$J$13,6,0)</f>
        <v>Thứ Hai (22/12)</v>
      </c>
      <c r="J76" s="158" t="str">
        <f>VLOOKUP($H76,$D$2:$J$13,7,0)</f>
        <v>Thứ Tư (24/12)</v>
      </c>
      <c r="K76" s="169">
        <f>COUNTIF('DS_Tong_12AS-AT-VH'!$B$946:$B$1653,F76)</f>
        <v>27</v>
      </c>
      <c r="L76" s="146">
        <f>D76-K76</f>
        <v>0</v>
      </c>
      <c r="M76" s="214" t="str">
        <f t="shared" si="18"/>
        <v>VĂN</v>
      </c>
      <c r="N76" s="221" t="str">
        <f t="shared" si="18"/>
        <v>HÓA</v>
      </c>
      <c r="O76" s="214" t="str">
        <f t="shared" si="18"/>
        <v>TOÁN</v>
      </c>
      <c r="P76" s="214" t="str">
        <f t="shared" si="18"/>
        <v>SỬ</v>
      </c>
      <c r="Q76" s="7">
        <f>Q75+K75</f>
        <v>101174</v>
      </c>
      <c r="R76" s="7">
        <f>Q76+K76-1</f>
        <v>101200</v>
      </c>
      <c r="S76" s="300" t="s">
        <v>1052</v>
      </c>
      <c r="T76" s="8" t="str">
        <f t="shared" si="3"/>
        <v>NGÀY THI: 22+24/12/2025</v>
      </c>
    </row>
    <row r="77" spans="1:20" ht="30" customHeight="1">
      <c r="A77" s="319" t="str">
        <f>IF(F77="","",SUBTOTAL(3,$F$18:F77))</f>
        <v/>
      </c>
      <c r="B77" s="227" t="s">
        <v>1053</v>
      </c>
      <c r="C77" s="242"/>
      <c r="D77" s="243">
        <v>105</v>
      </c>
      <c r="E77" s="244"/>
      <c r="F77" s="151"/>
      <c r="G77" s="147"/>
      <c r="H77" s="147"/>
      <c r="I77" s="147"/>
      <c r="J77" s="147"/>
      <c r="K77" s="51">
        <f>SUM(K78:K81)</f>
        <v>105</v>
      </c>
      <c r="L77" s="52">
        <f>SUM(L78:L81)</f>
        <v>0</v>
      </c>
      <c r="M77" s="50" t="str">
        <f>VLOOKUP($G78,$L$5:$P$10,M$3,0)</f>
        <v>VĂN</v>
      </c>
      <c r="N77" s="167" t="str">
        <f>VLOOKUP($G78,$L$5:$P$10,N$3,0)</f>
        <v>KT-PL</v>
      </c>
      <c r="O77" s="50" t="str">
        <f>VLOOKUP($G78,$L$5:$P$10,O$3,0)</f>
        <v>TOÁN</v>
      </c>
      <c r="P77" s="50" t="str">
        <f>VLOOKUP($G78,$L$5:$P$10,P$3,0)</f>
        <v>SỬ</v>
      </c>
      <c r="Q77" s="7"/>
      <c r="R77" s="7"/>
      <c r="S77" s="7"/>
      <c r="T77" s="8" t="e">
        <f t="shared" si="3"/>
        <v>#N/A</v>
      </c>
    </row>
    <row r="78" spans="1:20" ht="15" customHeight="1">
      <c r="A78" s="319">
        <f>IF(F78="","",SUBTOTAL(3,$F$18:F78))</f>
        <v>46</v>
      </c>
      <c r="B78" s="252">
        <v>1</v>
      </c>
      <c r="C78" s="253" t="s">
        <v>380</v>
      </c>
      <c r="D78" s="240">
        <v>27</v>
      </c>
      <c r="E78" s="234"/>
      <c r="F78" s="162" t="str">
        <f>C78&amp;".S2"</f>
        <v>12A.S2</v>
      </c>
      <c r="G78" s="163" t="s">
        <v>364</v>
      </c>
      <c r="H78" s="163" t="s">
        <v>503</v>
      </c>
      <c r="I78" s="158" t="str">
        <f>VLOOKUP($H78,$D$2:$J$13,6,0)</f>
        <v>Thứ Hai (22/12)</v>
      </c>
      <c r="J78" s="158" t="str">
        <f>VLOOKUP($H78,$D$2:$J$13,7,0)</f>
        <v>Thứ Tư (24/12)</v>
      </c>
      <c r="K78" s="168">
        <f>COUNTIF('DS_Tong_12AS-AT-VH'!$B$946:$B$1653,F78)</f>
        <v>27</v>
      </c>
      <c r="L78" s="146">
        <f>D78-K78</f>
        <v>0</v>
      </c>
      <c r="M78" s="214" t="str">
        <f t="shared" ref="M78:P81" si="19">VLOOKUP($G78,$L$5:$P$9,M$3,0)</f>
        <v>VĂN</v>
      </c>
      <c r="N78" s="221" t="str">
        <f t="shared" si="19"/>
        <v>KT-PL</v>
      </c>
      <c r="O78" s="214" t="str">
        <f t="shared" si="19"/>
        <v>TOÁN</v>
      </c>
      <c r="P78" s="214" t="str">
        <f t="shared" si="19"/>
        <v>SỬ</v>
      </c>
      <c r="Q78" s="7">
        <f>R76+1</f>
        <v>101201</v>
      </c>
      <c r="R78" s="7">
        <f>Q78+K78-1</f>
        <v>101227</v>
      </c>
      <c r="S78" s="300" t="s">
        <v>1053</v>
      </c>
      <c r="T78" s="8" t="str">
        <f t="shared" si="3"/>
        <v>NGÀY THI: 22+24/12/2025</v>
      </c>
    </row>
    <row r="79" spans="1:20" ht="15" customHeight="1">
      <c r="A79" s="319">
        <f>IF(F79="","",SUBTOTAL(3,$F$18:F79))</f>
        <v>47</v>
      </c>
      <c r="B79" s="235">
        <v>2</v>
      </c>
      <c r="C79" s="236" t="s">
        <v>381</v>
      </c>
      <c r="D79" s="240">
        <v>26</v>
      </c>
      <c r="E79" s="234"/>
      <c r="F79" s="164" t="str">
        <f>C79&amp;".S2"</f>
        <v>13A.S2</v>
      </c>
      <c r="G79" s="159" t="s">
        <v>364</v>
      </c>
      <c r="H79" s="159" t="s">
        <v>503</v>
      </c>
      <c r="I79" s="158" t="str">
        <f>VLOOKUP($H79,$D$2:$J$13,6,0)</f>
        <v>Thứ Hai (22/12)</v>
      </c>
      <c r="J79" s="158" t="str">
        <f>VLOOKUP($H79,$D$2:$J$13,7,0)</f>
        <v>Thứ Tư (24/12)</v>
      </c>
      <c r="K79" s="169">
        <f>COUNTIF('DS_Tong_12AS-AT-VH'!$B$946:$B$1653,F79)</f>
        <v>26</v>
      </c>
      <c r="L79" s="146">
        <f>D79-K79</f>
        <v>0</v>
      </c>
      <c r="M79" s="214" t="str">
        <f t="shared" si="19"/>
        <v>VĂN</v>
      </c>
      <c r="N79" s="221" t="str">
        <f t="shared" si="19"/>
        <v>KT-PL</v>
      </c>
      <c r="O79" s="214" t="str">
        <f t="shared" si="19"/>
        <v>TOÁN</v>
      </c>
      <c r="P79" s="214" t="str">
        <f t="shared" si="19"/>
        <v>SỬ</v>
      </c>
      <c r="Q79" s="7">
        <f>Q78+K78</f>
        <v>101228</v>
      </c>
      <c r="R79" s="7">
        <f>Q79+K79-1</f>
        <v>101253</v>
      </c>
      <c r="S79" s="300" t="s">
        <v>1053</v>
      </c>
      <c r="T79" s="8" t="str">
        <f t="shared" si="3"/>
        <v>NGÀY THI: 22+24/12/2025</v>
      </c>
    </row>
    <row r="80" spans="1:20" ht="15" customHeight="1">
      <c r="A80" s="319">
        <f>IF(F80="","",SUBTOTAL(3,$F$18:F80))</f>
        <v>48</v>
      </c>
      <c r="B80" s="235">
        <v>3</v>
      </c>
      <c r="C80" s="236" t="s">
        <v>382</v>
      </c>
      <c r="D80" s="240">
        <v>26</v>
      </c>
      <c r="E80" s="234"/>
      <c r="F80" s="164" t="str">
        <f>C80&amp;".S2"</f>
        <v>14A.S2</v>
      </c>
      <c r="G80" s="159" t="s">
        <v>364</v>
      </c>
      <c r="H80" s="159" t="s">
        <v>503</v>
      </c>
      <c r="I80" s="158" t="str">
        <f>VLOOKUP($H80,$D$2:$J$13,6,0)</f>
        <v>Thứ Hai (22/12)</v>
      </c>
      <c r="J80" s="158" t="str">
        <f>VLOOKUP($H80,$D$2:$J$13,7,0)</f>
        <v>Thứ Tư (24/12)</v>
      </c>
      <c r="K80" s="169">
        <f>COUNTIF('DS_Tong_12AS-AT-VH'!$B$946:$B$1653,F80)</f>
        <v>26</v>
      </c>
      <c r="L80" s="146">
        <f>D80-K80</f>
        <v>0</v>
      </c>
      <c r="M80" s="214" t="str">
        <f t="shared" si="19"/>
        <v>VĂN</v>
      </c>
      <c r="N80" s="221" t="str">
        <f t="shared" si="19"/>
        <v>KT-PL</v>
      </c>
      <c r="O80" s="214" t="str">
        <f t="shared" si="19"/>
        <v>TOÁN</v>
      </c>
      <c r="P80" s="214" t="str">
        <f t="shared" si="19"/>
        <v>SỬ</v>
      </c>
      <c r="Q80" s="7">
        <f>Q79+K79</f>
        <v>101254</v>
      </c>
      <c r="R80" s="7">
        <f>Q80+K80-1</f>
        <v>101279</v>
      </c>
      <c r="S80" s="300" t="s">
        <v>1053</v>
      </c>
      <c r="T80" s="8" t="str">
        <f t="shared" si="3"/>
        <v>NGÀY THI: 22+24/12/2025</v>
      </c>
    </row>
    <row r="81" spans="1:21" ht="15" customHeight="1">
      <c r="A81" s="319">
        <f>IF(F81="","",SUBTOTAL(3,$F$18:F81))</f>
        <v>49</v>
      </c>
      <c r="B81" s="246">
        <v>4</v>
      </c>
      <c r="C81" s="247" t="s">
        <v>383</v>
      </c>
      <c r="D81" s="240">
        <v>26</v>
      </c>
      <c r="E81" s="234"/>
      <c r="F81" s="164" t="str">
        <f>C81&amp;".S2"</f>
        <v>2B.S2</v>
      </c>
      <c r="G81" s="160" t="s">
        <v>364</v>
      </c>
      <c r="H81" s="160" t="s">
        <v>503</v>
      </c>
      <c r="I81" s="158" t="str">
        <f>VLOOKUP($H81,$D$2:$J$13,6,0)</f>
        <v>Thứ Hai (22/12)</v>
      </c>
      <c r="J81" s="158" t="str">
        <f>VLOOKUP($H81,$D$2:$J$13,7,0)</f>
        <v>Thứ Tư (24/12)</v>
      </c>
      <c r="K81" s="169">
        <f>COUNTIF('DS_Tong_12AS-AT-VH'!$B$946:$B$1653,F81)</f>
        <v>26</v>
      </c>
      <c r="L81" s="146">
        <f>D81-K81</f>
        <v>0</v>
      </c>
      <c r="M81" s="214" t="str">
        <f t="shared" si="19"/>
        <v>VĂN</v>
      </c>
      <c r="N81" s="221" t="str">
        <f t="shared" si="19"/>
        <v>KT-PL</v>
      </c>
      <c r="O81" s="214" t="str">
        <f t="shared" si="19"/>
        <v>TOÁN</v>
      </c>
      <c r="P81" s="214" t="str">
        <f t="shared" si="19"/>
        <v>SỬ</v>
      </c>
      <c r="Q81" s="7">
        <f>Q80+K80</f>
        <v>101280</v>
      </c>
      <c r="R81" s="7">
        <f>Q81+K81-1</f>
        <v>101305</v>
      </c>
      <c r="S81" s="300" t="s">
        <v>1053</v>
      </c>
      <c r="T81" s="8" t="str">
        <f t="shared" si="3"/>
        <v>NGÀY THI: 22+24/12/2025</v>
      </c>
    </row>
    <row r="82" spans="1:21" ht="30" customHeight="1">
      <c r="A82" s="319" t="str">
        <f>IF(F82="","",SUBTOTAL(3,$F$18:F82))</f>
        <v/>
      </c>
      <c r="B82" s="254" t="s">
        <v>1095</v>
      </c>
      <c r="C82" s="242"/>
      <c r="D82" s="243">
        <v>193</v>
      </c>
      <c r="E82" s="244"/>
      <c r="F82" s="151"/>
      <c r="G82" s="147"/>
      <c r="H82" s="147"/>
      <c r="I82" s="147"/>
      <c r="J82" s="147"/>
      <c r="K82" s="51">
        <f>SUM(K83:K89)</f>
        <v>193</v>
      </c>
      <c r="L82" s="52">
        <f>SUM(L83:L94)</f>
        <v>4</v>
      </c>
      <c r="M82" s="50" t="str">
        <f>VLOOKUP($G83,$L$5:$P$10,M$3,0)</f>
        <v>VĂN</v>
      </c>
      <c r="N82" s="167" t="str">
        <f>VLOOKUP($G83,$L$5:$P$10,N$3,0)</f>
        <v>KT-PL</v>
      </c>
      <c r="O82" s="50" t="str">
        <f>VLOOKUP($G83,$L$5:$P$10,O$3,0)</f>
        <v>TOÁN</v>
      </c>
      <c r="P82" s="50" t="str">
        <f>VLOOKUP($G83,$L$5:$P$10,P$3,0)</f>
        <v>SỬ</v>
      </c>
      <c r="Q82" s="7"/>
      <c r="R82" s="7"/>
      <c r="S82" s="7"/>
      <c r="T82" s="8" t="e">
        <f t="shared" si="3"/>
        <v>#N/A</v>
      </c>
    </row>
    <row r="83" spans="1:21" ht="15" customHeight="1">
      <c r="A83" s="319">
        <f>IF(F83="","",SUBTOTAL(3,$F$18:F83))</f>
        <v>50</v>
      </c>
      <c r="B83" s="252">
        <v>1</v>
      </c>
      <c r="C83" s="253" t="s">
        <v>384</v>
      </c>
      <c r="D83" s="240">
        <v>28</v>
      </c>
      <c r="E83" s="234" t="s">
        <v>1050</v>
      </c>
      <c r="F83" s="162" t="str">
        <f t="shared" ref="F83:F89" si="20">C83&amp;".S2"</f>
        <v>3B.S2</v>
      </c>
      <c r="G83" s="163" t="s">
        <v>365</v>
      </c>
      <c r="H83" s="163" t="s">
        <v>503</v>
      </c>
      <c r="I83" s="158" t="str">
        <f>VLOOKUP($H83,$D$2:$J$13,6,0)</f>
        <v>Thứ Hai (22/12)</v>
      </c>
      <c r="J83" s="158" t="str">
        <f>VLOOKUP($H83,$D$2:$J$13,7,0)</f>
        <v>Thứ Tư (24/12)</v>
      </c>
      <c r="K83" s="168">
        <f>COUNTIF('DS_Tong_12AS-AT-VH'!$B$946:$B$1653,F83)</f>
        <v>28</v>
      </c>
      <c r="L83" s="146">
        <f t="shared" ref="L83:L89" si="21">D83-K83</f>
        <v>0</v>
      </c>
      <c r="M83" s="214" t="str">
        <f t="shared" ref="M83:P89" si="22">VLOOKUP($G83,$L$5:$P$9,M$3,0)</f>
        <v>VĂN</v>
      </c>
      <c r="N83" s="221" t="str">
        <f t="shared" si="22"/>
        <v>KT-PL</v>
      </c>
      <c r="O83" s="214" t="str">
        <f t="shared" si="22"/>
        <v>TOÁN</v>
      </c>
      <c r="P83" s="214" t="str">
        <f t="shared" si="22"/>
        <v>SỬ</v>
      </c>
      <c r="Q83" s="7">
        <f>R81+1</f>
        <v>101306</v>
      </c>
      <c r="R83" s="7">
        <f t="shared" ref="R83:R89" si="23">Q83+K83-1</f>
        <v>101333</v>
      </c>
      <c r="S83" s="301" t="s">
        <v>1095</v>
      </c>
      <c r="T83" s="8" t="str">
        <f t="shared" ref="T83:T146" si="24">VLOOKUP($H83,$D$2:$G$13,2,0)</f>
        <v>NGÀY THI: 22+24/12/2025</v>
      </c>
    </row>
    <row r="84" spans="1:21" ht="15" customHeight="1">
      <c r="A84" s="319">
        <f>IF(F84="","",SUBTOTAL(3,$F$18:F84))</f>
        <v>51</v>
      </c>
      <c r="B84" s="235">
        <v>2</v>
      </c>
      <c r="C84" s="236" t="s">
        <v>385</v>
      </c>
      <c r="D84" s="240">
        <v>28</v>
      </c>
      <c r="E84" s="234"/>
      <c r="F84" s="164" t="str">
        <f t="shared" si="20"/>
        <v>4B.S2</v>
      </c>
      <c r="G84" s="159" t="s">
        <v>365</v>
      </c>
      <c r="H84" s="159" t="s">
        <v>503</v>
      </c>
      <c r="I84" s="158" t="str">
        <f t="shared" ref="I84:I89" si="25">VLOOKUP($H84,$D$2:$J$13,6,0)</f>
        <v>Thứ Hai (22/12)</v>
      </c>
      <c r="J84" s="158" t="str">
        <f t="shared" ref="J84:J89" si="26">VLOOKUP($H84,$D$2:$J$13,7,0)</f>
        <v>Thứ Tư (24/12)</v>
      </c>
      <c r="K84" s="169">
        <f>COUNTIF('DS_Tong_12AS-AT-VH'!$B$946:$B$1653,F84)</f>
        <v>28</v>
      </c>
      <c r="L84" s="146">
        <f t="shared" si="21"/>
        <v>0</v>
      </c>
      <c r="M84" s="214" t="str">
        <f t="shared" si="22"/>
        <v>VĂN</v>
      </c>
      <c r="N84" s="221" t="str">
        <f t="shared" si="22"/>
        <v>KT-PL</v>
      </c>
      <c r="O84" s="214" t="str">
        <f t="shared" si="22"/>
        <v>TOÁN</v>
      </c>
      <c r="P84" s="214" t="str">
        <f t="shared" si="22"/>
        <v>SỬ</v>
      </c>
      <c r="Q84" s="7">
        <f t="shared" ref="Q84:Q89" si="27">Q83+K83</f>
        <v>101334</v>
      </c>
      <c r="R84" s="7">
        <f t="shared" si="23"/>
        <v>101361</v>
      </c>
      <c r="S84" s="301" t="s">
        <v>1095</v>
      </c>
      <c r="T84" s="8" t="str">
        <f t="shared" si="24"/>
        <v>NGÀY THI: 22+24/12/2025</v>
      </c>
    </row>
    <row r="85" spans="1:21" ht="15" customHeight="1">
      <c r="A85" s="319">
        <f>IF(F85="","",SUBTOTAL(3,$F$18:F85))</f>
        <v>52</v>
      </c>
      <c r="B85" s="235">
        <v>3</v>
      </c>
      <c r="C85" s="236" t="s">
        <v>386</v>
      </c>
      <c r="D85" s="240">
        <v>28</v>
      </c>
      <c r="E85" s="234"/>
      <c r="F85" s="164" t="str">
        <f t="shared" si="20"/>
        <v>5B.S2</v>
      </c>
      <c r="G85" s="159" t="s">
        <v>365</v>
      </c>
      <c r="H85" s="159" t="s">
        <v>503</v>
      </c>
      <c r="I85" s="158" t="str">
        <f t="shared" si="25"/>
        <v>Thứ Hai (22/12)</v>
      </c>
      <c r="J85" s="158" t="str">
        <f t="shared" si="26"/>
        <v>Thứ Tư (24/12)</v>
      </c>
      <c r="K85" s="169">
        <f>COUNTIF('DS_Tong_12AS-AT-VH'!$B$946:$B$1653,F85)</f>
        <v>28</v>
      </c>
      <c r="L85" s="146">
        <f t="shared" si="21"/>
        <v>0</v>
      </c>
      <c r="M85" s="214" t="str">
        <f t="shared" si="22"/>
        <v>VĂN</v>
      </c>
      <c r="N85" s="221" t="str">
        <f t="shared" si="22"/>
        <v>KT-PL</v>
      </c>
      <c r="O85" s="214" t="str">
        <f t="shared" si="22"/>
        <v>TOÁN</v>
      </c>
      <c r="P85" s="214" t="str">
        <f t="shared" si="22"/>
        <v>SỬ</v>
      </c>
      <c r="Q85" s="7">
        <f t="shared" si="27"/>
        <v>101362</v>
      </c>
      <c r="R85" s="7">
        <f t="shared" si="23"/>
        <v>101389</v>
      </c>
      <c r="S85" s="301" t="s">
        <v>1095</v>
      </c>
      <c r="T85" s="8" t="str">
        <f t="shared" si="24"/>
        <v>NGÀY THI: 22+24/12/2025</v>
      </c>
    </row>
    <row r="86" spans="1:21" ht="15" customHeight="1">
      <c r="A86" s="319">
        <f>IF(F86="","",SUBTOTAL(3,$F$18:F86))</f>
        <v>53</v>
      </c>
      <c r="B86" s="235">
        <v>4</v>
      </c>
      <c r="C86" s="236" t="s">
        <v>387</v>
      </c>
      <c r="D86" s="240">
        <v>28</v>
      </c>
      <c r="E86" s="234"/>
      <c r="F86" s="164" t="str">
        <f t="shared" si="20"/>
        <v>6B.S2</v>
      </c>
      <c r="G86" s="159" t="s">
        <v>365</v>
      </c>
      <c r="H86" s="159" t="s">
        <v>503</v>
      </c>
      <c r="I86" s="158" t="str">
        <f t="shared" si="25"/>
        <v>Thứ Hai (22/12)</v>
      </c>
      <c r="J86" s="158" t="str">
        <f t="shared" si="26"/>
        <v>Thứ Tư (24/12)</v>
      </c>
      <c r="K86" s="169">
        <f>COUNTIF('DS_Tong_12AS-AT-VH'!$B$946:$B$1653,F86)</f>
        <v>28</v>
      </c>
      <c r="L86" s="146">
        <f t="shared" si="21"/>
        <v>0</v>
      </c>
      <c r="M86" s="214" t="str">
        <f t="shared" si="22"/>
        <v>VĂN</v>
      </c>
      <c r="N86" s="221" t="str">
        <f t="shared" si="22"/>
        <v>KT-PL</v>
      </c>
      <c r="O86" s="214" t="str">
        <f t="shared" si="22"/>
        <v>TOÁN</v>
      </c>
      <c r="P86" s="214" t="str">
        <f t="shared" si="22"/>
        <v>SỬ</v>
      </c>
      <c r="Q86" s="7">
        <f t="shared" si="27"/>
        <v>101390</v>
      </c>
      <c r="R86" s="7">
        <f t="shared" si="23"/>
        <v>101417</v>
      </c>
      <c r="S86" s="301" t="s">
        <v>1095</v>
      </c>
      <c r="T86" s="8" t="str">
        <f t="shared" si="24"/>
        <v>NGÀY THI: 22+24/12/2025</v>
      </c>
    </row>
    <row r="87" spans="1:21" ht="15" customHeight="1">
      <c r="A87" s="319">
        <f>IF(F87="","",SUBTOTAL(3,$F$18:F87))</f>
        <v>54</v>
      </c>
      <c r="B87" s="235">
        <v>5</v>
      </c>
      <c r="C87" s="236" t="s">
        <v>388</v>
      </c>
      <c r="D87" s="240">
        <v>27</v>
      </c>
      <c r="E87" s="234"/>
      <c r="F87" s="164" t="str">
        <f t="shared" si="20"/>
        <v>7B.S2</v>
      </c>
      <c r="G87" s="159" t="s">
        <v>365</v>
      </c>
      <c r="H87" s="159" t="s">
        <v>503</v>
      </c>
      <c r="I87" s="158" t="str">
        <f t="shared" si="25"/>
        <v>Thứ Hai (22/12)</v>
      </c>
      <c r="J87" s="158" t="str">
        <f t="shared" si="26"/>
        <v>Thứ Tư (24/12)</v>
      </c>
      <c r="K87" s="169">
        <f>COUNTIF('DS_Tong_12AS-AT-VH'!$B$946:$B$1653,F87)</f>
        <v>27</v>
      </c>
      <c r="L87" s="146">
        <f t="shared" si="21"/>
        <v>0</v>
      </c>
      <c r="M87" s="214" t="str">
        <f t="shared" si="22"/>
        <v>VĂN</v>
      </c>
      <c r="N87" s="221" t="str">
        <f t="shared" si="22"/>
        <v>KT-PL</v>
      </c>
      <c r="O87" s="214" t="str">
        <f t="shared" si="22"/>
        <v>TOÁN</v>
      </c>
      <c r="P87" s="214" t="str">
        <f t="shared" si="22"/>
        <v>SỬ</v>
      </c>
      <c r="Q87" s="7">
        <f t="shared" si="27"/>
        <v>101418</v>
      </c>
      <c r="R87" s="7">
        <f t="shared" si="23"/>
        <v>101444</v>
      </c>
      <c r="S87" s="301" t="s">
        <v>1095</v>
      </c>
      <c r="T87" s="8" t="str">
        <f t="shared" si="24"/>
        <v>NGÀY THI: 22+24/12/2025</v>
      </c>
    </row>
    <row r="88" spans="1:21" ht="15" customHeight="1">
      <c r="A88" s="319">
        <f>IF(F88="","",SUBTOTAL(3,$F$18:F88))</f>
        <v>55</v>
      </c>
      <c r="B88" s="235">
        <v>6</v>
      </c>
      <c r="C88" s="236" t="s">
        <v>389</v>
      </c>
      <c r="D88" s="240">
        <v>27</v>
      </c>
      <c r="E88" s="234"/>
      <c r="F88" s="164" t="str">
        <f t="shared" si="20"/>
        <v>8B.S2</v>
      </c>
      <c r="G88" s="159" t="s">
        <v>365</v>
      </c>
      <c r="H88" s="159" t="s">
        <v>503</v>
      </c>
      <c r="I88" s="158" t="str">
        <f t="shared" si="25"/>
        <v>Thứ Hai (22/12)</v>
      </c>
      <c r="J88" s="158" t="str">
        <f t="shared" si="26"/>
        <v>Thứ Tư (24/12)</v>
      </c>
      <c r="K88" s="169">
        <f>COUNTIF('DS_Tong_12AS-AT-VH'!$B$946:$B$1653,F88)</f>
        <v>27</v>
      </c>
      <c r="L88" s="146">
        <f t="shared" si="21"/>
        <v>0</v>
      </c>
      <c r="M88" s="214" t="str">
        <f t="shared" si="22"/>
        <v>VĂN</v>
      </c>
      <c r="N88" s="221" t="str">
        <f t="shared" si="22"/>
        <v>KT-PL</v>
      </c>
      <c r="O88" s="214" t="str">
        <f t="shared" si="22"/>
        <v>TOÁN</v>
      </c>
      <c r="P88" s="214" t="str">
        <f t="shared" si="22"/>
        <v>SỬ</v>
      </c>
      <c r="Q88" s="7">
        <f t="shared" si="27"/>
        <v>101445</v>
      </c>
      <c r="R88" s="7">
        <f t="shared" si="23"/>
        <v>101471</v>
      </c>
      <c r="S88" s="301" t="s">
        <v>1095</v>
      </c>
      <c r="T88" s="8" t="str">
        <f t="shared" si="24"/>
        <v>NGÀY THI: 22+24/12/2025</v>
      </c>
    </row>
    <row r="89" spans="1:21" ht="15" customHeight="1">
      <c r="A89" s="319">
        <f>IF(F89="","",SUBTOTAL(3,$F$18:F89))</f>
        <v>56</v>
      </c>
      <c r="B89" s="246">
        <v>7</v>
      </c>
      <c r="C89" s="247" t="s">
        <v>491</v>
      </c>
      <c r="D89" s="240">
        <v>27</v>
      </c>
      <c r="E89" s="234"/>
      <c r="F89" s="164" t="str">
        <f t="shared" si="20"/>
        <v>9B.S2</v>
      </c>
      <c r="G89" s="160" t="s">
        <v>365</v>
      </c>
      <c r="H89" s="160" t="s">
        <v>503</v>
      </c>
      <c r="I89" s="158" t="str">
        <f t="shared" si="25"/>
        <v>Thứ Hai (22/12)</v>
      </c>
      <c r="J89" s="158" t="str">
        <f t="shared" si="26"/>
        <v>Thứ Tư (24/12)</v>
      </c>
      <c r="K89" s="169">
        <f>COUNTIF('DS_Tong_12AS-AT-VH'!$B$946:$B$1653,F89)</f>
        <v>27</v>
      </c>
      <c r="L89" s="146">
        <f t="shared" si="21"/>
        <v>0</v>
      </c>
      <c r="M89" s="214" t="str">
        <f t="shared" si="22"/>
        <v>VĂN</v>
      </c>
      <c r="N89" s="221" t="str">
        <f t="shared" si="22"/>
        <v>KT-PL</v>
      </c>
      <c r="O89" s="214" t="str">
        <f t="shared" si="22"/>
        <v>TOÁN</v>
      </c>
      <c r="P89" s="214" t="str">
        <f t="shared" si="22"/>
        <v>SỬ</v>
      </c>
      <c r="Q89" s="7">
        <f t="shared" si="27"/>
        <v>101472</v>
      </c>
      <c r="R89" s="7">
        <f t="shared" si="23"/>
        <v>101498</v>
      </c>
      <c r="S89" s="301" t="s">
        <v>1095</v>
      </c>
      <c r="T89" s="8" t="str">
        <f t="shared" si="24"/>
        <v>NGÀY THI: 22+24/12/2025</v>
      </c>
    </row>
    <row r="90" spans="1:21" s="6" customFormat="1" ht="15" customHeight="1">
      <c r="A90" s="319" t="str">
        <f>IF(F90="","",SUBTOTAL(3,$F$18:F90))</f>
        <v/>
      </c>
      <c r="B90" s="223" t="s">
        <v>414</v>
      </c>
      <c r="C90" s="224" t="s">
        <v>1106</v>
      </c>
      <c r="D90" s="225">
        <v>150</v>
      </c>
      <c r="E90" s="226"/>
      <c r="F90" s="172"/>
      <c r="G90" s="173"/>
      <c r="H90" s="173"/>
      <c r="I90" s="173"/>
      <c r="J90" s="173"/>
      <c r="K90" s="171"/>
      <c r="L90" s="174"/>
      <c r="M90" s="175"/>
      <c r="N90" s="220"/>
      <c r="O90" s="175"/>
      <c r="P90" s="176"/>
      <c r="Q90" s="7"/>
      <c r="R90" s="7"/>
      <c r="S90" s="7"/>
      <c r="T90" s="8" t="e">
        <f t="shared" si="24"/>
        <v>#N/A</v>
      </c>
      <c r="U90"/>
    </row>
    <row r="91" spans="1:21" ht="30" customHeight="1">
      <c r="A91" s="319" t="str">
        <f>IF(F91="","",SUBTOTAL(3,$F$18:F91))</f>
        <v/>
      </c>
      <c r="B91" s="227" t="s">
        <v>1054</v>
      </c>
      <c r="C91" s="242"/>
      <c r="D91" s="243">
        <v>94</v>
      </c>
      <c r="E91" s="244"/>
      <c r="F91" s="151"/>
      <c r="G91" s="147"/>
      <c r="H91" s="147"/>
      <c r="I91" s="147"/>
      <c r="J91" s="147"/>
      <c r="K91" s="51">
        <f>SUM(K92:K94)</f>
        <v>92</v>
      </c>
      <c r="L91" s="52">
        <f>SUM(L92:L94)</f>
        <v>2</v>
      </c>
      <c r="M91" s="50" t="str">
        <f>VLOOKUP($G92,$L$5:$P$10,M$3,0)</f>
        <v>VĂN</v>
      </c>
      <c r="N91" s="167" t="str">
        <f>VLOOKUP($G92,$L$5:$P$10,N$3,0)</f>
        <v>LÝ</v>
      </c>
      <c r="O91" s="50" t="str">
        <f>VLOOKUP($G92,$L$5:$P$10,O$3,0)</f>
        <v>TOÁN</v>
      </c>
      <c r="P91" s="50" t="str">
        <f>VLOOKUP($G92,$L$5:$P$10,P$3,0)</f>
        <v>SỬ</v>
      </c>
      <c r="Q91" s="7"/>
      <c r="R91" s="7"/>
      <c r="S91" s="7"/>
      <c r="T91" s="8" t="e">
        <f t="shared" si="24"/>
        <v>#N/A</v>
      </c>
    </row>
    <row r="92" spans="1:21" ht="15" customHeight="1">
      <c r="A92" s="319">
        <f>IF(F92="","",SUBTOTAL(3,$F$18:F92))</f>
        <v>57</v>
      </c>
      <c r="B92" s="252">
        <v>1</v>
      </c>
      <c r="C92" s="253" t="s">
        <v>383</v>
      </c>
      <c r="D92" s="240">
        <v>32</v>
      </c>
      <c r="E92" s="234"/>
      <c r="F92" s="164" t="str">
        <f>C92&amp;".T"</f>
        <v>2B.T</v>
      </c>
      <c r="G92" s="163" t="s">
        <v>362</v>
      </c>
      <c r="H92" s="163" t="s">
        <v>504</v>
      </c>
      <c r="I92" s="158" t="str">
        <f t="shared" ref="I92:I97" si="28">VLOOKUP($H92,$D$2:$J$13,6,0)</f>
        <v>Thứ Hai (22/12)</v>
      </c>
      <c r="J92" s="158" t="str">
        <f t="shared" ref="J92:J97" si="29">VLOOKUP($H92,$D$2:$J$13,7,0)</f>
        <v>Thứ Ba (23/12)</v>
      </c>
      <c r="K92" s="169">
        <f>COUNTIF('DS_Tong_12AS-AT-VH'!$B$946:$B$1653,F92)</f>
        <v>31</v>
      </c>
      <c r="L92" s="146">
        <f>D92-K92</f>
        <v>1</v>
      </c>
      <c r="M92" s="214" t="str">
        <f t="shared" ref="M92:P94" si="30">VLOOKUP($G92,$L$5:$P$9,M$3,0)</f>
        <v>VĂN</v>
      </c>
      <c r="N92" s="221" t="str">
        <f t="shared" si="30"/>
        <v>LÝ</v>
      </c>
      <c r="O92" s="214" t="str">
        <f t="shared" si="30"/>
        <v>TOÁN</v>
      </c>
      <c r="P92" s="214" t="str">
        <f t="shared" si="30"/>
        <v>SỬ</v>
      </c>
      <c r="Q92" s="7">
        <f>R89+1</f>
        <v>101499</v>
      </c>
      <c r="R92" s="7">
        <f>Q92+K92-1</f>
        <v>101529</v>
      </c>
      <c r="S92" s="300" t="s">
        <v>1054</v>
      </c>
      <c r="T92" s="8" t="str">
        <f t="shared" si="24"/>
        <v>NGÀY THI: 22+23/12/2025</v>
      </c>
    </row>
    <row r="93" spans="1:21" ht="15" customHeight="1">
      <c r="A93" s="319">
        <f>IF(F93="","",SUBTOTAL(3,$F$18:F93))</f>
        <v>58</v>
      </c>
      <c r="B93" s="235">
        <v>2</v>
      </c>
      <c r="C93" s="236" t="s">
        <v>384</v>
      </c>
      <c r="D93" s="240">
        <v>31</v>
      </c>
      <c r="E93" s="234"/>
      <c r="F93" s="164" t="str">
        <f>C93&amp;".T"</f>
        <v>3B.T</v>
      </c>
      <c r="G93" s="159" t="s">
        <v>362</v>
      </c>
      <c r="H93" s="159" t="s">
        <v>504</v>
      </c>
      <c r="I93" s="158" t="str">
        <f t="shared" si="28"/>
        <v>Thứ Hai (22/12)</v>
      </c>
      <c r="J93" s="158" t="str">
        <f t="shared" si="29"/>
        <v>Thứ Ba (23/12)</v>
      </c>
      <c r="K93" s="169">
        <f>COUNTIF('DS_Tong_12AS-AT-VH'!$B$946:$B$1653,F93)</f>
        <v>31</v>
      </c>
      <c r="L93" s="146">
        <f>D93-K93</f>
        <v>0</v>
      </c>
      <c r="M93" s="214" t="str">
        <f t="shared" si="30"/>
        <v>VĂN</v>
      </c>
      <c r="N93" s="221" t="str">
        <f t="shared" si="30"/>
        <v>LÝ</v>
      </c>
      <c r="O93" s="214" t="str">
        <f t="shared" si="30"/>
        <v>TOÁN</v>
      </c>
      <c r="P93" s="214" t="str">
        <f t="shared" si="30"/>
        <v>SỬ</v>
      </c>
      <c r="Q93" s="7">
        <f>Q92+K92</f>
        <v>101530</v>
      </c>
      <c r="R93" s="7">
        <f>Q93+K93-1</f>
        <v>101560</v>
      </c>
      <c r="S93" s="300" t="s">
        <v>1054</v>
      </c>
      <c r="T93" s="8" t="str">
        <f t="shared" si="24"/>
        <v>NGÀY THI: 22+23/12/2025</v>
      </c>
    </row>
    <row r="94" spans="1:21" ht="15" customHeight="1">
      <c r="A94" s="319">
        <f>IF(F94="","",SUBTOTAL(3,$F$18:F94))</f>
        <v>59</v>
      </c>
      <c r="B94" s="246">
        <v>3</v>
      </c>
      <c r="C94" s="247" t="s">
        <v>385</v>
      </c>
      <c r="D94" s="240">
        <v>31</v>
      </c>
      <c r="E94" s="234"/>
      <c r="F94" s="164" t="str">
        <f>C94&amp;".T"</f>
        <v>4B.T</v>
      </c>
      <c r="G94" s="160" t="s">
        <v>362</v>
      </c>
      <c r="H94" s="160" t="s">
        <v>504</v>
      </c>
      <c r="I94" s="158" t="str">
        <f t="shared" si="28"/>
        <v>Thứ Hai (22/12)</v>
      </c>
      <c r="J94" s="158" t="str">
        <f t="shared" si="29"/>
        <v>Thứ Ba (23/12)</v>
      </c>
      <c r="K94" s="169">
        <f>COUNTIF('DS_Tong_12AS-AT-VH'!$B$946:$B$1653,F94)</f>
        <v>30</v>
      </c>
      <c r="L94" s="146">
        <f>D94-K94</f>
        <v>1</v>
      </c>
      <c r="M94" s="214" t="str">
        <f t="shared" si="30"/>
        <v>VĂN</v>
      </c>
      <c r="N94" s="221" t="str">
        <f t="shared" si="30"/>
        <v>LÝ</v>
      </c>
      <c r="O94" s="214" t="str">
        <f t="shared" si="30"/>
        <v>TOÁN</v>
      </c>
      <c r="P94" s="214" t="str">
        <f t="shared" si="30"/>
        <v>SỬ</v>
      </c>
      <c r="Q94" s="7">
        <f>Q93+K93</f>
        <v>101561</v>
      </c>
      <c r="R94" s="7">
        <f>Q94+K94-1</f>
        <v>101590</v>
      </c>
      <c r="S94" s="300" t="s">
        <v>1054</v>
      </c>
      <c r="T94" s="8" t="str">
        <f t="shared" si="24"/>
        <v>NGÀY THI: 22+23/12/2025</v>
      </c>
    </row>
    <row r="95" spans="1:21" ht="30" customHeight="1">
      <c r="A95" s="319" t="str">
        <f>IF(F95="","",SUBTOTAL(3,$F$18:F95))</f>
        <v/>
      </c>
      <c r="B95" s="227" t="s">
        <v>1055</v>
      </c>
      <c r="C95" s="242"/>
      <c r="D95" s="243">
        <v>56</v>
      </c>
      <c r="E95" s="244"/>
      <c r="F95" s="151"/>
      <c r="G95" s="147"/>
      <c r="H95" s="147"/>
      <c r="I95" s="147"/>
      <c r="J95" s="147"/>
      <c r="K95" s="51">
        <f>SUM(K96:K97)</f>
        <v>55</v>
      </c>
      <c r="L95" s="52">
        <f>SUM(L96:L97)</f>
        <v>1</v>
      </c>
      <c r="M95" s="50" t="str">
        <f>VLOOKUP($G96,$L$5:$P$10,M$3,0)</f>
        <v>VĂN</v>
      </c>
      <c r="N95" s="167" t="str">
        <f>VLOOKUP($G96,$L$5:$P$10,N$3,0)</f>
        <v>HÓA</v>
      </c>
      <c r="O95" s="50" t="str">
        <f>VLOOKUP($G96,$L$5:$P$10,O$3,0)</f>
        <v>TOÁN</v>
      </c>
      <c r="P95" s="50" t="str">
        <f>VLOOKUP($G96,$L$5:$P$10,P$3,0)</f>
        <v>SỬ</v>
      </c>
      <c r="Q95" s="7"/>
      <c r="R95" s="7"/>
      <c r="S95" s="7"/>
      <c r="T95" s="8" t="e">
        <f t="shared" si="24"/>
        <v>#N/A</v>
      </c>
    </row>
    <row r="96" spans="1:21" ht="15" customHeight="1">
      <c r="A96" s="319">
        <f>IF(F96="","",SUBTOTAL(3,$F$18:F96))</f>
        <v>60</v>
      </c>
      <c r="B96" s="252">
        <v>1</v>
      </c>
      <c r="C96" s="253" t="s">
        <v>386</v>
      </c>
      <c r="D96" s="255">
        <v>28</v>
      </c>
      <c r="E96" s="256"/>
      <c r="F96" s="162" t="str">
        <f>C96&amp;".T"</f>
        <v>5B.T</v>
      </c>
      <c r="G96" s="163" t="s">
        <v>363</v>
      </c>
      <c r="H96" s="163" t="s">
        <v>504</v>
      </c>
      <c r="I96" s="158" t="str">
        <f t="shared" si="28"/>
        <v>Thứ Hai (22/12)</v>
      </c>
      <c r="J96" s="158" t="str">
        <f t="shared" si="29"/>
        <v>Thứ Ba (23/12)</v>
      </c>
      <c r="K96" s="169">
        <f>COUNTIF('DS_Tong_12AS-AT-VH'!$B$946:$B$1653,F96)</f>
        <v>28</v>
      </c>
      <c r="L96" s="154">
        <f>D96-K96</f>
        <v>0</v>
      </c>
      <c r="M96" s="214" t="str">
        <f t="shared" ref="M96:P97" si="31">VLOOKUP($G96,$L$5:$P$9,M$3,0)</f>
        <v>VĂN</v>
      </c>
      <c r="N96" s="221" t="str">
        <f t="shared" si="31"/>
        <v>HÓA</v>
      </c>
      <c r="O96" s="214" t="str">
        <f t="shared" si="31"/>
        <v>TOÁN</v>
      </c>
      <c r="P96" s="214" t="str">
        <f t="shared" si="31"/>
        <v>SỬ</v>
      </c>
      <c r="Q96" s="7">
        <f>R94+1</f>
        <v>101591</v>
      </c>
      <c r="R96" s="7">
        <f>Q96+K96-1</f>
        <v>101618</v>
      </c>
      <c r="S96" s="300" t="s">
        <v>1055</v>
      </c>
      <c r="T96" s="8" t="str">
        <f t="shared" si="24"/>
        <v>NGÀY THI: 22+23/12/2025</v>
      </c>
    </row>
    <row r="97" spans="1:21" ht="15" customHeight="1">
      <c r="A97" s="319">
        <f>IF(F97="","",SUBTOTAL(3,$F$18:F97))</f>
        <v>61</v>
      </c>
      <c r="B97" s="246">
        <v>2</v>
      </c>
      <c r="C97" s="247" t="s">
        <v>387</v>
      </c>
      <c r="D97" s="257">
        <v>28</v>
      </c>
      <c r="E97" s="258"/>
      <c r="F97" s="165" t="str">
        <f>C97&amp;".T"</f>
        <v>6B.T</v>
      </c>
      <c r="G97" s="160" t="s">
        <v>363</v>
      </c>
      <c r="H97" s="160" t="s">
        <v>504</v>
      </c>
      <c r="I97" s="158" t="str">
        <f t="shared" si="28"/>
        <v>Thứ Hai (22/12)</v>
      </c>
      <c r="J97" s="158" t="str">
        <f t="shared" si="29"/>
        <v>Thứ Ba (23/12)</v>
      </c>
      <c r="K97" s="169">
        <f>COUNTIF('DS_Tong_12AS-AT-VH'!$B$946:$B$1653,F97)</f>
        <v>27</v>
      </c>
      <c r="L97" s="155">
        <f>D97-K97</f>
        <v>1</v>
      </c>
      <c r="M97" s="214" t="str">
        <f t="shared" si="31"/>
        <v>VĂN</v>
      </c>
      <c r="N97" s="221" t="str">
        <f t="shared" si="31"/>
        <v>HÓA</v>
      </c>
      <c r="O97" s="214" t="str">
        <f t="shared" si="31"/>
        <v>TOÁN</v>
      </c>
      <c r="P97" s="214" t="str">
        <f t="shared" si="31"/>
        <v>SỬ</v>
      </c>
      <c r="Q97" s="7">
        <f>Q96+K96</f>
        <v>101619</v>
      </c>
      <c r="R97" s="7">
        <f>Q97+K97-1</f>
        <v>101645</v>
      </c>
      <c r="S97" s="300" t="s">
        <v>1055</v>
      </c>
      <c r="T97" s="8" t="str">
        <f t="shared" si="24"/>
        <v>NGÀY THI: 22+23/12/2025</v>
      </c>
    </row>
    <row r="98" spans="1:21" s="6" customFormat="1" ht="15" customHeight="1">
      <c r="A98" s="319" t="str">
        <f>IF(F98="","",SUBTOTAL(3,$F$18:F98))</f>
        <v/>
      </c>
      <c r="B98" s="223" t="s">
        <v>1073</v>
      </c>
      <c r="C98" s="224" t="str">
        <f>COUNTIF(B99:B106,"&gt;0")&amp;" phòng"</f>
        <v>7 phòng</v>
      </c>
      <c r="D98" s="225">
        <f>D99</f>
        <v>200</v>
      </c>
      <c r="E98" s="226"/>
      <c r="F98" s="172"/>
      <c r="G98" s="173"/>
      <c r="H98" s="173"/>
      <c r="I98" s="173"/>
      <c r="J98" s="173"/>
      <c r="K98" s="171"/>
      <c r="L98" s="174"/>
      <c r="M98" s="175"/>
      <c r="N98" s="220"/>
      <c r="O98" s="175"/>
      <c r="P98" s="176"/>
      <c r="Q98" s="7"/>
      <c r="R98" s="7"/>
      <c r="S98" s="7"/>
      <c r="T98" s="8" t="e">
        <f t="shared" si="24"/>
        <v>#N/A</v>
      </c>
      <c r="U98"/>
    </row>
    <row r="99" spans="1:21" ht="30" customHeight="1">
      <c r="A99" s="319" t="str">
        <f>IF(F99="","",SUBTOTAL(3,$F$18:F99))</f>
        <v/>
      </c>
      <c r="B99" s="259" t="s">
        <v>1085</v>
      </c>
      <c r="C99" s="242"/>
      <c r="D99" s="243">
        <f>SUM(D100:D106)</f>
        <v>200</v>
      </c>
      <c r="E99" s="244"/>
      <c r="F99" s="151"/>
      <c r="G99" s="147"/>
      <c r="H99" s="147"/>
      <c r="I99" s="147"/>
      <c r="J99" s="147"/>
      <c r="K99" s="51">
        <f>SUM(K100:K106)</f>
        <v>196</v>
      </c>
      <c r="L99" s="52"/>
      <c r="M99" s="50" t="str">
        <f>VLOOKUP($G100,$L$5:$P$10,M$3,0)</f>
        <v>VĂN</v>
      </c>
      <c r="N99" s="167" t="str">
        <f>VLOOKUP($G100,$L$5:$P$10,N$3,0)</f>
        <v>LÝ</v>
      </c>
      <c r="O99" s="50" t="str">
        <f>VLOOKUP($G100,$L$5:$P$10,O$3,0)</f>
        <v>TOÁN</v>
      </c>
      <c r="P99" s="50" t="str">
        <f>VLOOKUP($G100,$L$5:$P$10,P$3,0)</f>
        <v>SỬ</v>
      </c>
      <c r="Q99" s="7"/>
      <c r="R99" s="7"/>
      <c r="S99" s="7"/>
      <c r="T99" s="8" t="e">
        <f t="shared" si="24"/>
        <v>#N/A</v>
      </c>
    </row>
    <row r="100" spans="1:21" ht="15" customHeight="1">
      <c r="A100" s="319">
        <f>IF(F100="","",SUBTOTAL(3,$F$18:F100))</f>
        <v>62</v>
      </c>
      <c r="B100" s="252">
        <v>1</v>
      </c>
      <c r="C100" s="253" t="s">
        <v>1074</v>
      </c>
      <c r="D100" s="255">
        <v>29</v>
      </c>
      <c r="E100" s="256" t="s">
        <v>1050</v>
      </c>
      <c r="F100" s="162" t="str">
        <f>C100&amp;".C"</f>
        <v>HT2-1.C</v>
      </c>
      <c r="G100" s="163" t="s">
        <v>366</v>
      </c>
      <c r="H100" s="163" t="s">
        <v>1058</v>
      </c>
      <c r="I100" s="158" t="str">
        <f>VLOOKUP($H100,$D$2:$J$13,6,0)</f>
        <v>Thứ Hai (22/12)</v>
      </c>
      <c r="J100" s="158" t="str">
        <f>VLOOKUP($H100,$D$2:$J$13,7,0)</f>
        <v>Thứ Tư (24/12)</v>
      </c>
      <c r="K100" s="168">
        <f>COUNTIF('DS_Tong_12AS-AT-VH'!$B$2446:$B$2641,F100)</f>
        <v>28</v>
      </c>
      <c r="L100" s="146">
        <f t="shared" ref="L100:L106" si="32">D100-K100</f>
        <v>1</v>
      </c>
      <c r="M100" s="214" t="str">
        <f t="shared" ref="M100:P106" si="33">VLOOKUP($G100,$L$5:$P$9,M$3,0)</f>
        <v>VĂN</v>
      </c>
      <c r="N100" s="221" t="str">
        <f t="shared" si="33"/>
        <v>LÝ</v>
      </c>
      <c r="O100" s="214" t="str">
        <f t="shared" si="33"/>
        <v>TOÁN</v>
      </c>
      <c r="P100" s="214" t="str">
        <f t="shared" si="33"/>
        <v>SỬ</v>
      </c>
      <c r="Q100" s="7"/>
      <c r="R100" s="7"/>
      <c r="S100" s="302" t="s">
        <v>1085</v>
      </c>
      <c r="T100" s="8" t="str">
        <f t="shared" si="24"/>
        <v>NGÀY THI: 22+24/12/2025</v>
      </c>
    </row>
    <row r="101" spans="1:21" ht="15" customHeight="1">
      <c r="A101" s="319">
        <f>IF(F101="","",SUBTOTAL(3,$F$18:F101))</f>
        <v>63</v>
      </c>
      <c r="B101" s="235">
        <v>2</v>
      </c>
      <c r="C101" s="236" t="s">
        <v>1075</v>
      </c>
      <c r="D101" s="237">
        <v>29</v>
      </c>
      <c r="E101" s="260"/>
      <c r="F101" s="164" t="str">
        <f t="shared" ref="F101:F106" si="34">C101&amp;".C"</f>
        <v>HT2-2.C</v>
      </c>
      <c r="G101" s="159" t="s">
        <v>366</v>
      </c>
      <c r="H101" s="159" t="s">
        <v>1058</v>
      </c>
      <c r="I101" s="158" t="str">
        <f t="shared" ref="I101:I106" si="35">VLOOKUP($H101,$D$2:$J$13,6,0)</f>
        <v>Thứ Hai (22/12)</v>
      </c>
      <c r="J101" s="158" t="str">
        <f t="shared" ref="J101:J106" si="36">VLOOKUP($H101,$D$2:$J$13,7,0)</f>
        <v>Thứ Tư (24/12)</v>
      </c>
      <c r="K101" s="169">
        <f>COUNTIF('DS_Tong_12AS-AT-VH'!$B$2446:$B$2641,F101)</f>
        <v>28</v>
      </c>
      <c r="L101" s="146">
        <f t="shared" si="32"/>
        <v>1</v>
      </c>
      <c r="M101" s="214" t="str">
        <f t="shared" si="33"/>
        <v>VĂN</v>
      </c>
      <c r="N101" s="221" t="str">
        <f t="shared" si="33"/>
        <v>LÝ</v>
      </c>
      <c r="O101" s="214" t="str">
        <f t="shared" si="33"/>
        <v>TOÁN</v>
      </c>
      <c r="P101" s="214" t="str">
        <f t="shared" si="33"/>
        <v>SỬ</v>
      </c>
      <c r="Q101" s="7"/>
      <c r="R101" s="7"/>
      <c r="S101" s="302" t="s">
        <v>1085</v>
      </c>
      <c r="T101" s="8" t="str">
        <f t="shared" si="24"/>
        <v>NGÀY THI: 22+24/12/2025</v>
      </c>
    </row>
    <row r="102" spans="1:21" ht="15" customHeight="1">
      <c r="A102" s="319">
        <f>IF(F102="","",SUBTOTAL(3,$F$18:F102))</f>
        <v>64</v>
      </c>
      <c r="B102" s="235">
        <v>3</v>
      </c>
      <c r="C102" s="236" t="s">
        <v>1076</v>
      </c>
      <c r="D102" s="237">
        <v>29</v>
      </c>
      <c r="E102" s="260"/>
      <c r="F102" s="164" t="str">
        <f t="shared" si="34"/>
        <v>HT2-3.C</v>
      </c>
      <c r="G102" s="159" t="s">
        <v>366</v>
      </c>
      <c r="H102" s="159" t="s">
        <v>1058</v>
      </c>
      <c r="I102" s="158" t="str">
        <f t="shared" si="35"/>
        <v>Thứ Hai (22/12)</v>
      </c>
      <c r="J102" s="158" t="str">
        <f t="shared" si="36"/>
        <v>Thứ Tư (24/12)</v>
      </c>
      <c r="K102" s="169">
        <f>COUNTIF('DS_Tong_12AS-AT-VH'!$B$2446:$B$2641,F102)</f>
        <v>28</v>
      </c>
      <c r="L102" s="146">
        <f t="shared" si="32"/>
        <v>1</v>
      </c>
      <c r="M102" s="214" t="str">
        <f t="shared" si="33"/>
        <v>VĂN</v>
      </c>
      <c r="N102" s="221" t="str">
        <f t="shared" si="33"/>
        <v>LÝ</v>
      </c>
      <c r="O102" s="214" t="str">
        <f t="shared" si="33"/>
        <v>TOÁN</v>
      </c>
      <c r="P102" s="214" t="str">
        <f t="shared" si="33"/>
        <v>SỬ</v>
      </c>
      <c r="Q102" s="7"/>
      <c r="R102" s="7"/>
      <c r="S102" s="302" t="s">
        <v>1085</v>
      </c>
      <c r="T102" s="8" t="str">
        <f t="shared" si="24"/>
        <v>NGÀY THI: 22+24/12/2025</v>
      </c>
    </row>
    <row r="103" spans="1:21" ht="15" customHeight="1">
      <c r="A103" s="319">
        <f>IF(F103="","",SUBTOTAL(3,$F$18:F103))</f>
        <v>65</v>
      </c>
      <c r="B103" s="235">
        <v>4</v>
      </c>
      <c r="C103" s="236" t="s">
        <v>1077</v>
      </c>
      <c r="D103" s="237">
        <v>29</v>
      </c>
      <c r="E103" s="260"/>
      <c r="F103" s="164" t="str">
        <f t="shared" si="34"/>
        <v>A0.13.C</v>
      </c>
      <c r="G103" s="159" t="s">
        <v>366</v>
      </c>
      <c r="H103" s="159" t="s">
        <v>1058</v>
      </c>
      <c r="I103" s="158" t="str">
        <f t="shared" si="35"/>
        <v>Thứ Hai (22/12)</v>
      </c>
      <c r="J103" s="158" t="str">
        <f t="shared" si="36"/>
        <v>Thứ Tư (24/12)</v>
      </c>
      <c r="K103" s="169">
        <f>COUNTIF('DS_Tong_12AS-AT-VH'!$B$2446:$B$2641,F103)</f>
        <v>28</v>
      </c>
      <c r="L103" s="146">
        <f t="shared" si="32"/>
        <v>1</v>
      </c>
      <c r="M103" s="214" t="str">
        <f t="shared" si="33"/>
        <v>VĂN</v>
      </c>
      <c r="N103" s="221" t="str">
        <f t="shared" si="33"/>
        <v>LÝ</v>
      </c>
      <c r="O103" s="214" t="str">
        <f t="shared" si="33"/>
        <v>TOÁN</v>
      </c>
      <c r="P103" s="214" t="str">
        <f t="shared" si="33"/>
        <v>SỬ</v>
      </c>
      <c r="Q103" s="7"/>
      <c r="R103" s="7"/>
      <c r="S103" s="302" t="s">
        <v>1085</v>
      </c>
      <c r="T103" s="8" t="str">
        <f t="shared" si="24"/>
        <v>NGÀY THI: 22+24/12/2025</v>
      </c>
    </row>
    <row r="104" spans="1:21" ht="15" customHeight="1">
      <c r="A104" s="319">
        <f>IF(F104="","",SUBTOTAL(3,$F$18:F104))</f>
        <v>66</v>
      </c>
      <c r="B104" s="235">
        <v>5</v>
      </c>
      <c r="C104" s="236" t="s">
        <v>1078</v>
      </c>
      <c r="D104" s="237">
        <v>28</v>
      </c>
      <c r="E104" s="260"/>
      <c r="F104" s="164" t="str">
        <f t="shared" si="34"/>
        <v>A0.15.C</v>
      </c>
      <c r="G104" s="159" t="s">
        <v>366</v>
      </c>
      <c r="H104" s="159" t="s">
        <v>1058</v>
      </c>
      <c r="I104" s="158" t="str">
        <f t="shared" si="35"/>
        <v>Thứ Hai (22/12)</v>
      </c>
      <c r="J104" s="158" t="str">
        <f t="shared" si="36"/>
        <v>Thứ Tư (24/12)</v>
      </c>
      <c r="K104" s="169">
        <f>COUNTIF('DS_Tong_12AS-AT-VH'!$B$2446:$B$2641,F104)</f>
        <v>28</v>
      </c>
      <c r="L104" s="146">
        <f t="shared" si="32"/>
        <v>0</v>
      </c>
      <c r="M104" s="214" t="str">
        <f t="shared" si="33"/>
        <v>VĂN</v>
      </c>
      <c r="N104" s="221" t="str">
        <f t="shared" si="33"/>
        <v>LÝ</v>
      </c>
      <c r="O104" s="214" t="str">
        <f t="shared" si="33"/>
        <v>TOÁN</v>
      </c>
      <c r="P104" s="214" t="str">
        <f t="shared" si="33"/>
        <v>SỬ</v>
      </c>
      <c r="Q104" s="7"/>
      <c r="R104" s="7"/>
      <c r="S104" s="302" t="s">
        <v>1085</v>
      </c>
      <c r="T104" s="8" t="str">
        <f t="shared" si="24"/>
        <v>NGÀY THI: 22+24/12/2025</v>
      </c>
    </row>
    <row r="105" spans="1:21" ht="15" customHeight="1">
      <c r="A105" s="319">
        <f>IF(F105="","",SUBTOTAL(3,$F$18:F105))</f>
        <v>67</v>
      </c>
      <c r="B105" s="235">
        <v>6</v>
      </c>
      <c r="C105" s="236" t="s">
        <v>1079</v>
      </c>
      <c r="D105" s="237">
        <v>28</v>
      </c>
      <c r="E105" s="260"/>
      <c r="F105" s="164" t="str">
        <f t="shared" si="34"/>
        <v>A1.10.C</v>
      </c>
      <c r="G105" s="159" t="s">
        <v>366</v>
      </c>
      <c r="H105" s="159" t="s">
        <v>1058</v>
      </c>
      <c r="I105" s="158" t="str">
        <f t="shared" si="35"/>
        <v>Thứ Hai (22/12)</v>
      </c>
      <c r="J105" s="158" t="str">
        <f t="shared" si="36"/>
        <v>Thứ Tư (24/12)</v>
      </c>
      <c r="K105" s="169">
        <f>COUNTIF('DS_Tong_12AS-AT-VH'!$B$2446:$B$2641,F105)</f>
        <v>28</v>
      </c>
      <c r="L105" s="146">
        <f t="shared" si="32"/>
        <v>0</v>
      </c>
      <c r="M105" s="214" t="str">
        <f t="shared" si="33"/>
        <v>VĂN</v>
      </c>
      <c r="N105" s="221" t="str">
        <f t="shared" si="33"/>
        <v>LÝ</v>
      </c>
      <c r="O105" s="214" t="str">
        <f t="shared" si="33"/>
        <v>TOÁN</v>
      </c>
      <c r="P105" s="214" t="str">
        <f t="shared" si="33"/>
        <v>SỬ</v>
      </c>
      <c r="Q105" s="7"/>
      <c r="R105" s="7"/>
      <c r="S105" s="302" t="s">
        <v>1085</v>
      </c>
      <c r="T105" s="8" t="str">
        <f t="shared" si="24"/>
        <v>NGÀY THI: 22+24/12/2025</v>
      </c>
    </row>
    <row r="106" spans="1:21" ht="15" customHeight="1">
      <c r="A106" s="319">
        <f>IF(F106="","",SUBTOTAL(3,$F$18:F106))</f>
        <v>68</v>
      </c>
      <c r="B106" s="246">
        <v>7</v>
      </c>
      <c r="C106" s="247" t="s">
        <v>1080</v>
      </c>
      <c r="D106" s="257">
        <v>28</v>
      </c>
      <c r="E106" s="258"/>
      <c r="F106" s="164" t="str">
        <f t="shared" si="34"/>
        <v>A1.11.C</v>
      </c>
      <c r="G106" s="159" t="s">
        <v>366</v>
      </c>
      <c r="H106" s="159" t="s">
        <v>1058</v>
      </c>
      <c r="I106" s="158" t="str">
        <f t="shared" si="35"/>
        <v>Thứ Hai (22/12)</v>
      </c>
      <c r="J106" s="158" t="str">
        <f t="shared" si="36"/>
        <v>Thứ Tư (24/12)</v>
      </c>
      <c r="K106" s="170">
        <f>COUNTIF('DS_Tong_12AS-AT-VH'!$B$2446:$B$2641,F106)</f>
        <v>28</v>
      </c>
      <c r="L106" s="146">
        <f t="shared" si="32"/>
        <v>0</v>
      </c>
      <c r="M106" s="214" t="str">
        <f t="shared" si="33"/>
        <v>VĂN</v>
      </c>
      <c r="N106" s="221" t="str">
        <f t="shared" si="33"/>
        <v>LÝ</v>
      </c>
      <c r="O106" s="214" t="str">
        <f t="shared" si="33"/>
        <v>TOÁN</v>
      </c>
      <c r="P106" s="214" t="str">
        <f t="shared" si="33"/>
        <v>SỬ</v>
      </c>
      <c r="Q106" s="7"/>
      <c r="R106" s="7"/>
      <c r="S106" s="302" t="s">
        <v>1085</v>
      </c>
      <c r="T106" s="8" t="str">
        <f t="shared" si="24"/>
        <v>NGÀY THI: 22+24/12/2025</v>
      </c>
    </row>
    <row r="107" spans="1:21" s="6" customFormat="1" ht="15" customHeight="1">
      <c r="A107" s="319" t="str">
        <f>IF(F107="","",SUBTOTAL(3,$F$18:F107))</f>
        <v/>
      </c>
      <c r="B107" s="223" t="s">
        <v>1081</v>
      </c>
      <c r="C107" s="224" t="str">
        <f>COUNTIF(B108:B115,"&gt;0")&amp;" phòng"</f>
        <v>7 phòng</v>
      </c>
      <c r="D107" s="225">
        <f>D108</f>
        <v>196</v>
      </c>
      <c r="E107" s="226"/>
      <c r="F107" s="172"/>
      <c r="G107" s="173"/>
      <c r="H107" s="173"/>
      <c r="I107" s="173"/>
      <c r="J107" s="173"/>
      <c r="K107" s="171"/>
      <c r="L107" s="174"/>
      <c r="M107" s="175"/>
      <c r="N107" s="220"/>
      <c r="O107" s="175"/>
      <c r="P107" s="176"/>
      <c r="Q107" s="7"/>
      <c r="R107" s="7"/>
      <c r="S107" s="7"/>
      <c r="T107" s="8" t="e">
        <f t="shared" si="24"/>
        <v>#N/A</v>
      </c>
      <c r="U107"/>
    </row>
    <row r="108" spans="1:21" ht="30" customHeight="1">
      <c r="A108" s="319" t="str">
        <f>IF(F108="","",SUBTOTAL(3,$F$18:F108))</f>
        <v/>
      </c>
      <c r="B108" s="259" t="s">
        <v>1086</v>
      </c>
      <c r="C108" s="242"/>
      <c r="D108" s="243">
        <f>SUM(D109:D115)</f>
        <v>196</v>
      </c>
      <c r="E108" s="244"/>
      <c r="F108" s="151"/>
      <c r="G108" s="147"/>
      <c r="H108" s="147"/>
      <c r="I108" s="147"/>
      <c r="J108" s="147"/>
      <c r="K108" s="51">
        <f>SUM(K109:K115)</f>
        <v>195</v>
      </c>
      <c r="L108" s="52"/>
      <c r="M108" s="50" t="str">
        <f>VLOOKUP($G109,$L$5:$P$10,M$3,0)</f>
        <v>VĂN</v>
      </c>
      <c r="N108" s="167" t="str">
        <f>VLOOKUP($G109,$L$5:$P$10,N$3,0)</f>
        <v>LÝ</v>
      </c>
      <c r="O108" s="50" t="str">
        <f>VLOOKUP($G109,$L$5:$P$10,O$3,0)</f>
        <v>TOÁN</v>
      </c>
      <c r="P108" s="50" t="str">
        <f>VLOOKUP($G109,$L$5:$P$10,P$3,0)</f>
        <v>SỬ</v>
      </c>
      <c r="Q108" s="7"/>
      <c r="R108" s="7"/>
      <c r="S108" s="7"/>
      <c r="T108" s="8" t="e">
        <f t="shared" si="24"/>
        <v>#N/A</v>
      </c>
    </row>
    <row r="109" spans="1:21" ht="15" customHeight="1">
      <c r="A109" s="319">
        <f>IF(F109="","",SUBTOTAL(3,$F$18:F109))</f>
        <v>69</v>
      </c>
      <c r="B109" s="252">
        <v>1</v>
      </c>
      <c r="C109" s="253" t="s">
        <v>1074</v>
      </c>
      <c r="D109" s="255">
        <v>28</v>
      </c>
      <c r="E109" s="256"/>
      <c r="F109" s="162" t="str">
        <f t="shared" ref="F109:F115" si="37">C109&amp;".C1"</f>
        <v>HT2-1.C1</v>
      </c>
      <c r="G109" s="163" t="s">
        <v>366</v>
      </c>
      <c r="H109" s="163" t="s">
        <v>1066</v>
      </c>
      <c r="I109" s="158" t="str">
        <f t="shared" ref="I109:I115" si="38">VLOOKUP($H109,$D$2:$J$13,6,0)</f>
        <v>Thứ Ba (23/12)</v>
      </c>
      <c r="J109" s="158" t="str">
        <f t="shared" ref="J109:J115" si="39">VLOOKUP($H109,$D$2:$J$13,7,0)</f>
        <v>Thứ Năm (25/12)</v>
      </c>
      <c r="K109" s="168">
        <f>COUNTIF('DS_Tong_12AS-AT-VH'!$B$2642:$B$2836,F109)</f>
        <v>28</v>
      </c>
      <c r="L109" s="146">
        <f t="shared" ref="L109:L115" si="40">D109-K109</f>
        <v>0</v>
      </c>
      <c r="M109" s="214" t="str">
        <f t="shared" ref="M109:P115" si="41">VLOOKUP($G109,$L$5:$P$9,M$3,0)</f>
        <v>VĂN</v>
      </c>
      <c r="N109" s="221" t="str">
        <f t="shared" si="41"/>
        <v>LÝ</v>
      </c>
      <c r="O109" s="214" t="str">
        <f t="shared" si="41"/>
        <v>TOÁN</v>
      </c>
      <c r="P109" s="214" t="str">
        <f t="shared" si="41"/>
        <v>SỬ</v>
      </c>
      <c r="Q109" s="7"/>
      <c r="R109" s="7"/>
      <c r="S109" s="302" t="s">
        <v>1086</v>
      </c>
      <c r="T109" s="8" t="str">
        <f t="shared" si="24"/>
        <v>NGÀY THI: 23+25/12/2025</v>
      </c>
    </row>
    <row r="110" spans="1:21" ht="15" customHeight="1">
      <c r="A110" s="319">
        <f>IF(F110="","",SUBTOTAL(3,$F$18:F110))</f>
        <v>70</v>
      </c>
      <c r="B110" s="235">
        <v>2</v>
      </c>
      <c r="C110" s="236" t="s">
        <v>1075</v>
      </c>
      <c r="D110" s="237">
        <v>28</v>
      </c>
      <c r="E110" s="260"/>
      <c r="F110" s="164" t="str">
        <f t="shared" si="37"/>
        <v>HT2-2.C1</v>
      </c>
      <c r="G110" s="159" t="s">
        <v>366</v>
      </c>
      <c r="H110" s="159" t="s">
        <v>1066</v>
      </c>
      <c r="I110" s="158" t="str">
        <f t="shared" si="38"/>
        <v>Thứ Ba (23/12)</v>
      </c>
      <c r="J110" s="158" t="str">
        <f t="shared" si="39"/>
        <v>Thứ Năm (25/12)</v>
      </c>
      <c r="K110" s="169">
        <f>COUNTIF('DS_Tong_12AS-AT-VH'!$B$2642:$B$2836,F110)</f>
        <v>28</v>
      </c>
      <c r="L110" s="146">
        <f t="shared" si="40"/>
        <v>0</v>
      </c>
      <c r="M110" s="214" t="str">
        <f t="shared" si="41"/>
        <v>VĂN</v>
      </c>
      <c r="N110" s="221" t="str">
        <f t="shared" si="41"/>
        <v>LÝ</v>
      </c>
      <c r="O110" s="214" t="str">
        <f t="shared" si="41"/>
        <v>TOÁN</v>
      </c>
      <c r="P110" s="214" t="str">
        <f t="shared" si="41"/>
        <v>SỬ</v>
      </c>
      <c r="Q110" s="7"/>
      <c r="R110" s="7"/>
      <c r="S110" s="302" t="s">
        <v>1086</v>
      </c>
      <c r="T110" s="8" t="str">
        <f t="shared" si="24"/>
        <v>NGÀY THI: 23+25/12/2025</v>
      </c>
    </row>
    <row r="111" spans="1:21" ht="15" customHeight="1">
      <c r="A111" s="319">
        <f>IF(F111="","",SUBTOTAL(3,$F$18:F111))</f>
        <v>71</v>
      </c>
      <c r="B111" s="235">
        <v>3</v>
      </c>
      <c r="C111" s="236" t="s">
        <v>1076</v>
      </c>
      <c r="D111" s="237">
        <v>28</v>
      </c>
      <c r="E111" s="260"/>
      <c r="F111" s="164" t="str">
        <f t="shared" si="37"/>
        <v>HT2-3.C1</v>
      </c>
      <c r="G111" s="159" t="s">
        <v>366</v>
      </c>
      <c r="H111" s="159" t="s">
        <v>1066</v>
      </c>
      <c r="I111" s="158" t="str">
        <f t="shared" si="38"/>
        <v>Thứ Ba (23/12)</v>
      </c>
      <c r="J111" s="158" t="str">
        <f t="shared" si="39"/>
        <v>Thứ Năm (25/12)</v>
      </c>
      <c r="K111" s="169">
        <f>COUNTIF('DS_Tong_12AS-AT-VH'!$B$2642:$B$2836,F111)</f>
        <v>28</v>
      </c>
      <c r="L111" s="146">
        <f t="shared" si="40"/>
        <v>0</v>
      </c>
      <c r="M111" s="214" t="str">
        <f t="shared" si="41"/>
        <v>VĂN</v>
      </c>
      <c r="N111" s="221" t="str">
        <f t="shared" si="41"/>
        <v>LÝ</v>
      </c>
      <c r="O111" s="214" t="str">
        <f t="shared" si="41"/>
        <v>TOÁN</v>
      </c>
      <c r="P111" s="214" t="str">
        <f t="shared" si="41"/>
        <v>SỬ</v>
      </c>
      <c r="Q111" s="7"/>
      <c r="R111" s="7"/>
      <c r="S111" s="302" t="s">
        <v>1086</v>
      </c>
      <c r="T111" s="8" t="str">
        <f t="shared" si="24"/>
        <v>NGÀY THI: 23+25/12/2025</v>
      </c>
    </row>
    <row r="112" spans="1:21" ht="15" customHeight="1">
      <c r="A112" s="319">
        <f>IF(F112="","",SUBTOTAL(3,$F$18:F112))</f>
        <v>72</v>
      </c>
      <c r="B112" s="235">
        <v>4</v>
      </c>
      <c r="C112" s="236" t="s">
        <v>1077</v>
      </c>
      <c r="D112" s="237">
        <v>28</v>
      </c>
      <c r="E112" s="260"/>
      <c r="F112" s="164" t="str">
        <f t="shared" si="37"/>
        <v>A0.13.C1</v>
      </c>
      <c r="G112" s="159" t="s">
        <v>366</v>
      </c>
      <c r="H112" s="159" t="s">
        <v>1066</v>
      </c>
      <c r="I112" s="158" t="str">
        <f t="shared" si="38"/>
        <v>Thứ Ba (23/12)</v>
      </c>
      <c r="J112" s="158" t="str">
        <f t="shared" si="39"/>
        <v>Thứ Năm (25/12)</v>
      </c>
      <c r="K112" s="169">
        <f>COUNTIF('DS_Tong_12AS-AT-VH'!$B$2642:$B$2836,F112)</f>
        <v>28</v>
      </c>
      <c r="L112" s="146">
        <f t="shared" si="40"/>
        <v>0</v>
      </c>
      <c r="M112" s="214" t="str">
        <f t="shared" si="41"/>
        <v>VĂN</v>
      </c>
      <c r="N112" s="221" t="str">
        <f t="shared" si="41"/>
        <v>LÝ</v>
      </c>
      <c r="O112" s="214" t="str">
        <f t="shared" si="41"/>
        <v>TOÁN</v>
      </c>
      <c r="P112" s="214" t="str">
        <f t="shared" si="41"/>
        <v>SỬ</v>
      </c>
      <c r="Q112" s="7"/>
      <c r="R112" s="7"/>
      <c r="S112" s="302" t="s">
        <v>1086</v>
      </c>
      <c r="T112" s="8" t="str">
        <f t="shared" si="24"/>
        <v>NGÀY THI: 23+25/12/2025</v>
      </c>
    </row>
    <row r="113" spans="1:21" ht="15" customHeight="1">
      <c r="A113" s="319">
        <f>IF(F113="","",SUBTOTAL(3,$F$18:F113))</f>
        <v>73</v>
      </c>
      <c r="B113" s="235">
        <v>5</v>
      </c>
      <c r="C113" s="236" t="s">
        <v>1078</v>
      </c>
      <c r="D113" s="237">
        <v>28</v>
      </c>
      <c r="E113" s="260"/>
      <c r="F113" s="164" t="str">
        <f t="shared" si="37"/>
        <v>A0.15.C1</v>
      </c>
      <c r="G113" s="159" t="s">
        <v>366</v>
      </c>
      <c r="H113" s="159" t="s">
        <v>1066</v>
      </c>
      <c r="I113" s="158" t="str">
        <f t="shared" si="38"/>
        <v>Thứ Ba (23/12)</v>
      </c>
      <c r="J113" s="158" t="str">
        <f t="shared" si="39"/>
        <v>Thứ Năm (25/12)</v>
      </c>
      <c r="K113" s="169">
        <f>COUNTIF('DS_Tong_12AS-AT-VH'!$B$2642:$B$2836,F113)</f>
        <v>28</v>
      </c>
      <c r="L113" s="146">
        <f t="shared" si="40"/>
        <v>0</v>
      </c>
      <c r="M113" s="214" t="str">
        <f t="shared" si="41"/>
        <v>VĂN</v>
      </c>
      <c r="N113" s="221" t="str">
        <f t="shared" si="41"/>
        <v>LÝ</v>
      </c>
      <c r="O113" s="214" t="str">
        <f t="shared" si="41"/>
        <v>TOÁN</v>
      </c>
      <c r="P113" s="214" t="str">
        <f t="shared" si="41"/>
        <v>SỬ</v>
      </c>
      <c r="Q113" s="7"/>
      <c r="R113" s="7"/>
      <c r="S113" s="302" t="s">
        <v>1086</v>
      </c>
      <c r="T113" s="8" t="str">
        <f t="shared" si="24"/>
        <v>NGÀY THI: 23+25/12/2025</v>
      </c>
    </row>
    <row r="114" spans="1:21" ht="15" customHeight="1">
      <c r="A114" s="319">
        <f>IF(F114="","",SUBTOTAL(3,$F$18:F114))</f>
        <v>74</v>
      </c>
      <c r="B114" s="235">
        <v>6</v>
      </c>
      <c r="C114" s="236" t="s">
        <v>1079</v>
      </c>
      <c r="D114" s="237">
        <v>28</v>
      </c>
      <c r="E114" s="260"/>
      <c r="F114" s="164" t="str">
        <f t="shared" si="37"/>
        <v>A1.10.C1</v>
      </c>
      <c r="G114" s="159" t="s">
        <v>366</v>
      </c>
      <c r="H114" s="159" t="s">
        <v>1066</v>
      </c>
      <c r="I114" s="158" t="str">
        <f t="shared" si="38"/>
        <v>Thứ Ba (23/12)</v>
      </c>
      <c r="J114" s="158" t="str">
        <f t="shared" si="39"/>
        <v>Thứ Năm (25/12)</v>
      </c>
      <c r="K114" s="169">
        <f>COUNTIF('DS_Tong_12AS-AT-VH'!$B$2642:$B$2836,F114)</f>
        <v>28</v>
      </c>
      <c r="L114" s="146">
        <f t="shared" si="40"/>
        <v>0</v>
      </c>
      <c r="M114" s="214" t="str">
        <f t="shared" si="41"/>
        <v>VĂN</v>
      </c>
      <c r="N114" s="221" t="str">
        <f t="shared" si="41"/>
        <v>LÝ</v>
      </c>
      <c r="O114" s="214" t="str">
        <f t="shared" si="41"/>
        <v>TOÁN</v>
      </c>
      <c r="P114" s="214" t="str">
        <f t="shared" si="41"/>
        <v>SỬ</v>
      </c>
      <c r="Q114" s="7"/>
      <c r="R114" s="7"/>
      <c r="S114" s="302" t="s">
        <v>1086</v>
      </c>
      <c r="T114" s="8" t="str">
        <f t="shared" si="24"/>
        <v>NGÀY THI: 23+25/12/2025</v>
      </c>
    </row>
    <row r="115" spans="1:21" ht="15" customHeight="1">
      <c r="A115" s="319">
        <f>IF(F115="","",SUBTOTAL(3,$F$18:F115))</f>
        <v>75</v>
      </c>
      <c r="B115" s="246">
        <v>7</v>
      </c>
      <c r="C115" s="247" t="s">
        <v>1080</v>
      </c>
      <c r="D115" s="257">
        <v>28</v>
      </c>
      <c r="E115" s="258"/>
      <c r="F115" s="165" t="str">
        <f t="shared" si="37"/>
        <v>A1.11.C1</v>
      </c>
      <c r="G115" s="160" t="s">
        <v>366</v>
      </c>
      <c r="H115" s="159" t="s">
        <v>1066</v>
      </c>
      <c r="I115" s="158" t="str">
        <f t="shared" si="38"/>
        <v>Thứ Ba (23/12)</v>
      </c>
      <c r="J115" s="158" t="str">
        <f t="shared" si="39"/>
        <v>Thứ Năm (25/12)</v>
      </c>
      <c r="K115" s="170">
        <f>COUNTIF('DS_Tong_12AS-AT-VH'!$B$2642:$B$2836,F115)</f>
        <v>27</v>
      </c>
      <c r="L115" s="146">
        <f t="shared" si="40"/>
        <v>1</v>
      </c>
      <c r="M115" s="214" t="str">
        <f t="shared" si="41"/>
        <v>VĂN</v>
      </c>
      <c r="N115" s="221" t="str">
        <f t="shared" si="41"/>
        <v>LÝ</v>
      </c>
      <c r="O115" s="214" t="str">
        <f t="shared" si="41"/>
        <v>TOÁN</v>
      </c>
      <c r="P115" s="214" t="str">
        <f t="shared" si="41"/>
        <v>SỬ</v>
      </c>
      <c r="Q115" s="7"/>
      <c r="R115" s="7"/>
      <c r="S115" s="302" t="s">
        <v>1086</v>
      </c>
      <c r="T115" s="8" t="str">
        <f t="shared" si="24"/>
        <v>NGÀY THI: 23+25/12/2025</v>
      </c>
    </row>
    <row r="116" spans="1:21" s="6" customFormat="1" ht="15" customHeight="1">
      <c r="A116" s="319" t="str">
        <f>IF(F116="","",SUBTOTAL(3,$F$18:F116))</f>
        <v/>
      </c>
      <c r="B116" s="223" t="s">
        <v>1082</v>
      </c>
      <c r="C116" s="224" t="str">
        <f>COUNTIF(B117:B124,"&gt;0")&amp;" phòng"</f>
        <v>7 phòng</v>
      </c>
      <c r="D116" s="225">
        <f>D117</f>
        <v>188</v>
      </c>
      <c r="E116" s="226"/>
      <c r="F116" s="172"/>
      <c r="G116" s="173"/>
      <c r="H116" s="173"/>
      <c r="I116" s="173"/>
      <c r="J116" s="173"/>
      <c r="K116" s="171"/>
      <c r="L116" s="174"/>
      <c r="M116" s="175"/>
      <c r="N116" s="220"/>
      <c r="O116" s="175"/>
      <c r="P116" s="176"/>
      <c r="Q116" s="7"/>
      <c r="R116" s="7"/>
      <c r="S116" s="7"/>
      <c r="T116" s="8" t="e">
        <f t="shared" si="24"/>
        <v>#N/A</v>
      </c>
      <c r="U116"/>
    </row>
    <row r="117" spans="1:21" ht="30" customHeight="1">
      <c r="A117" s="319" t="str">
        <f>IF(F117="","",SUBTOTAL(3,$F$18:F117))</f>
        <v/>
      </c>
      <c r="B117" s="259" t="s">
        <v>1087</v>
      </c>
      <c r="C117" s="242"/>
      <c r="D117" s="243">
        <f>SUM(D118:D124)</f>
        <v>188</v>
      </c>
      <c r="E117" s="244"/>
      <c r="F117" s="151"/>
      <c r="G117" s="147"/>
      <c r="H117" s="147"/>
      <c r="I117" s="147"/>
      <c r="J117" s="147"/>
      <c r="K117" s="51">
        <f>SUM(K118:K124)</f>
        <v>188</v>
      </c>
      <c r="L117" s="52"/>
      <c r="M117" s="50" t="str">
        <f>VLOOKUP($G118,$L$5:$P$10,M$3,0)</f>
        <v>VĂN</v>
      </c>
      <c r="N117" s="167" t="str">
        <f>VLOOKUP($G118,$L$5:$P$10,N$3,0)</f>
        <v>LÝ</v>
      </c>
      <c r="O117" s="50" t="str">
        <f>VLOOKUP($G118,$L$5:$P$10,O$3,0)</f>
        <v>TOÁN</v>
      </c>
      <c r="P117" s="50" t="str">
        <f>VLOOKUP($G118,$L$5:$P$10,P$3,0)</f>
        <v>SỬ</v>
      </c>
      <c r="Q117" s="7"/>
      <c r="R117" s="7"/>
      <c r="S117" s="7"/>
      <c r="T117" s="8" t="e">
        <f t="shared" si="24"/>
        <v>#N/A</v>
      </c>
    </row>
    <row r="118" spans="1:21" ht="15" customHeight="1">
      <c r="A118" s="319">
        <f>IF(F118="","",SUBTOTAL(3,$F$18:F118))</f>
        <v>76</v>
      </c>
      <c r="B118" s="252">
        <v>1</v>
      </c>
      <c r="C118" s="253" t="s">
        <v>1074</v>
      </c>
      <c r="D118" s="255">
        <v>27</v>
      </c>
      <c r="E118" s="256"/>
      <c r="F118" s="162" t="str">
        <f>C118&amp;".S"</f>
        <v>HT2-1.S</v>
      </c>
      <c r="G118" s="163" t="s">
        <v>366</v>
      </c>
      <c r="H118" s="163" t="s">
        <v>1056</v>
      </c>
      <c r="I118" s="158" t="str">
        <f t="shared" ref="I118:I124" si="42">VLOOKUP($H118,$D$2:$J$13,6,0)</f>
        <v>Thứ Hai (22/12)</v>
      </c>
      <c r="J118" s="158" t="str">
        <f t="shared" ref="J118:J124" si="43">VLOOKUP($H118,$D$2:$J$13,7,0)</f>
        <v>Thứ Tư (24/12)</v>
      </c>
      <c r="K118" s="168">
        <f>COUNTIF('DS_Tong_12AS-AT-VH'!$B$2837:$B$3024,F118)</f>
        <v>27</v>
      </c>
      <c r="L118" s="146">
        <f t="shared" ref="L118:L124" si="44">D118-K118</f>
        <v>0</v>
      </c>
      <c r="M118" s="214" t="str">
        <f t="shared" ref="M118:P124" si="45">VLOOKUP($G118,$L$5:$P$9,M$3,0)</f>
        <v>VĂN</v>
      </c>
      <c r="N118" s="221" t="str">
        <f t="shared" si="45"/>
        <v>LÝ</v>
      </c>
      <c r="O118" s="214" t="str">
        <f t="shared" si="45"/>
        <v>TOÁN</v>
      </c>
      <c r="P118" s="214" t="str">
        <f t="shared" si="45"/>
        <v>SỬ</v>
      </c>
      <c r="Q118" s="7"/>
      <c r="R118" s="7"/>
      <c r="S118" s="302" t="s">
        <v>1087</v>
      </c>
      <c r="T118" s="8" t="str">
        <f t="shared" si="24"/>
        <v>NGÀY THI: 22+24/12/2025</v>
      </c>
    </row>
    <row r="119" spans="1:21" ht="15" customHeight="1">
      <c r="A119" s="319">
        <f>IF(F119="","",SUBTOTAL(3,$F$18:F119))</f>
        <v>77</v>
      </c>
      <c r="B119" s="235">
        <v>2</v>
      </c>
      <c r="C119" s="236" t="s">
        <v>1075</v>
      </c>
      <c r="D119" s="237">
        <v>27</v>
      </c>
      <c r="E119" s="260"/>
      <c r="F119" s="164" t="str">
        <f t="shared" ref="F119:F124" si="46">C119&amp;".S"</f>
        <v>HT2-2.S</v>
      </c>
      <c r="G119" s="159" t="s">
        <v>366</v>
      </c>
      <c r="H119" s="159" t="s">
        <v>1056</v>
      </c>
      <c r="I119" s="158" t="str">
        <f t="shared" si="42"/>
        <v>Thứ Hai (22/12)</v>
      </c>
      <c r="J119" s="158" t="str">
        <f t="shared" si="43"/>
        <v>Thứ Tư (24/12)</v>
      </c>
      <c r="K119" s="169">
        <f>COUNTIF('DS_Tong_12AS-AT-VH'!$B$2837:$B$3024,F119)</f>
        <v>27</v>
      </c>
      <c r="L119" s="146">
        <f t="shared" si="44"/>
        <v>0</v>
      </c>
      <c r="M119" s="214" t="str">
        <f t="shared" si="45"/>
        <v>VĂN</v>
      </c>
      <c r="N119" s="221" t="str">
        <f t="shared" si="45"/>
        <v>LÝ</v>
      </c>
      <c r="O119" s="214" t="str">
        <f t="shared" si="45"/>
        <v>TOÁN</v>
      </c>
      <c r="P119" s="214" t="str">
        <f t="shared" si="45"/>
        <v>SỬ</v>
      </c>
      <c r="Q119" s="7"/>
      <c r="R119" s="7"/>
      <c r="S119" s="302" t="s">
        <v>1087</v>
      </c>
      <c r="T119" s="8" t="str">
        <f t="shared" si="24"/>
        <v>NGÀY THI: 22+24/12/2025</v>
      </c>
    </row>
    <row r="120" spans="1:21" ht="15" customHeight="1">
      <c r="A120" s="319">
        <f>IF(F120="","",SUBTOTAL(3,$F$18:F120))</f>
        <v>78</v>
      </c>
      <c r="B120" s="235">
        <v>3</v>
      </c>
      <c r="C120" s="236" t="s">
        <v>1076</v>
      </c>
      <c r="D120" s="237">
        <v>27</v>
      </c>
      <c r="E120" s="260"/>
      <c r="F120" s="164" t="str">
        <f t="shared" si="46"/>
        <v>HT2-3.S</v>
      </c>
      <c r="G120" s="159" t="s">
        <v>366</v>
      </c>
      <c r="H120" s="159" t="s">
        <v>1056</v>
      </c>
      <c r="I120" s="158" t="str">
        <f t="shared" si="42"/>
        <v>Thứ Hai (22/12)</v>
      </c>
      <c r="J120" s="158" t="str">
        <f t="shared" si="43"/>
        <v>Thứ Tư (24/12)</v>
      </c>
      <c r="K120" s="169">
        <f>COUNTIF('DS_Tong_12AS-AT-VH'!$B$2837:$B$3024,F120)</f>
        <v>27</v>
      </c>
      <c r="L120" s="146">
        <f t="shared" si="44"/>
        <v>0</v>
      </c>
      <c r="M120" s="214" t="str">
        <f t="shared" si="45"/>
        <v>VĂN</v>
      </c>
      <c r="N120" s="221" t="str">
        <f t="shared" si="45"/>
        <v>LÝ</v>
      </c>
      <c r="O120" s="214" t="str">
        <f t="shared" si="45"/>
        <v>TOÁN</v>
      </c>
      <c r="P120" s="214" t="str">
        <f t="shared" si="45"/>
        <v>SỬ</v>
      </c>
      <c r="Q120" s="7"/>
      <c r="R120" s="7"/>
      <c r="S120" s="302" t="s">
        <v>1087</v>
      </c>
      <c r="T120" s="8" t="str">
        <f t="shared" si="24"/>
        <v>NGÀY THI: 22+24/12/2025</v>
      </c>
    </row>
    <row r="121" spans="1:21" ht="15" customHeight="1">
      <c r="A121" s="319">
        <f>IF(F121="","",SUBTOTAL(3,$F$18:F121))</f>
        <v>79</v>
      </c>
      <c r="B121" s="235">
        <v>4</v>
      </c>
      <c r="C121" s="236" t="s">
        <v>1077</v>
      </c>
      <c r="D121" s="237">
        <v>27</v>
      </c>
      <c r="E121" s="260"/>
      <c r="F121" s="164" t="str">
        <f t="shared" si="46"/>
        <v>A0.13.S</v>
      </c>
      <c r="G121" s="159" t="s">
        <v>366</v>
      </c>
      <c r="H121" s="159" t="s">
        <v>1056</v>
      </c>
      <c r="I121" s="158" t="str">
        <f t="shared" si="42"/>
        <v>Thứ Hai (22/12)</v>
      </c>
      <c r="J121" s="158" t="str">
        <f t="shared" si="43"/>
        <v>Thứ Tư (24/12)</v>
      </c>
      <c r="K121" s="169">
        <f>COUNTIF('DS_Tong_12AS-AT-VH'!$B$2837:$B$3024,F121)</f>
        <v>27</v>
      </c>
      <c r="L121" s="146">
        <f t="shared" si="44"/>
        <v>0</v>
      </c>
      <c r="M121" s="214" t="str">
        <f t="shared" si="45"/>
        <v>VĂN</v>
      </c>
      <c r="N121" s="221" t="str">
        <f t="shared" si="45"/>
        <v>LÝ</v>
      </c>
      <c r="O121" s="214" t="str">
        <f t="shared" si="45"/>
        <v>TOÁN</v>
      </c>
      <c r="P121" s="214" t="str">
        <f t="shared" si="45"/>
        <v>SỬ</v>
      </c>
      <c r="Q121" s="7"/>
      <c r="R121" s="7"/>
      <c r="S121" s="302" t="s">
        <v>1087</v>
      </c>
      <c r="T121" s="8" t="str">
        <f t="shared" si="24"/>
        <v>NGÀY THI: 22+24/12/2025</v>
      </c>
    </row>
    <row r="122" spans="1:21" ht="15" customHeight="1">
      <c r="A122" s="319">
        <f>IF(F122="","",SUBTOTAL(3,$F$18:F122))</f>
        <v>80</v>
      </c>
      <c r="B122" s="235">
        <v>5</v>
      </c>
      <c r="C122" s="236" t="s">
        <v>1079</v>
      </c>
      <c r="D122" s="237">
        <v>27</v>
      </c>
      <c r="E122" s="260"/>
      <c r="F122" s="164" t="str">
        <f t="shared" si="46"/>
        <v>A1.10.S</v>
      </c>
      <c r="G122" s="159" t="s">
        <v>366</v>
      </c>
      <c r="H122" s="159" t="s">
        <v>1056</v>
      </c>
      <c r="I122" s="158" t="str">
        <f t="shared" si="42"/>
        <v>Thứ Hai (22/12)</v>
      </c>
      <c r="J122" s="158" t="str">
        <f t="shared" si="43"/>
        <v>Thứ Tư (24/12)</v>
      </c>
      <c r="K122" s="169">
        <f>COUNTIF('DS_Tong_12AS-AT-VH'!$B$2837:$B$3024,F122)</f>
        <v>27</v>
      </c>
      <c r="L122" s="146">
        <f t="shared" si="44"/>
        <v>0</v>
      </c>
      <c r="M122" s="214" t="str">
        <f t="shared" si="45"/>
        <v>VĂN</v>
      </c>
      <c r="N122" s="221" t="str">
        <f t="shared" si="45"/>
        <v>LÝ</v>
      </c>
      <c r="O122" s="214" t="str">
        <f t="shared" si="45"/>
        <v>TOÁN</v>
      </c>
      <c r="P122" s="214" t="str">
        <f t="shared" si="45"/>
        <v>SỬ</v>
      </c>
      <c r="Q122" s="7"/>
      <c r="R122" s="7"/>
      <c r="S122" s="302" t="s">
        <v>1087</v>
      </c>
      <c r="T122" s="8" t="str">
        <f t="shared" si="24"/>
        <v>NGÀY THI: 22+24/12/2025</v>
      </c>
    </row>
    <row r="123" spans="1:21" ht="15" customHeight="1">
      <c r="A123" s="319">
        <f>IF(F123="","",SUBTOTAL(3,$F$18:F123))</f>
        <v>81</v>
      </c>
      <c r="B123" s="235">
        <v>6</v>
      </c>
      <c r="C123" s="236" t="s">
        <v>1080</v>
      </c>
      <c r="D123" s="237">
        <v>27</v>
      </c>
      <c r="E123" s="260"/>
      <c r="F123" s="164" t="str">
        <f t="shared" si="46"/>
        <v>A1.11.S</v>
      </c>
      <c r="G123" s="159" t="s">
        <v>366</v>
      </c>
      <c r="H123" s="159" t="s">
        <v>1056</v>
      </c>
      <c r="I123" s="158" t="str">
        <f t="shared" si="42"/>
        <v>Thứ Hai (22/12)</v>
      </c>
      <c r="J123" s="158" t="str">
        <f t="shared" si="43"/>
        <v>Thứ Tư (24/12)</v>
      </c>
      <c r="K123" s="169">
        <f>COUNTIF('DS_Tong_12AS-AT-VH'!$B$2837:$B$3024,F123)</f>
        <v>27</v>
      </c>
      <c r="L123" s="146">
        <f t="shared" si="44"/>
        <v>0</v>
      </c>
      <c r="M123" s="214" t="str">
        <f t="shared" si="45"/>
        <v>VĂN</v>
      </c>
      <c r="N123" s="221" t="str">
        <f t="shared" si="45"/>
        <v>LÝ</v>
      </c>
      <c r="O123" s="214" t="str">
        <f t="shared" si="45"/>
        <v>TOÁN</v>
      </c>
      <c r="P123" s="214" t="str">
        <f t="shared" si="45"/>
        <v>SỬ</v>
      </c>
      <c r="Q123" s="7"/>
      <c r="R123" s="7"/>
      <c r="S123" s="302" t="s">
        <v>1087</v>
      </c>
      <c r="T123" s="8" t="str">
        <f t="shared" si="24"/>
        <v>NGÀY THI: 22+24/12/2025</v>
      </c>
    </row>
    <row r="124" spans="1:21" ht="15" customHeight="1">
      <c r="A124" s="319">
        <f>IF(F124="","",SUBTOTAL(3,$F$18:F124))</f>
        <v>82</v>
      </c>
      <c r="B124" s="246">
        <v>7</v>
      </c>
      <c r="C124" s="247" t="s">
        <v>1083</v>
      </c>
      <c r="D124" s="257">
        <v>26</v>
      </c>
      <c r="E124" s="258"/>
      <c r="F124" s="165" t="str">
        <f t="shared" si="46"/>
        <v>A1.12.S</v>
      </c>
      <c r="G124" s="160" t="s">
        <v>366</v>
      </c>
      <c r="H124" s="159" t="s">
        <v>1056</v>
      </c>
      <c r="I124" s="158" t="str">
        <f t="shared" si="42"/>
        <v>Thứ Hai (22/12)</v>
      </c>
      <c r="J124" s="158" t="str">
        <f t="shared" si="43"/>
        <v>Thứ Tư (24/12)</v>
      </c>
      <c r="K124" s="170">
        <f>COUNTIF('DS_Tong_12AS-AT-VH'!$B$2837:$B$3024,F124)</f>
        <v>26</v>
      </c>
      <c r="L124" s="146">
        <f t="shared" si="44"/>
        <v>0</v>
      </c>
      <c r="M124" s="214" t="str">
        <f t="shared" si="45"/>
        <v>VĂN</v>
      </c>
      <c r="N124" s="221" t="str">
        <f t="shared" si="45"/>
        <v>LÝ</v>
      </c>
      <c r="O124" s="214" t="str">
        <f t="shared" si="45"/>
        <v>TOÁN</v>
      </c>
      <c r="P124" s="214" t="str">
        <f t="shared" si="45"/>
        <v>SỬ</v>
      </c>
      <c r="Q124" s="7"/>
      <c r="R124" s="7"/>
      <c r="S124" s="302" t="s">
        <v>1087</v>
      </c>
      <c r="T124" s="8" t="str">
        <f t="shared" si="24"/>
        <v>NGÀY THI: 22+24/12/2025</v>
      </c>
    </row>
    <row r="125" spans="1:21" s="6" customFormat="1" ht="15" customHeight="1">
      <c r="A125" s="319" t="str">
        <f>IF(F125="","",SUBTOTAL(3,$F$18:F125))</f>
        <v/>
      </c>
      <c r="B125" s="223" t="s">
        <v>1084</v>
      </c>
      <c r="C125" s="224" t="str">
        <f>COUNTIF(B126:B137,"&gt;0")&amp;" phòng"</f>
        <v>10 phòng</v>
      </c>
      <c r="D125" s="225">
        <f>D126+D131</f>
        <v>242</v>
      </c>
      <c r="E125" s="226"/>
      <c r="F125" s="172"/>
      <c r="G125" s="173"/>
      <c r="H125" s="173"/>
      <c r="I125" s="173"/>
      <c r="J125" s="173"/>
      <c r="K125" s="171"/>
      <c r="L125" s="174"/>
      <c r="M125" s="175"/>
      <c r="N125" s="220"/>
      <c r="O125" s="175"/>
      <c r="P125" s="176"/>
      <c r="Q125" s="7"/>
      <c r="R125" s="7"/>
      <c r="S125" s="7"/>
      <c r="T125" s="8" t="e">
        <f t="shared" si="24"/>
        <v>#N/A</v>
      </c>
      <c r="U125"/>
    </row>
    <row r="126" spans="1:21" ht="30" customHeight="1">
      <c r="A126" s="319" t="str">
        <f>IF(F126="","",SUBTOTAL(3,$F$18:F126))</f>
        <v/>
      </c>
      <c r="B126" s="259" t="s">
        <v>1088</v>
      </c>
      <c r="C126" s="242"/>
      <c r="D126" s="243">
        <f>SUM(D127:D130)</f>
        <v>97</v>
      </c>
      <c r="E126" s="244"/>
      <c r="F126" s="151"/>
      <c r="G126" s="147"/>
      <c r="H126" s="147"/>
      <c r="I126" s="147"/>
      <c r="J126" s="147"/>
      <c r="K126" s="51">
        <f>SUM(K127:K130)</f>
        <v>94</v>
      </c>
      <c r="L126" s="52"/>
      <c r="M126" s="50" t="str">
        <f>VLOOKUP($G127,$L$5:$P$10,M$3,0)</f>
        <v>VĂN</v>
      </c>
      <c r="N126" s="167" t="str">
        <f>VLOOKUP($G127,$L$5:$P$10,N$3,0)</f>
        <v>LÝ</v>
      </c>
      <c r="O126" s="50" t="str">
        <f>VLOOKUP($G127,$L$5:$P$10,O$3,0)</f>
        <v>TOÁN</v>
      </c>
      <c r="P126" s="50" t="str">
        <f>VLOOKUP($G127,$L$5:$P$10,P$3,0)</f>
        <v>SỬ</v>
      </c>
      <c r="Q126" s="7"/>
      <c r="R126" s="7"/>
      <c r="S126" s="7"/>
      <c r="T126" s="8" t="e">
        <f t="shared" si="24"/>
        <v>#N/A</v>
      </c>
    </row>
    <row r="127" spans="1:21" ht="15" customHeight="1">
      <c r="A127" s="319">
        <f>IF(F127="","",SUBTOTAL(3,$F$18:F127))</f>
        <v>83</v>
      </c>
      <c r="B127" s="252">
        <v>1</v>
      </c>
      <c r="C127" s="253">
        <v>202</v>
      </c>
      <c r="D127" s="255">
        <v>25</v>
      </c>
      <c r="E127" s="256" t="s">
        <v>1037</v>
      </c>
      <c r="F127" s="162" t="str">
        <f>C127&amp;".C"</f>
        <v>202.C</v>
      </c>
      <c r="G127" s="159" t="s">
        <v>366</v>
      </c>
      <c r="H127" s="163" t="s">
        <v>1057</v>
      </c>
      <c r="I127" s="158" t="str">
        <f>VLOOKUP($H127,$D$2:$J$13,6,0)</f>
        <v>Thứ Hai (22/12)</v>
      </c>
      <c r="J127" s="158" t="str">
        <f>VLOOKUP($H127,$D$2:$J$13,7,0)</f>
        <v>Thứ Tư (24/12)</v>
      </c>
      <c r="K127" s="168">
        <f>COUNTIF('DS_Tong_12AS-AT-VH'!$B$1654:$B$1889,F127)</f>
        <v>24</v>
      </c>
      <c r="L127" s="146">
        <f>D127-K127</f>
        <v>1</v>
      </c>
      <c r="M127" s="214" t="str">
        <f t="shared" ref="M127:P130" si="47">VLOOKUP($G127,$L$5:$P$9,M$3,0)</f>
        <v>VĂN</v>
      </c>
      <c r="N127" s="221" t="str">
        <f t="shared" si="47"/>
        <v>LÝ</v>
      </c>
      <c r="O127" s="214" t="str">
        <f t="shared" si="47"/>
        <v>TOÁN</v>
      </c>
      <c r="P127" s="214" t="str">
        <f t="shared" si="47"/>
        <v>SỬ</v>
      </c>
      <c r="Q127" s="7"/>
      <c r="R127" s="7"/>
      <c r="S127" s="302" t="s">
        <v>2127</v>
      </c>
      <c r="T127" s="8" t="str">
        <f t="shared" si="24"/>
        <v>NGÀY THI: 22+24/12/2025</v>
      </c>
    </row>
    <row r="128" spans="1:21" ht="15" customHeight="1">
      <c r="A128" s="319">
        <f>IF(F128="","",SUBTOTAL(3,$F$18:F128))</f>
        <v>84</v>
      </c>
      <c r="B128" s="235">
        <v>2</v>
      </c>
      <c r="C128" s="236">
        <v>203</v>
      </c>
      <c r="D128" s="237">
        <v>24</v>
      </c>
      <c r="E128" s="260"/>
      <c r="F128" s="164" t="str">
        <f>C128&amp;".C"</f>
        <v>203.C</v>
      </c>
      <c r="G128" s="159" t="s">
        <v>366</v>
      </c>
      <c r="H128" s="159" t="s">
        <v>1057</v>
      </c>
      <c r="I128" s="158" t="str">
        <f>VLOOKUP($H128,$D$2:$J$13,6,0)</f>
        <v>Thứ Hai (22/12)</v>
      </c>
      <c r="J128" s="158" t="str">
        <f>VLOOKUP($H128,$D$2:$J$13,7,0)</f>
        <v>Thứ Tư (24/12)</v>
      </c>
      <c r="K128" s="169">
        <f>COUNTIF('DS_Tong_12AS-AT-VH'!$B$1654:$B$1889,F128)</f>
        <v>24</v>
      </c>
      <c r="L128" s="146">
        <f>D128-K128</f>
        <v>0</v>
      </c>
      <c r="M128" s="214" t="str">
        <f t="shared" si="47"/>
        <v>VĂN</v>
      </c>
      <c r="N128" s="221" t="str">
        <f t="shared" si="47"/>
        <v>LÝ</v>
      </c>
      <c r="O128" s="214" t="str">
        <f t="shared" si="47"/>
        <v>TOÁN</v>
      </c>
      <c r="P128" s="214" t="str">
        <f t="shared" si="47"/>
        <v>SỬ</v>
      </c>
      <c r="Q128" s="7"/>
      <c r="R128" s="7"/>
      <c r="S128" s="302" t="s">
        <v>2127</v>
      </c>
      <c r="T128" s="8" t="str">
        <f t="shared" si="24"/>
        <v>NGÀY THI: 22+24/12/2025</v>
      </c>
    </row>
    <row r="129" spans="1:21" ht="15" customHeight="1">
      <c r="A129" s="319">
        <f>IF(F129="","",SUBTOTAL(3,$F$18:F129))</f>
        <v>85</v>
      </c>
      <c r="B129" s="235">
        <v>3</v>
      </c>
      <c r="C129" s="236">
        <v>204</v>
      </c>
      <c r="D129" s="237">
        <v>24</v>
      </c>
      <c r="E129" s="260"/>
      <c r="F129" s="164" t="str">
        <f>C129&amp;".C"</f>
        <v>204.C</v>
      </c>
      <c r="G129" s="159" t="s">
        <v>366</v>
      </c>
      <c r="H129" s="159" t="s">
        <v>1057</v>
      </c>
      <c r="I129" s="158" t="str">
        <f>VLOOKUP($H129,$D$2:$J$13,6,0)</f>
        <v>Thứ Hai (22/12)</v>
      </c>
      <c r="J129" s="158" t="str">
        <f>VLOOKUP($H129,$D$2:$J$13,7,0)</f>
        <v>Thứ Tư (24/12)</v>
      </c>
      <c r="K129" s="169">
        <f>COUNTIF('DS_Tong_12AS-AT-VH'!$B$1654:$B$1889,F129)</f>
        <v>23</v>
      </c>
      <c r="L129" s="146">
        <f>D129-K129</f>
        <v>1</v>
      </c>
      <c r="M129" s="214" t="str">
        <f t="shared" si="47"/>
        <v>VĂN</v>
      </c>
      <c r="N129" s="221" t="str">
        <f t="shared" si="47"/>
        <v>LÝ</v>
      </c>
      <c r="O129" s="214" t="str">
        <f t="shared" si="47"/>
        <v>TOÁN</v>
      </c>
      <c r="P129" s="214" t="str">
        <f t="shared" si="47"/>
        <v>SỬ</v>
      </c>
      <c r="Q129" s="7"/>
      <c r="R129" s="7"/>
      <c r="S129" s="302" t="s">
        <v>2127</v>
      </c>
      <c r="T129" s="8" t="str">
        <f t="shared" si="24"/>
        <v>NGÀY THI: 22+24/12/2025</v>
      </c>
    </row>
    <row r="130" spans="1:21" ht="15" customHeight="1">
      <c r="A130" s="319">
        <f>IF(F130="","",SUBTOTAL(3,$F$18:F130))</f>
        <v>86</v>
      </c>
      <c r="B130" s="235">
        <v>4</v>
      </c>
      <c r="C130" s="236">
        <v>205</v>
      </c>
      <c r="D130" s="237">
        <v>24</v>
      </c>
      <c r="E130" s="260"/>
      <c r="F130" s="165" t="str">
        <f>C130&amp;".C"</f>
        <v>205.C</v>
      </c>
      <c r="G130" s="159" t="s">
        <v>366</v>
      </c>
      <c r="H130" s="160" t="s">
        <v>1057</v>
      </c>
      <c r="I130" s="158" t="str">
        <f>VLOOKUP($H130,$D$2:$J$13,6,0)</f>
        <v>Thứ Hai (22/12)</v>
      </c>
      <c r="J130" s="158" t="str">
        <f>VLOOKUP($H130,$D$2:$J$13,7,0)</f>
        <v>Thứ Tư (24/12)</v>
      </c>
      <c r="K130" s="170">
        <f>COUNTIF('DS_Tong_12AS-AT-VH'!$B$1654:$B$1889,F130)</f>
        <v>23</v>
      </c>
      <c r="L130" s="146">
        <f>D130-K130</f>
        <v>1</v>
      </c>
      <c r="M130" s="214" t="str">
        <f t="shared" si="47"/>
        <v>VĂN</v>
      </c>
      <c r="N130" s="221" t="str">
        <f t="shared" si="47"/>
        <v>LÝ</v>
      </c>
      <c r="O130" s="214" t="str">
        <f t="shared" si="47"/>
        <v>TOÁN</v>
      </c>
      <c r="P130" s="214" t="str">
        <f t="shared" si="47"/>
        <v>SỬ</v>
      </c>
      <c r="Q130" s="7"/>
      <c r="R130" s="7"/>
      <c r="S130" s="302" t="s">
        <v>2127</v>
      </c>
      <c r="T130" s="8" t="str">
        <f t="shared" si="24"/>
        <v>NGÀY THI: 22+24/12/2025</v>
      </c>
    </row>
    <row r="131" spans="1:21" ht="30" customHeight="1">
      <c r="A131" s="319" t="str">
        <f>IF(F131="","",SUBTOTAL(3,$F$18:F131))</f>
        <v/>
      </c>
      <c r="B131" s="259" t="s">
        <v>1089</v>
      </c>
      <c r="C131" s="242"/>
      <c r="D131" s="243">
        <f>SUM(D132:D137)</f>
        <v>145</v>
      </c>
      <c r="E131" s="244"/>
      <c r="F131" s="151"/>
      <c r="G131" s="147"/>
      <c r="H131" s="147"/>
      <c r="I131" s="147"/>
      <c r="J131" s="147"/>
      <c r="K131" s="51">
        <f>SUM(K132:K137)</f>
        <v>142</v>
      </c>
      <c r="L131" s="52"/>
      <c r="M131" s="50" t="str">
        <f>VLOOKUP($G132,$L$5:$P$10,M$3,0)</f>
        <v>VĂN</v>
      </c>
      <c r="N131" s="167" t="str">
        <f>VLOOKUP($G132,$L$5:$P$10,N$3,0)</f>
        <v>KT-PL</v>
      </c>
      <c r="O131" s="50" t="str">
        <f>VLOOKUP($G132,$L$5:$P$10,O$3,0)</f>
        <v>TOÁN</v>
      </c>
      <c r="P131" s="50" t="str">
        <f>VLOOKUP($G132,$L$5:$P$10,P$3,0)</f>
        <v>SỬ</v>
      </c>
      <c r="Q131" s="7"/>
      <c r="R131" s="7"/>
      <c r="S131" s="7"/>
      <c r="T131" s="8" t="e">
        <f t="shared" si="24"/>
        <v>#N/A</v>
      </c>
    </row>
    <row r="132" spans="1:21" ht="15" customHeight="1">
      <c r="A132" s="319">
        <f>IF(F132="","",SUBTOTAL(3,$F$18:F132))</f>
        <v>87</v>
      </c>
      <c r="B132" s="252">
        <v>1</v>
      </c>
      <c r="C132" s="253">
        <v>206</v>
      </c>
      <c r="D132" s="255">
        <v>25</v>
      </c>
      <c r="E132" s="256" t="s">
        <v>1050</v>
      </c>
      <c r="F132" s="162" t="str">
        <f t="shared" ref="F132:F137" si="48">C132&amp;".C"</f>
        <v>206.C</v>
      </c>
      <c r="G132" s="159" t="s">
        <v>365</v>
      </c>
      <c r="H132" s="163" t="s">
        <v>1057</v>
      </c>
      <c r="I132" s="158" t="str">
        <f t="shared" ref="I132:I137" si="49">VLOOKUP($H132,$D$2:$J$13,6,0)</f>
        <v>Thứ Hai (22/12)</v>
      </c>
      <c r="J132" s="158" t="str">
        <f t="shared" ref="J132:J137" si="50">VLOOKUP($H132,$D$2:$J$13,7,0)</f>
        <v>Thứ Tư (24/12)</v>
      </c>
      <c r="K132" s="168">
        <f>COUNTIF('DS_Tong_12AS-AT-VH'!$B$1654:$B$1889,F132)</f>
        <v>24</v>
      </c>
      <c r="L132" s="146">
        <f t="shared" ref="L132:L137" si="51">D132-K132</f>
        <v>1</v>
      </c>
      <c r="M132" s="214" t="str">
        <f t="shared" ref="M132:P137" si="52">VLOOKUP($G132,$L$5:$P$9,M$3,0)</f>
        <v>VĂN</v>
      </c>
      <c r="N132" s="221" t="str">
        <f t="shared" si="52"/>
        <v>KT-PL</v>
      </c>
      <c r="O132" s="214" t="str">
        <f t="shared" si="52"/>
        <v>TOÁN</v>
      </c>
      <c r="P132" s="214" t="str">
        <f t="shared" si="52"/>
        <v>SỬ</v>
      </c>
      <c r="Q132" s="7"/>
      <c r="R132" s="7"/>
      <c r="S132" s="302" t="s">
        <v>2128</v>
      </c>
      <c r="T132" s="8" t="str">
        <f t="shared" si="24"/>
        <v>NGÀY THI: 22+24/12/2025</v>
      </c>
    </row>
    <row r="133" spans="1:21" ht="15" customHeight="1">
      <c r="A133" s="319">
        <f>IF(F133="","",SUBTOTAL(3,$F$18:F133))</f>
        <v>88</v>
      </c>
      <c r="B133" s="235">
        <v>2</v>
      </c>
      <c r="C133" s="236">
        <v>302</v>
      </c>
      <c r="D133" s="237">
        <v>24</v>
      </c>
      <c r="E133" s="260"/>
      <c r="F133" s="164" t="str">
        <f t="shared" si="48"/>
        <v>302.C</v>
      </c>
      <c r="G133" s="159" t="s">
        <v>365</v>
      </c>
      <c r="H133" s="159" t="s">
        <v>1057</v>
      </c>
      <c r="I133" s="158" t="str">
        <f t="shared" si="49"/>
        <v>Thứ Hai (22/12)</v>
      </c>
      <c r="J133" s="158" t="str">
        <f t="shared" si="50"/>
        <v>Thứ Tư (24/12)</v>
      </c>
      <c r="K133" s="169">
        <f>COUNTIF('DS_Tong_12AS-AT-VH'!$B$1654:$B$1889,F133)</f>
        <v>24</v>
      </c>
      <c r="L133" s="146">
        <f t="shared" si="51"/>
        <v>0</v>
      </c>
      <c r="M133" s="214" t="str">
        <f t="shared" si="52"/>
        <v>VĂN</v>
      </c>
      <c r="N133" s="221" t="str">
        <f t="shared" si="52"/>
        <v>KT-PL</v>
      </c>
      <c r="O133" s="214" t="str">
        <f t="shared" si="52"/>
        <v>TOÁN</v>
      </c>
      <c r="P133" s="214" t="str">
        <f t="shared" si="52"/>
        <v>SỬ</v>
      </c>
      <c r="Q133" s="7"/>
      <c r="R133" s="7"/>
      <c r="S133" s="302" t="s">
        <v>2128</v>
      </c>
      <c r="T133" s="8" t="str">
        <f t="shared" si="24"/>
        <v>NGÀY THI: 22+24/12/2025</v>
      </c>
    </row>
    <row r="134" spans="1:21" ht="15" customHeight="1">
      <c r="A134" s="319">
        <f>IF(F134="","",SUBTOTAL(3,$F$18:F134))</f>
        <v>89</v>
      </c>
      <c r="B134" s="235">
        <v>3</v>
      </c>
      <c r="C134" s="236">
        <v>303</v>
      </c>
      <c r="D134" s="237">
        <v>24</v>
      </c>
      <c r="E134" s="260"/>
      <c r="F134" s="164" t="str">
        <f t="shared" si="48"/>
        <v>303.C</v>
      </c>
      <c r="G134" s="159" t="s">
        <v>365</v>
      </c>
      <c r="H134" s="159" t="s">
        <v>1057</v>
      </c>
      <c r="I134" s="158" t="str">
        <f t="shared" si="49"/>
        <v>Thứ Hai (22/12)</v>
      </c>
      <c r="J134" s="158" t="str">
        <f t="shared" si="50"/>
        <v>Thứ Tư (24/12)</v>
      </c>
      <c r="K134" s="169">
        <f>COUNTIF('DS_Tong_12AS-AT-VH'!$B$1654:$B$1889,F134)</f>
        <v>24</v>
      </c>
      <c r="L134" s="146">
        <f t="shared" si="51"/>
        <v>0</v>
      </c>
      <c r="M134" s="214" t="str">
        <f t="shared" si="52"/>
        <v>VĂN</v>
      </c>
      <c r="N134" s="221" t="str">
        <f t="shared" si="52"/>
        <v>KT-PL</v>
      </c>
      <c r="O134" s="214" t="str">
        <f t="shared" si="52"/>
        <v>TOÁN</v>
      </c>
      <c r="P134" s="214" t="str">
        <f t="shared" si="52"/>
        <v>SỬ</v>
      </c>
      <c r="Q134" s="7"/>
      <c r="R134" s="7"/>
      <c r="S134" s="302" t="s">
        <v>2128</v>
      </c>
      <c r="T134" s="8" t="str">
        <f t="shared" si="24"/>
        <v>NGÀY THI: 22+24/12/2025</v>
      </c>
    </row>
    <row r="135" spans="1:21" ht="15" customHeight="1">
      <c r="A135" s="319">
        <f>IF(F135="","",SUBTOTAL(3,$F$18:F135))</f>
        <v>90</v>
      </c>
      <c r="B135" s="235">
        <v>4</v>
      </c>
      <c r="C135" s="236">
        <v>304</v>
      </c>
      <c r="D135" s="237">
        <v>24</v>
      </c>
      <c r="E135" s="260"/>
      <c r="F135" s="164" t="str">
        <f t="shared" si="48"/>
        <v>304.C</v>
      </c>
      <c r="G135" s="159" t="s">
        <v>365</v>
      </c>
      <c r="H135" s="159" t="s">
        <v>1057</v>
      </c>
      <c r="I135" s="158" t="str">
        <f t="shared" si="49"/>
        <v>Thứ Hai (22/12)</v>
      </c>
      <c r="J135" s="158" t="str">
        <f t="shared" si="50"/>
        <v>Thứ Tư (24/12)</v>
      </c>
      <c r="K135" s="169">
        <f>COUNTIF('DS_Tong_12AS-AT-VH'!$B$1654:$B$1889,F135)</f>
        <v>24</v>
      </c>
      <c r="L135" s="146">
        <f t="shared" si="51"/>
        <v>0</v>
      </c>
      <c r="M135" s="214" t="str">
        <f t="shared" si="52"/>
        <v>VĂN</v>
      </c>
      <c r="N135" s="221" t="str">
        <f t="shared" si="52"/>
        <v>KT-PL</v>
      </c>
      <c r="O135" s="214" t="str">
        <f t="shared" si="52"/>
        <v>TOÁN</v>
      </c>
      <c r="P135" s="214" t="str">
        <f t="shared" si="52"/>
        <v>SỬ</v>
      </c>
      <c r="Q135" s="7"/>
      <c r="R135" s="7"/>
      <c r="S135" s="302" t="s">
        <v>2128</v>
      </c>
      <c r="T135" s="8" t="str">
        <f t="shared" si="24"/>
        <v>NGÀY THI: 22+24/12/2025</v>
      </c>
    </row>
    <row r="136" spans="1:21" ht="15" customHeight="1">
      <c r="A136" s="319">
        <f>IF(F136="","",SUBTOTAL(3,$F$18:F136))</f>
        <v>91</v>
      </c>
      <c r="B136" s="235">
        <v>5</v>
      </c>
      <c r="C136" s="236">
        <v>305</v>
      </c>
      <c r="D136" s="237">
        <v>24</v>
      </c>
      <c r="E136" s="260"/>
      <c r="F136" s="164" t="str">
        <f t="shared" si="48"/>
        <v>305.C</v>
      </c>
      <c r="G136" s="159" t="s">
        <v>365</v>
      </c>
      <c r="H136" s="159" t="s">
        <v>1057</v>
      </c>
      <c r="I136" s="158" t="str">
        <f t="shared" si="49"/>
        <v>Thứ Hai (22/12)</v>
      </c>
      <c r="J136" s="158" t="str">
        <f t="shared" si="50"/>
        <v>Thứ Tư (24/12)</v>
      </c>
      <c r="K136" s="169">
        <f>COUNTIF('DS_Tong_12AS-AT-VH'!$B$1654:$B$1889,F136)</f>
        <v>23</v>
      </c>
      <c r="L136" s="146">
        <f t="shared" si="51"/>
        <v>1</v>
      </c>
      <c r="M136" s="214" t="str">
        <f t="shared" si="52"/>
        <v>VĂN</v>
      </c>
      <c r="N136" s="221" t="str">
        <f t="shared" si="52"/>
        <v>KT-PL</v>
      </c>
      <c r="O136" s="214" t="str">
        <f t="shared" si="52"/>
        <v>TOÁN</v>
      </c>
      <c r="P136" s="214" t="str">
        <f t="shared" si="52"/>
        <v>SỬ</v>
      </c>
      <c r="Q136" s="7"/>
      <c r="R136" s="7"/>
      <c r="S136" s="302" t="s">
        <v>2128</v>
      </c>
      <c r="T136" s="8" t="str">
        <f t="shared" si="24"/>
        <v>NGÀY THI: 22+24/12/2025</v>
      </c>
    </row>
    <row r="137" spans="1:21" ht="15" customHeight="1">
      <c r="A137" s="319">
        <f>IF(F137="","",SUBTOTAL(3,$F$18:F137))</f>
        <v>92</v>
      </c>
      <c r="B137" s="235">
        <v>6</v>
      </c>
      <c r="C137" s="236">
        <v>306</v>
      </c>
      <c r="D137" s="237">
        <v>24</v>
      </c>
      <c r="E137" s="260"/>
      <c r="F137" s="164" t="str">
        <f t="shared" si="48"/>
        <v>306.C</v>
      </c>
      <c r="G137" s="159" t="s">
        <v>365</v>
      </c>
      <c r="H137" s="159" t="s">
        <v>1057</v>
      </c>
      <c r="I137" s="158" t="str">
        <f t="shared" si="49"/>
        <v>Thứ Hai (22/12)</v>
      </c>
      <c r="J137" s="158" t="str">
        <f t="shared" si="50"/>
        <v>Thứ Tư (24/12)</v>
      </c>
      <c r="K137" s="170">
        <f>COUNTIF('DS_Tong_12AS-AT-VH'!$B$1654:$B$1889,F137)</f>
        <v>23</v>
      </c>
      <c r="L137" s="146">
        <f t="shared" si="51"/>
        <v>1</v>
      </c>
      <c r="M137" s="214" t="str">
        <f t="shared" si="52"/>
        <v>VĂN</v>
      </c>
      <c r="N137" s="221" t="str">
        <f t="shared" si="52"/>
        <v>KT-PL</v>
      </c>
      <c r="O137" s="214" t="str">
        <f t="shared" si="52"/>
        <v>TOÁN</v>
      </c>
      <c r="P137" s="214" t="str">
        <f t="shared" si="52"/>
        <v>SỬ</v>
      </c>
      <c r="Q137" s="7"/>
      <c r="R137" s="7"/>
      <c r="S137" s="302" t="s">
        <v>2128</v>
      </c>
      <c r="T137" s="8" t="str">
        <f t="shared" si="24"/>
        <v>NGÀY THI: 22+24/12/2025</v>
      </c>
    </row>
    <row r="138" spans="1:21" s="6" customFormat="1" ht="15" customHeight="1">
      <c r="A138" s="319" t="str">
        <f>IF(F138="","",SUBTOTAL(3,$F$18:F138))</f>
        <v/>
      </c>
      <c r="B138" s="223" t="s">
        <v>415</v>
      </c>
      <c r="C138" s="224" t="str">
        <f>COUNTIF(B139:B150,"&gt;0")&amp;" phòng"</f>
        <v>10 phòng</v>
      </c>
      <c r="D138" s="225">
        <f>D139+D144</f>
        <v>259</v>
      </c>
      <c r="E138" s="226"/>
      <c r="F138" s="172"/>
      <c r="G138" s="173"/>
      <c r="H138" s="173"/>
      <c r="I138" s="173"/>
      <c r="J138" s="173"/>
      <c r="K138" s="171"/>
      <c r="L138" s="174"/>
      <c r="M138" s="175"/>
      <c r="N138" s="220"/>
      <c r="O138" s="175"/>
      <c r="P138" s="176"/>
      <c r="Q138" s="7"/>
      <c r="R138" s="7"/>
      <c r="S138" s="7"/>
      <c r="T138" s="8" t="e">
        <f t="shared" si="24"/>
        <v>#N/A</v>
      </c>
      <c r="U138"/>
    </row>
    <row r="139" spans="1:21" ht="30" customHeight="1">
      <c r="A139" s="319" t="str">
        <f>IF(F139="","",SUBTOTAL(3,$F$18:F139))</f>
        <v/>
      </c>
      <c r="B139" s="259" t="s">
        <v>1090</v>
      </c>
      <c r="C139" s="242"/>
      <c r="D139" s="243">
        <f>SUM(D140:D143)</f>
        <v>111</v>
      </c>
      <c r="E139" s="244"/>
      <c r="F139" s="151"/>
      <c r="G139" s="147"/>
      <c r="H139" s="147"/>
      <c r="I139" s="147"/>
      <c r="J139" s="147"/>
      <c r="K139" s="51">
        <f>SUM(K140:K143)</f>
        <v>111</v>
      </c>
      <c r="L139" s="52"/>
      <c r="M139" s="50" t="str">
        <f>VLOOKUP($G140,$L$5:$P$10,M$3,0)</f>
        <v>VĂN</v>
      </c>
      <c r="N139" s="167" t="str">
        <f>VLOOKUP($G140,$L$5:$P$10,N$3,0)</f>
        <v>LÝ</v>
      </c>
      <c r="O139" s="50" t="str">
        <f>VLOOKUP($G140,$L$5:$P$10,O$3,0)</f>
        <v>TOÁN</v>
      </c>
      <c r="P139" s="50" t="str">
        <f>VLOOKUP($G140,$L$5:$P$10,P$3,0)</f>
        <v>SỬ</v>
      </c>
      <c r="Q139" s="7"/>
      <c r="R139" s="7"/>
      <c r="S139" s="7"/>
      <c r="T139" s="8" t="e">
        <f t="shared" si="24"/>
        <v>#N/A</v>
      </c>
    </row>
    <row r="140" spans="1:21" ht="15" customHeight="1">
      <c r="A140" s="319">
        <f>IF(F140="","",SUBTOTAL(3,$F$18:F140))</f>
        <v>93</v>
      </c>
      <c r="B140" s="252">
        <v>1</v>
      </c>
      <c r="C140" s="253">
        <v>202</v>
      </c>
      <c r="D140" s="255">
        <v>28</v>
      </c>
      <c r="E140" s="256" t="s">
        <v>1050</v>
      </c>
      <c r="F140" s="162" t="str">
        <f>C140&amp;".C1"</f>
        <v>202.C1</v>
      </c>
      <c r="G140" s="159" t="s">
        <v>366</v>
      </c>
      <c r="H140" s="163" t="s">
        <v>506</v>
      </c>
      <c r="I140" s="158" t="str">
        <f>VLOOKUP($H140,$D$2:$J$13,6,0)</f>
        <v>Thứ Ba (23/12)</v>
      </c>
      <c r="J140" s="158" t="str">
        <f>VLOOKUP($H140,$D$2:$J$13,7,0)</f>
        <v>Thứ Năm (25/12)</v>
      </c>
      <c r="K140" s="168">
        <f>COUNTIF('DS_Tong_12AS-AT-VH'!$B$1890:$B$2148,F140)</f>
        <v>28</v>
      </c>
      <c r="L140" s="146">
        <f>D140-K140</f>
        <v>0</v>
      </c>
      <c r="M140" s="214" t="str">
        <f t="shared" ref="M140:P143" si="53">VLOOKUP($G140,$L$5:$P$9,M$3,0)</f>
        <v>VĂN</v>
      </c>
      <c r="N140" s="221" t="str">
        <f t="shared" si="53"/>
        <v>LÝ</v>
      </c>
      <c r="O140" s="214" t="str">
        <f t="shared" si="53"/>
        <v>TOÁN</v>
      </c>
      <c r="P140" s="214" t="str">
        <f t="shared" si="53"/>
        <v>SỬ</v>
      </c>
      <c r="Q140" s="7"/>
      <c r="R140" s="7"/>
      <c r="S140" s="302" t="s">
        <v>1090</v>
      </c>
      <c r="T140" s="8" t="str">
        <f t="shared" si="24"/>
        <v>NGÀY THI: 23+25/12/2025</v>
      </c>
    </row>
    <row r="141" spans="1:21" ht="15" customHeight="1">
      <c r="A141" s="319">
        <f>IF(F141="","",SUBTOTAL(3,$F$18:F141))</f>
        <v>94</v>
      </c>
      <c r="B141" s="235">
        <v>2</v>
      </c>
      <c r="C141" s="236">
        <v>203</v>
      </c>
      <c r="D141" s="237">
        <v>28</v>
      </c>
      <c r="E141" s="260"/>
      <c r="F141" s="164" t="str">
        <f>C141&amp;".C1"</f>
        <v>203.C1</v>
      </c>
      <c r="G141" s="159" t="s">
        <v>366</v>
      </c>
      <c r="H141" s="159" t="s">
        <v>506</v>
      </c>
      <c r="I141" s="158" t="str">
        <f>VLOOKUP($H141,$D$2:$J$13,6,0)</f>
        <v>Thứ Ba (23/12)</v>
      </c>
      <c r="J141" s="158" t="str">
        <f>VLOOKUP($H141,$D$2:$J$13,7,0)</f>
        <v>Thứ Năm (25/12)</v>
      </c>
      <c r="K141" s="169">
        <f>COUNTIF('DS_Tong_12AS-AT-VH'!$B$1890:$B$2148,F141)</f>
        <v>28</v>
      </c>
      <c r="L141" s="146">
        <f>D141-K141</f>
        <v>0</v>
      </c>
      <c r="M141" s="214" t="str">
        <f t="shared" si="53"/>
        <v>VĂN</v>
      </c>
      <c r="N141" s="221" t="str">
        <f t="shared" si="53"/>
        <v>LÝ</v>
      </c>
      <c r="O141" s="214" t="str">
        <f t="shared" si="53"/>
        <v>TOÁN</v>
      </c>
      <c r="P141" s="214" t="str">
        <f t="shared" si="53"/>
        <v>SỬ</v>
      </c>
      <c r="Q141" s="7"/>
      <c r="R141" s="7"/>
      <c r="S141" s="302" t="s">
        <v>1090</v>
      </c>
      <c r="T141" s="8" t="str">
        <f t="shared" si="24"/>
        <v>NGÀY THI: 23+25/12/2025</v>
      </c>
    </row>
    <row r="142" spans="1:21" ht="15" customHeight="1">
      <c r="A142" s="319">
        <f>IF(F142="","",SUBTOTAL(3,$F$18:F142))</f>
        <v>95</v>
      </c>
      <c r="B142" s="235">
        <v>3</v>
      </c>
      <c r="C142" s="236">
        <v>204</v>
      </c>
      <c r="D142" s="237">
        <v>28</v>
      </c>
      <c r="E142" s="260"/>
      <c r="F142" s="164" t="str">
        <f>C142&amp;".C1"</f>
        <v>204.C1</v>
      </c>
      <c r="G142" s="159" t="s">
        <v>366</v>
      </c>
      <c r="H142" s="159" t="s">
        <v>506</v>
      </c>
      <c r="I142" s="158" t="str">
        <f>VLOOKUP($H142,$D$2:$J$13,6,0)</f>
        <v>Thứ Ba (23/12)</v>
      </c>
      <c r="J142" s="158" t="str">
        <f>VLOOKUP($H142,$D$2:$J$13,7,0)</f>
        <v>Thứ Năm (25/12)</v>
      </c>
      <c r="K142" s="169">
        <f>COUNTIF('DS_Tong_12AS-AT-VH'!$B$1890:$B$2148,F142)</f>
        <v>28</v>
      </c>
      <c r="L142" s="146">
        <f>D142-K142</f>
        <v>0</v>
      </c>
      <c r="M142" s="214" t="str">
        <f t="shared" si="53"/>
        <v>VĂN</v>
      </c>
      <c r="N142" s="221" t="str">
        <f t="shared" si="53"/>
        <v>LÝ</v>
      </c>
      <c r="O142" s="214" t="str">
        <f t="shared" si="53"/>
        <v>TOÁN</v>
      </c>
      <c r="P142" s="214" t="str">
        <f t="shared" si="53"/>
        <v>SỬ</v>
      </c>
      <c r="Q142" s="7"/>
      <c r="R142" s="7"/>
      <c r="S142" s="302" t="s">
        <v>1090</v>
      </c>
      <c r="T142" s="8" t="str">
        <f t="shared" si="24"/>
        <v>NGÀY THI: 23+25/12/2025</v>
      </c>
    </row>
    <row r="143" spans="1:21" ht="15" customHeight="1">
      <c r="A143" s="319">
        <f>IF(F143="","",SUBTOTAL(3,$F$18:F143))</f>
        <v>96</v>
      </c>
      <c r="B143" s="235">
        <v>4</v>
      </c>
      <c r="C143" s="236">
        <v>205</v>
      </c>
      <c r="D143" s="237">
        <v>27</v>
      </c>
      <c r="E143" s="260"/>
      <c r="F143" s="165" t="str">
        <f>C143&amp;".C1"</f>
        <v>205.C1</v>
      </c>
      <c r="G143" s="159" t="s">
        <v>366</v>
      </c>
      <c r="H143" s="160" t="s">
        <v>506</v>
      </c>
      <c r="I143" s="158" t="str">
        <f>VLOOKUP($H143,$D$2:$J$13,6,0)</f>
        <v>Thứ Ba (23/12)</v>
      </c>
      <c r="J143" s="158" t="str">
        <f>VLOOKUP($H143,$D$2:$J$13,7,0)</f>
        <v>Thứ Năm (25/12)</v>
      </c>
      <c r="K143" s="170">
        <f>COUNTIF('DS_Tong_12AS-AT-VH'!$B$1890:$B$2148,F143)</f>
        <v>27</v>
      </c>
      <c r="L143" s="146">
        <f>D143-K143</f>
        <v>0</v>
      </c>
      <c r="M143" s="214" t="str">
        <f t="shared" si="53"/>
        <v>VĂN</v>
      </c>
      <c r="N143" s="221" t="str">
        <f t="shared" si="53"/>
        <v>LÝ</v>
      </c>
      <c r="O143" s="214" t="str">
        <f t="shared" si="53"/>
        <v>TOÁN</v>
      </c>
      <c r="P143" s="214" t="str">
        <f t="shared" si="53"/>
        <v>SỬ</v>
      </c>
      <c r="Q143" s="7"/>
      <c r="R143" s="7"/>
      <c r="S143" s="302" t="s">
        <v>1090</v>
      </c>
      <c r="T143" s="8" t="str">
        <f t="shared" si="24"/>
        <v>NGÀY THI: 23+25/12/2025</v>
      </c>
    </row>
    <row r="144" spans="1:21" ht="30" customHeight="1">
      <c r="A144" s="319" t="str">
        <f>IF(F144="","",SUBTOTAL(3,$F$18:F144))</f>
        <v/>
      </c>
      <c r="B144" s="259" t="s">
        <v>1091</v>
      </c>
      <c r="C144" s="242"/>
      <c r="D144" s="243">
        <f>SUM(D145:D150)</f>
        <v>148</v>
      </c>
      <c r="E144" s="244"/>
      <c r="F144" s="151"/>
      <c r="G144" s="147"/>
      <c r="H144" s="147"/>
      <c r="I144" s="147"/>
      <c r="J144" s="147"/>
      <c r="K144" s="51">
        <f>SUM(K145:K150)</f>
        <v>148</v>
      </c>
      <c r="L144" s="52"/>
      <c r="M144" s="50" t="str">
        <f>VLOOKUP($G145,$L$5:$P$10,M$3,0)</f>
        <v>VĂN</v>
      </c>
      <c r="N144" s="167" t="str">
        <f>VLOOKUP($G145,$L$5:$P$10,N$3,0)</f>
        <v>KT-PL</v>
      </c>
      <c r="O144" s="50" t="str">
        <f>VLOOKUP($G145,$L$5:$P$10,O$3,0)</f>
        <v>TOÁN</v>
      </c>
      <c r="P144" s="50" t="str">
        <f>VLOOKUP($G145,$L$5:$P$10,P$3,0)</f>
        <v>SỬ</v>
      </c>
      <c r="Q144" s="7"/>
      <c r="R144" s="7"/>
      <c r="S144" s="7"/>
      <c r="T144" s="8" t="e">
        <f t="shared" si="24"/>
        <v>#N/A</v>
      </c>
    </row>
    <row r="145" spans="1:21" ht="15" customHeight="1">
      <c r="A145" s="319">
        <f>IF(F145="","",SUBTOTAL(3,$F$18:F145))</f>
        <v>97</v>
      </c>
      <c r="B145" s="252">
        <v>1</v>
      </c>
      <c r="C145" s="253">
        <v>206</v>
      </c>
      <c r="D145" s="255">
        <v>25</v>
      </c>
      <c r="E145" s="256" t="s">
        <v>1037</v>
      </c>
      <c r="F145" s="162" t="str">
        <f t="shared" ref="F145:F150" si="54">C145&amp;".C1"</f>
        <v>206.C1</v>
      </c>
      <c r="G145" s="159" t="s">
        <v>365</v>
      </c>
      <c r="H145" s="163" t="s">
        <v>506</v>
      </c>
      <c r="I145" s="158" t="str">
        <f t="shared" ref="I145:I150" si="55">VLOOKUP($H145,$D$2:$J$13,6,0)</f>
        <v>Thứ Ba (23/12)</v>
      </c>
      <c r="J145" s="158" t="str">
        <f t="shared" ref="J145:J150" si="56">VLOOKUP($H145,$D$2:$J$13,7,0)</f>
        <v>Thứ Năm (25/12)</v>
      </c>
      <c r="K145" s="168">
        <f>COUNTIF('DS_Tong_12AS-AT-VH'!$B$1890:$B$2148,F145)</f>
        <v>25</v>
      </c>
      <c r="L145" s="146">
        <f t="shared" ref="L145:L150" si="57">D145-K145</f>
        <v>0</v>
      </c>
      <c r="M145" s="214" t="str">
        <f t="shared" ref="M145:P150" si="58">VLOOKUP($G145,$L$5:$P$9,M$3,0)</f>
        <v>VĂN</v>
      </c>
      <c r="N145" s="221" t="str">
        <f t="shared" si="58"/>
        <v>KT-PL</v>
      </c>
      <c r="O145" s="214" t="str">
        <f t="shared" si="58"/>
        <v>TOÁN</v>
      </c>
      <c r="P145" s="214" t="str">
        <f t="shared" si="58"/>
        <v>SỬ</v>
      </c>
      <c r="Q145" s="7"/>
      <c r="R145" s="7"/>
      <c r="S145" s="302" t="s">
        <v>1091</v>
      </c>
      <c r="T145" s="8" t="str">
        <f t="shared" si="24"/>
        <v>NGÀY THI: 23+25/12/2025</v>
      </c>
    </row>
    <row r="146" spans="1:21" ht="15" customHeight="1">
      <c r="A146" s="319">
        <f>IF(F146="","",SUBTOTAL(3,$F$18:F146))</f>
        <v>98</v>
      </c>
      <c r="B146" s="235">
        <v>2</v>
      </c>
      <c r="C146" s="236">
        <v>302</v>
      </c>
      <c r="D146" s="237">
        <v>25</v>
      </c>
      <c r="E146" s="260"/>
      <c r="F146" s="164" t="str">
        <f t="shared" si="54"/>
        <v>302.C1</v>
      </c>
      <c r="G146" s="159" t="s">
        <v>365</v>
      </c>
      <c r="H146" s="159" t="s">
        <v>506</v>
      </c>
      <c r="I146" s="158" t="str">
        <f t="shared" si="55"/>
        <v>Thứ Ba (23/12)</v>
      </c>
      <c r="J146" s="158" t="str">
        <f t="shared" si="56"/>
        <v>Thứ Năm (25/12)</v>
      </c>
      <c r="K146" s="169">
        <f>COUNTIF('DS_Tong_12AS-AT-VH'!$B$1890:$B$2148,F146)</f>
        <v>25</v>
      </c>
      <c r="L146" s="146">
        <f t="shared" si="57"/>
        <v>0</v>
      </c>
      <c r="M146" s="214" t="str">
        <f t="shared" si="58"/>
        <v>VĂN</v>
      </c>
      <c r="N146" s="221" t="str">
        <f t="shared" si="58"/>
        <v>KT-PL</v>
      </c>
      <c r="O146" s="214" t="str">
        <f t="shared" si="58"/>
        <v>TOÁN</v>
      </c>
      <c r="P146" s="214" t="str">
        <f t="shared" si="58"/>
        <v>SỬ</v>
      </c>
      <c r="Q146" s="7"/>
      <c r="R146" s="7"/>
      <c r="S146" s="302" t="s">
        <v>1091</v>
      </c>
      <c r="T146" s="8" t="str">
        <f t="shared" si="24"/>
        <v>NGÀY THI: 23+25/12/2025</v>
      </c>
    </row>
    <row r="147" spans="1:21" ht="15" customHeight="1">
      <c r="A147" s="319">
        <f>IF(F147="","",SUBTOTAL(3,$F$18:F147))</f>
        <v>99</v>
      </c>
      <c r="B147" s="235">
        <v>3</v>
      </c>
      <c r="C147" s="236">
        <v>303</v>
      </c>
      <c r="D147" s="237">
        <v>25</v>
      </c>
      <c r="E147" s="260"/>
      <c r="F147" s="164" t="str">
        <f t="shared" si="54"/>
        <v>303.C1</v>
      </c>
      <c r="G147" s="159" t="s">
        <v>365</v>
      </c>
      <c r="H147" s="159" t="s">
        <v>506</v>
      </c>
      <c r="I147" s="158" t="str">
        <f t="shared" si="55"/>
        <v>Thứ Ba (23/12)</v>
      </c>
      <c r="J147" s="158" t="str">
        <f t="shared" si="56"/>
        <v>Thứ Năm (25/12)</v>
      </c>
      <c r="K147" s="169">
        <f>COUNTIF('DS_Tong_12AS-AT-VH'!$B$1890:$B$2148,F147)</f>
        <v>25</v>
      </c>
      <c r="L147" s="146">
        <f t="shared" si="57"/>
        <v>0</v>
      </c>
      <c r="M147" s="214" t="str">
        <f t="shared" si="58"/>
        <v>VĂN</v>
      </c>
      <c r="N147" s="221" t="str">
        <f t="shared" si="58"/>
        <v>KT-PL</v>
      </c>
      <c r="O147" s="214" t="str">
        <f t="shared" si="58"/>
        <v>TOÁN</v>
      </c>
      <c r="P147" s="214" t="str">
        <f t="shared" si="58"/>
        <v>SỬ</v>
      </c>
      <c r="Q147" s="7"/>
      <c r="R147" s="7"/>
      <c r="S147" s="302" t="s">
        <v>1091</v>
      </c>
      <c r="T147" s="8" t="str">
        <f t="shared" ref="T147:T165" si="59">VLOOKUP($H147,$D$2:$G$13,2,0)</f>
        <v>NGÀY THI: 23+25/12/2025</v>
      </c>
    </row>
    <row r="148" spans="1:21" ht="15" customHeight="1">
      <c r="A148" s="319">
        <f>IF(F148="","",SUBTOTAL(3,$F$18:F148))</f>
        <v>100</v>
      </c>
      <c r="B148" s="235">
        <v>4</v>
      </c>
      <c r="C148" s="236">
        <v>304</v>
      </c>
      <c r="D148" s="237">
        <v>25</v>
      </c>
      <c r="E148" s="260"/>
      <c r="F148" s="164" t="str">
        <f t="shared" si="54"/>
        <v>304.C1</v>
      </c>
      <c r="G148" s="159" t="s">
        <v>365</v>
      </c>
      <c r="H148" s="159" t="s">
        <v>506</v>
      </c>
      <c r="I148" s="158" t="str">
        <f t="shared" si="55"/>
        <v>Thứ Ba (23/12)</v>
      </c>
      <c r="J148" s="158" t="str">
        <f t="shared" si="56"/>
        <v>Thứ Năm (25/12)</v>
      </c>
      <c r="K148" s="169">
        <f>COUNTIF('DS_Tong_12AS-AT-VH'!$B$1890:$B$2148,F148)</f>
        <v>25</v>
      </c>
      <c r="L148" s="146">
        <f t="shared" si="57"/>
        <v>0</v>
      </c>
      <c r="M148" s="214" t="str">
        <f t="shared" si="58"/>
        <v>VĂN</v>
      </c>
      <c r="N148" s="221" t="str">
        <f t="shared" si="58"/>
        <v>KT-PL</v>
      </c>
      <c r="O148" s="214" t="str">
        <f t="shared" si="58"/>
        <v>TOÁN</v>
      </c>
      <c r="P148" s="214" t="str">
        <f t="shared" si="58"/>
        <v>SỬ</v>
      </c>
      <c r="Q148" s="7"/>
      <c r="R148" s="7"/>
      <c r="S148" s="302" t="s">
        <v>1091</v>
      </c>
      <c r="T148" s="8" t="str">
        <f t="shared" si="59"/>
        <v>NGÀY THI: 23+25/12/2025</v>
      </c>
    </row>
    <row r="149" spans="1:21" ht="15" customHeight="1">
      <c r="A149" s="319">
        <f>IF(F149="","",SUBTOTAL(3,$F$18:F149))</f>
        <v>101</v>
      </c>
      <c r="B149" s="235">
        <v>5</v>
      </c>
      <c r="C149" s="236">
        <v>305</v>
      </c>
      <c r="D149" s="237">
        <v>24</v>
      </c>
      <c r="E149" s="260"/>
      <c r="F149" s="164" t="str">
        <f t="shared" si="54"/>
        <v>305.C1</v>
      </c>
      <c r="G149" s="159" t="s">
        <v>365</v>
      </c>
      <c r="H149" s="159" t="s">
        <v>506</v>
      </c>
      <c r="I149" s="158" t="str">
        <f t="shared" si="55"/>
        <v>Thứ Ba (23/12)</v>
      </c>
      <c r="J149" s="158" t="str">
        <f t="shared" si="56"/>
        <v>Thứ Năm (25/12)</v>
      </c>
      <c r="K149" s="169">
        <f>COUNTIF('DS_Tong_12AS-AT-VH'!$B$1890:$B$2148,F149)</f>
        <v>24</v>
      </c>
      <c r="L149" s="146">
        <f t="shared" si="57"/>
        <v>0</v>
      </c>
      <c r="M149" s="214" t="str">
        <f t="shared" si="58"/>
        <v>VĂN</v>
      </c>
      <c r="N149" s="221" t="str">
        <f t="shared" si="58"/>
        <v>KT-PL</v>
      </c>
      <c r="O149" s="214" t="str">
        <f t="shared" si="58"/>
        <v>TOÁN</v>
      </c>
      <c r="P149" s="214" t="str">
        <f t="shared" si="58"/>
        <v>SỬ</v>
      </c>
      <c r="Q149" s="7"/>
      <c r="R149" s="7"/>
      <c r="S149" s="302" t="s">
        <v>1091</v>
      </c>
      <c r="T149" s="8" t="str">
        <f t="shared" si="59"/>
        <v>NGÀY THI: 23+25/12/2025</v>
      </c>
    </row>
    <row r="150" spans="1:21" ht="15" customHeight="1">
      <c r="A150" s="319">
        <f>IF(F150="","",SUBTOTAL(3,$F$18:F150))</f>
        <v>102</v>
      </c>
      <c r="B150" s="235">
        <v>6</v>
      </c>
      <c r="C150" s="236">
        <v>306</v>
      </c>
      <c r="D150" s="237">
        <v>24</v>
      </c>
      <c r="E150" s="260"/>
      <c r="F150" s="165" t="str">
        <f t="shared" si="54"/>
        <v>306.C1</v>
      </c>
      <c r="G150" s="159" t="s">
        <v>365</v>
      </c>
      <c r="H150" s="160" t="s">
        <v>506</v>
      </c>
      <c r="I150" s="158" t="str">
        <f t="shared" si="55"/>
        <v>Thứ Ba (23/12)</v>
      </c>
      <c r="J150" s="158" t="str">
        <f t="shared" si="56"/>
        <v>Thứ Năm (25/12)</v>
      </c>
      <c r="K150" s="169">
        <f>COUNTIF('DS_Tong_12AS-AT-VH'!$B$1890:$B$2148,F150)</f>
        <v>24</v>
      </c>
      <c r="L150" s="146">
        <f t="shared" si="57"/>
        <v>0</v>
      </c>
      <c r="M150" s="214" t="str">
        <f t="shared" si="58"/>
        <v>VĂN</v>
      </c>
      <c r="N150" s="221" t="str">
        <f t="shared" si="58"/>
        <v>KT-PL</v>
      </c>
      <c r="O150" s="214" t="str">
        <f t="shared" si="58"/>
        <v>TOÁN</v>
      </c>
      <c r="P150" s="214" t="str">
        <f t="shared" si="58"/>
        <v>SỬ</v>
      </c>
      <c r="Q150" s="7"/>
      <c r="R150" s="7"/>
      <c r="S150" s="302" t="s">
        <v>1091</v>
      </c>
      <c r="T150" s="8" t="str">
        <f t="shared" si="59"/>
        <v>NGÀY THI: 23+25/12/2025</v>
      </c>
    </row>
    <row r="151" spans="1:21" s="6" customFormat="1" ht="15" customHeight="1">
      <c r="A151" s="319" t="str">
        <f>IF(F151="","",SUBTOTAL(3,$F$18:F151))</f>
        <v/>
      </c>
      <c r="B151" s="223" t="s">
        <v>492</v>
      </c>
      <c r="C151" s="224" t="str">
        <f>COUNTIF(B152:B165,"&gt;0")&amp;" phòng"</f>
        <v>12 phòng</v>
      </c>
      <c r="D151" s="225">
        <f>D152+D158</f>
        <v>299</v>
      </c>
      <c r="E151" s="226"/>
      <c r="F151" s="172"/>
      <c r="G151" s="173"/>
      <c r="H151" s="173"/>
      <c r="I151" s="173"/>
      <c r="J151" s="173"/>
      <c r="K151" s="171"/>
      <c r="L151" s="174"/>
      <c r="M151" s="175"/>
      <c r="N151" s="220"/>
      <c r="O151" s="175"/>
      <c r="P151" s="176"/>
      <c r="Q151" s="7"/>
      <c r="R151" s="7"/>
      <c r="S151" s="7"/>
      <c r="T151" s="8" t="e">
        <f t="shared" si="59"/>
        <v>#N/A</v>
      </c>
      <c r="U151"/>
    </row>
    <row r="152" spans="1:21" ht="30" customHeight="1">
      <c r="A152" s="319" t="str">
        <f>IF(F152="","",SUBTOTAL(3,$F$18:F152))</f>
        <v/>
      </c>
      <c r="B152" s="259" t="s">
        <v>1092</v>
      </c>
      <c r="C152" s="242"/>
      <c r="D152" s="243">
        <f>SUM(D153:D157)</f>
        <v>132</v>
      </c>
      <c r="E152" s="244"/>
      <c r="F152" s="151"/>
      <c r="G152" s="147"/>
      <c r="H152" s="147"/>
      <c r="I152" s="147"/>
      <c r="J152" s="147"/>
      <c r="K152" s="51">
        <f>SUM(K153:K157)</f>
        <v>131</v>
      </c>
      <c r="L152" s="52"/>
      <c r="M152" s="50" t="str">
        <f>VLOOKUP($G153,$L$5:$P$10,M$3,0)</f>
        <v>VĂN</v>
      </c>
      <c r="N152" s="167" t="str">
        <f>VLOOKUP($G153,$L$5:$P$10,N$3,0)</f>
        <v>LÝ</v>
      </c>
      <c r="O152" s="50" t="str">
        <f>VLOOKUP($G153,$L$5:$P$10,O$3,0)</f>
        <v>TOÁN</v>
      </c>
      <c r="P152" s="50" t="str">
        <f>VLOOKUP($G153,$L$5:$P$10,P$3,0)</f>
        <v>SỬ</v>
      </c>
      <c r="Q152" s="7"/>
      <c r="R152" s="7"/>
      <c r="S152" s="7"/>
      <c r="T152" s="8" t="e">
        <f t="shared" si="59"/>
        <v>#N/A</v>
      </c>
    </row>
    <row r="153" spans="1:21" ht="15" customHeight="1">
      <c r="A153" s="319">
        <f>IF(F153="","",SUBTOTAL(3,$F$18:F153))</f>
        <v>103</v>
      </c>
      <c r="B153" s="252">
        <v>1</v>
      </c>
      <c r="C153" s="253">
        <v>202</v>
      </c>
      <c r="D153" s="255">
        <v>27</v>
      </c>
      <c r="E153" s="256"/>
      <c r="F153" s="162" t="str">
        <f>C153&amp;".T"</f>
        <v>202.T</v>
      </c>
      <c r="G153" s="163" t="s">
        <v>366</v>
      </c>
      <c r="H153" s="163" t="s">
        <v>505</v>
      </c>
      <c r="I153" s="158" t="str">
        <f>VLOOKUP($H153,$D$2:$J$13,6,0)</f>
        <v>Thứ Hai (22/12)</v>
      </c>
      <c r="J153" s="158" t="str">
        <f>VLOOKUP($H153,$D$2:$J$13,7,0)</f>
        <v>Thứ Ba (23/12)</v>
      </c>
      <c r="K153" s="169">
        <f>COUNTIF('DS_Tong_12AS-AT-VH'!$B$9:$B$3024,F153)</f>
        <v>27</v>
      </c>
      <c r="L153" s="146">
        <f>D153-K153</f>
        <v>0</v>
      </c>
      <c r="M153" s="214" t="str">
        <f t="shared" ref="M153:P157" si="60">VLOOKUP($G153,$L$5:$P$9,M$3,0)</f>
        <v>VĂN</v>
      </c>
      <c r="N153" s="221" t="str">
        <f t="shared" si="60"/>
        <v>LÝ</v>
      </c>
      <c r="O153" s="214" t="str">
        <f t="shared" si="60"/>
        <v>TOÁN</v>
      </c>
      <c r="P153" s="214" t="str">
        <f t="shared" si="60"/>
        <v>SỬ</v>
      </c>
      <c r="Q153" s="7"/>
      <c r="R153" s="7"/>
      <c r="S153" s="302" t="s">
        <v>1092</v>
      </c>
      <c r="T153" s="8" t="str">
        <f t="shared" si="59"/>
        <v>NGÀY THI: 22+23/12/2025</v>
      </c>
    </row>
    <row r="154" spans="1:21" ht="15" customHeight="1">
      <c r="A154" s="319">
        <f>IF(F154="","",SUBTOTAL(3,$F$18:F154))</f>
        <v>104</v>
      </c>
      <c r="B154" s="235">
        <v>2</v>
      </c>
      <c r="C154" s="236">
        <v>203</v>
      </c>
      <c r="D154" s="237">
        <v>27</v>
      </c>
      <c r="E154" s="260"/>
      <c r="F154" s="164" t="str">
        <f>C154&amp;".T"</f>
        <v>203.T</v>
      </c>
      <c r="G154" s="159" t="s">
        <v>366</v>
      </c>
      <c r="H154" s="159" t="s">
        <v>505</v>
      </c>
      <c r="I154" s="158" t="str">
        <f>VLOOKUP($H154,$D$2:$J$13,6,0)</f>
        <v>Thứ Hai (22/12)</v>
      </c>
      <c r="J154" s="158" t="str">
        <f>VLOOKUP($H154,$D$2:$J$13,7,0)</f>
        <v>Thứ Ba (23/12)</v>
      </c>
      <c r="K154" s="169">
        <f>COUNTIF('DS_Tong_12AS-AT-VH'!$B$9:$B$3024,F154)</f>
        <v>26</v>
      </c>
      <c r="L154" s="146">
        <f>D154-K154</f>
        <v>1</v>
      </c>
      <c r="M154" s="214" t="str">
        <f t="shared" si="60"/>
        <v>VĂN</v>
      </c>
      <c r="N154" s="221" t="str">
        <f t="shared" si="60"/>
        <v>LÝ</v>
      </c>
      <c r="O154" s="214" t="str">
        <f t="shared" si="60"/>
        <v>TOÁN</v>
      </c>
      <c r="P154" s="214" t="str">
        <f t="shared" si="60"/>
        <v>SỬ</v>
      </c>
      <c r="Q154" s="7"/>
      <c r="R154" s="7"/>
      <c r="S154" s="302" t="s">
        <v>1092</v>
      </c>
      <c r="T154" s="8" t="str">
        <f t="shared" si="59"/>
        <v>NGÀY THI: 22+23/12/2025</v>
      </c>
    </row>
    <row r="155" spans="1:21" ht="15" customHeight="1">
      <c r="A155" s="319">
        <f>IF(F155="","",SUBTOTAL(3,$F$18:F155))</f>
        <v>105</v>
      </c>
      <c r="B155" s="235">
        <v>3</v>
      </c>
      <c r="C155" s="236">
        <v>204</v>
      </c>
      <c r="D155" s="237">
        <v>26</v>
      </c>
      <c r="E155" s="260"/>
      <c r="F155" s="164" t="str">
        <f>C155&amp;".T"</f>
        <v>204.T</v>
      </c>
      <c r="G155" s="159" t="s">
        <v>366</v>
      </c>
      <c r="H155" s="159" t="s">
        <v>505</v>
      </c>
      <c r="I155" s="158" t="str">
        <f>VLOOKUP($H155,$D$2:$J$13,6,0)</f>
        <v>Thứ Hai (22/12)</v>
      </c>
      <c r="J155" s="158" t="str">
        <f>VLOOKUP($H155,$D$2:$J$13,7,0)</f>
        <v>Thứ Ba (23/12)</v>
      </c>
      <c r="K155" s="169">
        <f>COUNTIF('DS_Tong_12AS-AT-VH'!$B$9:$B$3024,F155)</f>
        <v>26</v>
      </c>
      <c r="L155" s="146">
        <f>D155-K155</f>
        <v>0</v>
      </c>
      <c r="M155" s="214" t="str">
        <f t="shared" si="60"/>
        <v>VĂN</v>
      </c>
      <c r="N155" s="221" t="str">
        <f t="shared" si="60"/>
        <v>LÝ</v>
      </c>
      <c r="O155" s="214" t="str">
        <f t="shared" si="60"/>
        <v>TOÁN</v>
      </c>
      <c r="P155" s="214" t="str">
        <f t="shared" si="60"/>
        <v>SỬ</v>
      </c>
      <c r="Q155" s="7"/>
      <c r="R155" s="7"/>
      <c r="S155" s="302" t="s">
        <v>1092</v>
      </c>
      <c r="T155" s="8" t="str">
        <f t="shared" si="59"/>
        <v>NGÀY THI: 22+23/12/2025</v>
      </c>
    </row>
    <row r="156" spans="1:21" ht="15" customHeight="1">
      <c r="A156" s="319">
        <f>IF(F156="","",SUBTOTAL(3,$F$18:F156))</f>
        <v>106</v>
      </c>
      <c r="B156" s="235">
        <v>4</v>
      </c>
      <c r="C156" s="236">
        <v>205</v>
      </c>
      <c r="D156" s="237">
        <v>26</v>
      </c>
      <c r="E156" s="260"/>
      <c r="F156" s="164" t="str">
        <f>C156&amp;".T"</f>
        <v>205.T</v>
      </c>
      <c r="G156" s="159" t="s">
        <v>366</v>
      </c>
      <c r="H156" s="159" t="s">
        <v>505</v>
      </c>
      <c r="I156" s="158" t="str">
        <f>VLOOKUP($H156,$D$2:$J$13,6,0)</f>
        <v>Thứ Hai (22/12)</v>
      </c>
      <c r="J156" s="158" t="str">
        <f>VLOOKUP($H156,$D$2:$J$13,7,0)</f>
        <v>Thứ Ba (23/12)</v>
      </c>
      <c r="K156" s="169">
        <f>COUNTIF('DS_Tong_12AS-AT-VH'!$B$9:$B$3024,F156)</f>
        <v>26</v>
      </c>
      <c r="L156" s="146">
        <f>D156-K156</f>
        <v>0</v>
      </c>
      <c r="M156" s="214" t="str">
        <f t="shared" si="60"/>
        <v>VĂN</v>
      </c>
      <c r="N156" s="221" t="str">
        <f t="shared" si="60"/>
        <v>LÝ</v>
      </c>
      <c r="O156" s="214" t="str">
        <f t="shared" si="60"/>
        <v>TOÁN</v>
      </c>
      <c r="P156" s="214" t="str">
        <f t="shared" si="60"/>
        <v>SỬ</v>
      </c>
      <c r="Q156" s="7"/>
      <c r="R156" s="7"/>
      <c r="S156" s="302" t="s">
        <v>1092</v>
      </c>
      <c r="T156" s="8" t="str">
        <f t="shared" si="59"/>
        <v>NGÀY THI: 22+23/12/2025</v>
      </c>
    </row>
    <row r="157" spans="1:21" ht="15" customHeight="1">
      <c r="A157" s="319">
        <f>IF(F157="","",SUBTOTAL(3,$F$18:F157))</f>
        <v>107</v>
      </c>
      <c r="B157" s="235">
        <v>5</v>
      </c>
      <c r="C157" s="236">
        <v>206</v>
      </c>
      <c r="D157" s="237">
        <v>26</v>
      </c>
      <c r="E157" s="260"/>
      <c r="F157" s="164" t="str">
        <f>C157&amp;".T"</f>
        <v>206.T</v>
      </c>
      <c r="G157" s="160" t="s">
        <v>366</v>
      </c>
      <c r="H157" s="160" t="s">
        <v>505</v>
      </c>
      <c r="I157" s="158" t="str">
        <f>VLOOKUP($H157,$D$2:$J$13,6,0)</f>
        <v>Thứ Hai (22/12)</v>
      </c>
      <c r="J157" s="158" t="str">
        <f>VLOOKUP($H157,$D$2:$J$13,7,0)</f>
        <v>Thứ Ba (23/12)</v>
      </c>
      <c r="K157" s="169">
        <f>COUNTIF('DS_Tong_12AS-AT-VH'!$B$9:$B$3024,F157)</f>
        <v>26</v>
      </c>
      <c r="L157" s="146">
        <f>D157-K157</f>
        <v>0</v>
      </c>
      <c r="M157" s="214" t="str">
        <f t="shared" si="60"/>
        <v>VĂN</v>
      </c>
      <c r="N157" s="221" t="str">
        <f t="shared" si="60"/>
        <v>LÝ</v>
      </c>
      <c r="O157" s="214" t="str">
        <f t="shared" si="60"/>
        <v>TOÁN</v>
      </c>
      <c r="P157" s="214" t="str">
        <f t="shared" si="60"/>
        <v>SỬ</v>
      </c>
      <c r="Q157" s="7"/>
      <c r="R157" s="7"/>
      <c r="S157" s="302" t="s">
        <v>1092</v>
      </c>
      <c r="T157" s="8" t="str">
        <f t="shared" si="59"/>
        <v>NGÀY THI: 22+23/12/2025</v>
      </c>
    </row>
    <row r="158" spans="1:21" ht="30" customHeight="1">
      <c r="A158" s="319" t="str">
        <f>IF(F158="","",SUBTOTAL(3,$F$18:F158))</f>
        <v/>
      </c>
      <c r="B158" s="259" t="s">
        <v>1093</v>
      </c>
      <c r="C158" s="242"/>
      <c r="D158" s="243">
        <f>SUM(D159:D165)</f>
        <v>167</v>
      </c>
      <c r="E158" s="244"/>
      <c r="F158" s="151"/>
      <c r="G158" s="147"/>
      <c r="H158" s="147"/>
      <c r="I158" s="147"/>
      <c r="J158" s="147"/>
      <c r="K158" s="51">
        <f>SUM(K159:K165)</f>
        <v>166</v>
      </c>
      <c r="L158" s="52"/>
      <c r="M158" s="50" t="str">
        <f>VLOOKUP($G159,$L$5:$P$10,M$3,0)</f>
        <v>VĂN</v>
      </c>
      <c r="N158" s="167" t="str">
        <f>VLOOKUP($G159,$L$5:$P$10,N$3,0)</f>
        <v>KT-PL</v>
      </c>
      <c r="O158" s="50" t="str">
        <f>VLOOKUP($G159,$L$5:$P$10,O$3,0)</f>
        <v>TOÁN</v>
      </c>
      <c r="P158" s="50" t="str">
        <f>VLOOKUP($G159,$L$5:$P$10,P$3,0)</f>
        <v>SỬ</v>
      </c>
      <c r="Q158" s="7"/>
      <c r="R158" s="7"/>
      <c r="S158" s="7"/>
      <c r="T158" s="8" t="e">
        <f t="shared" si="59"/>
        <v>#N/A</v>
      </c>
    </row>
    <row r="159" spans="1:21" ht="15" customHeight="1">
      <c r="A159" s="319">
        <f>IF(F159="","",SUBTOTAL(3,$F$18:F159))</f>
        <v>108</v>
      </c>
      <c r="B159" s="252">
        <v>1</v>
      </c>
      <c r="C159" s="253">
        <v>302</v>
      </c>
      <c r="D159" s="255">
        <v>24</v>
      </c>
      <c r="E159" s="256" t="s">
        <v>1037</v>
      </c>
      <c r="F159" s="162" t="str">
        <f t="shared" ref="F159:F165" si="61">C159&amp;".T"</f>
        <v>302.T</v>
      </c>
      <c r="G159" s="163" t="s">
        <v>365</v>
      </c>
      <c r="H159" s="163" t="s">
        <v>505</v>
      </c>
      <c r="I159" s="158" t="str">
        <f t="shared" ref="I159:I165" si="62">VLOOKUP($H159,$D$2:$J$13,6,0)</f>
        <v>Thứ Hai (22/12)</v>
      </c>
      <c r="J159" s="158" t="str">
        <f t="shared" ref="J159:J165" si="63">VLOOKUP($H159,$D$2:$J$13,7,0)</f>
        <v>Thứ Ba (23/12)</v>
      </c>
      <c r="K159" s="168">
        <f>COUNTIF('DS_Tong_12AS-AT-VH'!$B$9:$B$3024,F159)</f>
        <v>24</v>
      </c>
      <c r="L159" s="146">
        <f t="shared" ref="L159:L165" si="64">D159-K159</f>
        <v>0</v>
      </c>
      <c r="M159" s="214" t="str">
        <f t="shared" ref="M159:P165" si="65">VLOOKUP($G159,$L$5:$P$9,M$3,0)</f>
        <v>VĂN</v>
      </c>
      <c r="N159" s="221" t="str">
        <f t="shared" si="65"/>
        <v>KT-PL</v>
      </c>
      <c r="O159" s="214" t="str">
        <f t="shared" si="65"/>
        <v>TOÁN</v>
      </c>
      <c r="P159" s="214" t="str">
        <f t="shared" si="65"/>
        <v>SỬ</v>
      </c>
      <c r="Q159" s="7"/>
      <c r="R159" s="7"/>
      <c r="S159" s="302" t="s">
        <v>1093</v>
      </c>
      <c r="T159" s="8" t="str">
        <f t="shared" si="59"/>
        <v>NGÀY THI: 22+23/12/2025</v>
      </c>
    </row>
    <row r="160" spans="1:21" ht="15" customHeight="1">
      <c r="A160" s="319">
        <f>IF(F160="","",SUBTOTAL(3,$F$18:F160))</f>
        <v>109</v>
      </c>
      <c r="B160" s="235">
        <v>2</v>
      </c>
      <c r="C160" s="236">
        <v>303</v>
      </c>
      <c r="D160" s="237">
        <v>24</v>
      </c>
      <c r="E160" s="260"/>
      <c r="F160" s="164" t="str">
        <f t="shared" si="61"/>
        <v>303.T</v>
      </c>
      <c r="G160" s="159" t="s">
        <v>365</v>
      </c>
      <c r="H160" s="159" t="s">
        <v>505</v>
      </c>
      <c r="I160" s="158" t="str">
        <f t="shared" si="62"/>
        <v>Thứ Hai (22/12)</v>
      </c>
      <c r="J160" s="158" t="str">
        <f t="shared" si="63"/>
        <v>Thứ Ba (23/12)</v>
      </c>
      <c r="K160" s="169">
        <f>COUNTIF('DS_Tong_12AS-AT-VH'!$B$9:$B$3024,F160)</f>
        <v>24</v>
      </c>
      <c r="L160" s="146">
        <f t="shared" si="64"/>
        <v>0</v>
      </c>
      <c r="M160" s="214" t="str">
        <f t="shared" si="65"/>
        <v>VĂN</v>
      </c>
      <c r="N160" s="221" t="str">
        <f t="shared" si="65"/>
        <v>KT-PL</v>
      </c>
      <c r="O160" s="214" t="str">
        <f t="shared" si="65"/>
        <v>TOÁN</v>
      </c>
      <c r="P160" s="214" t="str">
        <f t="shared" si="65"/>
        <v>SỬ</v>
      </c>
      <c r="Q160" s="7"/>
      <c r="R160" s="7"/>
      <c r="S160" s="302" t="s">
        <v>1093</v>
      </c>
      <c r="T160" s="8" t="str">
        <f t="shared" si="59"/>
        <v>NGÀY THI: 22+23/12/2025</v>
      </c>
    </row>
    <row r="161" spans="1:20" ht="15" customHeight="1">
      <c r="A161" s="319">
        <f>IF(F161="","",SUBTOTAL(3,$F$18:F161))</f>
        <v>110</v>
      </c>
      <c r="B161" s="235">
        <v>3</v>
      </c>
      <c r="C161" s="236">
        <v>304</v>
      </c>
      <c r="D161" s="237">
        <v>24</v>
      </c>
      <c r="E161" s="260"/>
      <c r="F161" s="164" t="str">
        <f t="shared" si="61"/>
        <v>304.T</v>
      </c>
      <c r="G161" s="159" t="s">
        <v>365</v>
      </c>
      <c r="H161" s="159" t="s">
        <v>505</v>
      </c>
      <c r="I161" s="158" t="str">
        <f t="shared" si="62"/>
        <v>Thứ Hai (22/12)</v>
      </c>
      <c r="J161" s="158" t="str">
        <f t="shared" si="63"/>
        <v>Thứ Ba (23/12)</v>
      </c>
      <c r="K161" s="169">
        <f>COUNTIF('DS_Tong_12AS-AT-VH'!$B$9:$B$3024,F161)</f>
        <v>24</v>
      </c>
      <c r="L161" s="146">
        <f t="shared" si="64"/>
        <v>0</v>
      </c>
      <c r="M161" s="214" t="str">
        <f t="shared" si="65"/>
        <v>VĂN</v>
      </c>
      <c r="N161" s="221" t="str">
        <f t="shared" si="65"/>
        <v>KT-PL</v>
      </c>
      <c r="O161" s="214" t="str">
        <f t="shared" si="65"/>
        <v>TOÁN</v>
      </c>
      <c r="P161" s="214" t="str">
        <f t="shared" si="65"/>
        <v>SỬ</v>
      </c>
      <c r="Q161" s="7"/>
      <c r="R161" s="7"/>
      <c r="S161" s="302" t="s">
        <v>1093</v>
      </c>
      <c r="T161" s="8" t="str">
        <f t="shared" si="59"/>
        <v>NGÀY THI: 22+23/12/2025</v>
      </c>
    </row>
    <row r="162" spans="1:20" ht="15" customHeight="1">
      <c r="A162" s="319">
        <f>IF(F162="","",SUBTOTAL(3,$F$18:F162))</f>
        <v>111</v>
      </c>
      <c r="B162" s="235">
        <v>4</v>
      </c>
      <c r="C162" s="236">
        <v>305</v>
      </c>
      <c r="D162" s="237">
        <v>24</v>
      </c>
      <c r="E162" s="260"/>
      <c r="F162" s="164" t="str">
        <f t="shared" si="61"/>
        <v>305.T</v>
      </c>
      <c r="G162" s="159" t="s">
        <v>365</v>
      </c>
      <c r="H162" s="159" t="s">
        <v>505</v>
      </c>
      <c r="I162" s="158" t="str">
        <f t="shared" si="62"/>
        <v>Thứ Hai (22/12)</v>
      </c>
      <c r="J162" s="158" t="str">
        <f t="shared" si="63"/>
        <v>Thứ Ba (23/12)</v>
      </c>
      <c r="K162" s="169">
        <f>COUNTIF('DS_Tong_12AS-AT-VH'!$B$9:$B$3024,F162)</f>
        <v>24</v>
      </c>
      <c r="L162" s="146">
        <f t="shared" si="64"/>
        <v>0</v>
      </c>
      <c r="M162" s="214" t="str">
        <f t="shared" si="65"/>
        <v>VĂN</v>
      </c>
      <c r="N162" s="221" t="str">
        <f t="shared" si="65"/>
        <v>KT-PL</v>
      </c>
      <c r="O162" s="214" t="str">
        <f t="shared" si="65"/>
        <v>TOÁN</v>
      </c>
      <c r="P162" s="214" t="str">
        <f t="shared" si="65"/>
        <v>SỬ</v>
      </c>
      <c r="Q162" s="7"/>
      <c r="R162" s="7"/>
      <c r="S162" s="302" t="s">
        <v>1093</v>
      </c>
      <c r="T162" s="8" t="str">
        <f t="shared" si="59"/>
        <v>NGÀY THI: 22+23/12/2025</v>
      </c>
    </row>
    <row r="163" spans="1:20" ht="15" customHeight="1">
      <c r="A163" s="319">
        <f>IF(F163="","",SUBTOTAL(3,$F$18:F163))</f>
        <v>112</v>
      </c>
      <c r="B163" s="235">
        <v>5</v>
      </c>
      <c r="C163" s="236">
        <v>306</v>
      </c>
      <c r="D163" s="237">
        <v>24</v>
      </c>
      <c r="E163" s="260"/>
      <c r="F163" s="164" t="str">
        <f t="shared" si="61"/>
        <v>306.T</v>
      </c>
      <c r="G163" s="159" t="s">
        <v>365</v>
      </c>
      <c r="H163" s="159" t="s">
        <v>505</v>
      </c>
      <c r="I163" s="158" t="str">
        <f t="shared" si="62"/>
        <v>Thứ Hai (22/12)</v>
      </c>
      <c r="J163" s="158" t="str">
        <f t="shared" si="63"/>
        <v>Thứ Ba (23/12)</v>
      </c>
      <c r="K163" s="169">
        <f>COUNTIF('DS_Tong_12AS-AT-VH'!$B$9:$B$3024,F163)</f>
        <v>24</v>
      </c>
      <c r="L163" s="146">
        <f t="shared" si="64"/>
        <v>0</v>
      </c>
      <c r="M163" s="214" t="str">
        <f t="shared" si="65"/>
        <v>VĂN</v>
      </c>
      <c r="N163" s="221" t="str">
        <f t="shared" si="65"/>
        <v>KT-PL</v>
      </c>
      <c r="O163" s="214" t="str">
        <f t="shared" si="65"/>
        <v>TOÁN</v>
      </c>
      <c r="P163" s="214" t="str">
        <f t="shared" si="65"/>
        <v>SỬ</v>
      </c>
      <c r="Q163" s="7"/>
      <c r="R163" s="7"/>
      <c r="S163" s="302" t="s">
        <v>1093</v>
      </c>
      <c r="T163" s="8" t="str">
        <f t="shared" si="59"/>
        <v>NGÀY THI: 22+23/12/2025</v>
      </c>
    </row>
    <row r="164" spans="1:20" ht="15" customHeight="1">
      <c r="A164" s="319">
        <f>IF(F164="","",SUBTOTAL(3,$F$18:F164))</f>
        <v>113</v>
      </c>
      <c r="B164" s="235">
        <v>6</v>
      </c>
      <c r="C164" s="236">
        <v>310</v>
      </c>
      <c r="D164" s="237">
        <v>24</v>
      </c>
      <c r="E164" s="260"/>
      <c r="F164" s="164" t="str">
        <f t="shared" si="61"/>
        <v>310.T</v>
      </c>
      <c r="G164" s="159" t="s">
        <v>365</v>
      </c>
      <c r="H164" s="159" t="s">
        <v>505</v>
      </c>
      <c r="I164" s="158" t="str">
        <f t="shared" si="62"/>
        <v>Thứ Hai (22/12)</v>
      </c>
      <c r="J164" s="158" t="str">
        <f t="shared" si="63"/>
        <v>Thứ Ba (23/12)</v>
      </c>
      <c r="K164" s="169">
        <f>COUNTIF('DS_Tong_12AS-AT-VH'!$B$9:$B$3024,F164)</f>
        <v>23</v>
      </c>
      <c r="L164" s="146">
        <f t="shared" si="64"/>
        <v>1</v>
      </c>
      <c r="M164" s="214" t="str">
        <f t="shared" si="65"/>
        <v>VĂN</v>
      </c>
      <c r="N164" s="221" t="str">
        <f t="shared" si="65"/>
        <v>KT-PL</v>
      </c>
      <c r="O164" s="214" t="str">
        <f t="shared" si="65"/>
        <v>TOÁN</v>
      </c>
      <c r="P164" s="214" t="str">
        <f t="shared" si="65"/>
        <v>SỬ</v>
      </c>
      <c r="Q164" s="7"/>
      <c r="R164" s="7"/>
      <c r="S164" s="302" t="s">
        <v>1093</v>
      </c>
      <c r="T164" s="8" t="str">
        <f t="shared" si="59"/>
        <v>NGÀY THI: 22+23/12/2025</v>
      </c>
    </row>
    <row r="165" spans="1:20" ht="15" customHeight="1">
      <c r="A165" s="319">
        <f>IF(F165="","",SUBTOTAL(3,$F$18:F165))</f>
        <v>114</v>
      </c>
      <c r="B165" s="246">
        <v>7</v>
      </c>
      <c r="C165" s="247">
        <v>311</v>
      </c>
      <c r="D165" s="257">
        <v>23</v>
      </c>
      <c r="E165" s="258"/>
      <c r="F165" s="165" t="str">
        <f t="shared" si="61"/>
        <v>311.T</v>
      </c>
      <c r="G165" s="160" t="s">
        <v>365</v>
      </c>
      <c r="H165" s="160" t="s">
        <v>505</v>
      </c>
      <c r="I165" s="166" t="str">
        <f t="shared" si="62"/>
        <v>Thứ Hai (22/12)</v>
      </c>
      <c r="J165" s="166" t="str">
        <f t="shared" si="63"/>
        <v>Thứ Ba (23/12)</v>
      </c>
      <c r="K165" s="170">
        <f>COUNTIF('DS_Tong_12AS-AT-VH'!$B$9:$B$3024,F165)</f>
        <v>23</v>
      </c>
      <c r="L165" s="155">
        <f t="shared" si="64"/>
        <v>0</v>
      </c>
      <c r="M165" s="214" t="str">
        <f t="shared" si="65"/>
        <v>VĂN</v>
      </c>
      <c r="N165" s="221" t="str">
        <f t="shared" si="65"/>
        <v>KT-PL</v>
      </c>
      <c r="O165" s="214" t="str">
        <f t="shared" si="65"/>
        <v>TOÁN</v>
      </c>
      <c r="P165" s="214" t="str">
        <f t="shared" si="65"/>
        <v>SỬ</v>
      </c>
      <c r="Q165" s="7"/>
      <c r="R165" s="7"/>
      <c r="S165" s="302" t="s">
        <v>1093</v>
      </c>
      <c r="T165" s="8" t="str">
        <f t="shared" si="59"/>
        <v>NGÀY THI: 22+23/12/2025</v>
      </c>
    </row>
  </sheetData>
  <mergeCells count="7">
    <mergeCell ref="Q15:R15"/>
    <mergeCell ref="O4:P4"/>
    <mergeCell ref="K2:K3"/>
    <mergeCell ref="L2:L3"/>
    <mergeCell ref="M4:N4"/>
    <mergeCell ref="B15:E15"/>
    <mergeCell ref="F15:J15"/>
  </mergeCells>
  <phoneticPr fontId="32" type="noConversion"/>
  <printOptions horizontalCentered="1"/>
  <pageMargins left="0.2" right="0.25" top="0.41" bottom="0.24" header="0.3" footer="0.3"/>
  <pageSetup paperSize="9" scale="8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</sheetPr>
  <dimension ref="A1:Y3032"/>
  <sheetViews>
    <sheetView view="pageBreakPreview" zoomScale="85" zoomScaleNormal="100" zoomScaleSheetLayoutView="85" workbookViewId="0">
      <selection activeCell="J1096" sqref="J1096:J1452"/>
    </sheetView>
  </sheetViews>
  <sheetFormatPr defaultRowHeight="16.5"/>
  <cols>
    <col min="1" max="1" width="8.28515625" style="13" customWidth="1"/>
    <col min="2" max="2" width="10.140625" style="13" customWidth="1"/>
    <col min="3" max="3" width="8.140625" style="13" customWidth="1"/>
    <col min="4" max="4" width="6.85546875" style="13" customWidth="1"/>
    <col min="5" max="5" width="9.85546875" style="46" customWidth="1"/>
    <col min="6" max="6" width="26.140625" style="75" customWidth="1"/>
    <col min="7" max="7" width="9.42578125" style="76" customWidth="1"/>
    <col min="8" max="8" width="9.140625" style="46" customWidth="1"/>
    <col min="9" max="9" width="9.140625" style="79" customWidth="1"/>
    <col min="10" max="13" width="8.7109375" style="13" customWidth="1"/>
    <col min="14" max="14" width="9.140625" style="60" customWidth="1"/>
    <col min="15" max="16" width="9.140625" style="65" customWidth="1"/>
    <col min="17" max="17" width="16" style="65" customWidth="1"/>
    <col min="18" max="18" width="14.7109375" style="65" customWidth="1"/>
    <col min="19" max="19" width="9.140625" style="13" customWidth="1"/>
    <col min="20" max="20" width="43" style="13" customWidth="1"/>
    <col min="21" max="21" width="17.85546875" style="13" customWidth="1"/>
    <col min="22" max="256" width="11.42578125" style="13" customWidth="1"/>
    <col min="257" max="16384" width="9.140625" style="13"/>
  </cols>
  <sheetData>
    <row r="1" spans="1:25">
      <c r="A1" s="405" t="s">
        <v>4</v>
      </c>
      <c r="B1" s="405"/>
      <c r="C1" s="405"/>
      <c r="D1" s="405"/>
      <c r="E1" s="405"/>
      <c r="F1" s="405"/>
      <c r="G1" s="406" t="s">
        <v>0</v>
      </c>
      <c r="H1" s="406"/>
      <c r="I1" s="406"/>
      <c r="J1" s="406"/>
      <c r="K1" s="406"/>
      <c r="L1" s="406"/>
      <c r="M1" s="406"/>
      <c r="N1" s="60" t="s">
        <v>362</v>
      </c>
      <c r="O1" s="65" t="s">
        <v>367</v>
      </c>
    </row>
    <row r="2" spans="1:25" ht="18.75">
      <c r="A2" s="404" t="s">
        <v>1</v>
      </c>
      <c r="B2" s="404"/>
      <c r="C2" s="404"/>
      <c r="D2" s="404"/>
      <c r="E2" s="404"/>
      <c r="F2" s="404"/>
      <c r="G2" s="407" t="s">
        <v>2</v>
      </c>
      <c r="H2" s="407"/>
      <c r="I2" s="407"/>
      <c r="J2" s="407"/>
      <c r="K2" s="407"/>
      <c r="L2" s="407"/>
      <c r="M2" s="407"/>
      <c r="N2" s="60" t="s">
        <v>363</v>
      </c>
      <c r="O2" s="65" t="s">
        <v>369</v>
      </c>
    </row>
    <row r="3" spans="1:25">
      <c r="A3" s="408"/>
      <c r="B3" s="408"/>
      <c r="C3" s="408"/>
      <c r="D3" s="408"/>
      <c r="E3" s="408"/>
      <c r="F3" s="408"/>
      <c r="G3" s="39"/>
      <c r="H3" s="37"/>
      <c r="I3" s="77"/>
      <c r="J3" s="18"/>
      <c r="K3" s="16"/>
      <c r="L3" s="16"/>
      <c r="M3" s="16"/>
      <c r="N3" s="60" t="s">
        <v>364</v>
      </c>
      <c r="O3" s="65" t="s">
        <v>370</v>
      </c>
    </row>
    <row r="4" spans="1:25">
      <c r="A4" s="404"/>
      <c r="B4" s="404"/>
      <c r="C4" s="404"/>
      <c r="D4" s="404"/>
      <c r="E4" s="404"/>
      <c r="F4" s="404"/>
      <c r="G4" s="404"/>
      <c r="H4" s="409"/>
      <c r="I4" s="409"/>
      <c r="J4" s="409"/>
      <c r="K4" s="409"/>
      <c r="L4" s="409"/>
      <c r="M4" s="409"/>
      <c r="N4" s="26"/>
    </row>
    <row r="5" spans="1:25" s="19" customFormat="1">
      <c r="A5" s="391"/>
      <c r="B5" s="391"/>
      <c r="C5" s="391"/>
      <c r="D5" s="391"/>
      <c r="E5" s="391"/>
      <c r="F5" s="391"/>
      <c r="G5" s="391"/>
      <c r="H5" s="403"/>
      <c r="I5" s="403"/>
      <c r="J5" s="403"/>
      <c r="K5" s="85"/>
      <c r="L5" s="85"/>
      <c r="M5" s="80"/>
      <c r="N5" s="61"/>
      <c r="O5" s="64"/>
      <c r="P5" s="64"/>
      <c r="Q5" s="64"/>
      <c r="R5" s="65"/>
    </row>
    <row r="6" spans="1:25" ht="16.5" customHeight="1">
      <c r="A6" s="392" t="s">
        <v>390</v>
      </c>
      <c r="B6" s="379" t="s">
        <v>507</v>
      </c>
      <c r="C6" s="381" t="s">
        <v>501</v>
      </c>
      <c r="D6" s="383" t="s">
        <v>497</v>
      </c>
      <c r="E6" s="385" t="s">
        <v>391</v>
      </c>
      <c r="F6" s="387" t="s">
        <v>393</v>
      </c>
      <c r="G6" s="389" t="s">
        <v>394</v>
      </c>
      <c r="H6" s="385" t="s">
        <v>3</v>
      </c>
      <c r="I6" s="401" t="s">
        <v>399</v>
      </c>
      <c r="J6" s="394" t="s">
        <v>392</v>
      </c>
      <c r="K6" s="395"/>
      <c r="L6" s="395"/>
      <c r="M6" s="396"/>
      <c r="O6" s="66" t="s">
        <v>405</v>
      </c>
      <c r="P6" s="66" t="s">
        <v>406</v>
      </c>
      <c r="Q6" s="66" t="s">
        <v>407</v>
      </c>
      <c r="R6" s="66" t="s">
        <v>398</v>
      </c>
    </row>
    <row r="7" spans="1:25" ht="20.100000000000001" customHeight="1">
      <c r="A7" s="393"/>
      <c r="B7" s="380"/>
      <c r="C7" s="382"/>
      <c r="D7" s="384"/>
      <c r="E7" s="386"/>
      <c r="F7" s="388"/>
      <c r="G7" s="390"/>
      <c r="H7" s="386"/>
      <c r="I7" s="402"/>
      <c r="J7" s="397" t="s">
        <v>494</v>
      </c>
      <c r="K7" s="398"/>
      <c r="L7" s="399" t="s">
        <v>495</v>
      </c>
      <c r="M7" s="400"/>
      <c r="O7" s="66">
        <v>6</v>
      </c>
      <c r="P7" s="66">
        <v>7</v>
      </c>
      <c r="Q7" s="66">
        <v>8</v>
      </c>
      <c r="R7" s="66">
        <v>9</v>
      </c>
      <c r="S7" s="66"/>
    </row>
    <row r="8" spans="1:25" ht="16.5" customHeight="1">
      <c r="A8" s="198">
        <v>1</v>
      </c>
      <c r="B8" s="93">
        <v>2</v>
      </c>
      <c r="C8" s="197">
        <v>3</v>
      </c>
      <c r="D8" s="92">
        <v>4</v>
      </c>
      <c r="E8" s="92">
        <v>5</v>
      </c>
      <c r="F8" s="94">
        <v>6</v>
      </c>
      <c r="G8" s="95">
        <v>7</v>
      </c>
      <c r="H8" s="93">
        <v>8</v>
      </c>
      <c r="I8" s="95">
        <v>9</v>
      </c>
      <c r="J8" s="31" t="s">
        <v>361</v>
      </c>
      <c r="K8" s="31" t="s">
        <v>367</v>
      </c>
      <c r="L8" s="31" t="s">
        <v>360</v>
      </c>
      <c r="M8" s="31" t="s">
        <v>368</v>
      </c>
      <c r="U8" s="101" t="s">
        <v>529</v>
      </c>
      <c r="V8" s="13">
        <f>COUNTIF($V$9:$V$3025,"hp")</f>
        <v>0</v>
      </c>
    </row>
    <row r="9" spans="1:25" s="2" customFormat="1" ht="20.100000000000001" customHeight="1">
      <c r="A9" s="200">
        <v>1</v>
      </c>
      <c r="B9" s="184" t="str">
        <f>RIGHT(D9,LEN(D9)-2)&amp;"."&amp;LEFT(N9,1)</f>
        <v>1A.S</v>
      </c>
      <c r="C9" s="185" t="s">
        <v>363</v>
      </c>
      <c r="D9" s="186" t="s">
        <v>508</v>
      </c>
      <c r="E9" s="187">
        <v>100001</v>
      </c>
      <c r="F9" s="188" t="s">
        <v>301</v>
      </c>
      <c r="G9" s="189" t="s">
        <v>63</v>
      </c>
      <c r="H9" s="188" t="s">
        <v>1110</v>
      </c>
      <c r="I9" s="190"/>
      <c r="J9" s="191"/>
      <c r="K9" s="191"/>
      <c r="L9" s="191"/>
      <c r="M9" s="191"/>
      <c r="N9" s="69" t="s">
        <v>256</v>
      </c>
      <c r="O9" s="70">
        <v>0</v>
      </c>
      <c r="P9" s="70">
        <v>0</v>
      </c>
      <c r="Q9" s="70">
        <f>U9</f>
        <v>0</v>
      </c>
      <c r="R9" s="144"/>
      <c r="S9" s="67"/>
      <c r="T9" s="2" t="str">
        <f>TRIM(F9&amp;" "&amp;G9&amp;"_"&amp;H9)</f>
        <v>Nguyễn Hoài An_10AS1</v>
      </c>
      <c r="U9" s="28">
        <f t="array" ref="U9">IFERROR(VLOOKUP($T9,'Nghi hoc T12'!$H$7:$I$160,2,0),0)</f>
        <v>0</v>
      </c>
      <c r="V9" s="28">
        <f>IFERROR(VLOOKUP($T9,No_HP!$B$2:$C$514,2,0),0)</f>
        <v>0</v>
      </c>
      <c r="W9" s="28">
        <f>I9</f>
        <v>0</v>
      </c>
      <c r="X9" s="333">
        <f>O9</f>
        <v>0</v>
      </c>
      <c r="Y9" s="333">
        <f>P9</f>
        <v>0</v>
      </c>
    </row>
    <row r="10" spans="1:25" s="2" customFormat="1" ht="20.100000000000001" customHeight="1">
      <c r="A10" s="82">
        <v>2</v>
      </c>
      <c r="B10" s="91" t="str">
        <f>RIGHT(D10,LEN(D10)-2)&amp;"."&amp;LEFT(N10,1)</f>
        <v>1A.S</v>
      </c>
      <c r="C10" s="83" t="s">
        <v>363</v>
      </c>
      <c r="D10" s="81" t="s">
        <v>508</v>
      </c>
      <c r="E10" s="48">
        <v>100002</v>
      </c>
      <c r="F10" s="30" t="s">
        <v>158</v>
      </c>
      <c r="G10" s="29" t="s">
        <v>63</v>
      </c>
      <c r="H10" s="30" t="s">
        <v>1110</v>
      </c>
      <c r="I10" s="78"/>
      <c r="J10" s="20"/>
      <c r="K10" s="20"/>
      <c r="L10" s="20"/>
      <c r="M10" s="20"/>
      <c r="N10" s="69" t="s">
        <v>256</v>
      </c>
      <c r="O10" s="71">
        <v>0</v>
      </c>
      <c r="P10" s="71">
        <v>0</v>
      </c>
      <c r="Q10" s="70">
        <f t="shared" ref="Q10:Q73" si="0">U10</f>
        <v>0</v>
      </c>
      <c r="R10" s="70"/>
      <c r="S10" s="67"/>
      <c r="T10" s="2" t="str">
        <f t="shared" ref="T10:T73" si="1">TRIM(F10&amp;" "&amp;G10&amp;"_"&amp;H10)</f>
        <v>Nguyễn Hoàng Gia An_10AS1</v>
      </c>
      <c r="U10" s="28">
        <f t="array" ref="U10">IFERROR(VLOOKUP($T10,'Nghi hoc T12'!$H$7:$I$160,2,0),0)</f>
        <v>0</v>
      </c>
      <c r="V10" s="28">
        <f>IFERROR(VLOOKUP($T10,No_HP!$B$2:$C$514,2,0),0)</f>
        <v>0</v>
      </c>
      <c r="W10" s="28">
        <f t="shared" ref="W10:W73" si="2">I10</f>
        <v>0</v>
      </c>
      <c r="X10" s="333">
        <f t="shared" ref="X10:X73" si="3">O10</f>
        <v>0</v>
      </c>
      <c r="Y10" s="333">
        <f t="shared" ref="Y10:Y73" si="4">P10</f>
        <v>0</v>
      </c>
    </row>
    <row r="11" spans="1:25" s="2" customFormat="1" ht="20.100000000000001" customHeight="1">
      <c r="A11" s="82">
        <v>3</v>
      </c>
      <c r="B11" s="91" t="str">
        <f t="shared" ref="B11:B74" si="5">RIGHT(D11,LEN(D11)-2)&amp;"."&amp;LEFT(N11,1)</f>
        <v>1A.S</v>
      </c>
      <c r="C11" s="83" t="s">
        <v>363</v>
      </c>
      <c r="D11" s="81" t="s">
        <v>508</v>
      </c>
      <c r="E11" s="48">
        <v>100003</v>
      </c>
      <c r="F11" s="30" t="s">
        <v>1111</v>
      </c>
      <c r="G11" s="29" t="s">
        <v>63</v>
      </c>
      <c r="H11" s="30" t="s">
        <v>127</v>
      </c>
      <c r="I11" s="78"/>
      <c r="J11" s="20"/>
      <c r="K11" s="20"/>
      <c r="L11" s="20"/>
      <c r="M11" s="20"/>
      <c r="N11" s="69" t="s">
        <v>256</v>
      </c>
      <c r="O11" s="70">
        <v>0</v>
      </c>
      <c r="P11" s="70">
        <v>0</v>
      </c>
      <c r="Q11" s="70">
        <f t="shared" si="0"/>
        <v>0</v>
      </c>
      <c r="R11" s="70"/>
      <c r="S11" s="67"/>
      <c r="T11" s="2" t="str">
        <f t="shared" si="1"/>
        <v>Trần Xuân Thái An_10AS2</v>
      </c>
      <c r="U11" s="28">
        <f t="array" ref="U11">IFERROR(VLOOKUP($T11,'Nghi hoc T12'!$H$7:$I$160,2,0),0)</f>
        <v>0</v>
      </c>
      <c r="V11" s="28">
        <f>IFERROR(VLOOKUP($T11,No_HP!$B$2:$C$514,2,0),0)</f>
        <v>0</v>
      </c>
      <c r="W11" s="28">
        <f t="shared" si="2"/>
        <v>0</v>
      </c>
      <c r="X11" s="333">
        <f t="shared" si="3"/>
        <v>0</v>
      </c>
      <c r="Y11" s="333">
        <f t="shared" si="4"/>
        <v>0</v>
      </c>
    </row>
    <row r="12" spans="1:25" s="2" customFormat="1" ht="20.100000000000001" customHeight="1">
      <c r="A12" s="82">
        <v>4</v>
      </c>
      <c r="B12" s="91" t="str">
        <f t="shared" si="5"/>
        <v>1A.S</v>
      </c>
      <c r="C12" s="83" t="s">
        <v>363</v>
      </c>
      <c r="D12" s="81" t="s">
        <v>508</v>
      </c>
      <c r="E12" s="48">
        <v>100004</v>
      </c>
      <c r="F12" s="30" t="s">
        <v>1112</v>
      </c>
      <c r="G12" s="29" t="s">
        <v>5</v>
      </c>
      <c r="H12" s="30" t="s">
        <v>1110</v>
      </c>
      <c r="I12" s="78"/>
      <c r="J12" s="20"/>
      <c r="K12" s="20"/>
      <c r="L12" s="20"/>
      <c r="M12" s="20"/>
      <c r="N12" s="69" t="s">
        <v>256</v>
      </c>
      <c r="O12" s="70">
        <v>0</v>
      </c>
      <c r="P12" s="70">
        <v>0</v>
      </c>
      <c r="Q12" s="70">
        <f t="shared" si="0"/>
        <v>0</v>
      </c>
      <c r="R12" s="70"/>
      <c r="S12" s="67"/>
      <c r="T12" s="2" t="str">
        <f t="shared" si="1"/>
        <v>Ngô Quốc Anh_10AS1</v>
      </c>
      <c r="U12" s="28">
        <f t="array" ref="U12">IFERROR(VLOOKUP($T12,'Nghi hoc T12'!$H$7:$I$160,2,0),0)</f>
        <v>0</v>
      </c>
      <c r="V12" s="28">
        <f>IFERROR(VLOOKUP($T12,No_HP!$B$2:$C$514,2,0),0)</f>
        <v>0</v>
      </c>
      <c r="W12" s="28">
        <f t="shared" si="2"/>
        <v>0</v>
      </c>
      <c r="X12" s="333">
        <f t="shared" si="3"/>
        <v>0</v>
      </c>
      <c r="Y12" s="333">
        <f t="shared" si="4"/>
        <v>0</v>
      </c>
    </row>
    <row r="13" spans="1:25" s="2" customFormat="1" ht="20.100000000000001" customHeight="1">
      <c r="A13" s="82">
        <v>5</v>
      </c>
      <c r="B13" s="91" t="str">
        <f t="shared" si="5"/>
        <v>1A.S</v>
      </c>
      <c r="C13" s="83" t="s">
        <v>363</v>
      </c>
      <c r="D13" s="81" t="s">
        <v>508</v>
      </c>
      <c r="E13" s="48">
        <v>100005</v>
      </c>
      <c r="F13" s="30" t="s">
        <v>1113</v>
      </c>
      <c r="G13" s="29" t="s">
        <v>5</v>
      </c>
      <c r="H13" s="30" t="s">
        <v>127</v>
      </c>
      <c r="I13" s="78"/>
      <c r="J13" s="20"/>
      <c r="K13" s="20"/>
      <c r="L13" s="20"/>
      <c r="M13" s="20"/>
      <c r="N13" s="69" t="s">
        <v>256</v>
      </c>
      <c r="O13" s="70">
        <v>0</v>
      </c>
      <c r="P13" s="70">
        <v>0</v>
      </c>
      <c r="Q13" s="70">
        <f t="shared" si="0"/>
        <v>0</v>
      </c>
      <c r="R13" s="70"/>
      <c r="S13" s="67"/>
      <c r="T13" s="2" t="str">
        <f t="shared" si="1"/>
        <v>Nguyễn Bá Đức Anh_10AS2</v>
      </c>
      <c r="U13" s="28">
        <f t="array" ref="U13">IFERROR(VLOOKUP($T13,'Nghi hoc T12'!$H$7:$I$160,2,0),0)</f>
        <v>0</v>
      </c>
      <c r="V13" s="28">
        <f>IFERROR(VLOOKUP($T13,No_HP!$B$2:$C$514,2,0),0)</f>
        <v>0</v>
      </c>
      <c r="W13" s="28">
        <f t="shared" si="2"/>
        <v>0</v>
      </c>
      <c r="X13" s="333">
        <f t="shared" si="3"/>
        <v>0</v>
      </c>
      <c r="Y13" s="333">
        <f t="shared" si="4"/>
        <v>0</v>
      </c>
    </row>
    <row r="14" spans="1:25" s="2" customFormat="1" ht="20.100000000000001" customHeight="1">
      <c r="A14" s="82">
        <v>6</v>
      </c>
      <c r="B14" s="91" t="str">
        <f t="shared" si="5"/>
        <v>1A.S</v>
      </c>
      <c r="C14" s="83" t="s">
        <v>363</v>
      </c>
      <c r="D14" s="81" t="s">
        <v>508</v>
      </c>
      <c r="E14" s="48">
        <v>100006</v>
      </c>
      <c r="F14" s="30" t="s">
        <v>1114</v>
      </c>
      <c r="G14" s="29" t="s">
        <v>5</v>
      </c>
      <c r="H14" s="30" t="s">
        <v>127</v>
      </c>
      <c r="I14" s="78"/>
      <c r="J14" s="20"/>
      <c r="K14" s="20"/>
      <c r="L14" s="20"/>
      <c r="M14" s="20"/>
      <c r="N14" s="69" t="s">
        <v>256</v>
      </c>
      <c r="O14" s="70">
        <v>0</v>
      </c>
      <c r="P14" s="70">
        <v>0</v>
      </c>
      <c r="Q14" s="70">
        <f t="shared" si="0"/>
        <v>0</v>
      </c>
      <c r="R14" s="70"/>
      <c r="S14" s="67"/>
      <c r="T14" s="2" t="str">
        <f t="shared" si="1"/>
        <v>Phạm Ngọc Lan Anh_10AS2</v>
      </c>
      <c r="U14" s="28">
        <f t="array" ref="U14">IFERROR(VLOOKUP($T14,'Nghi hoc T12'!$H$7:$I$160,2,0),0)</f>
        <v>0</v>
      </c>
      <c r="V14" s="28">
        <f>IFERROR(VLOOKUP($T14,No_HP!$B$2:$C$514,2,0),0)</f>
        <v>0</v>
      </c>
      <c r="W14" s="28">
        <f t="shared" si="2"/>
        <v>0</v>
      </c>
      <c r="X14" s="333">
        <f t="shared" si="3"/>
        <v>0</v>
      </c>
      <c r="Y14" s="333">
        <f t="shared" si="4"/>
        <v>0</v>
      </c>
    </row>
    <row r="15" spans="1:25" s="2" customFormat="1" ht="20.100000000000001" customHeight="1">
      <c r="A15" s="82">
        <v>7</v>
      </c>
      <c r="B15" s="91" t="str">
        <f t="shared" si="5"/>
        <v>1A.S</v>
      </c>
      <c r="C15" s="83" t="s">
        <v>363</v>
      </c>
      <c r="D15" s="81" t="s">
        <v>508</v>
      </c>
      <c r="E15" s="48">
        <v>100007</v>
      </c>
      <c r="F15" s="30" t="s">
        <v>1115</v>
      </c>
      <c r="G15" s="29" t="s">
        <v>83</v>
      </c>
      <c r="H15" s="30" t="s">
        <v>127</v>
      </c>
      <c r="I15" s="78"/>
      <c r="J15" s="20"/>
      <c r="K15" s="20"/>
      <c r="L15" s="20"/>
      <c r="M15" s="20"/>
      <c r="N15" s="69" t="s">
        <v>256</v>
      </c>
      <c r="O15" s="70">
        <v>0</v>
      </c>
      <c r="P15" s="70">
        <v>0</v>
      </c>
      <c r="Q15" s="70">
        <f t="shared" si="0"/>
        <v>0</v>
      </c>
      <c r="R15" s="70"/>
      <c r="S15" s="67"/>
      <c r="T15" s="2" t="str">
        <f t="shared" si="1"/>
        <v>Đặng Duy Bảo_10AS2</v>
      </c>
      <c r="U15" s="28">
        <f t="array" ref="U15">IFERROR(VLOOKUP($T15,'Nghi hoc T12'!$H$7:$I$160,2,0),0)</f>
        <v>0</v>
      </c>
      <c r="V15" s="28">
        <f>IFERROR(VLOOKUP($T15,No_HP!$B$2:$C$514,2,0),0)</f>
        <v>0</v>
      </c>
      <c r="W15" s="28">
        <f t="shared" si="2"/>
        <v>0</v>
      </c>
      <c r="X15" s="333">
        <f t="shared" si="3"/>
        <v>0</v>
      </c>
      <c r="Y15" s="333">
        <f t="shared" si="4"/>
        <v>0</v>
      </c>
    </row>
    <row r="16" spans="1:25" s="2" customFormat="1" ht="20.100000000000001" customHeight="1">
      <c r="A16" s="82">
        <v>8</v>
      </c>
      <c r="B16" s="91" t="str">
        <f t="shared" si="5"/>
        <v>1A.S</v>
      </c>
      <c r="C16" s="83" t="s">
        <v>363</v>
      </c>
      <c r="D16" s="81" t="s">
        <v>508</v>
      </c>
      <c r="E16" s="48">
        <v>100008</v>
      </c>
      <c r="F16" s="30" t="s">
        <v>429</v>
      </c>
      <c r="G16" s="29" t="s">
        <v>83</v>
      </c>
      <c r="H16" s="30" t="s">
        <v>127</v>
      </c>
      <c r="I16" s="78"/>
      <c r="J16" s="20"/>
      <c r="K16" s="20"/>
      <c r="L16" s="20"/>
      <c r="M16" s="20"/>
      <c r="N16" s="69" t="s">
        <v>256</v>
      </c>
      <c r="O16" s="70">
        <v>0</v>
      </c>
      <c r="P16" s="70">
        <v>0</v>
      </c>
      <c r="Q16" s="70">
        <f t="shared" si="0"/>
        <v>0</v>
      </c>
      <c r="R16" s="70"/>
      <c r="S16" s="67"/>
      <c r="T16" s="2" t="str">
        <f t="shared" si="1"/>
        <v>Hoàng Gia Bảo_10AS2</v>
      </c>
      <c r="U16" s="28">
        <f t="array" ref="U16">IFERROR(VLOOKUP($T16,'Nghi hoc T12'!$H$7:$I$160,2,0),0)</f>
        <v>0</v>
      </c>
      <c r="V16" s="28">
        <f>IFERROR(VLOOKUP($T16,No_HP!$B$2:$C$514,2,0),0)</f>
        <v>0</v>
      </c>
      <c r="W16" s="28">
        <f t="shared" si="2"/>
        <v>0</v>
      </c>
      <c r="X16" s="333">
        <f t="shared" si="3"/>
        <v>0</v>
      </c>
      <c r="Y16" s="333">
        <f t="shared" si="4"/>
        <v>0</v>
      </c>
    </row>
    <row r="17" spans="1:25" s="2" customFormat="1" ht="20.100000000000001" customHeight="1">
      <c r="A17" s="82">
        <v>9</v>
      </c>
      <c r="B17" s="91" t="str">
        <f t="shared" si="5"/>
        <v>1A.S</v>
      </c>
      <c r="C17" s="83" t="s">
        <v>363</v>
      </c>
      <c r="D17" s="81" t="s">
        <v>508</v>
      </c>
      <c r="E17" s="48">
        <v>100009</v>
      </c>
      <c r="F17" s="30" t="s">
        <v>1116</v>
      </c>
      <c r="G17" s="29" t="s">
        <v>83</v>
      </c>
      <c r="H17" s="30" t="s">
        <v>1110</v>
      </c>
      <c r="I17" s="78"/>
      <c r="J17" s="20"/>
      <c r="K17" s="20"/>
      <c r="L17" s="20"/>
      <c r="M17" s="20"/>
      <c r="N17" s="69" t="s">
        <v>256</v>
      </c>
      <c r="O17" s="70">
        <v>0</v>
      </c>
      <c r="P17" s="70">
        <v>0</v>
      </c>
      <c r="Q17" s="70">
        <f t="shared" si="0"/>
        <v>0</v>
      </c>
      <c r="R17" s="70"/>
      <c r="S17" s="67"/>
      <c r="T17" s="2" t="str">
        <f t="shared" si="1"/>
        <v>Lê Công Gia Bảo_10AS1</v>
      </c>
      <c r="U17" s="28">
        <f t="array" ref="U17">IFERROR(VLOOKUP($T17,'Nghi hoc T12'!$H$7:$I$160,2,0),0)</f>
        <v>0</v>
      </c>
      <c r="V17" s="28">
        <f>IFERROR(VLOOKUP($T17,No_HP!$B$2:$C$514,2,0),0)</f>
        <v>0</v>
      </c>
      <c r="W17" s="28">
        <f t="shared" si="2"/>
        <v>0</v>
      </c>
      <c r="X17" s="333">
        <f t="shared" si="3"/>
        <v>0</v>
      </c>
      <c r="Y17" s="333">
        <f t="shared" si="4"/>
        <v>0</v>
      </c>
    </row>
    <row r="18" spans="1:25" s="2" customFormat="1" ht="20.100000000000001" customHeight="1">
      <c r="A18" s="82">
        <v>10</v>
      </c>
      <c r="B18" s="91" t="str">
        <f t="shared" si="5"/>
        <v>1A.S</v>
      </c>
      <c r="C18" s="83" t="s">
        <v>363</v>
      </c>
      <c r="D18" s="81" t="s">
        <v>508</v>
      </c>
      <c r="E18" s="48">
        <v>100010</v>
      </c>
      <c r="F18" s="30" t="s">
        <v>314</v>
      </c>
      <c r="G18" s="29" t="s">
        <v>107</v>
      </c>
      <c r="H18" s="30" t="s">
        <v>1110</v>
      </c>
      <c r="I18" s="78"/>
      <c r="J18" s="20"/>
      <c r="K18" s="20"/>
      <c r="L18" s="20"/>
      <c r="M18" s="20"/>
      <c r="N18" s="69" t="s">
        <v>256</v>
      </c>
      <c r="O18" s="70">
        <v>0</v>
      </c>
      <c r="P18" s="70">
        <v>0</v>
      </c>
      <c r="Q18" s="70">
        <f t="shared" si="0"/>
        <v>0</v>
      </c>
      <c r="R18" s="70"/>
      <c r="S18" s="67"/>
      <c r="T18" s="2" t="str">
        <f t="shared" si="1"/>
        <v>Phạm Minh Châu_10AS1</v>
      </c>
      <c r="U18" s="28">
        <f t="array" ref="U18">IFERROR(VLOOKUP($T18,'Nghi hoc T12'!$H$7:$I$160,2,0),0)</f>
        <v>0</v>
      </c>
      <c r="V18" s="28">
        <f>IFERROR(VLOOKUP($T18,No_HP!$B$2:$C$514,2,0),0)</f>
        <v>0</v>
      </c>
      <c r="W18" s="28">
        <f t="shared" si="2"/>
        <v>0</v>
      </c>
      <c r="X18" s="333">
        <f t="shared" si="3"/>
        <v>0</v>
      </c>
      <c r="Y18" s="333">
        <f t="shared" si="4"/>
        <v>0</v>
      </c>
    </row>
    <row r="19" spans="1:25" s="2" customFormat="1" ht="20.100000000000001" customHeight="1">
      <c r="A19" s="82">
        <v>11</v>
      </c>
      <c r="B19" s="91" t="str">
        <f t="shared" si="5"/>
        <v>1A.S</v>
      </c>
      <c r="C19" s="83" t="s">
        <v>363</v>
      </c>
      <c r="D19" s="81" t="s">
        <v>508</v>
      </c>
      <c r="E19" s="48">
        <v>100011</v>
      </c>
      <c r="F19" s="30" t="s">
        <v>352</v>
      </c>
      <c r="G19" s="29" t="s">
        <v>466</v>
      </c>
      <c r="H19" s="30" t="s">
        <v>127</v>
      </c>
      <c r="I19" s="78"/>
      <c r="J19" s="20"/>
      <c r="K19" s="20"/>
      <c r="L19" s="20"/>
      <c r="M19" s="20"/>
      <c r="N19" s="69" t="s">
        <v>256</v>
      </c>
      <c r="O19" s="70">
        <v>0</v>
      </c>
      <c r="P19" s="70">
        <v>0</v>
      </c>
      <c r="Q19" s="70">
        <f t="shared" si="0"/>
        <v>0</v>
      </c>
      <c r="R19" s="70"/>
      <c r="S19" s="67"/>
      <c r="T19" s="2" t="str">
        <f t="shared" si="1"/>
        <v>Nguyễn Kiều Chinh_10AS2</v>
      </c>
      <c r="U19" s="28">
        <f t="array" ref="U19">IFERROR(VLOOKUP($T19,'Nghi hoc T12'!$H$7:$I$160,2,0),0)</f>
        <v>0</v>
      </c>
      <c r="V19" s="28">
        <f>IFERROR(VLOOKUP($T19,No_HP!$B$2:$C$514,2,0),0)</f>
        <v>0</v>
      </c>
      <c r="W19" s="28">
        <f t="shared" si="2"/>
        <v>0</v>
      </c>
      <c r="X19" s="333">
        <f t="shared" si="3"/>
        <v>0</v>
      </c>
      <c r="Y19" s="333">
        <f t="shared" si="4"/>
        <v>0</v>
      </c>
    </row>
    <row r="20" spans="1:25" s="2" customFormat="1" ht="20.100000000000001" customHeight="1">
      <c r="A20" s="82">
        <v>12</v>
      </c>
      <c r="B20" s="91" t="str">
        <f t="shared" si="5"/>
        <v>1A.S</v>
      </c>
      <c r="C20" s="83" t="s">
        <v>363</v>
      </c>
      <c r="D20" s="81" t="s">
        <v>508</v>
      </c>
      <c r="E20" s="48">
        <v>100012</v>
      </c>
      <c r="F20" s="30" t="s">
        <v>324</v>
      </c>
      <c r="G20" s="29" t="s">
        <v>89</v>
      </c>
      <c r="H20" s="30" t="s">
        <v>1110</v>
      </c>
      <c r="I20" s="78"/>
      <c r="J20" s="20"/>
      <c r="K20" s="20"/>
      <c r="L20" s="20"/>
      <c r="M20" s="20"/>
      <c r="N20" s="69" t="s">
        <v>256</v>
      </c>
      <c r="O20" s="70">
        <v>0</v>
      </c>
      <c r="P20" s="70">
        <v>0</v>
      </c>
      <c r="Q20" s="70">
        <f t="shared" si="0"/>
        <v>0</v>
      </c>
      <c r="R20" s="70"/>
      <c r="S20" s="67"/>
      <c r="T20" s="2" t="str">
        <f t="shared" si="1"/>
        <v>Phan Quốc Danh_10AS1</v>
      </c>
      <c r="U20" s="28">
        <f t="array" ref="U20">IFERROR(VLOOKUP($T20,'Nghi hoc T12'!$H$7:$I$160,2,0),0)</f>
        <v>0</v>
      </c>
      <c r="V20" s="28">
        <f>IFERROR(VLOOKUP($T20,No_HP!$B$2:$C$514,2,0),0)</f>
        <v>0</v>
      </c>
      <c r="W20" s="28">
        <f t="shared" si="2"/>
        <v>0</v>
      </c>
      <c r="X20" s="333">
        <f t="shared" si="3"/>
        <v>0</v>
      </c>
      <c r="Y20" s="333">
        <f t="shared" si="4"/>
        <v>0</v>
      </c>
    </row>
    <row r="21" spans="1:25" s="2" customFormat="1" ht="20.100000000000001" customHeight="1">
      <c r="A21" s="82">
        <v>13</v>
      </c>
      <c r="B21" s="91" t="str">
        <f t="shared" si="5"/>
        <v>1A.S</v>
      </c>
      <c r="C21" s="83" t="s">
        <v>363</v>
      </c>
      <c r="D21" s="81" t="s">
        <v>508</v>
      </c>
      <c r="E21" s="48">
        <v>100013</v>
      </c>
      <c r="F21" s="30" t="s">
        <v>1117</v>
      </c>
      <c r="G21" s="29" t="s">
        <v>1118</v>
      </c>
      <c r="H21" s="30" t="s">
        <v>1110</v>
      </c>
      <c r="I21" s="78"/>
      <c r="J21" s="20"/>
      <c r="K21" s="20"/>
      <c r="L21" s="20"/>
      <c r="M21" s="20"/>
      <c r="N21" s="69" t="s">
        <v>256</v>
      </c>
      <c r="O21" s="70">
        <v>0</v>
      </c>
      <c r="P21" s="70">
        <v>0</v>
      </c>
      <c r="Q21" s="70">
        <f t="shared" si="0"/>
        <v>0</v>
      </c>
      <c r="R21" s="70"/>
      <c r="S21" s="67"/>
      <c r="T21" s="2" t="str">
        <f t="shared" si="1"/>
        <v>Vũ Thị Ngọc Diễm_10AS1</v>
      </c>
      <c r="U21" s="28">
        <f t="array" ref="U21">IFERROR(VLOOKUP($T21,'Nghi hoc T12'!$H$7:$I$160,2,0),0)</f>
        <v>0</v>
      </c>
      <c r="V21" s="28">
        <f>IFERROR(VLOOKUP($T21,No_HP!$B$2:$C$514,2,0),0)</f>
        <v>0</v>
      </c>
      <c r="W21" s="28">
        <f t="shared" si="2"/>
        <v>0</v>
      </c>
      <c r="X21" s="333">
        <f t="shared" si="3"/>
        <v>0</v>
      </c>
      <c r="Y21" s="333">
        <f t="shared" si="4"/>
        <v>0</v>
      </c>
    </row>
    <row r="22" spans="1:25" s="2" customFormat="1" ht="20.100000000000001" customHeight="1">
      <c r="A22" s="82">
        <v>14</v>
      </c>
      <c r="B22" s="91" t="str">
        <f t="shared" si="5"/>
        <v>1A.S</v>
      </c>
      <c r="C22" s="83" t="s">
        <v>363</v>
      </c>
      <c r="D22" s="81" t="s">
        <v>508</v>
      </c>
      <c r="E22" s="48">
        <v>100014</v>
      </c>
      <c r="F22" s="30" t="s">
        <v>327</v>
      </c>
      <c r="G22" s="29" t="s">
        <v>140</v>
      </c>
      <c r="H22" s="30" t="s">
        <v>127</v>
      </c>
      <c r="I22" s="78"/>
      <c r="J22" s="20"/>
      <c r="K22" s="20"/>
      <c r="L22" s="20"/>
      <c r="M22" s="20"/>
      <c r="N22" s="69" t="s">
        <v>256</v>
      </c>
      <c r="O22" s="70">
        <v>0</v>
      </c>
      <c r="P22" s="70">
        <v>0</v>
      </c>
      <c r="Q22" s="70">
        <f t="shared" si="0"/>
        <v>0</v>
      </c>
      <c r="R22" s="70"/>
      <c r="S22" s="67"/>
      <c r="T22" s="2" t="str">
        <f t="shared" si="1"/>
        <v>Nguyễn Phương Dung_10AS2</v>
      </c>
      <c r="U22" s="28">
        <f t="array" ref="U22">IFERROR(VLOOKUP($T22,'Nghi hoc T12'!$H$7:$I$160,2,0),0)</f>
        <v>0</v>
      </c>
      <c r="V22" s="28">
        <f>IFERROR(VLOOKUP($T22,No_HP!$B$2:$C$514,2,0),0)</f>
        <v>0</v>
      </c>
      <c r="W22" s="28">
        <f t="shared" si="2"/>
        <v>0</v>
      </c>
      <c r="X22" s="333">
        <f t="shared" si="3"/>
        <v>0</v>
      </c>
      <c r="Y22" s="333">
        <f t="shared" si="4"/>
        <v>0</v>
      </c>
    </row>
    <row r="23" spans="1:25" s="2" customFormat="1" ht="20.100000000000001" customHeight="1">
      <c r="A23" s="82">
        <v>15</v>
      </c>
      <c r="B23" s="91" t="str">
        <f t="shared" si="5"/>
        <v>1A.S</v>
      </c>
      <c r="C23" s="83" t="s">
        <v>363</v>
      </c>
      <c r="D23" s="81" t="s">
        <v>508</v>
      </c>
      <c r="E23" s="48">
        <v>100015</v>
      </c>
      <c r="F23" s="30" t="s">
        <v>1119</v>
      </c>
      <c r="G23" s="29" t="s">
        <v>6</v>
      </c>
      <c r="H23" s="30" t="s">
        <v>127</v>
      </c>
      <c r="I23" s="78"/>
      <c r="J23" s="20"/>
      <c r="K23" s="20"/>
      <c r="L23" s="20"/>
      <c r="M23" s="20"/>
      <c r="N23" s="69" t="s">
        <v>256</v>
      </c>
      <c r="O23" s="70">
        <v>0</v>
      </c>
      <c r="P23" s="70">
        <v>0</v>
      </c>
      <c r="Q23" s="70">
        <f t="shared" si="0"/>
        <v>0</v>
      </c>
      <c r="R23" s="70"/>
      <c r="S23" s="67"/>
      <c r="T23" s="2" t="str">
        <f t="shared" si="1"/>
        <v>Nguyễn Chương Dũng_10AS2</v>
      </c>
      <c r="U23" s="28">
        <f t="array" ref="U23">IFERROR(VLOOKUP($T23,'Nghi hoc T12'!$H$7:$I$160,2,0),0)</f>
        <v>0</v>
      </c>
      <c r="V23" s="28">
        <f>IFERROR(VLOOKUP($T23,No_HP!$B$2:$C$514,2,0),0)</f>
        <v>0</v>
      </c>
      <c r="W23" s="28">
        <f t="shared" si="2"/>
        <v>0</v>
      </c>
      <c r="X23" s="333">
        <f t="shared" si="3"/>
        <v>0</v>
      </c>
      <c r="Y23" s="333">
        <f t="shared" si="4"/>
        <v>0</v>
      </c>
    </row>
    <row r="24" spans="1:25" s="2" customFormat="1" ht="20.100000000000001" customHeight="1">
      <c r="A24" s="82">
        <v>16</v>
      </c>
      <c r="B24" s="91" t="str">
        <f t="shared" si="5"/>
        <v>1A.S</v>
      </c>
      <c r="C24" s="83" t="s">
        <v>363</v>
      </c>
      <c r="D24" s="81" t="s">
        <v>508</v>
      </c>
      <c r="E24" s="48">
        <v>100016</v>
      </c>
      <c r="F24" s="30" t="s">
        <v>1120</v>
      </c>
      <c r="G24" s="29" t="s">
        <v>65</v>
      </c>
      <c r="H24" s="30" t="s">
        <v>1110</v>
      </c>
      <c r="I24" s="78"/>
      <c r="J24" s="20"/>
      <c r="K24" s="20"/>
      <c r="L24" s="20"/>
      <c r="M24" s="20"/>
      <c r="N24" s="69" t="s">
        <v>256</v>
      </c>
      <c r="O24" s="70">
        <v>0</v>
      </c>
      <c r="P24" s="70">
        <v>0</v>
      </c>
      <c r="Q24" s="70">
        <f t="shared" si="0"/>
        <v>0</v>
      </c>
      <c r="R24" s="70"/>
      <c r="S24" s="67"/>
      <c r="T24" s="2" t="str">
        <f t="shared" si="1"/>
        <v>Nguyễn Khương Duy_10AS1</v>
      </c>
      <c r="U24" s="28">
        <f t="array" ref="U24">IFERROR(VLOOKUP($T24,'Nghi hoc T12'!$H$7:$I$160,2,0),0)</f>
        <v>0</v>
      </c>
      <c r="V24" s="28">
        <f>IFERROR(VLOOKUP($T24,No_HP!$B$2:$C$514,2,0),0)</f>
        <v>0</v>
      </c>
      <c r="W24" s="28">
        <f t="shared" si="2"/>
        <v>0</v>
      </c>
      <c r="X24" s="333">
        <f t="shared" si="3"/>
        <v>0</v>
      </c>
      <c r="Y24" s="333">
        <f t="shared" si="4"/>
        <v>0</v>
      </c>
    </row>
    <row r="25" spans="1:25" s="2" customFormat="1" ht="20.100000000000001" customHeight="1">
      <c r="A25" s="82">
        <v>17</v>
      </c>
      <c r="B25" s="91" t="str">
        <f t="shared" si="5"/>
        <v>1A.S</v>
      </c>
      <c r="C25" s="83" t="s">
        <v>363</v>
      </c>
      <c r="D25" s="81" t="s">
        <v>508</v>
      </c>
      <c r="E25" s="48">
        <v>100017</v>
      </c>
      <c r="F25" s="30" t="s">
        <v>1121</v>
      </c>
      <c r="G25" s="29" t="s">
        <v>66</v>
      </c>
      <c r="H25" s="30" t="s">
        <v>127</v>
      </c>
      <c r="I25" s="78"/>
      <c r="J25" s="20"/>
      <c r="K25" s="20"/>
      <c r="L25" s="20"/>
      <c r="M25" s="20"/>
      <c r="N25" s="69" t="s">
        <v>256</v>
      </c>
      <c r="O25" s="70">
        <v>0</v>
      </c>
      <c r="P25" s="70">
        <v>0</v>
      </c>
      <c r="Q25" s="70">
        <f t="shared" si="0"/>
        <v>0</v>
      </c>
      <c r="R25" s="70"/>
      <c r="S25" s="67"/>
      <c r="T25" s="2" t="str">
        <f t="shared" si="1"/>
        <v>Huỳnh Ngọc Mỹ Duyên_10AS2</v>
      </c>
      <c r="U25" s="28">
        <f t="array" ref="U25">IFERROR(VLOOKUP($T25,'Nghi hoc T12'!$H$7:$I$160,2,0),0)</f>
        <v>0</v>
      </c>
      <c r="V25" s="28">
        <f>IFERROR(VLOOKUP($T25,No_HP!$B$2:$C$514,2,0),0)</f>
        <v>0</v>
      </c>
      <c r="W25" s="28">
        <f t="shared" si="2"/>
        <v>0</v>
      </c>
      <c r="X25" s="333">
        <f t="shared" si="3"/>
        <v>0</v>
      </c>
      <c r="Y25" s="333">
        <f t="shared" si="4"/>
        <v>0</v>
      </c>
    </row>
    <row r="26" spans="1:25" s="2" customFormat="1" ht="20.100000000000001" customHeight="1">
      <c r="A26" s="82">
        <v>18</v>
      </c>
      <c r="B26" s="91" t="str">
        <f t="shared" si="5"/>
        <v>1A.S</v>
      </c>
      <c r="C26" s="83" t="s">
        <v>363</v>
      </c>
      <c r="D26" s="81" t="s">
        <v>508</v>
      </c>
      <c r="E26" s="48">
        <v>100018</v>
      </c>
      <c r="F26" s="30" t="s">
        <v>1122</v>
      </c>
      <c r="G26" s="29" t="s">
        <v>7</v>
      </c>
      <c r="H26" s="30" t="s">
        <v>1110</v>
      </c>
      <c r="I26" s="78"/>
      <c r="J26" s="20"/>
      <c r="K26" s="20"/>
      <c r="L26" s="20"/>
      <c r="M26" s="20"/>
      <c r="N26" s="69" t="s">
        <v>256</v>
      </c>
      <c r="O26" s="70">
        <v>0</v>
      </c>
      <c r="P26" s="70">
        <v>0</v>
      </c>
      <c r="Q26" s="70">
        <f t="shared" si="0"/>
        <v>0</v>
      </c>
      <c r="R26" s="70"/>
      <c r="S26" s="67"/>
      <c r="T26" s="2" t="str">
        <f t="shared" si="1"/>
        <v>Nguyễn Huỳnh Thành Đạt_10AS1</v>
      </c>
      <c r="U26" s="28">
        <f t="array" ref="U26">IFERROR(VLOOKUP($T26,'Nghi hoc T12'!$H$7:$I$160,2,0),0)</f>
        <v>0</v>
      </c>
      <c r="V26" s="28">
        <f>IFERROR(VLOOKUP($T26,No_HP!$B$2:$C$514,2,0),0)</f>
        <v>0</v>
      </c>
      <c r="W26" s="28">
        <f t="shared" si="2"/>
        <v>0</v>
      </c>
      <c r="X26" s="333">
        <f t="shared" si="3"/>
        <v>0</v>
      </c>
      <c r="Y26" s="333">
        <f t="shared" si="4"/>
        <v>0</v>
      </c>
    </row>
    <row r="27" spans="1:25" s="2" customFormat="1" ht="20.100000000000001" customHeight="1">
      <c r="A27" s="82">
        <v>19</v>
      </c>
      <c r="B27" s="91" t="str">
        <f t="shared" si="5"/>
        <v>1A.S</v>
      </c>
      <c r="C27" s="83" t="s">
        <v>363</v>
      </c>
      <c r="D27" s="81" t="s">
        <v>508</v>
      </c>
      <c r="E27" s="48">
        <v>100019</v>
      </c>
      <c r="F27" s="30" t="s">
        <v>1123</v>
      </c>
      <c r="G27" s="29" t="s">
        <v>7</v>
      </c>
      <c r="H27" s="30" t="s">
        <v>127</v>
      </c>
      <c r="I27" s="78"/>
      <c r="J27" s="20"/>
      <c r="K27" s="20"/>
      <c r="L27" s="20"/>
      <c r="M27" s="20"/>
      <c r="N27" s="69" t="s">
        <v>256</v>
      </c>
      <c r="O27" s="70">
        <v>0</v>
      </c>
      <c r="P27" s="70">
        <v>0</v>
      </c>
      <c r="Q27" s="70">
        <f t="shared" si="0"/>
        <v>0</v>
      </c>
      <c r="R27" s="70"/>
      <c r="S27" s="67"/>
      <c r="T27" s="2" t="str">
        <f t="shared" si="1"/>
        <v>Phạm Tiến Đạt_10AS2</v>
      </c>
      <c r="U27" s="28">
        <f t="array" ref="U27">IFERROR(VLOOKUP($T27,'Nghi hoc T12'!$H$7:$I$160,2,0),0)</f>
        <v>0</v>
      </c>
      <c r="V27" s="28">
        <f>IFERROR(VLOOKUP($T27,No_HP!$B$2:$C$514,2,0),0)</f>
        <v>0</v>
      </c>
      <c r="W27" s="28">
        <f t="shared" si="2"/>
        <v>0</v>
      </c>
      <c r="X27" s="333">
        <f t="shared" si="3"/>
        <v>0</v>
      </c>
      <c r="Y27" s="333">
        <f t="shared" si="4"/>
        <v>0</v>
      </c>
    </row>
    <row r="28" spans="1:25" s="2" customFormat="1" ht="20.100000000000001" customHeight="1">
      <c r="A28" s="82">
        <v>20</v>
      </c>
      <c r="B28" s="91" t="str">
        <f t="shared" si="5"/>
        <v>1A.S</v>
      </c>
      <c r="C28" s="83" t="s">
        <v>363</v>
      </c>
      <c r="D28" s="81" t="s">
        <v>508</v>
      </c>
      <c r="E28" s="48">
        <v>100020</v>
      </c>
      <c r="F28" s="30" t="s">
        <v>350</v>
      </c>
      <c r="G28" s="29" t="s">
        <v>36</v>
      </c>
      <c r="H28" s="30" t="s">
        <v>1110</v>
      </c>
      <c r="I28" s="78"/>
      <c r="J28" s="20"/>
      <c r="K28" s="20"/>
      <c r="L28" s="20"/>
      <c r="M28" s="20"/>
      <c r="N28" s="69" t="s">
        <v>256</v>
      </c>
      <c r="O28" s="70">
        <v>0</v>
      </c>
      <c r="P28" s="70">
        <v>0</v>
      </c>
      <c r="Q28" s="70">
        <f t="shared" si="0"/>
        <v>0</v>
      </c>
      <c r="R28" s="70"/>
      <c r="S28" s="67"/>
      <c r="T28" s="2" t="str">
        <f t="shared" si="1"/>
        <v>Trần Công Đức_10AS1</v>
      </c>
      <c r="U28" s="28">
        <f t="array" ref="U28">IFERROR(VLOOKUP($T28,'Nghi hoc T12'!$H$7:$I$160,2,0),0)</f>
        <v>0</v>
      </c>
      <c r="V28" s="28">
        <f>IFERROR(VLOOKUP($T28,No_HP!$B$2:$C$514,2,0),0)</f>
        <v>0</v>
      </c>
      <c r="W28" s="28">
        <f t="shared" si="2"/>
        <v>0</v>
      </c>
      <c r="X28" s="333">
        <f t="shared" si="3"/>
        <v>0</v>
      </c>
      <c r="Y28" s="333">
        <f t="shared" si="4"/>
        <v>0</v>
      </c>
    </row>
    <row r="29" spans="1:25" s="2" customFormat="1" ht="20.100000000000001" customHeight="1">
      <c r="A29" s="82">
        <v>21</v>
      </c>
      <c r="B29" s="91" t="str">
        <f t="shared" si="5"/>
        <v>1A.S</v>
      </c>
      <c r="C29" s="83" t="s">
        <v>363</v>
      </c>
      <c r="D29" s="81" t="s">
        <v>508</v>
      </c>
      <c r="E29" s="48">
        <v>100021</v>
      </c>
      <c r="F29" s="30" t="s">
        <v>1124</v>
      </c>
      <c r="G29" s="29" t="s">
        <v>143</v>
      </c>
      <c r="H29" s="30" t="s">
        <v>1110</v>
      </c>
      <c r="I29" s="78"/>
      <c r="J29" s="20"/>
      <c r="K29" s="20"/>
      <c r="L29" s="20"/>
      <c r="M29" s="20"/>
      <c r="N29" s="69" t="s">
        <v>256</v>
      </c>
      <c r="O29" s="70">
        <v>0</v>
      </c>
      <c r="P29" s="70">
        <v>0</v>
      </c>
      <c r="Q29" s="70">
        <f t="shared" si="0"/>
        <v>0</v>
      </c>
      <c r="R29" s="70"/>
      <c r="S29" s="67"/>
      <c r="T29" s="2" t="str">
        <f t="shared" si="1"/>
        <v>Lê Nguyễn Ngọc Hà_10AS1</v>
      </c>
      <c r="U29" s="28">
        <f t="array" ref="U29">IFERROR(VLOOKUP($T29,'Nghi hoc T12'!$H$7:$I$160,2,0),0)</f>
        <v>0</v>
      </c>
      <c r="V29" s="28">
        <f>IFERROR(VLOOKUP($T29,No_HP!$B$2:$C$514,2,0),0)</f>
        <v>0</v>
      </c>
      <c r="W29" s="28">
        <f t="shared" si="2"/>
        <v>0</v>
      </c>
      <c r="X29" s="333">
        <f t="shared" si="3"/>
        <v>0</v>
      </c>
      <c r="Y29" s="333">
        <f t="shared" si="4"/>
        <v>0</v>
      </c>
    </row>
    <row r="30" spans="1:25" s="2" customFormat="1" ht="20.100000000000001" customHeight="1">
      <c r="A30" s="82">
        <v>22</v>
      </c>
      <c r="B30" s="91" t="str">
        <f t="shared" si="5"/>
        <v>1A.S</v>
      </c>
      <c r="C30" s="83" t="s">
        <v>363</v>
      </c>
      <c r="D30" s="81" t="s">
        <v>508</v>
      </c>
      <c r="E30" s="48">
        <v>100022</v>
      </c>
      <c r="F30" s="30" t="s">
        <v>151</v>
      </c>
      <c r="G30" s="29" t="s">
        <v>171</v>
      </c>
      <c r="H30" s="30" t="s">
        <v>127</v>
      </c>
      <c r="I30" s="78"/>
      <c r="J30" s="20"/>
      <c r="K30" s="20"/>
      <c r="L30" s="20"/>
      <c r="M30" s="20"/>
      <c r="N30" s="69" t="s">
        <v>256</v>
      </c>
      <c r="O30" s="70">
        <v>0</v>
      </c>
      <c r="P30" s="70">
        <v>0</v>
      </c>
      <c r="Q30" s="70">
        <f t="shared" si="0"/>
        <v>0</v>
      </c>
      <c r="R30" s="70"/>
      <c r="S30" s="67"/>
      <c r="T30" s="2" t="str">
        <f t="shared" si="1"/>
        <v>Nguyễn Hoàng Hải_10AS2</v>
      </c>
      <c r="U30" s="28">
        <f t="array" ref="U30">IFERROR(VLOOKUP($T30,'Nghi hoc T12'!$H$7:$I$160,2,0),0)</f>
        <v>0</v>
      </c>
      <c r="V30" s="28">
        <f>IFERROR(VLOOKUP($T30,No_HP!$B$2:$C$514,2,0),0)</f>
        <v>0</v>
      </c>
      <c r="W30" s="28">
        <f t="shared" si="2"/>
        <v>0</v>
      </c>
      <c r="X30" s="333">
        <f t="shared" si="3"/>
        <v>0</v>
      </c>
      <c r="Y30" s="333">
        <f t="shared" si="4"/>
        <v>0</v>
      </c>
    </row>
    <row r="31" spans="1:25" s="2" customFormat="1" ht="20.100000000000001" customHeight="1">
      <c r="A31" s="82">
        <v>23</v>
      </c>
      <c r="B31" s="91" t="str">
        <f t="shared" si="5"/>
        <v>1A.S</v>
      </c>
      <c r="C31" s="83" t="s">
        <v>363</v>
      </c>
      <c r="D31" s="81" t="s">
        <v>508</v>
      </c>
      <c r="E31" s="48">
        <v>100023</v>
      </c>
      <c r="F31" s="30" t="s">
        <v>1125</v>
      </c>
      <c r="G31" s="29" t="s">
        <v>84</v>
      </c>
      <c r="H31" s="30" t="s">
        <v>1110</v>
      </c>
      <c r="I31" s="78"/>
      <c r="J31" s="20"/>
      <c r="K31" s="20"/>
      <c r="L31" s="20"/>
      <c r="M31" s="20"/>
      <c r="N31" s="69" t="s">
        <v>256</v>
      </c>
      <c r="O31" s="70">
        <v>0</v>
      </c>
      <c r="P31" s="70">
        <v>0</v>
      </c>
      <c r="Q31" s="70">
        <f t="shared" si="0"/>
        <v>0</v>
      </c>
      <c r="R31" s="70"/>
      <c r="S31" s="67"/>
      <c r="T31" s="2" t="str">
        <f t="shared" si="1"/>
        <v>Lại Ngọc Gia Hân_10AS1</v>
      </c>
      <c r="U31" s="28">
        <f t="array" ref="U31">IFERROR(VLOOKUP($T31,'Nghi hoc T12'!$H$7:$I$160,2,0),0)</f>
        <v>0</v>
      </c>
      <c r="V31" s="28">
        <f>IFERROR(VLOOKUP($T31,No_HP!$B$2:$C$514,2,0),0)</f>
        <v>0</v>
      </c>
      <c r="W31" s="28">
        <f t="shared" si="2"/>
        <v>0</v>
      </c>
      <c r="X31" s="333">
        <f t="shared" si="3"/>
        <v>0</v>
      </c>
      <c r="Y31" s="333">
        <f t="shared" si="4"/>
        <v>0</v>
      </c>
    </row>
    <row r="32" spans="1:25" s="2" customFormat="1" ht="20.100000000000001" customHeight="1">
      <c r="A32" s="82">
        <v>24</v>
      </c>
      <c r="B32" s="91" t="str">
        <f t="shared" si="5"/>
        <v>1A.S</v>
      </c>
      <c r="C32" s="83" t="s">
        <v>363</v>
      </c>
      <c r="D32" s="81" t="s">
        <v>508</v>
      </c>
      <c r="E32" s="48">
        <v>100024</v>
      </c>
      <c r="F32" s="30" t="s">
        <v>246</v>
      </c>
      <c r="G32" s="29" t="s">
        <v>84</v>
      </c>
      <c r="H32" s="30" t="s">
        <v>127</v>
      </c>
      <c r="I32" s="78"/>
      <c r="J32" s="20"/>
      <c r="K32" s="20"/>
      <c r="L32" s="20"/>
      <c r="M32" s="20"/>
      <c r="N32" s="69" t="s">
        <v>256</v>
      </c>
      <c r="O32" s="70">
        <v>0</v>
      </c>
      <c r="P32" s="70">
        <v>0</v>
      </c>
      <c r="Q32" s="70">
        <f t="shared" si="0"/>
        <v>0</v>
      </c>
      <c r="R32" s="70"/>
      <c r="S32" s="67"/>
      <c r="T32" s="2" t="str">
        <f t="shared" si="1"/>
        <v>Nguyễn Thị Ngọc Hân_10AS2</v>
      </c>
      <c r="U32" s="28">
        <f t="array" ref="U32">IFERROR(VLOOKUP($T32,'Nghi hoc T12'!$H$7:$I$160,2,0),0)</f>
        <v>0</v>
      </c>
      <c r="V32" s="28">
        <f>IFERROR(VLOOKUP($T32,No_HP!$B$2:$C$514,2,0),0)</f>
        <v>0</v>
      </c>
      <c r="W32" s="28">
        <f t="shared" si="2"/>
        <v>0</v>
      </c>
      <c r="X32" s="333">
        <f t="shared" si="3"/>
        <v>0</v>
      </c>
      <c r="Y32" s="333">
        <f t="shared" si="4"/>
        <v>0</v>
      </c>
    </row>
    <row r="33" spans="1:25" s="2" customFormat="1" ht="20.100000000000001" customHeight="1">
      <c r="A33" s="200">
        <v>1</v>
      </c>
      <c r="B33" s="91" t="str">
        <f t="shared" si="5"/>
        <v>2A.S</v>
      </c>
      <c r="C33" s="185" t="s">
        <v>363</v>
      </c>
      <c r="D33" s="186" t="s">
        <v>509</v>
      </c>
      <c r="E33" s="187">
        <v>100025</v>
      </c>
      <c r="F33" s="188" t="s">
        <v>225</v>
      </c>
      <c r="G33" s="189" t="s">
        <v>9</v>
      </c>
      <c r="H33" s="188" t="s">
        <v>127</v>
      </c>
      <c r="I33" s="190"/>
      <c r="J33" s="191"/>
      <c r="K33" s="191"/>
      <c r="L33" s="191"/>
      <c r="M33" s="191"/>
      <c r="N33" s="69" t="s">
        <v>256</v>
      </c>
      <c r="O33" s="70">
        <v>0</v>
      </c>
      <c r="P33" s="70">
        <v>0</v>
      </c>
      <c r="Q33" s="70">
        <f t="shared" si="0"/>
        <v>0</v>
      </c>
      <c r="R33" s="70"/>
      <c r="S33" s="67"/>
      <c r="T33" s="2" t="str">
        <f t="shared" si="1"/>
        <v>Trần Ngọc Hiếu_10AS2</v>
      </c>
      <c r="U33" s="28">
        <f t="array" ref="U33">IFERROR(VLOOKUP($T33,'Nghi hoc T12'!$H$7:$I$160,2,0),0)</f>
        <v>0</v>
      </c>
      <c r="V33" s="28">
        <f>IFERROR(VLOOKUP($T33,No_HP!$B$2:$C$514,2,0),0)</f>
        <v>0</v>
      </c>
      <c r="W33" s="28">
        <f t="shared" si="2"/>
        <v>0</v>
      </c>
      <c r="X33" s="333">
        <f t="shared" si="3"/>
        <v>0</v>
      </c>
      <c r="Y33" s="333">
        <f t="shared" si="4"/>
        <v>0</v>
      </c>
    </row>
    <row r="34" spans="1:25" s="2" customFormat="1" ht="20.100000000000001" customHeight="1">
      <c r="A34" s="82">
        <v>2</v>
      </c>
      <c r="B34" s="91" t="str">
        <f t="shared" si="5"/>
        <v>2A.S</v>
      </c>
      <c r="C34" s="83" t="s">
        <v>363</v>
      </c>
      <c r="D34" s="81" t="s">
        <v>509</v>
      </c>
      <c r="E34" s="48">
        <v>100026</v>
      </c>
      <c r="F34" s="30" t="s">
        <v>168</v>
      </c>
      <c r="G34" s="29" t="s">
        <v>9</v>
      </c>
      <c r="H34" s="30" t="s">
        <v>1110</v>
      </c>
      <c r="I34" s="78"/>
      <c r="J34" s="20"/>
      <c r="K34" s="20"/>
      <c r="L34" s="20"/>
      <c r="M34" s="20"/>
      <c r="N34" s="69" t="s">
        <v>256</v>
      </c>
      <c r="O34" s="70">
        <v>0</v>
      </c>
      <c r="P34" s="70">
        <v>0</v>
      </c>
      <c r="Q34" s="70">
        <f t="shared" si="0"/>
        <v>0</v>
      </c>
      <c r="R34" s="70"/>
      <c r="S34" s="67"/>
      <c r="T34" s="2" t="str">
        <f t="shared" si="1"/>
        <v>Trần Quang Hiếu_10AS1</v>
      </c>
      <c r="U34" s="28">
        <f t="array" ref="U34">IFERROR(VLOOKUP($T34,'Nghi hoc T12'!$H$7:$I$160,2,0),0)</f>
        <v>0</v>
      </c>
      <c r="V34" s="28">
        <f>IFERROR(VLOOKUP($T34,No_HP!$B$2:$C$514,2,0),0)</f>
        <v>0</v>
      </c>
      <c r="W34" s="28">
        <f t="shared" si="2"/>
        <v>0</v>
      </c>
      <c r="X34" s="333">
        <f t="shared" si="3"/>
        <v>0</v>
      </c>
      <c r="Y34" s="333">
        <f t="shared" si="4"/>
        <v>0</v>
      </c>
    </row>
    <row r="35" spans="1:25" s="2" customFormat="1" ht="21.95" customHeight="1">
      <c r="A35" s="82">
        <v>3</v>
      </c>
      <c r="B35" s="91" t="str">
        <f t="shared" si="5"/>
        <v>2A.S</v>
      </c>
      <c r="C35" s="83" t="s">
        <v>363</v>
      </c>
      <c r="D35" s="81" t="s">
        <v>509</v>
      </c>
      <c r="E35" s="48">
        <v>100027</v>
      </c>
      <c r="F35" s="30" t="s">
        <v>1126</v>
      </c>
      <c r="G35" s="29" t="s">
        <v>9</v>
      </c>
      <c r="H35" s="30" t="s">
        <v>1110</v>
      </c>
      <c r="I35" s="78"/>
      <c r="J35" s="20"/>
      <c r="K35" s="20"/>
      <c r="L35" s="20"/>
      <c r="M35" s="20"/>
      <c r="N35" s="69" t="s">
        <v>256</v>
      </c>
      <c r="O35" s="70">
        <v>0</v>
      </c>
      <c r="P35" s="70">
        <v>0</v>
      </c>
      <c r="Q35" s="70">
        <f t="shared" si="0"/>
        <v>0</v>
      </c>
      <c r="R35" s="70"/>
      <c r="S35" s="67"/>
      <c r="T35" s="2" t="str">
        <f t="shared" si="1"/>
        <v>Vũ Nguyễn Trung Hiếu_10AS1</v>
      </c>
      <c r="U35" s="28">
        <f t="array" ref="U35">IFERROR(VLOOKUP($T35,'Nghi hoc T12'!$H$7:$I$160,2,0),0)</f>
        <v>0</v>
      </c>
      <c r="V35" s="28">
        <f>IFERROR(VLOOKUP($T35,No_HP!$B$2:$C$514,2,0),0)</f>
        <v>0</v>
      </c>
      <c r="W35" s="28">
        <f t="shared" si="2"/>
        <v>0</v>
      </c>
      <c r="X35" s="333">
        <f t="shared" si="3"/>
        <v>0</v>
      </c>
      <c r="Y35" s="333">
        <f t="shared" si="4"/>
        <v>0</v>
      </c>
    </row>
    <row r="36" spans="1:25" s="2" customFormat="1" ht="21.95" customHeight="1">
      <c r="A36" s="82">
        <v>4</v>
      </c>
      <c r="B36" s="91" t="str">
        <f t="shared" si="5"/>
        <v>2A.S</v>
      </c>
      <c r="C36" s="83" t="s">
        <v>363</v>
      </c>
      <c r="D36" s="81" t="s">
        <v>509</v>
      </c>
      <c r="E36" s="48">
        <v>100028</v>
      </c>
      <c r="F36" s="30" t="s">
        <v>1127</v>
      </c>
      <c r="G36" s="29" t="s">
        <v>1128</v>
      </c>
      <c r="H36" s="30" t="s">
        <v>127</v>
      </c>
      <c r="I36" s="78"/>
      <c r="J36" s="20"/>
      <c r="K36" s="20"/>
      <c r="L36" s="20"/>
      <c r="M36" s="20"/>
      <c r="N36" s="69" t="s">
        <v>256</v>
      </c>
      <c r="O36" s="70">
        <v>0</v>
      </c>
      <c r="P36" s="70">
        <v>0</v>
      </c>
      <c r="Q36" s="70">
        <f t="shared" si="0"/>
        <v>0</v>
      </c>
      <c r="R36" s="70"/>
      <c r="S36" s="67"/>
      <c r="T36" s="2" t="str">
        <f t="shared" si="1"/>
        <v>Nguyễn Ngô Thanh Hoa_10AS2</v>
      </c>
      <c r="U36" s="28">
        <f t="array" ref="U36">IFERROR(VLOOKUP($T36,'Nghi hoc T12'!$H$7:$I$160,2,0),0)</f>
        <v>0</v>
      </c>
      <c r="V36" s="28">
        <f>IFERROR(VLOOKUP($T36,No_HP!$B$2:$C$514,2,0),0)</f>
        <v>0</v>
      </c>
      <c r="W36" s="28">
        <f t="shared" si="2"/>
        <v>0</v>
      </c>
      <c r="X36" s="333">
        <f t="shared" si="3"/>
        <v>0</v>
      </c>
      <c r="Y36" s="333">
        <f t="shared" si="4"/>
        <v>0</v>
      </c>
    </row>
    <row r="37" spans="1:25" s="2" customFormat="1" ht="21.95" customHeight="1">
      <c r="A37" s="82">
        <v>5</v>
      </c>
      <c r="B37" s="91" t="str">
        <f t="shared" si="5"/>
        <v>2A.S</v>
      </c>
      <c r="C37" s="83" t="s">
        <v>363</v>
      </c>
      <c r="D37" s="81" t="s">
        <v>509</v>
      </c>
      <c r="E37" s="48">
        <v>100029</v>
      </c>
      <c r="F37" s="30" t="s">
        <v>341</v>
      </c>
      <c r="G37" s="29" t="s">
        <v>10</v>
      </c>
      <c r="H37" s="30" t="s">
        <v>127</v>
      </c>
      <c r="I37" s="78"/>
      <c r="J37" s="20"/>
      <c r="K37" s="20"/>
      <c r="L37" s="20"/>
      <c r="M37" s="20"/>
      <c r="N37" s="69" t="s">
        <v>256</v>
      </c>
      <c r="O37" s="70">
        <v>0</v>
      </c>
      <c r="P37" s="70">
        <v>0</v>
      </c>
      <c r="Q37" s="70">
        <f t="shared" si="0"/>
        <v>0</v>
      </c>
      <c r="R37" s="70"/>
      <c r="S37" s="67"/>
      <c r="T37" s="2" t="str">
        <f t="shared" si="1"/>
        <v>Hà Huy Hoàng_10AS2</v>
      </c>
      <c r="U37" s="28">
        <f t="array" ref="U37">IFERROR(VLOOKUP($T37,'Nghi hoc T12'!$H$7:$I$160,2,0),0)</f>
        <v>0</v>
      </c>
      <c r="V37" s="28">
        <f>IFERROR(VLOOKUP($T37,No_HP!$B$2:$C$514,2,0),0)</f>
        <v>0</v>
      </c>
      <c r="W37" s="28">
        <f t="shared" si="2"/>
        <v>0</v>
      </c>
      <c r="X37" s="333">
        <f t="shared" si="3"/>
        <v>0</v>
      </c>
      <c r="Y37" s="333">
        <f t="shared" si="4"/>
        <v>0</v>
      </c>
    </row>
    <row r="38" spans="1:25" s="2" customFormat="1" ht="21.95" customHeight="1">
      <c r="A38" s="82">
        <v>6</v>
      </c>
      <c r="B38" s="91" t="str">
        <f t="shared" si="5"/>
        <v>2A.S</v>
      </c>
      <c r="C38" s="83" t="s">
        <v>363</v>
      </c>
      <c r="D38" s="81" t="s">
        <v>509</v>
      </c>
      <c r="E38" s="48">
        <v>100030</v>
      </c>
      <c r="F38" s="30" t="s">
        <v>166</v>
      </c>
      <c r="G38" s="29" t="s">
        <v>10</v>
      </c>
      <c r="H38" s="30" t="s">
        <v>1110</v>
      </c>
      <c r="I38" s="78"/>
      <c r="J38" s="20"/>
      <c r="K38" s="20"/>
      <c r="L38" s="20"/>
      <c r="M38" s="20"/>
      <c r="N38" s="69" t="s">
        <v>256</v>
      </c>
      <c r="O38" s="70">
        <v>0</v>
      </c>
      <c r="P38" s="70">
        <v>0</v>
      </c>
      <c r="Q38" s="70">
        <f t="shared" si="0"/>
        <v>0</v>
      </c>
      <c r="R38" s="70"/>
      <c r="S38" s="67"/>
      <c r="T38" s="2" t="str">
        <f t="shared" si="1"/>
        <v>Nguyễn Gia Hoàng_10AS1</v>
      </c>
      <c r="U38" s="28">
        <f t="array" ref="U38">IFERROR(VLOOKUP($T38,'Nghi hoc T12'!$H$7:$I$160,2,0),0)</f>
        <v>0</v>
      </c>
      <c r="V38" s="28">
        <f>IFERROR(VLOOKUP($T38,No_HP!$B$2:$C$514,2,0),0)</f>
        <v>0</v>
      </c>
      <c r="W38" s="28">
        <f t="shared" si="2"/>
        <v>0</v>
      </c>
      <c r="X38" s="333">
        <f t="shared" si="3"/>
        <v>0</v>
      </c>
      <c r="Y38" s="333">
        <f t="shared" si="4"/>
        <v>0</v>
      </c>
    </row>
    <row r="39" spans="1:25" s="2" customFormat="1" ht="21.95" customHeight="1">
      <c r="A39" s="82">
        <v>7</v>
      </c>
      <c r="B39" s="91" t="str">
        <f t="shared" si="5"/>
        <v>2A.S</v>
      </c>
      <c r="C39" s="83" t="s">
        <v>363</v>
      </c>
      <c r="D39" s="81" t="s">
        <v>509</v>
      </c>
      <c r="E39" s="48">
        <v>100031</v>
      </c>
      <c r="F39" s="30" t="s">
        <v>1129</v>
      </c>
      <c r="G39" s="29" t="s">
        <v>10</v>
      </c>
      <c r="H39" s="30" t="s">
        <v>1110</v>
      </c>
      <c r="I39" s="78"/>
      <c r="J39" s="20"/>
      <c r="K39" s="20"/>
      <c r="L39" s="20"/>
      <c r="M39" s="20"/>
      <c r="N39" s="69" t="s">
        <v>256</v>
      </c>
      <c r="O39" s="70">
        <v>0</v>
      </c>
      <c r="P39" s="70">
        <v>0</v>
      </c>
      <c r="Q39" s="70">
        <f t="shared" si="0"/>
        <v>0</v>
      </c>
      <c r="R39" s="70"/>
      <c r="S39" s="67"/>
      <c r="T39" s="2" t="str">
        <f t="shared" si="1"/>
        <v>Trần Việt Hoàng_10AS1</v>
      </c>
      <c r="U39" s="28">
        <f t="array" ref="U39">IFERROR(VLOOKUP($T39,'Nghi hoc T12'!$H$7:$I$160,2,0),0)</f>
        <v>0</v>
      </c>
      <c r="V39" s="28">
        <f>IFERROR(VLOOKUP($T39,No_HP!$B$2:$C$514,2,0),0)</f>
        <v>0</v>
      </c>
      <c r="W39" s="28">
        <f t="shared" si="2"/>
        <v>0</v>
      </c>
      <c r="X39" s="333">
        <f t="shared" si="3"/>
        <v>0</v>
      </c>
      <c r="Y39" s="333">
        <f t="shared" si="4"/>
        <v>0</v>
      </c>
    </row>
    <row r="40" spans="1:25" s="2" customFormat="1" ht="21.95" customHeight="1">
      <c r="A40" s="82">
        <v>8</v>
      </c>
      <c r="B40" s="91" t="str">
        <f t="shared" si="5"/>
        <v>2A.S</v>
      </c>
      <c r="C40" s="83" t="s">
        <v>363</v>
      </c>
      <c r="D40" s="81" t="s">
        <v>509</v>
      </c>
      <c r="E40" s="48">
        <v>100032</v>
      </c>
      <c r="F40" s="30" t="s">
        <v>425</v>
      </c>
      <c r="G40" s="29" t="s">
        <v>10</v>
      </c>
      <c r="H40" s="30" t="s">
        <v>127</v>
      </c>
      <c r="I40" s="78"/>
      <c r="J40" s="20"/>
      <c r="K40" s="20"/>
      <c r="L40" s="20"/>
      <c r="M40" s="20"/>
      <c r="N40" s="69" t="s">
        <v>256</v>
      </c>
      <c r="O40" s="70">
        <v>0</v>
      </c>
      <c r="P40" s="70">
        <v>0</v>
      </c>
      <c r="Q40" s="70">
        <f t="shared" si="0"/>
        <v>0</v>
      </c>
      <c r="R40" s="70"/>
      <c r="S40" s="67"/>
      <c r="T40" s="2" t="str">
        <f t="shared" si="1"/>
        <v>Trương Minh Hoàng_10AS2</v>
      </c>
      <c r="U40" s="28">
        <f t="array" ref="U40">IFERROR(VLOOKUP($T40,'Nghi hoc T12'!$H$7:$I$160,2,0),0)</f>
        <v>0</v>
      </c>
      <c r="V40" s="28">
        <f>IFERROR(VLOOKUP($T40,No_HP!$B$2:$C$514,2,0),0)</f>
        <v>0</v>
      </c>
      <c r="W40" s="28">
        <f t="shared" si="2"/>
        <v>0</v>
      </c>
      <c r="X40" s="333">
        <f t="shared" si="3"/>
        <v>0</v>
      </c>
      <c r="Y40" s="333">
        <f t="shared" si="4"/>
        <v>0</v>
      </c>
    </row>
    <row r="41" spans="1:25" s="2" customFormat="1" ht="21.95" customHeight="1">
      <c r="A41" s="82">
        <v>9</v>
      </c>
      <c r="B41" s="91" t="str">
        <f t="shared" si="5"/>
        <v>2A.S</v>
      </c>
      <c r="C41" s="83" t="s">
        <v>363</v>
      </c>
      <c r="D41" s="81" t="s">
        <v>509</v>
      </c>
      <c r="E41" s="48">
        <v>100033</v>
      </c>
      <c r="F41" s="30" t="s">
        <v>277</v>
      </c>
      <c r="G41" s="29" t="s">
        <v>11</v>
      </c>
      <c r="H41" s="30" t="s">
        <v>1110</v>
      </c>
      <c r="I41" s="78"/>
      <c r="J41" s="20"/>
      <c r="K41" s="20"/>
      <c r="L41" s="20"/>
      <c r="M41" s="20"/>
      <c r="N41" s="69" t="s">
        <v>256</v>
      </c>
      <c r="O41" s="70">
        <v>0</v>
      </c>
      <c r="P41" s="70">
        <v>0</v>
      </c>
      <c r="Q41" s="70">
        <f t="shared" si="0"/>
        <v>0</v>
      </c>
      <c r="R41" s="70"/>
      <c r="S41" s="67"/>
      <c r="T41" s="2" t="str">
        <f t="shared" si="1"/>
        <v>Ngô Gia Huy_10AS1</v>
      </c>
      <c r="U41" s="28">
        <f t="array" ref="U41">IFERROR(VLOOKUP($T41,'Nghi hoc T12'!$H$7:$I$160,2,0),0)</f>
        <v>0</v>
      </c>
      <c r="V41" s="28">
        <f>IFERROR(VLOOKUP($T41,No_HP!$B$2:$C$514,2,0),0)</f>
        <v>0</v>
      </c>
      <c r="W41" s="28">
        <f t="shared" si="2"/>
        <v>0</v>
      </c>
      <c r="X41" s="333">
        <f t="shared" si="3"/>
        <v>0</v>
      </c>
      <c r="Y41" s="333">
        <f t="shared" si="4"/>
        <v>0</v>
      </c>
    </row>
    <row r="42" spans="1:25" s="2" customFormat="1" ht="21.95" customHeight="1">
      <c r="A42" s="82">
        <v>10</v>
      </c>
      <c r="B42" s="91" t="str">
        <f t="shared" si="5"/>
        <v>2A.S</v>
      </c>
      <c r="C42" s="83" t="s">
        <v>363</v>
      </c>
      <c r="D42" s="81" t="s">
        <v>509</v>
      </c>
      <c r="E42" s="48">
        <v>100034</v>
      </c>
      <c r="F42" s="30" t="s">
        <v>196</v>
      </c>
      <c r="G42" s="29" t="s">
        <v>11</v>
      </c>
      <c r="H42" s="30" t="s">
        <v>127</v>
      </c>
      <c r="I42" s="78"/>
      <c r="J42" s="20"/>
      <c r="K42" s="20"/>
      <c r="L42" s="20"/>
      <c r="M42" s="20"/>
      <c r="N42" s="69" t="s">
        <v>256</v>
      </c>
      <c r="O42" s="70">
        <v>0</v>
      </c>
      <c r="P42" s="70">
        <v>0</v>
      </c>
      <c r="Q42" s="70">
        <f t="shared" si="0"/>
        <v>0</v>
      </c>
      <c r="R42" s="70"/>
      <c r="S42" s="67"/>
      <c r="T42" s="2" t="str">
        <f t="shared" si="1"/>
        <v>Trần Gia Huy_10AS2</v>
      </c>
      <c r="U42" s="28">
        <f t="array" ref="U42">IFERROR(VLOOKUP($T42,'Nghi hoc T12'!$H$7:$I$160,2,0),0)</f>
        <v>0</v>
      </c>
      <c r="V42" s="28">
        <f>IFERROR(VLOOKUP($T42,No_HP!$B$2:$C$514,2,0),0)</f>
        <v>0</v>
      </c>
      <c r="W42" s="28">
        <f t="shared" si="2"/>
        <v>0</v>
      </c>
      <c r="X42" s="333">
        <f t="shared" si="3"/>
        <v>0</v>
      </c>
      <c r="Y42" s="333">
        <f t="shared" si="4"/>
        <v>0</v>
      </c>
    </row>
    <row r="43" spans="1:25" s="2" customFormat="1" ht="21.95" customHeight="1">
      <c r="A43" s="82">
        <v>11</v>
      </c>
      <c r="B43" s="91" t="str">
        <f t="shared" si="5"/>
        <v>2A.S</v>
      </c>
      <c r="C43" s="83" t="s">
        <v>363</v>
      </c>
      <c r="D43" s="81" t="s">
        <v>509</v>
      </c>
      <c r="E43" s="48">
        <v>100035</v>
      </c>
      <c r="F43" s="30" t="s">
        <v>1130</v>
      </c>
      <c r="G43" s="29" t="s">
        <v>67</v>
      </c>
      <c r="H43" s="30" t="s">
        <v>1110</v>
      </c>
      <c r="I43" s="78"/>
      <c r="J43" s="20"/>
      <c r="K43" s="20"/>
      <c r="L43" s="20"/>
      <c r="M43" s="20"/>
      <c r="N43" s="69" t="s">
        <v>256</v>
      </c>
      <c r="O43" s="70">
        <v>0</v>
      </c>
      <c r="P43" s="70">
        <v>0</v>
      </c>
      <c r="Q43" s="70">
        <f t="shared" si="0"/>
        <v>0</v>
      </c>
      <c r="R43" s="70"/>
      <c r="S43" s="67"/>
      <c r="T43" s="2" t="str">
        <f t="shared" si="1"/>
        <v>Trần Thị Thanh Huyền_10AS1</v>
      </c>
      <c r="U43" s="28">
        <f t="array" ref="U43">IFERROR(VLOOKUP($T43,'Nghi hoc T12'!$H$7:$I$160,2,0),0)</f>
        <v>0</v>
      </c>
      <c r="V43" s="28">
        <f>IFERROR(VLOOKUP($T43,No_HP!$B$2:$C$514,2,0),0)</f>
        <v>0</v>
      </c>
      <c r="W43" s="28">
        <f t="shared" si="2"/>
        <v>0</v>
      </c>
      <c r="X43" s="333">
        <f t="shared" si="3"/>
        <v>0</v>
      </c>
      <c r="Y43" s="333">
        <f t="shared" si="4"/>
        <v>0</v>
      </c>
    </row>
    <row r="44" spans="1:25" s="2" customFormat="1" ht="21.95" customHeight="1">
      <c r="A44" s="82">
        <v>12</v>
      </c>
      <c r="B44" s="91" t="str">
        <f t="shared" si="5"/>
        <v>2A.S</v>
      </c>
      <c r="C44" s="83" t="s">
        <v>363</v>
      </c>
      <c r="D44" s="81" t="s">
        <v>509</v>
      </c>
      <c r="E44" s="48">
        <v>100036</v>
      </c>
      <c r="F44" s="30" t="s">
        <v>208</v>
      </c>
      <c r="G44" s="29" t="s">
        <v>13</v>
      </c>
      <c r="H44" s="30" t="s">
        <v>127</v>
      </c>
      <c r="I44" s="78"/>
      <c r="J44" s="20"/>
      <c r="K44" s="20"/>
      <c r="L44" s="20"/>
      <c r="M44" s="20"/>
      <c r="N44" s="69" t="s">
        <v>256</v>
      </c>
      <c r="O44" s="70">
        <v>0</v>
      </c>
      <c r="P44" s="70">
        <v>0</v>
      </c>
      <c r="Q44" s="70">
        <f t="shared" si="0"/>
        <v>0</v>
      </c>
      <c r="R44" s="70"/>
      <c r="S44" s="67"/>
      <c r="T44" s="2" t="str">
        <f t="shared" si="1"/>
        <v>Nguyễn Đăng Khôi_10AS2</v>
      </c>
      <c r="U44" s="28">
        <f t="array" ref="U44">IFERROR(VLOOKUP($T44,'Nghi hoc T12'!$H$7:$I$160,2,0),0)</f>
        <v>0</v>
      </c>
      <c r="V44" s="28">
        <f>IFERROR(VLOOKUP($T44,No_HP!$B$2:$C$514,2,0),0)</f>
        <v>0</v>
      </c>
      <c r="W44" s="28">
        <f t="shared" si="2"/>
        <v>0</v>
      </c>
      <c r="X44" s="333">
        <f t="shared" si="3"/>
        <v>0</v>
      </c>
      <c r="Y44" s="333">
        <f t="shared" si="4"/>
        <v>0</v>
      </c>
    </row>
    <row r="45" spans="1:25" s="2" customFormat="1" ht="21.95" customHeight="1">
      <c r="A45" s="82">
        <v>13</v>
      </c>
      <c r="B45" s="91" t="str">
        <f t="shared" si="5"/>
        <v>2A.S</v>
      </c>
      <c r="C45" s="83" t="s">
        <v>363</v>
      </c>
      <c r="D45" s="81" t="s">
        <v>509</v>
      </c>
      <c r="E45" s="48">
        <v>100037</v>
      </c>
      <c r="F45" s="30" t="s">
        <v>1131</v>
      </c>
      <c r="G45" s="29" t="s">
        <v>13</v>
      </c>
      <c r="H45" s="30" t="s">
        <v>1110</v>
      </c>
      <c r="I45" s="78"/>
      <c r="J45" s="20"/>
      <c r="K45" s="20"/>
      <c r="L45" s="20"/>
      <c r="M45" s="20"/>
      <c r="N45" s="69" t="s">
        <v>256</v>
      </c>
      <c r="O45" s="70">
        <v>0</v>
      </c>
      <c r="P45" s="70">
        <v>0</v>
      </c>
      <c r="Q45" s="70">
        <f t="shared" si="0"/>
        <v>0</v>
      </c>
      <c r="R45" s="70"/>
      <c r="S45" s="67"/>
      <c r="T45" s="2" t="str">
        <f t="shared" si="1"/>
        <v>Trần Hoàng Bảo Khôi_10AS1</v>
      </c>
      <c r="U45" s="28">
        <f t="array" ref="U45">IFERROR(VLOOKUP($T45,'Nghi hoc T12'!$H$7:$I$160,2,0),0)</f>
        <v>0</v>
      </c>
      <c r="V45" s="28">
        <f>IFERROR(VLOOKUP($T45,No_HP!$B$2:$C$514,2,0),0)</f>
        <v>0</v>
      </c>
      <c r="W45" s="28">
        <f t="shared" si="2"/>
        <v>0</v>
      </c>
      <c r="X45" s="333">
        <f t="shared" si="3"/>
        <v>0</v>
      </c>
      <c r="Y45" s="333">
        <f t="shared" si="4"/>
        <v>0</v>
      </c>
    </row>
    <row r="46" spans="1:25" s="2" customFormat="1" ht="21.95" customHeight="1">
      <c r="A46" s="82">
        <v>14</v>
      </c>
      <c r="B46" s="91" t="str">
        <f t="shared" si="5"/>
        <v>2A.S</v>
      </c>
      <c r="C46" s="83" t="s">
        <v>363</v>
      </c>
      <c r="D46" s="81" t="s">
        <v>509</v>
      </c>
      <c r="E46" s="48">
        <v>100038</v>
      </c>
      <c r="F46" s="30" t="s">
        <v>335</v>
      </c>
      <c r="G46" s="29" t="s">
        <v>1132</v>
      </c>
      <c r="H46" s="30" t="s">
        <v>127</v>
      </c>
      <c r="I46" s="78"/>
      <c r="J46" s="20"/>
      <c r="K46" s="20"/>
      <c r="L46" s="20"/>
      <c r="M46" s="20"/>
      <c r="N46" s="69" t="s">
        <v>256</v>
      </c>
      <c r="O46" s="70">
        <v>0</v>
      </c>
      <c r="P46" s="70">
        <v>0</v>
      </c>
      <c r="Q46" s="70">
        <f t="shared" si="0"/>
        <v>0</v>
      </c>
      <c r="R46" s="70"/>
      <c r="S46" s="67"/>
      <c r="T46" s="2" t="str">
        <f t="shared" si="1"/>
        <v>Phạm Đình Kiên_10AS2</v>
      </c>
      <c r="U46" s="28">
        <f t="array" ref="U46">IFERROR(VLOOKUP($T46,'Nghi hoc T12'!$H$7:$I$160,2,0),0)</f>
        <v>0</v>
      </c>
      <c r="V46" s="28">
        <f>IFERROR(VLOOKUP($T46,No_HP!$B$2:$C$514,2,0),0)</f>
        <v>0</v>
      </c>
      <c r="W46" s="28">
        <f t="shared" si="2"/>
        <v>0</v>
      </c>
      <c r="X46" s="333">
        <f t="shared" si="3"/>
        <v>0</v>
      </c>
      <c r="Y46" s="333">
        <f t="shared" si="4"/>
        <v>0</v>
      </c>
    </row>
    <row r="47" spans="1:25" s="2" customFormat="1" ht="21.95" customHeight="1">
      <c r="A47" s="82">
        <v>15</v>
      </c>
      <c r="B47" s="91" t="str">
        <f t="shared" si="5"/>
        <v>2A.S</v>
      </c>
      <c r="C47" s="83" t="s">
        <v>363</v>
      </c>
      <c r="D47" s="81" t="s">
        <v>509</v>
      </c>
      <c r="E47" s="48">
        <v>100039</v>
      </c>
      <c r="F47" s="30" t="s">
        <v>1133</v>
      </c>
      <c r="G47" s="29" t="s">
        <v>38</v>
      </c>
      <c r="H47" s="30" t="s">
        <v>127</v>
      </c>
      <c r="I47" s="78"/>
      <c r="J47" s="20"/>
      <c r="K47" s="20"/>
      <c r="L47" s="20"/>
      <c r="M47" s="20"/>
      <c r="N47" s="69" t="s">
        <v>256</v>
      </c>
      <c r="O47" s="70">
        <v>0</v>
      </c>
      <c r="P47" s="70">
        <v>0</v>
      </c>
      <c r="Q47" s="70">
        <f t="shared" si="0"/>
        <v>0</v>
      </c>
      <c r="R47" s="70"/>
      <c r="S47" s="67"/>
      <c r="T47" s="2" t="str">
        <f t="shared" si="1"/>
        <v>Đào Thị Khánh Linh_10AS2</v>
      </c>
      <c r="U47" s="28">
        <f t="array" ref="U47">IFERROR(VLOOKUP($T47,'Nghi hoc T12'!$H$7:$I$160,2,0),0)</f>
        <v>0</v>
      </c>
      <c r="V47" s="28">
        <f>IFERROR(VLOOKUP($T47,No_HP!$B$2:$C$514,2,0),0)</f>
        <v>0</v>
      </c>
      <c r="W47" s="28">
        <f t="shared" si="2"/>
        <v>0</v>
      </c>
      <c r="X47" s="333">
        <f t="shared" si="3"/>
        <v>0</v>
      </c>
      <c r="Y47" s="333">
        <f t="shared" si="4"/>
        <v>0</v>
      </c>
    </row>
    <row r="48" spans="1:25" s="2" customFormat="1" ht="21.95" customHeight="1">
      <c r="A48" s="82">
        <v>16</v>
      </c>
      <c r="B48" s="91" t="str">
        <f t="shared" si="5"/>
        <v>2A.S</v>
      </c>
      <c r="C48" s="83" t="s">
        <v>363</v>
      </c>
      <c r="D48" s="81" t="s">
        <v>509</v>
      </c>
      <c r="E48" s="48">
        <v>100040</v>
      </c>
      <c r="F48" s="30" t="s">
        <v>1134</v>
      </c>
      <c r="G48" s="29" t="s">
        <v>38</v>
      </c>
      <c r="H48" s="30" t="s">
        <v>1110</v>
      </c>
      <c r="I48" s="78"/>
      <c r="J48" s="20"/>
      <c r="K48" s="20"/>
      <c r="L48" s="20"/>
      <c r="M48" s="20"/>
      <c r="N48" s="69" t="s">
        <v>256</v>
      </c>
      <c r="O48" s="70">
        <v>0</v>
      </c>
      <c r="P48" s="70">
        <v>0</v>
      </c>
      <c r="Q48" s="70">
        <f t="shared" si="0"/>
        <v>0</v>
      </c>
      <c r="R48" s="70"/>
      <c r="S48" s="67"/>
      <c r="T48" s="2" t="str">
        <f t="shared" si="1"/>
        <v>Nguyễn Thùy Linh_10AS1</v>
      </c>
      <c r="U48" s="28">
        <f t="array" ref="U48">IFERROR(VLOOKUP($T48,'Nghi hoc T12'!$H$7:$I$160,2,0),0)</f>
        <v>0</v>
      </c>
      <c r="V48" s="28">
        <f>IFERROR(VLOOKUP($T48,No_HP!$B$2:$C$514,2,0),0)</f>
        <v>0</v>
      </c>
      <c r="W48" s="28">
        <f t="shared" si="2"/>
        <v>0</v>
      </c>
      <c r="X48" s="333">
        <f t="shared" si="3"/>
        <v>0</v>
      </c>
      <c r="Y48" s="333">
        <f t="shared" si="4"/>
        <v>0</v>
      </c>
    </row>
    <row r="49" spans="1:25" s="2" customFormat="1" ht="21.95" customHeight="1">
      <c r="A49" s="82">
        <v>17</v>
      </c>
      <c r="B49" s="91" t="str">
        <f t="shared" si="5"/>
        <v>2A.S</v>
      </c>
      <c r="C49" s="83" t="s">
        <v>363</v>
      </c>
      <c r="D49" s="81" t="s">
        <v>509</v>
      </c>
      <c r="E49" s="48">
        <v>100041</v>
      </c>
      <c r="F49" s="30" t="s">
        <v>1135</v>
      </c>
      <c r="G49" s="29" t="s">
        <v>14</v>
      </c>
      <c r="H49" s="30" t="s">
        <v>1110</v>
      </c>
      <c r="I49" s="78"/>
      <c r="J49" s="20"/>
      <c r="K49" s="20"/>
      <c r="L49" s="20"/>
      <c r="M49" s="20"/>
      <c r="N49" s="69" t="s">
        <v>256</v>
      </c>
      <c r="O49" s="70">
        <v>0</v>
      </c>
      <c r="P49" s="70">
        <v>0</v>
      </c>
      <c r="Q49" s="70">
        <f t="shared" si="0"/>
        <v>0</v>
      </c>
      <c r="R49" s="70"/>
      <c r="S49" s="67"/>
      <c r="T49" s="2" t="str">
        <f t="shared" si="1"/>
        <v>Bùi Xuân Long_10AS1</v>
      </c>
      <c r="U49" s="28">
        <f t="array" ref="U49">IFERROR(VLOOKUP($T49,'Nghi hoc T12'!$H$7:$I$160,2,0),0)</f>
        <v>0</v>
      </c>
      <c r="V49" s="28">
        <f>IFERROR(VLOOKUP($T49,No_HP!$B$2:$C$514,2,0),0)</f>
        <v>0</v>
      </c>
      <c r="W49" s="28">
        <f t="shared" si="2"/>
        <v>0</v>
      </c>
      <c r="X49" s="333">
        <f t="shared" si="3"/>
        <v>0</v>
      </c>
      <c r="Y49" s="333">
        <f t="shared" si="4"/>
        <v>0</v>
      </c>
    </row>
    <row r="50" spans="1:25" s="2" customFormat="1" ht="21.95" customHeight="1">
      <c r="A50" s="82">
        <v>18</v>
      </c>
      <c r="B50" s="91" t="str">
        <f t="shared" si="5"/>
        <v>2A.S</v>
      </c>
      <c r="C50" s="83" t="s">
        <v>363</v>
      </c>
      <c r="D50" s="81" t="s">
        <v>509</v>
      </c>
      <c r="E50" s="48">
        <v>100042</v>
      </c>
      <c r="F50" s="30" t="s">
        <v>160</v>
      </c>
      <c r="G50" s="29" t="s">
        <v>152</v>
      </c>
      <c r="H50" s="30" t="s">
        <v>127</v>
      </c>
      <c r="I50" s="78"/>
      <c r="J50" s="20"/>
      <c r="K50" s="20"/>
      <c r="L50" s="20"/>
      <c r="M50" s="20"/>
      <c r="N50" s="69" t="s">
        <v>256</v>
      </c>
      <c r="O50" s="70">
        <v>0</v>
      </c>
      <c r="P50" s="70">
        <v>0</v>
      </c>
      <c r="Q50" s="70">
        <f t="shared" si="0"/>
        <v>0</v>
      </c>
      <c r="R50" s="70"/>
      <c r="S50" s="67"/>
      <c r="T50" s="2" t="str">
        <f t="shared" si="1"/>
        <v>Nguyễn Thành Lộc_10AS2</v>
      </c>
      <c r="U50" s="28">
        <f t="array" ref="U50">IFERROR(VLOOKUP($T50,'Nghi hoc T12'!$H$7:$I$160,2,0),0)</f>
        <v>0</v>
      </c>
      <c r="V50" s="28">
        <f>IFERROR(VLOOKUP($T50,No_HP!$B$2:$C$514,2,0),0)</f>
        <v>0</v>
      </c>
      <c r="W50" s="28">
        <f t="shared" si="2"/>
        <v>0</v>
      </c>
      <c r="X50" s="333">
        <f t="shared" si="3"/>
        <v>0</v>
      </c>
      <c r="Y50" s="333">
        <f t="shared" si="4"/>
        <v>0</v>
      </c>
    </row>
    <row r="51" spans="1:25" s="2" customFormat="1" ht="21.95" customHeight="1">
      <c r="A51" s="82">
        <v>19</v>
      </c>
      <c r="B51" s="91" t="str">
        <f t="shared" si="5"/>
        <v>2A.S</v>
      </c>
      <c r="C51" s="83" t="s">
        <v>363</v>
      </c>
      <c r="D51" s="81" t="s">
        <v>509</v>
      </c>
      <c r="E51" s="48">
        <v>100043</v>
      </c>
      <c r="F51" s="30" t="s">
        <v>226</v>
      </c>
      <c r="G51" s="29" t="s">
        <v>15</v>
      </c>
      <c r="H51" s="30" t="s">
        <v>127</v>
      </c>
      <c r="I51" s="78"/>
      <c r="J51" s="20"/>
      <c r="K51" s="20"/>
      <c r="L51" s="20"/>
      <c r="M51" s="20"/>
      <c r="N51" s="69" t="s">
        <v>256</v>
      </c>
      <c r="O51" s="70">
        <v>0</v>
      </c>
      <c r="P51" s="70">
        <v>0</v>
      </c>
      <c r="Q51" s="70">
        <f t="shared" si="0"/>
        <v>0</v>
      </c>
      <c r="R51" s="70"/>
      <c r="S51" s="67"/>
      <c r="T51" s="2" t="str">
        <f t="shared" si="1"/>
        <v>Nguyễn Thị Thanh Mai_10AS2</v>
      </c>
      <c r="U51" s="28">
        <f t="array" ref="U51">IFERROR(VLOOKUP($T51,'Nghi hoc T12'!$H$7:$I$160,2,0),0)</f>
        <v>0</v>
      </c>
      <c r="V51" s="28">
        <f>IFERROR(VLOOKUP($T51,No_HP!$B$2:$C$514,2,0),0)</f>
        <v>0</v>
      </c>
      <c r="W51" s="28">
        <f t="shared" si="2"/>
        <v>0</v>
      </c>
      <c r="X51" s="333">
        <f t="shared" si="3"/>
        <v>0</v>
      </c>
      <c r="Y51" s="333">
        <f t="shared" si="4"/>
        <v>0</v>
      </c>
    </row>
    <row r="52" spans="1:25" s="2" customFormat="1" ht="21.95" customHeight="1">
      <c r="A52" s="82">
        <v>20</v>
      </c>
      <c r="B52" s="91" t="str">
        <f t="shared" si="5"/>
        <v>2A.S</v>
      </c>
      <c r="C52" s="83" t="s">
        <v>363</v>
      </c>
      <c r="D52" s="81" t="s">
        <v>509</v>
      </c>
      <c r="E52" s="48">
        <v>100044</v>
      </c>
      <c r="F52" s="30" t="s">
        <v>1136</v>
      </c>
      <c r="G52" s="29" t="s">
        <v>16</v>
      </c>
      <c r="H52" s="30" t="s">
        <v>127</v>
      </c>
      <c r="I52" s="78"/>
      <c r="J52" s="20"/>
      <c r="K52" s="20"/>
      <c r="L52" s="20"/>
      <c r="M52" s="20"/>
      <c r="N52" s="69" t="s">
        <v>256</v>
      </c>
      <c r="O52" s="70">
        <v>0</v>
      </c>
      <c r="P52" s="70">
        <v>0</v>
      </c>
      <c r="Q52" s="70">
        <f t="shared" si="0"/>
        <v>0</v>
      </c>
      <c r="R52" s="70"/>
      <c r="S52" s="67"/>
      <c r="T52" s="2" t="str">
        <f t="shared" si="1"/>
        <v>Dương Trọng Tuấn Minh_10AS2</v>
      </c>
      <c r="U52" s="28">
        <f t="array" ref="U52">IFERROR(VLOOKUP($T52,'Nghi hoc T12'!$H$7:$I$160,2,0),0)</f>
        <v>0</v>
      </c>
      <c r="V52" s="28">
        <f>IFERROR(VLOOKUP($T52,No_HP!$B$2:$C$514,2,0),0)</f>
        <v>0</v>
      </c>
      <c r="W52" s="28">
        <f t="shared" si="2"/>
        <v>0</v>
      </c>
      <c r="X52" s="333">
        <f t="shared" si="3"/>
        <v>0</v>
      </c>
      <c r="Y52" s="333">
        <f t="shared" si="4"/>
        <v>0</v>
      </c>
    </row>
    <row r="53" spans="1:25" s="2" customFormat="1" ht="21.95" customHeight="1">
      <c r="A53" s="82">
        <v>21</v>
      </c>
      <c r="B53" s="91" t="str">
        <f t="shared" si="5"/>
        <v>2A.S</v>
      </c>
      <c r="C53" s="83" t="s">
        <v>363</v>
      </c>
      <c r="D53" s="81" t="s">
        <v>509</v>
      </c>
      <c r="E53" s="48">
        <v>100045</v>
      </c>
      <c r="F53" s="30" t="s">
        <v>447</v>
      </c>
      <c r="G53" s="29" t="s">
        <v>16</v>
      </c>
      <c r="H53" s="30" t="s">
        <v>1110</v>
      </c>
      <c r="I53" s="78"/>
      <c r="J53" s="20"/>
      <c r="K53" s="20"/>
      <c r="L53" s="20"/>
      <c r="M53" s="20"/>
      <c r="N53" s="69" t="s">
        <v>256</v>
      </c>
      <c r="O53" s="70">
        <v>0</v>
      </c>
      <c r="P53" s="70">
        <v>0</v>
      </c>
      <c r="Q53" s="70">
        <f t="shared" si="0"/>
        <v>0</v>
      </c>
      <c r="R53" s="70"/>
      <c r="S53" s="67"/>
      <c r="T53" s="2" t="str">
        <f t="shared" si="1"/>
        <v>Nguyễn Hoàng Duy Minh_10AS1</v>
      </c>
      <c r="U53" s="28">
        <f t="array" ref="U53">IFERROR(VLOOKUP($T53,'Nghi hoc T12'!$H$7:$I$160,2,0),0)</f>
        <v>0</v>
      </c>
      <c r="V53" s="28">
        <f>IFERROR(VLOOKUP($T53,No_HP!$B$2:$C$514,2,0),0)</f>
        <v>0</v>
      </c>
      <c r="W53" s="28">
        <f t="shared" si="2"/>
        <v>0</v>
      </c>
      <c r="X53" s="333">
        <f t="shared" si="3"/>
        <v>0</v>
      </c>
      <c r="Y53" s="333">
        <f t="shared" si="4"/>
        <v>0</v>
      </c>
    </row>
    <row r="54" spans="1:25" s="2" customFormat="1" ht="21.95" customHeight="1">
      <c r="A54" s="82">
        <v>22</v>
      </c>
      <c r="B54" s="91" t="str">
        <f t="shared" si="5"/>
        <v>2A.S</v>
      </c>
      <c r="C54" s="83" t="s">
        <v>363</v>
      </c>
      <c r="D54" s="81" t="s">
        <v>509</v>
      </c>
      <c r="E54" s="48">
        <v>100046</v>
      </c>
      <c r="F54" s="30" t="s">
        <v>1137</v>
      </c>
      <c r="G54" s="29" t="s">
        <v>40</v>
      </c>
      <c r="H54" s="30" t="s">
        <v>1110</v>
      </c>
      <c r="I54" s="78"/>
      <c r="J54" s="20"/>
      <c r="K54" s="20"/>
      <c r="L54" s="20"/>
      <c r="M54" s="20"/>
      <c r="N54" s="69" t="s">
        <v>256</v>
      </c>
      <c r="O54" s="70">
        <v>0</v>
      </c>
      <c r="P54" s="70">
        <v>0</v>
      </c>
      <c r="Q54" s="70">
        <f t="shared" si="0"/>
        <v>0</v>
      </c>
      <c r="R54" s="70"/>
      <c r="S54" s="67"/>
      <c r="T54" s="2" t="str">
        <f t="shared" si="1"/>
        <v>Nguyễn Thị Trà My_10AS1</v>
      </c>
      <c r="U54" s="28">
        <f t="array" ref="U54">IFERROR(VLOOKUP($T54,'Nghi hoc T12'!$H$7:$I$160,2,0),0)</f>
        <v>0</v>
      </c>
      <c r="V54" s="28">
        <f>IFERROR(VLOOKUP($T54,No_HP!$B$2:$C$514,2,0),0)</f>
        <v>0</v>
      </c>
      <c r="W54" s="28">
        <f t="shared" si="2"/>
        <v>0</v>
      </c>
      <c r="X54" s="333">
        <f t="shared" si="3"/>
        <v>0</v>
      </c>
      <c r="Y54" s="333">
        <f t="shared" si="4"/>
        <v>0</v>
      </c>
    </row>
    <row r="55" spans="1:25" s="2" customFormat="1" ht="21.95" customHeight="1">
      <c r="A55" s="82">
        <v>23</v>
      </c>
      <c r="B55" s="91" t="str">
        <f t="shared" si="5"/>
        <v>2A.S</v>
      </c>
      <c r="C55" s="83" t="s">
        <v>363</v>
      </c>
      <c r="D55" s="81" t="s">
        <v>509</v>
      </c>
      <c r="E55" s="48">
        <v>100047</v>
      </c>
      <c r="F55" s="30" t="s">
        <v>317</v>
      </c>
      <c r="G55" s="29" t="s">
        <v>17</v>
      </c>
      <c r="H55" s="30" t="s">
        <v>127</v>
      </c>
      <c r="I55" s="78"/>
      <c r="J55" s="20"/>
      <c r="K55" s="20"/>
      <c r="L55" s="20"/>
      <c r="M55" s="20"/>
      <c r="N55" s="69" t="s">
        <v>256</v>
      </c>
      <c r="O55" s="70">
        <v>0</v>
      </c>
      <c r="P55" s="70">
        <v>0</v>
      </c>
      <c r="Q55" s="70">
        <f t="shared" si="0"/>
        <v>0</v>
      </c>
      <c r="R55" s="70"/>
      <c r="S55" s="67"/>
      <c r="T55" s="2" t="str">
        <f t="shared" si="1"/>
        <v>Cao Thanh Nam_10AS2</v>
      </c>
      <c r="U55" s="28">
        <f t="array" ref="U55">IFERROR(VLOOKUP($T55,'Nghi hoc T12'!$H$7:$I$160,2,0),0)</f>
        <v>0</v>
      </c>
      <c r="V55" s="28">
        <f>IFERROR(VLOOKUP($T55,No_HP!$B$2:$C$514,2,0),0)</f>
        <v>0</v>
      </c>
      <c r="W55" s="28">
        <f t="shared" si="2"/>
        <v>0</v>
      </c>
      <c r="X55" s="333">
        <f t="shared" si="3"/>
        <v>0</v>
      </c>
      <c r="Y55" s="333">
        <f t="shared" si="4"/>
        <v>0</v>
      </c>
    </row>
    <row r="56" spans="1:25" s="2" customFormat="1" ht="21.95" customHeight="1">
      <c r="A56" s="200">
        <v>1</v>
      </c>
      <c r="B56" s="91" t="str">
        <f t="shared" si="5"/>
        <v>3A.S</v>
      </c>
      <c r="C56" s="185" t="s">
        <v>363</v>
      </c>
      <c r="D56" s="186" t="s">
        <v>510</v>
      </c>
      <c r="E56" s="187">
        <v>100048</v>
      </c>
      <c r="F56" s="188" t="s">
        <v>1138</v>
      </c>
      <c r="G56" s="189" t="s">
        <v>17</v>
      </c>
      <c r="H56" s="188" t="s">
        <v>127</v>
      </c>
      <c r="I56" s="190"/>
      <c r="J56" s="191"/>
      <c r="K56" s="191"/>
      <c r="L56" s="191"/>
      <c r="M56" s="191"/>
      <c r="N56" s="69" t="s">
        <v>256</v>
      </c>
      <c r="O56" s="70">
        <v>0</v>
      </c>
      <c r="P56" s="70">
        <v>0</v>
      </c>
      <c r="Q56" s="70">
        <f t="shared" si="0"/>
        <v>0</v>
      </c>
      <c r="R56" s="70"/>
      <c r="S56" s="67"/>
      <c r="T56" s="2" t="str">
        <f t="shared" si="1"/>
        <v>Kiều Trần Vân Nam_10AS2</v>
      </c>
      <c r="U56" s="28">
        <f t="array" ref="U56">IFERROR(VLOOKUP($T56,'Nghi hoc T12'!$H$7:$I$160,2,0),0)</f>
        <v>0</v>
      </c>
      <c r="V56" s="28">
        <f>IFERROR(VLOOKUP($T56,No_HP!$B$2:$C$514,2,0),0)</f>
        <v>0</v>
      </c>
      <c r="W56" s="28">
        <f t="shared" si="2"/>
        <v>0</v>
      </c>
      <c r="X56" s="333">
        <f t="shared" si="3"/>
        <v>0</v>
      </c>
      <c r="Y56" s="333">
        <f t="shared" si="4"/>
        <v>0</v>
      </c>
    </row>
    <row r="57" spans="1:25" s="2" customFormat="1" ht="21.95" customHeight="1">
      <c r="A57" s="82">
        <v>2</v>
      </c>
      <c r="B57" s="91" t="str">
        <f t="shared" si="5"/>
        <v>3A.S</v>
      </c>
      <c r="C57" s="83" t="s">
        <v>363</v>
      </c>
      <c r="D57" s="81" t="s">
        <v>510</v>
      </c>
      <c r="E57" s="48">
        <v>100049</v>
      </c>
      <c r="F57" s="30" t="s">
        <v>1139</v>
      </c>
      <c r="G57" s="29" t="s">
        <v>17</v>
      </c>
      <c r="H57" s="30" t="s">
        <v>1110</v>
      </c>
      <c r="I57" s="78"/>
      <c r="J57" s="20"/>
      <c r="K57" s="20"/>
      <c r="L57" s="20"/>
      <c r="M57" s="20"/>
      <c r="N57" s="69" t="s">
        <v>256</v>
      </c>
      <c r="O57" s="70">
        <v>0</v>
      </c>
      <c r="P57" s="70">
        <v>0</v>
      </c>
      <c r="Q57" s="70">
        <f t="shared" si="0"/>
        <v>0</v>
      </c>
      <c r="R57" s="70"/>
      <c r="S57" s="67"/>
      <c r="T57" s="2" t="str">
        <f t="shared" si="1"/>
        <v>Trần Bảo Nam_10AS1</v>
      </c>
      <c r="U57" s="28">
        <f t="array" ref="U57">IFERROR(VLOOKUP($T57,'Nghi hoc T12'!$H$7:$I$160,2,0),0)</f>
        <v>0</v>
      </c>
      <c r="V57" s="28">
        <f>IFERROR(VLOOKUP($T57,No_HP!$B$2:$C$514,2,0),0)</f>
        <v>0</v>
      </c>
      <c r="W57" s="28">
        <f t="shared" si="2"/>
        <v>0</v>
      </c>
      <c r="X57" s="333">
        <f t="shared" si="3"/>
        <v>0</v>
      </c>
      <c r="Y57" s="333">
        <f t="shared" si="4"/>
        <v>0</v>
      </c>
    </row>
    <row r="58" spans="1:25" s="2" customFormat="1" ht="21.95" customHeight="1">
      <c r="A58" s="82">
        <v>3</v>
      </c>
      <c r="B58" s="91" t="str">
        <f t="shared" si="5"/>
        <v>3A.S</v>
      </c>
      <c r="C58" s="83" t="s">
        <v>363</v>
      </c>
      <c r="D58" s="81" t="s">
        <v>510</v>
      </c>
      <c r="E58" s="48">
        <v>100050</v>
      </c>
      <c r="F58" s="30" t="s">
        <v>1140</v>
      </c>
      <c r="G58" s="29" t="s">
        <v>18</v>
      </c>
      <c r="H58" s="30" t="s">
        <v>127</v>
      </c>
      <c r="I58" s="78"/>
      <c r="J58" s="20"/>
      <c r="K58" s="20"/>
      <c r="L58" s="20"/>
      <c r="M58" s="20"/>
      <c r="N58" s="69" t="s">
        <v>256</v>
      </c>
      <c r="O58" s="70">
        <v>0</v>
      </c>
      <c r="P58" s="70">
        <v>0</v>
      </c>
      <c r="Q58" s="70">
        <f t="shared" si="0"/>
        <v>0</v>
      </c>
      <c r="R58" s="70"/>
      <c r="S58" s="67"/>
      <c r="T58" s="2" t="str">
        <f t="shared" si="1"/>
        <v>Phạm Thị Kim Ngân_10AS2</v>
      </c>
      <c r="U58" s="28">
        <f t="array" ref="U58">IFERROR(VLOOKUP($T58,'Nghi hoc T12'!$H$7:$I$160,2,0),0)</f>
        <v>0</v>
      </c>
      <c r="V58" s="28">
        <f>IFERROR(VLOOKUP($T58,No_HP!$B$2:$C$514,2,0),0)</f>
        <v>0</v>
      </c>
      <c r="W58" s="28">
        <f t="shared" si="2"/>
        <v>0</v>
      </c>
      <c r="X58" s="333">
        <f t="shared" si="3"/>
        <v>0</v>
      </c>
      <c r="Y58" s="333">
        <f t="shared" si="4"/>
        <v>0</v>
      </c>
    </row>
    <row r="59" spans="1:25" s="2" customFormat="1" ht="21.95" customHeight="1">
      <c r="A59" s="82">
        <v>4</v>
      </c>
      <c r="B59" s="91" t="str">
        <f t="shared" si="5"/>
        <v>3A.S</v>
      </c>
      <c r="C59" s="83" t="s">
        <v>363</v>
      </c>
      <c r="D59" s="81" t="s">
        <v>510</v>
      </c>
      <c r="E59" s="48">
        <v>100051</v>
      </c>
      <c r="F59" s="30" t="s">
        <v>168</v>
      </c>
      <c r="G59" s="29" t="s">
        <v>254</v>
      </c>
      <c r="H59" s="30" t="s">
        <v>1110</v>
      </c>
      <c r="I59" s="78"/>
      <c r="J59" s="20"/>
      <c r="K59" s="20"/>
      <c r="L59" s="20"/>
      <c r="M59" s="20"/>
      <c r="N59" s="69" t="s">
        <v>256</v>
      </c>
      <c r="O59" s="70">
        <v>0</v>
      </c>
      <c r="P59" s="70">
        <v>0</v>
      </c>
      <c r="Q59" s="70">
        <f t="shared" si="0"/>
        <v>0</v>
      </c>
      <c r="R59" s="70"/>
      <c r="S59" s="67"/>
      <c r="T59" s="2" t="str">
        <f t="shared" si="1"/>
        <v>Trần Quang Nhật_10AS1</v>
      </c>
      <c r="U59" s="28">
        <f t="array" ref="U59">IFERROR(VLOOKUP($T59,'Nghi hoc T12'!$H$7:$I$160,2,0),0)</f>
        <v>0</v>
      </c>
      <c r="V59" s="28">
        <f>IFERROR(VLOOKUP($T59,No_HP!$B$2:$C$514,2,0),0)</f>
        <v>0</v>
      </c>
      <c r="W59" s="28">
        <f t="shared" si="2"/>
        <v>0</v>
      </c>
      <c r="X59" s="333">
        <f t="shared" si="3"/>
        <v>0</v>
      </c>
      <c r="Y59" s="333">
        <f t="shared" si="4"/>
        <v>0</v>
      </c>
    </row>
    <row r="60" spans="1:25" s="2" customFormat="1" ht="21.95" customHeight="1">
      <c r="A60" s="82">
        <v>5</v>
      </c>
      <c r="B60" s="91" t="str">
        <f t="shared" si="5"/>
        <v>3A.S</v>
      </c>
      <c r="C60" s="83" t="s">
        <v>363</v>
      </c>
      <c r="D60" s="81" t="s">
        <v>510</v>
      </c>
      <c r="E60" s="48">
        <v>100052</v>
      </c>
      <c r="F60" s="30" t="s">
        <v>1141</v>
      </c>
      <c r="G60" s="29" t="s">
        <v>254</v>
      </c>
      <c r="H60" s="30" t="s">
        <v>127</v>
      </c>
      <c r="I60" s="78"/>
      <c r="J60" s="20"/>
      <c r="K60" s="20"/>
      <c r="L60" s="20"/>
      <c r="M60" s="20"/>
      <c r="N60" s="69" t="s">
        <v>256</v>
      </c>
      <c r="O60" s="70">
        <v>0</v>
      </c>
      <c r="P60" s="70">
        <v>0</v>
      </c>
      <c r="Q60" s="70">
        <f t="shared" si="0"/>
        <v>0</v>
      </c>
      <c r="R60" s="70"/>
      <c r="S60" s="67"/>
      <c r="T60" s="2" t="str">
        <f t="shared" si="1"/>
        <v>Vương Hoàng Nhật_10AS2</v>
      </c>
      <c r="U60" s="28">
        <f t="array" ref="U60">IFERROR(VLOOKUP($T60,'Nghi hoc T12'!$H$7:$I$160,2,0),0)</f>
        <v>0</v>
      </c>
      <c r="V60" s="28">
        <f>IFERROR(VLOOKUP($T60,No_HP!$B$2:$C$514,2,0),0)</f>
        <v>0</v>
      </c>
      <c r="W60" s="28">
        <f t="shared" si="2"/>
        <v>0</v>
      </c>
      <c r="X60" s="333">
        <f t="shared" si="3"/>
        <v>0</v>
      </c>
      <c r="Y60" s="333">
        <f t="shared" si="4"/>
        <v>0</v>
      </c>
    </row>
    <row r="61" spans="1:25" s="2" customFormat="1" ht="21.95" customHeight="1">
      <c r="A61" s="82">
        <v>6</v>
      </c>
      <c r="B61" s="91" t="str">
        <f t="shared" si="5"/>
        <v>3A.S</v>
      </c>
      <c r="C61" s="83" t="s">
        <v>363</v>
      </c>
      <c r="D61" s="81" t="s">
        <v>510</v>
      </c>
      <c r="E61" s="48">
        <v>100053</v>
      </c>
      <c r="F61" s="30" t="s">
        <v>1142</v>
      </c>
      <c r="G61" s="29" t="s">
        <v>20</v>
      </c>
      <c r="H61" s="30" t="s">
        <v>127</v>
      </c>
      <c r="I61" s="78"/>
      <c r="J61" s="20"/>
      <c r="K61" s="20"/>
      <c r="L61" s="20"/>
      <c r="M61" s="20"/>
      <c r="N61" s="69" t="s">
        <v>256</v>
      </c>
      <c r="O61" s="70">
        <v>0</v>
      </c>
      <c r="P61" s="70">
        <v>0</v>
      </c>
      <c r="Q61" s="70">
        <f t="shared" si="0"/>
        <v>0</v>
      </c>
      <c r="R61" s="70"/>
      <c r="S61" s="67"/>
      <c r="T61" s="2" t="str">
        <f t="shared" si="1"/>
        <v>Hà Nguyễn Tuệ Nhi_10AS2</v>
      </c>
      <c r="U61" s="28">
        <f t="array" ref="U61">IFERROR(VLOOKUP($T61,'Nghi hoc T12'!$H$7:$I$160,2,0),0)</f>
        <v>0</v>
      </c>
      <c r="V61" s="28">
        <f>IFERROR(VLOOKUP($T61,No_HP!$B$2:$C$514,2,0),0)</f>
        <v>0</v>
      </c>
      <c r="W61" s="28">
        <f t="shared" si="2"/>
        <v>0</v>
      </c>
      <c r="X61" s="333">
        <f t="shared" si="3"/>
        <v>0</v>
      </c>
      <c r="Y61" s="333">
        <f t="shared" si="4"/>
        <v>0</v>
      </c>
    </row>
    <row r="62" spans="1:25" s="2" customFormat="1" ht="21.95" customHeight="1">
      <c r="A62" s="82">
        <v>7</v>
      </c>
      <c r="B62" s="91" t="str">
        <f t="shared" si="5"/>
        <v>3A.S</v>
      </c>
      <c r="C62" s="83" t="s">
        <v>363</v>
      </c>
      <c r="D62" s="81" t="s">
        <v>510</v>
      </c>
      <c r="E62" s="48">
        <v>100054</v>
      </c>
      <c r="F62" s="30" t="s">
        <v>1143</v>
      </c>
      <c r="G62" s="29" t="s">
        <v>88</v>
      </c>
      <c r="H62" s="30" t="s">
        <v>1110</v>
      </c>
      <c r="I62" s="78"/>
      <c r="J62" s="20"/>
      <c r="K62" s="20"/>
      <c r="L62" s="20"/>
      <c r="M62" s="20"/>
      <c r="N62" s="69" t="s">
        <v>256</v>
      </c>
      <c r="O62" s="70">
        <v>0</v>
      </c>
      <c r="P62" s="70">
        <v>0</v>
      </c>
      <c r="Q62" s="70">
        <f t="shared" si="0"/>
        <v>0</v>
      </c>
      <c r="R62" s="70"/>
      <c r="S62" s="67"/>
      <c r="T62" s="2" t="str">
        <f t="shared" si="1"/>
        <v>Trương Thị Hồng Nhung_10AS1</v>
      </c>
      <c r="U62" s="28">
        <f t="array" ref="U62">IFERROR(VLOOKUP($T62,'Nghi hoc T12'!$H$7:$I$160,2,0),0)</f>
        <v>0</v>
      </c>
      <c r="V62" s="28">
        <f>IFERROR(VLOOKUP($T62,No_HP!$B$2:$C$514,2,0),0)</f>
        <v>0</v>
      </c>
      <c r="W62" s="28">
        <f t="shared" si="2"/>
        <v>0</v>
      </c>
      <c r="X62" s="333">
        <f t="shared" si="3"/>
        <v>0</v>
      </c>
      <c r="Y62" s="333">
        <f t="shared" si="4"/>
        <v>0</v>
      </c>
    </row>
    <row r="63" spans="1:25" s="2" customFormat="1" ht="21.95" customHeight="1">
      <c r="A63" s="82">
        <v>8</v>
      </c>
      <c r="B63" s="91" t="str">
        <f t="shared" si="5"/>
        <v>3A.S</v>
      </c>
      <c r="C63" s="83" t="s">
        <v>363</v>
      </c>
      <c r="D63" s="81" t="s">
        <v>510</v>
      </c>
      <c r="E63" s="48">
        <v>100055</v>
      </c>
      <c r="F63" s="30" t="s">
        <v>1144</v>
      </c>
      <c r="G63" s="29" t="s">
        <v>21</v>
      </c>
      <c r="H63" s="30" t="s">
        <v>1110</v>
      </c>
      <c r="I63" s="78"/>
      <c r="J63" s="20"/>
      <c r="K63" s="20"/>
      <c r="L63" s="20"/>
      <c r="M63" s="20"/>
      <c r="N63" s="69" t="s">
        <v>256</v>
      </c>
      <c r="O63" s="70">
        <v>0</v>
      </c>
      <c r="P63" s="70">
        <v>0</v>
      </c>
      <c r="Q63" s="70">
        <f t="shared" si="0"/>
        <v>0</v>
      </c>
      <c r="R63" s="70"/>
      <c r="S63" s="67"/>
      <c r="T63" s="2" t="str">
        <f t="shared" si="1"/>
        <v>Huỳnh Gia Như_10AS1</v>
      </c>
      <c r="U63" s="28">
        <f t="array" ref="U63">IFERROR(VLOOKUP($T63,'Nghi hoc T12'!$H$7:$I$160,2,0),0)</f>
        <v>0</v>
      </c>
      <c r="V63" s="28">
        <f>IFERROR(VLOOKUP($T63,No_HP!$B$2:$C$514,2,0),0)</f>
        <v>0</v>
      </c>
      <c r="W63" s="28">
        <f t="shared" si="2"/>
        <v>0</v>
      </c>
      <c r="X63" s="333">
        <f t="shared" si="3"/>
        <v>0</v>
      </c>
      <c r="Y63" s="333">
        <f t="shared" si="4"/>
        <v>0</v>
      </c>
    </row>
    <row r="64" spans="1:25" s="2" customFormat="1" ht="21.95" customHeight="1">
      <c r="A64" s="82">
        <v>9</v>
      </c>
      <c r="B64" s="91" t="str">
        <f t="shared" si="5"/>
        <v>3A.S</v>
      </c>
      <c r="C64" s="83" t="s">
        <v>363</v>
      </c>
      <c r="D64" s="81" t="s">
        <v>510</v>
      </c>
      <c r="E64" s="48">
        <v>100056</v>
      </c>
      <c r="F64" s="30" t="s">
        <v>1145</v>
      </c>
      <c r="G64" s="29" t="s">
        <v>21</v>
      </c>
      <c r="H64" s="30" t="s">
        <v>127</v>
      </c>
      <c r="I64" s="78"/>
      <c r="J64" s="20"/>
      <c r="K64" s="20"/>
      <c r="L64" s="20"/>
      <c r="M64" s="20"/>
      <c r="N64" s="69" t="s">
        <v>256</v>
      </c>
      <c r="O64" s="70">
        <v>0</v>
      </c>
      <c r="P64" s="70">
        <v>0</v>
      </c>
      <c r="Q64" s="70">
        <f t="shared" si="0"/>
        <v>0</v>
      </c>
      <c r="R64" s="70"/>
      <c r="S64" s="67"/>
      <c r="T64" s="2" t="str">
        <f t="shared" si="1"/>
        <v>Nguyễn Phạm Yến Như_10AS2</v>
      </c>
      <c r="U64" s="28">
        <f t="array" ref="U64">IFERROR(VLOOKUP($T64,'Nghi hoc T12'!$H$7:$I$160,2,0),0)</f>
        <v>0</v>
      </c>
      <c r="V64" s="28">
        <f>IFERROR(VLOOKUP($T64,No_HP!$B$2:$C$514,2,0),0)</f>
        <v>0</v>
      </c>
      <c r="W64" s="28">
        <f t="shared" si="2"/>
        <v>0</v>
      </c>
      <c r="X64" s="333">
        <f t="shared" si="3"/>
        <v>0</v>
      </c>
      <c r="Y64" s="333">
        <f t="shared" si="4"/>
        <v>0</v>
      </c>
    </row>
    <row r="65" spans="1:25" s="2" customFormat="1" ht="21.95" customHeight="1">
      <c r="A65" s="82">
        <v>10</v>
      </c>
      <c r="B65" s="91" t="str">
        <f t="shared" si="5"/>
        <v>3A.S</v>
      </c>
      <c r="C65" s="83" t="s">
        <v>363</v>
      </c>
      <c r="D65" s="81" t="s">
        <v>510</v>
      </c>
      <c r="E65" s="48">
        <v>100057</v>
      </c>
      <c r="F65" s="30" t="s">
        <v>1146</v>
      </c>
      <c r="G65" s="29" t="s">
        <v>42</v>
      </c>
      <c r="H65" s="30" t="s">
        <v>127</v>
      </c>
      <c r="I65" s="78"/>
      <c r="J65" s="20"/>
      <c r="K65" s="20"/>
      <c r="L65" s="20"/>
      <c r="M65" s="20"/>
      <c r="N65" s="69" t="s">
        <v>256</v>
      </c>
      <c r="O65" s="70">
        <v>0</v>
      </c>
      <c r="P65" s="70">
        <v>0</v>
      </c>
      <c r="Q65" s="70">
        <f t="shared" si="0"/>
        <v>0</v>
      </c>
      <c r="R65" s="70"/>
      <c r="S65" s="67"/>
      <c r="T65" s="2" t="str">
        <f t="shared" si="1"/>
        <v>Võ Hoàng Tấn Phát_10AS2</v>
      </c>
      <c r="U65" s="28">
        <f t="array" ref="U65">IFERROR(VLOOKUP($T65,'Nghi hoc T12'!$H$7:$I$160,2,0),0)</f>
        <v>0</v>
      </c>
      <c r="V65" s="28">
        <f>IFERROR(VLOOKUP($T65,No_HP!$B$2:$C$514,2,0),0)</f>
        <v>0</v>
      </c>
      <c r="W65" s="28">
        <f t="shared" si="2"/>
        <v>0</v>
      </c>
      <c r="X65" s="333">
        <f t="shared" si="3"/>
        <v>0</v>
      </c>
      <c r="Y65" s="333">
        <f t="shared" si="4"/>
        <v>0</v>
      </c>
    </row>
    <row r="66" spans="1:25" s="2" customFormat="1" ht="21.95" customHeight="1">
      <c r="A66" s="82">
        <v>11</v>
      </c>
      <c r="B66" s="91" t="str">
        <f t="shared" si="5"/>
        <v>3A.S</v>
      </c>
      <c r="C66" s="83" t="s">
        <v>363</v>
      </c>
      <c r="D66" s="81" t="s">
        <v>510</v>
      </c>
      <c r="E66" s="48">
        <v>100058</v>
      </c>
      <c r="F66" s="30" t="s">
        <v>1147</v>
      </c>
      <c r="G66" s="29" t="s">
        <v>70</v>
      </c>
      <c r="H66" s="30" t="s">
        <v>1110</v>
      </c>
      <c r="I66" s="78"/>
      <c r="J66" s="20"/>
      <c r="K66" s="20"/>
      <c r="L66" s="20"/>
      <c r="M66" s="20"/>
      <c r="N66" s="69" t="s">
        <v>256</v>
      </c>
      <c r="O66" s="70">
        <v>0</v>
      </c>
      <c r="P66" s="70">
        <v>0</v>
      </c>
      <c r="Q66" s="70">
        <f t="shared" si="0"/>
        <v>0</v>
      </c>
      <c r="R66" s="70"/>
      <c r="S66" s="67"/>
      <c r="T66" s="2" t="str">
        <f t="shared" si="1"/>
        <v>Đặng Hoàng Phong_10AS1</v>
      </c>
      <c r="U66" s="28">
        <f t="array" ref="U66">IFERROR(VLOOKUP($T66,'Nghi hoc T12'!$H$7:$I$160,2,0),0)</f>
        <v>0</v>
      </c>
      <c r="V66" s="28">
        <f>IFERROR(VLOOKUP($T66,No_HP!$B$2:$C$514,2,0),0)</f>
        <v>0</v>
      </c>
      <c r="W66" s="28">
        <f t="shared" si="2"/>
        <v>0</v>
      </c>
      <c r="X66" s="333">
        <f t="shared" si="3"/>
        <v>0</v>
      </c>
      <c r="Y66" s="333">
        <f t="shared" si="4"/>
        <v>0</v>
      </c>
    </row>
    <row r="67" spans="1:25" s="2" customFormat="1" ht="21.95" customHeight="1">
      <c r="A67" s="82">
        <v>12</v>
      </c>
      <c r="B67" s="91" t="str">
        <f t="shared" si="5"/>
        <v>3A.S</v>
      </c>
      <c r="C67" s="83" t="s">
        <v>363</v>
      </c>
      <c r="D67" s="81" t="s">
        <v>510</v>
      </c>
      <c r="E67" s="48">
        <v>100059</v>
      </c>
      <c r="F67" s="30" t="s">
        <v>1148</v>
      </c>
      <c r="G67" s="29" t="s">
        <v>103</v>
      </c>
      <c r="H67" s="30" t="s">
        <v>1110</v>
      </c>
      <c r="I67" s="78"/>
      <c r="J67" s="20"/>
      <c r="K67" s="20"/>
      <c r="L67" s="20"/>
      <c r="M67" s="20"/>
      <c r="N67" s="69" t="s">
        <v>256</v>
      </c>
      <c r="O67" s="70">
        <v>0</v>
      </c>
      <c r="P67" s="70">
        <v>0</v>
      </c>
      <c r="Q67" s="70">
        <f t="shared" si="0"/>
        <v>0</v>
      </c>
      <c r="R67" s="70"/>
      <c r="S67" s="67"/>
      <c r="T67" s="2" t="str">
        <f t="shared" si="1"/>
        <v>Phạm Võ Hoài Phú_10AS1</v>
      </c>
      <c r="U67" s="28">
        <f t="array" ref="U67">IFERROR(VLOOKUP($T67,'Nghi hoc T12'!$H$7:$I$160,2,0),0)</f>
        <v>0</v>
      </c>
      <c r="V67" s="28">
        <f>IFERROR(VLOOKUP($T67,No_HP!$B$2:$C$514,2,0),0)</f>
        <v>0</v>
      </c>
      <c r="W67" s="28">
        <f t="shared" si="2"/>
        <v>0</v>
      </c>
      <c r="X67" s="333">
        <f t="shared" si="3"/>
        <v>0</v>
      </c>
      <c r="Y67" s="333">
        <f t="shared" si="4"/>
        <v>0</v>
      </c>
    </row>
    <row r="68" spans="1:25" s="2" customFormat="1" ht="21.95" customHeight="1">
      <c r="A68" s="82">
        <v>13</v>
      </c>
      <c r="B68" s="91" t="str">
        <f t="shared" si="5"/>
        <v>3A.S</v>
      </c>
      <c r="C68" s="83" t="s">
        <v>363</v>
      </c>
      <c r="D68" s="81" t="s">
        <v>510</v>
      </c>
      <c r="E68" s="48">
        <v>100060</v>
      </c>
      <c r="F68" s="30" t="s">
        <v>157</v>
      </c>
      <c r="G68" s="29" t="s">
        <v>71</v>
      </c>
      <c r="H68" s="30" t="s">
        <v>127</v>
      </c>
      <c r="I68" s="78"/>
      <c r="J68" s="20"/>
      <c r="K68" s="20"/>
      <c r="L68" s="20"/>
      <c r="M68" s="20"/>
      <c r="N68" s="69" t="s">
        <v>256</v>
      </c>
      <c r="O68" s="70">
        <v>0</v>
      </c>
      <c r="P68" s="70">
        <v>0</v>
      </c>
      <c r="Q68" s="70">
        <f t="shared" si="0"/>
        <v>0</v>
      </c>
      <c r="R68" s="70"/>
      <c r="S68" s="67"/>
      <c r="T68" s="2" t="str">
        <f t="shared" si="1"/>
        <v>Lê Hoàng Phúc_10AS2</v>
      </c>
      <c r="U68" s="28">
        <f t="array" ref="U68">IFERROR(VLOOKUP($T68,'Nghi hoc T12'!$H$7:$I$160,2,0),0)</f>
        <v>0</v>
      </c>
      <c r="V68" s="28">
        <f>IFERROR(VLOOKUP($T68,No_HP!$B$2:$C$514,2,0),0)</f>
        <v>0</v>
      </c>
      <c r="W68" s="28">
        <f t="shared" si="2"/>
        <v>0</v>
      </c>
      <c r="X68" s="333">
        <f t="shared" si="3"/>
        <v>0</v>
      </c>
      <c r="Y68" s="333">
        <f t="shared" si="4"/>
        <v>0</v>
      </c>
    </row>
    <row r="69" spans="1:25" s="2" customFormat="1" ht="21.95" customHeight="1">
      <c r="A69" s="82">
        <v>14</v>
      </c>
      <c r="B69" s="91" t="str">
        <f t="shared" si="5"/>
        <v>3A.S</v>
      </c>
      <c r="C69" s="83" t="s">
        <v>363</v>
      </c>
      <c r="D69" s="81" t="s">
        <v>510</v>
      </c>
      <c r="E69" s="48">
        <v>100061</v>
      </c>
      <c r="F69" s="30" t="s">
        <v>1149</v>
      </c>
      <c r="G69" s="29" t="s">
        <v>71</v>
      </c>
      <c r="H69" s="30" t="s">
        <v>1110</v>
      </c>
      <c r="I69" s="78"/>
      <c r="J69" s="20"/>
      <c r="K69" s="20"/>
      <c r="L69" s="20"/>
      <c r="M69" s="20"/>
      <c r="N69" s="69" t="s">
        <v>256</v>
      </c>
      <c r="O69" s="70">
        <v>0</v>
      </c>
      <c r="P69" s="70">
        <v>0</v>
      </c>
      <c r="Q69" s="70">
        <f t="shared" si="0"/>
        <v>0</v>
      </c>
      <c r="R69" s="70"/>
      <c r="S69" s="67"/>
      <c r="T69" s="2" t="str">
        <f t="shared" si="1"/>
        <v>Văn Trường Phúc_10AS1</v>
      </c>
      <c r="U69" s="28">
        <f t="array" ref="U69">IFERROR(VLOOKUP($T69,'Nghi hoc T12'!$H$7:$I$160,2,0),0)</f>
        <v>0</v>
      </c>
      <c r="V69" s="28">
        <f>IFERROR(VLOOKUP($T69,No_HP!$B$2:$C$514,2,0),0)</f>
        <v>0</v>
      </c>
      <c r="W69" s="28">
        <f t="shared" si="2"/>
        <v>0</v>
      </c>
      <c r="X69" s="333">
        <f t="shared" si="3"/>
        <v>0</v>
      </c>
      <c r="Y69" s="333">
        <f t="shared" si="4"/>
        <v>0</v>
      </c>
    </row>
    <row r="70" spans="1:25" s="2" customFormat="1" ht="21.95" customHeight="1">
      <c r="A70" s="82">
        <v>15</v>
      </c>
      <c r="B70" s="91" t="str">
        <f t="shared" si="5"/>
        <v>3A.S</v>
      </c>
      <c r="C70" s="83" t="s">
        <v>363</v>
      </c>
      <c r="D70" s="81" t="s">
        <v>510</v>
      </c>
      <c r="E70" s="48">
        <v>100062</v>
      </c>
      <c r="F70" s="30" t="s">
        <v>1150</v>
      </c>
      <c r="G70" s="29" t="s">
        <v>43</v>
      </c>
      <c r="H70" s="30" t="s">
        <v>127</v>
      </c>
      <c r="I70" s="78"/>
      <c r="J70" s="20"/>
      <c r="K70" s="20"/>
      <c r="L70" s="20"/>
      <c r="M70" s="20"/>
      <c r="N70" s="69" t="s">
        <v>256</v>
      </c>
      <c r="O70" s="70">
        <v>0</v>
      </c>
      <c r="P70" s="70">
        <v>0</v>
      </c>
      <c r="Q70" s="70">
        <f t="shared" si="0"/>
        <v>0</v>
      </c>
      <c r="R70" s="70"/>
      <c r="S70" s="67"/>
      <c r="T70" s="2" t="str">
        <f t="shared" si="1"/>
        <v>Nguyễn Thị Lan Phương_10AS2</v>
      </c>
      <c r="U70" s="28">
        <f t="array" ref="U70">IFERROR(VLOOKUP($T70,'Nghi hoc T12'!$H$7:$I$160,2,0),0)</f>
        <v>0</v>
      </c>
      <c r="V70" s="28">
        <f>IFERROR(VLOOKUP($T70,No_HP!$B$2:$C$514,2,0),0)</f>
        <v>0</v>
      </c>
      <c r="W70" s="28">
        <f t="shared" si="2"/>
        <v>0</v>
      </c>
      <c r="X70" s="333">
        <f t="shared" si="3"/>
        <v>0</v>
      </c>
      <c r="Y70" s="333">
        <f t="shared" si="4"/>
        <v>0</v>
      </c>
    </row>
    <row r="71" spans="1:25" s="2" customFormat="1" ht="21.95" customHeight="1">
      <c r="A71" s="82">
        <v>16</v>
      </c>
      <c r="B71" s="91" t="str">
        <f t="shared" si="5"/>
        <v>3A.S</v>
      </c>
      <c r="C71" s="83" t="s">
        <v>363</v>
      </c>
      <c r="D71" s="81" t="s">
        <v>510</v>
      </c>
      <c r="E71" s="48">
        <v>100063</v>
      </c>
      <c r="F71" s="30" t="s">
        <v>1151</v>
      </c>
      <c r="G71" s="29" t="s">
        <v>57</v>
      </c>
      <c r="H71" s="30" t="s">
        <v>127</v>
      </c>
      <c r="I71" s="78"/>
      <c r="J71" s="20"/>
      <c r="K71" s="20"/>
      <c r="L71" s="20"/>
      <c r="M71" s="20"/>
      <c r="N71" s="69" t="s">
        <v>256</v>
      </c>
      <c r="O71" s="70">
        <v>0</v>
      </c>
      <c r="P71" s="70">
        <v>0</v>
      </c>
      <c r="Q71" s="70">
        <f t="shared" si="0"/>
        <v>0</v>
      </c>
      <c r="R71" s="70"/>
      <c r="S71" s="67"/>
      <c r="T71" s="2" t="str">
        <f t="shared" si="1"/>
        <v>Bùi Minh Quân_10AS2</v>
      </c>
      <c r="U71" s="28">
        <f t="array" ref="U71">IFERROR(VLOOKUP($T71,'Nghi hoc T12'!$H$7:$I$160,2,0),0)</f>
        <v>0</v>
      </c>
      <c r="V71" s="28">
        <f>IFERROR(VLOOKUP($T71,No_HP!$B$2:$C$514,2,0),0)</f>
        <v>0</v>
      </c>
      <c r="W71" s="28">
        <f t="shared" si="2"/>
        <v>0</v>
      </c>
      <c r="X71" s="333">
        <f t="shared" si="3"/>
        <v>0</v>
      </c>
      <c r="Y71" s="333">
        <f t="shared" si="4"/>
        <v>0</v>
      </c>
    </row>
    <row r="72" spans="1:25" s="2" customFormat="1" ht="21.95" customHeight="1">
      <c r="A72" s="82">
        <v>17</v>
      </c>
      <c r="B72" s="91" t="str">
        <f t="shared" si="5"/>
        <v>3A.S</v>
      </c>
      <c r="C72" s="83" t="s">
        <v>363</v>
      </c>
      <c r="D72" s="81" t="s">
        <v>510</v>
      </c>
      <c r="E72" s="48">
        <v>100064</v>
      </c>
      <c r="F72" s="30" t="s">
        <v>1152</v>
      </c>
      <c r="G72" s="29" t="s">
        <v>305</v>
      </c>
      <c r="H72" s="30" t="s">
        <v>127</v>
      </c>
      <c r="I72" s="78"/>
      <c r="J72" s="20"/>
      <c r="K72" s="20"/>
      <c r="L72" s="20"/>
      <c r="M72" s="20"/>
      <c r="N72" s="69" t="s">
        <v>256</v>
      </c>
      <c r="O72" s="70">
        <v>0</v>
      </c>
      <c r="P72" s="70">
        <v>0</v>
      </c>
      <c r="Q72" s="70">
        <f t="shared" si="0"/>
        <v>0</v>
      </c>
      <c r="R72" s="70"/>
      <c r="S72" s="67"/>
      <c r="T72" s="2" t="str">
        <f t="shared" si="1"/>
        <v>Mai Hồng Quyên_10AS2</v>
      </c>
      <c r="U72" s="28">
        <f t="array" ref="U72">IFERROR(VLOOKUP($T72,'Nghi hoc T12'!$H$7:$I$160,2,0),0)</f>
        <v>0</v>
      </c>
      <c r="V72" s="28">
        <f>IFERROR(VLOOKUP($T72,No_HP!$B$2:$C$514,2,0),0)</f>
        <v>0</v>
      </c>
      <c r="W72" s="28">
        <f t="shared" si="2"/>
        <v>0</v>
      </c>
      <c r="X72" s="333">
        <f t="shared" si="3"/>
        <v>0</v>
      </c>
      <c r="Y72" s="333">
        <f t="shared" si="4"/>
        <v>0</v>
      </c>
    </row>
    <row r="73" spans="1:25" s="2" customFormat="1" ht="21.95" customHeight="1">
      <c r="A73" s="82">
        <v>18</v>
      </c>
      <c r="B73" s="91" t="str">
        <f t="shared" si="5"/>
        <v>3A.S</v>
      </c>
      <c r="C73" s="83" t="s">
        <v>363</v>
      </c>
      <c r="D73" s="81" t="s">
        <v>510</v>
      </c>
      <c r="E73" s="48">
        <v>100065</v>
      </c>
      <c r="F73" s="30" t="s">
        <v>1153</v>
      </c>
      <c r="G73" s="29" t="s">
        <v>24</v>
      </c>
      <c r="H73" s="30" t="s">
        <v>127</v>
      </c>
      <c r="I73" s="78"/>
      <c r="J73" s="20"/>
      <c r="K73" s="20"/>
      <c r="L73" s="20"/>
      <c r="M73" s="20"/>
      <c r="N73" s="69" t="s">
        <v>256</v>
      </c>
      <c r="O73" s="70">
        <v>0</v>
      </c>
      <c r="P73" s="70">
        <v>0</v>
      </c>
      <c r="Q73" s="70">
        <f t="shared" si="0"/>
        <v>0</v>
      </c>
      <c r="R73" s="70"/>
      <c r="S73" s="67"/>
      <c r="T73" s="2" t="str">
        <f t="shared" si="1"/>
        <v>Châu Ngọc Băng Tâm_10AS2</v>
      </c>
      <c r="U73" s="28">
        <f t="array" ref="U73">IFERROR(VLOOKUP($T73,'Nghi hoc T12'!$H$7:$I$160,2,0),0)</f>
        <v>0</v>
      </c>
      <c r="V73" s="28">
        <f>IFERROR(VLOOKUP($T73,No_HP!$B$2:$C$514,2,0),0)</f>
        <v>0</v>
      </c>
      <c r="W73" s="28">
        <f t="shared" si="2"/>
        <v>0</v>
      </c>
      <c r="X73" s="333">
        <f t="shared" si="3"/>
        <v>0</v>
      </c>
      <c r="Y73" s="333">
        <f t="shared" si="4"/>
        <v>0</v>
      </c>
    </row>
    <row r="74" spans="1:25" s="2" customFormat="1" ht="21.95" customHeight="1">
      <c r="A74" s="82">
        <v>19</v>
      </c>
      <c r="B74" s="91" t="str">
        <f t="shared" si="5"/>
        <v>3A.S</v>
      </c>
      <c r="C74" s="83" t="s">
        <v>363</v>
      </c>
      <c r="D74" s="81" t="s">
        <v>510</v>
      </c>
      <c r="E74" s="48">
        <v>100066</v>
      </c>
      <c r="F74" s="30" t="s">
        <v>1154</v>
      </c>
      <c r="G74" s="29" t="s">
        <v>49</v>
      </c>
      <c r="H74" s="30" t="s">
        <v>1110</v>
      </c>
      <c r="I74" s="78"/>
      <c r="J74" s="20"/>
      <c r="K74" s="20"/>
      <c r="L74" s="20"/>
      <c r="M74" s="20"/>
      <c r="N74" s="69" t="s">
        <v>256</v>
      </c>
      <c r="O74" s="70">
        <v>0</v>
      </c>
      <c r="P74" s="70">
        <v>0</v>
      </c>
      <c r="Q74" s="70">
        <f t="shared" ref="Q74:Q137" si="6">U74</f>
        <v>0</v>
      </c>
      <c r="R74" s="70"/>
      <c r="S74" s="67"/>
      <c r="T74" s="2" t="str">
        <f t="shared" ref="T74:T137" si="7">TRIM(F74&amp;" "&amp;G74&amp;"_"&amp;H74)</f>
        <v>Nguyễn Quý Ngọc Thảo_10AS1</v>
      </c>
      <c r="U74" s="28">
        <f t="array" ref="U74">IFERROR(VLOOKUP($T74,'Nghi hoc T12'!$H$7:$I$160,2,0),0)</f>
        <v>0</v>
      </c>
      <c r="V74" s="28">
        <f>IFERROR(VLOOKUP($T74,No_HP!$B$2:$C$514,2,0),0)</f>
        <v>0</v>
      </c>
      <c r="W74" s="28">
        <f t="shared" ref="W74:W137" si="8">I74</f>
        <v>0</v>
      </c>
      <c r="X74" s="333">
        <f t="shared" ref="X74:X137" si="9">O74</f>
        <v>0</v>
      </c>
      <c r="Y74" s="333">
        <f t="shared" ref="Y74:Y137" si="10">P74</f>
        <v>0</v>
      </c>
    </row>
    <row r="75" spans="1:25" s="2" customFormat="1" ht="21.95" customHeight="1">
      <c r="A75" s="82">
        <v>20</v>
      </c>
      <c r="B75" s="91" t="str">
        <f t="shared" ref="B75:B138" si="11">RIGHT(D75,LEN(D75)-2)&amp;"."&amp;LEFT(N75,1)</f>
        <v>3A.S</v>
      </c>
      <c r="C75" s="83" t="s">
        <v>363</v>
      </c>
      <c r="D75" s="81" t="s">
        <v>510</v>
      </c>
      <c r="E75" s="48">
        <v>100067</v>
      </c>
      <c r="F75" s="30" t="s">
        <v>453</v>
      </c>
      <c r="G75" s="29" t="s">
        <v>1155</v>
      </c>
      <c r="H75" s="30" t="s">
        <v>127</v>
      </c>
      <c r="I75" s="78"/>
      <c r="J75" s="20"/>
      <c r="K75" s="20"/>
      <c r="L75" s="20"/>
      <c r="M75" s="20"/>
      <c r="N75" s="69" t="s">
        <v>256</v>
      </c>
      <c r="O75" s="70">
        <v>0</v>
      </c>
      <c r="P75" s="70">
        <v>0</v>
      </c>
      <c r="Q75" s="70">
        <f t="shared" si="6"/>
        <v>0</v>
      </c>
      <c r="R75" s="70"/>
      <c r="S75" s="67"/>
      <c r="T75" s="2" t="str">
        <f t="shared" si="7"/>
        <v>Phan Minh Thăng_10AS2</v>
      </c>
      <c r="U75" s="28">
        <f t="array" ref="U75">IFERROR(VLOOKUP($T75,'Nghi hoc T12'!$H$7:$I$160,2,0),0)</f>
        <v>0</v>
      </c>
      <c r="V75" s="28">
        <f>IFERROR(VLOOKUP($T75,No_HP!$B$2:$C$514,2,0),0)</f>
        <v>0</v>
      </c>
      <c r="W75" s="28">
        <f t="shared" si="8"/>
        <v>0</v>
      </c>
      <c r="X75" s="333">
        <f t="shared" si="9"/>
        <v>0</v>
      </c>
      <c r="Y75" s="333">
        <f t="shared" si="10"/>
        <v>0</v>
      </c>
    </row>
    <row r="76" spans="1:25" s="2" customFormat="1" ht="21.95" customHeight="1">
      <c r="A76" s="82">
        <v>21</v>
      </c>
      <c r="B76" s="91" t="str">
        <f t="shared" si="11"/>
        <v>3A.S</v>
      </c>
      <c r="C76" s="83" t="s">
        <v>363</v>
      </c>
      <c r="D76" s="81" t="s">
        <v>510</v>
      </c>
      <c r="E76" s="48">
        <v>100068</v>
      </c>
      <c r="F76" s="30" t="s">
        <v>1156</v>
      </c>
      <c r="G76" s="29" t="s">
        <v>105</v>
      </c>
      <c r="H76" s="30" t="s">
        <v>1110</v>
      </c>
      <c r="I76" s="78"/>
      <c r="J76" s="20"/>
      <c r="K76" s="20"/>
      <c r="L76" s="20"/>
      <c r="M76" s="20"/>
      <c r="N76" s="69" t="s">
        <v>256</v>
      </c>
      <c r="O76" s="70">
        <v>0</v>
      </c>
      <c r="P76" s="70">
        <v>0</v>
      </c>
      <c r="Q76" s="70">
        <f t="shared" si="6"/>
        <v>0</v>
      </c>
      <c r="R76" s="70"/>
      <c r="S76" s="67"/>
      <c r="T76" s="2" t="str">
        <f t="shared" si="7"/>
        <v>Phạm Mai Thi_10AS1</v>
      </c>
      <c r="U76" s="28">
        <f t="array" ref="U76">IFERROR(VLOOKUP($T76,'Nghi hoc T12'!$H$7:$I$160,2,0),0)</f>
        <v>0</v>
      </c>
      <c r="V76" s="28">
        <f>IFERROR(VLOOKUP($T76,No_HP!$B$2:$C$514,2,0),0)</f>
        <v>0</v>
      </c>
      <c r="W76" s="28">
        <f t="shared" si="8"/>
        <v>0</v>
      </c>
      <c r="X76" s="333">
        <f t="shared" si="9"/>
        <v>0</v>
      </c>
      <c r="Y76" s="333">
        <f t="shared" si="10"/>
        <v>0</v>
      </c>
    </row>
    <row r="77" spans="1:25" s="2" customFormat="1" ht="21.95" customHeight="1">
      <c r="A77" s="82">
        <v>22</v>
      </c>
      <c r="B77" s="91" t="str">
        <f t="shared" si="11"/>
        <v>3A.S</v>
      </c>
      <c r="C77" s="83" t="s">
        <v>363</v>
      </c>
      <c r="D77" s="81" t="s">
        <v>510</v>
      </c>
      <c r="E77" s="48">
        <v>100069</v>
      </c>
      <c r="F77" s="30" t="s">
        <v>1157</v>
      </c>
      <c r="G77" s="29" t="s">
        <v>105</v>
      </c>
      <c r="H77" s="30" t="s">
        <v>127</v>
      </c>
      <c r="I77" s="78"/>
      <c r="J77" s="20"/>
      <c r="K77" s="20"/>
      <c r="L77" s="20"/>
      <c r="M77" s="20"/>
      <c r="N77" s="69" t="s">
        <v>256</v>
      </c>
      <c r="O77" s="70">
        <v>0</v>
      </c>
      <c r="P77" s="70">
        <v>0</v>
      </c>
      <c r="Q77" s="70">
        <f t="shared" si="6"/>
        <v>0</v>
      </c>
      <c r="R77" s="70"/>
      <c r="S77" s="67"/>
      <c r="T77" s="2" t="str">
        <f t="shared" si="7"/>
        <v>Võ Thị Khánh Thi_10AS2</v>
      </c>
      <c r="U77" s="28">
        <f t="array" ref="U77">IFERROR(VLOOKUP($T77,'Nghi hoc T12'!$H$7:$I$160,2,0),0)</f>
        <v>0</v>
      </c>
      <c r="V77" s="28">
        <f>IFERROR(VLOOKUP($T77,No_HP!$B$2:$C$514,2,0),0)</f>
        <v>0</v>
      </c>
      <c r="W77" s="28">
        <f t="shared" si="8"/>
        <v>0</v>
      </c>
      <c r="X77" s="333">
        <f t="shared" si="9"/>
        <v>0</v>
      </c>
      <c r="Y77" s="333">
        <f t="shared" si="10"/>
        <v>0</v>
      </c>
    </row>
    <row r="78" spans="1:25" s="2" customFormat="1" ht="21.95" customHeight="1">
      <c r="A78" s="82">
        <v>23</v>
      </c>
      <c r="B78" s="91" t="str">
        <f t="shared" si="11"/>
        <v>3A.S</v>
      </c>
      <c r="C78" s="83" t="s">
        <v>363</v>
      </c>
      <c r="D78" s="81" t="s">
        <v>510</v>
      </c>
      <c r="E78" s="48">
        <v>100070</v>
      </c>
      <c r="F78" s="30" t="s">
        <v>1158</v>
      </c>
      <c r="G78" s="29" t="s">
        <v>1159</v>
      </c>
      <c r="H78" s="30" t="s">
        <v>127</v>
      </c>
      <c r="I78" s="78"/>
      <c r="J78" s="20"/>
      <c r="K78" s="20"/>
      <c r="L78" s="20"/>
      <c r="M78" s="20"/>
      <c r="N78" s="69" t="s">
        <v>256</v>
      </c>
      <c r="O78" s="70">
        <v>0</v>
      </c>
      <c r="P78" s="70">
        <v>0</v>
      </c>
      <c r="Q78" s="70">
        <f t="shared" si="6"/>
        <v>0</v>
      </c>
      <c r="R78" s="70"/>
      <c r="S78" s="67"/>
      <c r="T78" s="2" t="str">
        <f t="shared" si="7"/>
        <v>Kim Thị Anh Tho_10AS2</v>
      </c>
      <c r="U78" s="28">
        <f t="array" ref="U78">IFERROR(VLOOKUP($T78,'Nghi hoc T12'!$H$7:$I$160,2,0),0)</f>
        <v>0</v>
      </c>
      <c r="V78" s="28">
        <f>IFERROR(VLOOKUP($T78,No_HP!$B$2:$C$514,2,0),0)</f>
        <v>0</v>
      </c>
      <c r="W78" s="28">
        <f t="shared" si="8"/>
        <v>0</v>
      </c>
      <c r="X78" s="333">
        <f t="shared" si="9"/>
        <v>0</v>
      </c>
      <c r="Y78" s="333">
        <f t="shared" si="10"/>
        <v>0</v>
      </c>
    </row>
    <row r="79" spans="1:25" s="2" customFormat="1" ht="21.95" customHeight="1">
      <c r="A79" s="200">
        <v>1</v>
      </c>
      <c r="B79" s="91" t="str">
        <f t="shared" si="11"/>
        <v>4A.S</v>
      </c>
      <c r="C79" s="185" t="s">
        <v>363</v>
      </c>
      <c r="D79" s="186" t="s">
        <v>511</v>
      </c>
      <c r="E79" s="187">
        <v>100071</v>
      </c>
      <c r="F79" s="188" t="s">
        <v>1160</v>
      </c>
      <c r="G79" s="189" t="s">
        <v>1161</v>
      </c>
      <c r="H79" s="188" t="s">
        <v>1110</v>
      </c>
      <c r="I79" s="190"/>
      <c r="J79" s="191"/>
      <c r="K79" s="191"/>
      <c r="L79" s="191"/>
      <c r="M79" s="191"/>
      <c r="N79" s="69" t="s">
        <v>256</v>
      </c>
      <c r="O79" s="70">
        <v>0</v>
      </c>
      <c r="P79" s="70">
        <v>0</v>
      </c>
      <c r="Q79" s="70">
        <f t="shared" si="6"/>
        <v>0</v>
      </c>
      <c r="R79" s="70"/>
      <c r="S79" s="67"/>
      <c r="T79" s="2" t="str">
        <f t="shared" si="7"/>
        <v>Nguyễn Hoàng Kim Thơ_10AS1</v>
      </c>
      <c r="U79" s="28">
        <f t="array" ref="U79">IFERROR(VLOOKUP($T79,'Nghi hoc T12'!$H$7:$I$160,2,0),0)</f>
        <v>0</v>
      </c>
      <c r="V79" s="28">
        <f>IFERROR(VLOOKUP($T79,No_HP!$B$2:$C$514,2,0),0)</f>
        <v>0</v>
      </c>
      <c r="W79" s="28">
        <f t="shared" si="8"/>
        <v>0</v>
      </c>
      <c r="X79" s="333">
        <f t="shared" si="9"/>
        <v>0</v>
      </c>
      <c r="Y79" s="333">
        <f t="shared" si="10"/>
        <v>0</v>
      </c>
    </row>
    <row r="80" spans="1:25" s="2" customFormat="1" ht="21.95" customHeight="1">
      <c r="A80" s="82">
        <v>2</v>
      </c>
      <c r="B80" s="91" t="str">
        <f t="shared" si="11"/>
        <v>4A.S</v>
      </c>
      <c r="C80" s="83" t="s">
        <v>363</v>
      </c>
      <c r="D80" s="81" t="s">
        <v>511</v>
      </c>
      <c r="E80" s="48">
        <v>100072</v>
      </c>
      <c r="F80" s="30" t="s">
        <v>186</v>
      </c>
      <c r="G80" s="29" t="s">
        <v>59</v>
      </c>
      <c r="H80" s="30" t="s">
        <v>1110</v>
      </c>
      <c r="I80" s="78"/>
      <c r="J80" s="20"/>
      <c r="K80" s="20"/>
      <c r="L80" s="20"/>
      <c r="M80" s="20"/>
      <c r="N80" s="69" t="s">
        <v>256</v>
      </c>
      <c r="O80" s="70">
        <v>0</v>
      </c>
      <c r="P80" s="70">
        <v>0</v>
      </c>
      <c r="Q80" s="70">
        <f t="shared" si="6"/>
        <v>0</v>
      </c>
      <c r="R80" s="70"/>
      <c r="S80" s="67"/>
      <c r="T80" s="2" t="str">
        <f t="shared" si="7"/>
        <v>Nguyễn Minh Thuận_10AS1</v>
      </c>
      <c r="U80" s="28">
        <f t="array" ref="U80">IFERROR(VLOOKUP($T80,'Nghi hoc T12'!$H$7:$I$160,2,0),0)</f>
        <v>0</v>
      </c>
      <c r="V80" s="28">
        <f>IFERROR(VLOOKUP($T80,No_HP!$B$2:$C$514,2,0),0)</f>
        <v>0</v>
      </c>
      <c r="W80" s="28">
        <f t="shared" si="8"/>
        <v>0</v>
      </c>
      <c r="X80" s="333">
        <f t="shared" si="9"/>
        <v>0</v>
      </c>
      <c r="Y80" s="333">
        <f t="shared" si="10"/>
        <v>0</v>
      </c>
    </row>
    <row r="81" spans="1:25" s="2" customFormat="1" ht="21.95" customHeight="1">
      <c r="A81" s="82">
        <v>3</v>
      </c>
      <c r="B81" s="91" t="str">
        <f t="shared" si="11"/>
        <v>4A.S</v>
      </c>
      <c r="C81" s="83" t="s">
        <v>363</v>
      </c>
      <c r="D81" s="81" t="s">
        <v>511</v>
      </c>
      <c r="E81" s="48">
        <v>100073</v>
      </c>
      <c r="F81" s="30" t="s">
        <v>231</v>
      </c>
      <c r="G81" s="29" t="s">
        <v>162</v>
      </c>
      <c r="H81" s="30" t="s">
        <v>127</v>
      </c>
      <c r="I81" s="78"/>
      <c r="J81" s="20"/>
      <c r="K81" s="20"/>
      <c r="L81" s="20"/>
      <c r="M81" s="20"/>
      <c r="N81" s="69" t="s">
        <v>256</v>
      </c>
      <c r="O81" s="70">
        <v>0</v>
      </c>
      <c r="P81" s="70">
        <v>0</v>
      </c>
      <c r="Q81" s="70">
        <f t="shared" si="6"/>
        <v>0</v>
      </c>
      <c r="R81" s="70"/>
      <c r="S81" s="67"/>
      <c r="T81" s="2" t="str">
        <f t="shared" si="7"/>
        <v>Nguyễn Thị Phương Thùy_10AS2</v>
      </c>
      <c r="U81" s="28">
        <f t="array" ref="U81">IFERROR(VLOOKUP($T81,'Nghi hoc T12'!$H$7:$I$160,2,0),0)</f>
        <v>0</v>
      </c>
      <c r="V81" s="28">
        <f>IFERROR(VLOOKUP($T81,No_HP!$B$2:$C$514,2,0),0)</f>
        <v>0</v>
      </c>
      <c r="W81" s="28">
        <f t="shared" si="8"/>
        <v>0</v>
      </c>
      <c r="X81" s="333">
        <f t="shared" si="9"/>
        <v>0</v>
      </c>
      <c r="Y81" s="333">
        <f t="shared" si="10"/>
        <v>0</v>
      </c>
    </row>
    <row r="82" spans="1:25" s="2" customFormat="1" ht="21.95" customHeight="1">
      <c r="A82" s="82">
        <v>4</v>
      </c>
      <c r="B82" s="91" t="str">
        <f t="shared" si="11"/>
        <v>4A.S</v>
      </c>
      <c r="C82" s="83" t="s">
        <v>363</v>
      </c>
      <c r="D82" s="81" t="s">
        <v>511</v>
      </c>
      <c r="E82" s="48">
        <v>100074</v>
      </c>
      <c r="F82" s="30" t="s">
        <v>148</v>
      </c>
      <c r="G82" s="29" t="s">
        <v>28</v>
      </c>
      <c r="H82" s="30" t="s">
        <v>127</v>
      </c>
      <c r="I82" s="78"/>
      <c r="J82" s="20"/>
      <c r="K82" s="20"/>
      <c r="L82" s="20"/>
      <c r="M82" s="20"/>
      <c r="N82" s="69" t="s">
        <v>256</v>
      </c>
      <c r="O82" s="70">
        <v>0</v>
      </c>
      <c r="P82" s="70">
        <v>0</v>
      </c>
      <c r="Q82" s="70">
        <f t="shared" si="6"/>
        <v>0</v>
      </c>
      <c r="R82" s="70"/>
      <c r="S82" s="67"/>
      <c r="T82" s="2" t="str">
        <f t="shared" si="7"/>
        <v>Nguyễn Anh Thư_10AS2</v>
      </c>
      <c r="U82" s="28">
        <f t="array" ref="U82">IFERROR(VLOOKUP($T82,'Nghi hoc T12'!$H$7:$I$160,2,0),0)</f>
        <v>0</v>
      </c>
      <c r="V82" s="28">
        <f>IFERROR(VLOOKUP($T82,No_HP!$B$2:$C$514,2,0),0)</f>
        <v>0</v>
      </c>
      <c r="W82" s="28">
        <f t="shared" si="8"/>
        <v>0</v>
      </c>
      <c r="X82" s="333">
        <f t="shared" si="9"/>
        <v>0</v>
      </c>
      <c r="Y82" s="333">
        <f t="shared" si="10"/>
        <v>0</v>
      </c>
    </row>
    <row r="83" spans="1:25" s="2" customFormat="1" ht="21.95" customHeight="1">
      <c r="A83" s="82">
        <v>5</v>
      </c>
      <c r="B83" s="91" t="str">
        <f t="shared" si="11"/>
        <v>4A.S</v>
      </c>
      <c r="C83" s="83" t="s">
        <v>363</v>
      </c>
      <c r="D83" s="81" t="s">
        <v>511</v>
      </c>
      <c r="E83" s="48">
        <v>100075</v>
      </c>
      <c r="F83" s="30" t="s">
        <v>1162</v>
      </c>
      <c r="G83" s="29" t="s">
        <v>28</v>
      </c>
      <c r="H83" s="30" t="s">
        <v>1110</v>
      </c>
      <c r="I83" s="78"/>
      <c r="J83" s="20"/>
      <c r="K83" s="20"/>
      <c r="L83" s="20"/>
      <c r="M83" s="20"/>
      <c r="N83" s="69" t="s">
        <v>256</v>
      </c>
      <c r="O83" s="70">
        <v>0</v>
      </c>
      <c r="P83" s="70">
        <v>0</v>
      </c>
      <c r="Q83" s="70">
        <f t="shared" si="6"/>
        <v>0</v>
      </c>
      <c r="R83" s="70"/>
      <c r="S83" s="67"/>
      <c r="T83" s="2" t="str">
        <f t="shared" si="7"/>
        <v>Nguyễn Hữu Anh Thư_10AS1</v>
      </c>
      <c r="U83" s="28">
        <f t="array" ref="U83">IFERROR(VLOOKUP($T83,'Nghi hoc T12'!$H$7:$I$160,2,0),0)</f>
        <v>0</v>
      </c>
      <c r="V83" s="28">
        <f>IFERROR(VLOOKUP($T83,No_HP!$B$2:$C$514,2,0),0)</f>
        <v>0</v>
      </c>
      <c r="W83" s="28">
        <f t="shared" si="8"/>
        <v>0</v>
      </c>
      <c r="X83" s="333">
        <f t="shared" si="9"/>
        <v>0</v>
      </c>
      <c r="Y83" s="333">
        <f t="shared" si="10"/>
        <v>0</v>
      </c>
    </row>
    <row r="84" spans="1:25" s="2" customFormat="1" ht="21.95" customHeight="1">
      <c r="A84" s="82">
        <v>6</v>
      </c>
      <c r="B84" s="91" t="str">
        <f t="shared" si="11"/>
        <v>4A.S</v>
      </c>
      <c r="C84" s="83" t="s">
        <v>363</v>
      </c>
      <c r="D84" s="81" t="s">
        <v>511</v>
      </c>
      <c r="E84" s="48">
        <v>100076</v>
      </c>
      <c r="F84" s="30" t="s">
        <v>186</v>
      </c>
      <c r="G84" s="29" t="s">
        <v>215</v>
      </c>
      <c r="H84" s="30" t="s">
        <v>1110</v>
      </c>
      <c r="I84" s="78"/>
      <c r="J84" s="20"/>
      <c r="K84" s="20"/>
      <c r="L84" s="20"/>
      <c r="M84" s="20"/>
      <c r="N84" s="69" t="s">
        <v>256</v>
      </c>
      <c r="O84" s="70">
        <v>0</v>
      </c>
      <c r="P84" s="70">
        <v>0</v>
      </c>
      <c r="Q84" s="70">
        <f t="shared" si="6"/>
        <v>0</v>
      </c>
      <c r="R84" s="70"/>
      <c r="S84" s="67"/>
      <c r="T84" s="2" t="str">
        <f t="shared" si="7"/>
        <v>Nguyễn Minh Tiến_10AS1</v>
      </c>
      <c r="U84" s="28">
        <f t="array" ref="U84">IFERROR(VLOOKUP($T84,'Nghi hoc T12'!$H$7:$I$160,2,0),0)</f>
        <v>0</v>
      </c>
      <c r="V84" s="28">
        <f>IFERROR(VLOOKUP($T84,No_HP!$B$2:$C$514,2,0),0)</f>
        <v>0</v>
      </c>
      <c r="W84" s="28">
        <f t="shared" si="8"/>
        <v>0</v>
      </c>
      <c r="X84" s="333">
        <f t="shared" si="9"/>
        <v>0</v>
      </c>
      <c r="Y84" s="333">
        <f t="shared" si="10"/>
        <v>0</v>
      </c>
    </row>
    <row r="85" spans="1:25" s="2" customFormat="1" ht="21.95" customHeight="1">
      <c r="A85" s="82">
        <v>7</v>
      </c>
      <c r="B85" s="91" t="str">
        <f t="shared" si="11"/>
        <v>4A.S</v>
      </c>
      <c r="C85" s="83" t="s">
        <v>363</v>
      </c>
      <c r="D85" s="81" t="s">
        <v>511</v>
      </c>
      <c r="E85" s="48">
        <v>100077</v>
      </c>
      <c r="F85" s="30" t="s">
        <v>1163</v>
      </c>
      <c r="G85" s="29" t="s">
        <v>30</v>
      </c>
      <c r="H85" s="30" t="s">
        <v>127</v>
      </c>
      <c r="I85" s="78"/>
      <c r="J85" s="20"/>
      <c r="K85" s="20"/>
      <c r="L85" s="20"/>
      <c r="M85" s="20"/>
      <c r="N85" s="69" t="s">
        <v>256</v>
      </c>
      <c r="O85" s="70">
        <v>0</v>
      </c>
      <c r="P85" s="70">
        <v>0</v>
      </c>
      <c r="Q85" s="70">
        <f t="shared" si="6"/>
        <v>0</v>
      </c>
      <c r="R85" s="70"/>
      <c r="S85" s="67"/>
      <c r="T85" s="2" t="str">
        <f t="shared" si="7"/>
        <v>Mai Thùy Yến Trang_10AS2</v>
      </c>
      <c r="U85" s="28">
        <f t="array" ref="U85">IFERROR(VLOOKUP($T85,'Nghi hoc T12'!$H$7:$I$160,2,0),0)</f>
        <v>0</v>
      </c>
      <c r="V85" s="28">
        <f>IFERROR(VLOOKUP($T85,No_HP!$B$2:$C$514,2,0),0)</f>
        <v>0</v>
      </c>
      <c r="W85" s="28">
        <f t="shared" si="8"/>
        <v>0</v>
      </c>
      <c r="X85" s="333">
        <f t="shared" si="9"/>
        <v>0</v>
      </c>
      <c r="Y85" s="333">
        <f t="shared" si="10"/>
        <v>0</v>
      </c>
    </row>
    <row r="86" spans="1:25" s="2" customFormat="1" ht="21.95" customHeight="1">
      <c r="A86" s="82">
        <v>8</v>
      </c>
      <c r="B86" s="91" t="str">
        <f t="shared" si="11"/>
        <v>4A.S</v>
      </c>
      <c r="C86" s="83" t="s">
        <v>363</v>
      </c>
      <c r="D86" s="81" t="s">
        <v>511</v>
      </c>
      <c r="E86" s="48">
        <v>100078</v>
      </c>
      <c r="F86" s="30" t="s">
        <v>316</v>
      </c>
      <c r="G86" s="29" t="s">
        <v>1164</v>
      </c>
      <c r="H86" s="30" t="s">
        <v>127</v>
      </c>
      <c r="I86" s="78"/>
      <c r="J86" s="20"/>
      <c r="K86" s="20"/>
      <c r="L86" s="20"/>
      <c r="M86" s="20"/>
      <c r="N86" s="69" t="s">
        <v>256</v>
      </c>
      <c r="O86" s="70">
        <v>0</v>
      </c>
      <c r="P86" s="70">
        <v>0</v>
      </c>
      <c r="Q86" s="70">
        <f t="shared" si="6"/>
        <v>0</v>
      </c>
      <c r="R86" s="70"/>
      <c r="S86" s="67"/>
      <c r="T86" s="2" t="str">
        <f t="shared" si="7"/>
        <v>Ngô Thị Ngọc Trăm_10AS2</v>
      </c>
      <c r="U86" s="28">
        <f t="array" ref="U86">IFERROR(VLOOKUP($T86,'Nghi hoc T12'!$H$7:$I$160,2,0),0)</f>
        <v>0</v>
      </c>
      <c r="V86" s="28">
        <f>IFERROR(VLOOKUP($T86,No_HP!$B$2:$C$514,2,0),0)</f>
        <v>0</v>
      </c>
      <c r="W86" s="28">
        <f t="shared" si="8"/>
        <v>0</v>
      </c>
      <c r="X86" s="333">
        <f t="shared" si="9"/>
        <v>0</v>
      </c>
      <c r="Y86" s="333">
        <f t="shared" si="10"/>
        <v>0</v>
      </c>
    </row>
    <row r="87" spans="1:25" s="2" customFormat="1" ht="21.95" customHeight="1">
      <c r="A87" s="82">
        <v>9</v>
      </c>
      <c r="B87" s="91" t="str">
        <f t="shared" si="11"/>
        <v>4A.S</v>
      </c>
      <c r="C87" s="83" t="s">
        <v>363</v>
      </c>
      <c r="D87" s="81" t="s">
        <v>511</v>
      </c>
      <c r="E87" s="48">
        <v>100079</v>
      </c>
      <c r="F87" s="30" t="s">
        <v>1165</v>
      </c>
      <c r="G87" s="29" t="s">
        <v>98</v>
      </c>
      <c r="H87" s="30" t="s">
        <v>1110</v>
      </c>
      <c r="I87" s="78"/>
      <c r="J87" s="20"/>
      <c r="K87" s="20"/>
      <c r="L87" s="20"/>
      <c r="M87" s="20"/>
      <c r="N87" s="69" t="s">
        <v>256</v>
      </c>
      <c r="O87" s="70">
        <v>0</v>
      </c>
      <c r="P87" s="70">
        <v>0</v>
      </c>
      <c r="Q87" s="70">
        <f t="shared" si="6"/>
        <v>0</v>
      </c>
      <c r="R87" s="70"/>
      <c r="S87" s="67"/>
      <c r="T87" s="2" t="str">
        <f t="shared" si="7"/>
        <v>Trương Đoàn Phương Trinh_10AS1</v>
      </c>
      <c r="U87" s="28">
        <f t="array" ref="U87">IFERROR(VLOOKUP($T87,'Nghi hoc T12'!$H$7:$I$160,2,0),0)</f>
        <v>0</v>
      </c>
      <c r="V87" s="28">
        <f>IFERROR(VLOOKUP($T87,No_HP!$B$2:$C$514,2,0),0)</f>
        <v>0</v>
      </c>
      <c r="W87" s="28">
        <f t="shared" si="8"/>
        <v>0</v>
      </c>
      <c r="X87" s="333">
        <f t="shared" si="9"/>
        <v>0</v>
      </c>
      <c r="Y87" s="333">
        <f t="shared" si="10"/>
        <v>0</v>
      </c>
    </row>
    <row r="88" spans="1:25" s="2" customFormat="1" ht="21.95" customHeight="1">
      <c r="A88" s="82">
        <v>10</v>
      </c>
      <c r="B88" s="91" t="str">
        <f t="shared" si="11"/>
        <v>4A.S</v>
      </c>
      <c r="C88" s="83" t="s">
        <v>363</v>
      </c>
      <c r="D88" s="81" t="s">
        <v>511</v>
      </c>
      <c r="E88" s="48">
        <v>100080</v>
      </c>
      <c r="F88" s="30" t="s">
        <v>1166</v>
      </c>
      <c r="G88" s="29" t="s">
        <v>31</v>
      </c>
      <c r="H88" s="30" t="s">
        <v>127</v>
      </c>
      <c r="I88" s="78"/>
      <c r="J88" s="20"/>
      <c r="K88" s="20"/>
      <c r="L88" s="20"/>
      <c r="M88" s="20"/>
      <c r="N88" s="69" t="s">
        <v>256</v>
      </c>
      <c r="O88" s="70">
        <v>0</v>
      </c>
      <c r="P88" s="70">
        <v>0</v>
      </c>
      <c r="Q88" s="70">
        <f t="shared" si="6"/>
        <v>0</v>
      </c>
      <c r="R88" s="70"/>
      <c r="S88" s="67"/>
      <c r="T88" s="2" t="str">
        <f t="shared" si="7"/>
        <v>Đậu Thị Hoài Trúc_10AS2</v>
      </c>
      <c r="U88" s="28">
        <f t="array" ref="U88">IFERROR(VLOOKUP($T88,'Nghi hoc T12'!$H$7:$I$160,2,0),0)</f>
        <v>0</v>
      </c>
      <c r="V88" s="28">
        <f>IFERROR(VLOOKUP($T88,No_HP!$B$2:$C$514,2,0),0)</f>
        <v>0</v>
      </c>
      <c r="W88" s="28">
        <f t="shared" si="8"/>
        <v>0</v>
      </c>
      <c r="X88" s="333">
        <f t="shared" si="9"/>
        <v>0</v>
      </c>
      <c r="Y88" s="333">
        <f t="shared" si="10"/>
        <v>0</v>
      </c>
    </row>
    <row r="89" spans="1:25" s="2" customFormat="1" ht="21.95" customHeight="1">
      <c r="A89" s="82">
        <v>11</v>
      </c>
      <c r="B89" s="91" t="str">
        <f t="shared" si="11"/>
        <v>4A.S</v>
      </c>
      <c r="C89" s="83" t="s">
        <v>363</v>
      </c>
      <c r="D89" s="81" t="s">
        <v>511</v>
      </c>
      <c r="E89" s="48">
        <v>100081</v>
      </c>
      <c r="F89" s="30" t="s">
        <v>1167</v>
      </c>
      <c r="G89" s="29" t="s">
        <v>31</v>
      </c>
      <c r="H89" s="30" t="s">
        <v>127</v>
      </c>
      <c r="I89" s="78"/>
      <c r="J89" s="20"/>
      <c r="K89" s="20"/>
      <c r="L89" s="20"/>
      <c r="M89" s="20"/>
      <c r="N89" s="69" t="s">
        <v>256</v>
      </c>
      <c r="O89" s="70">
        <v>0</v>
      </c>
      <c r="P89" s="70">
        <v>0</v>
      </c>
      <c r="Q89" s="70">
        <f t="shared" si="6"/>
        <v>0</v>
      </c>
      <c r="R89" s="70"/>
      <c r="S89" s="67"/>
      <c r="T89" s="2" t="str">
        <f t="shared" si="7"/>
        <v>Phạm Thu Trúc_10AS2</v>
      </c>
      <c r="U89" s="28">
        <f t="array" ref="U89">IFERROR(VLOOKUP($T89,'Nghi hoc T12'!$H$7:$I$160,2,0),0)</f>
        <v>0</v>
      </c>
      <c r="V89" s="28">
        <f>IFERROR(VLOOKUP($T89,No_HP!$B$2:$C$514,2,0),0)</f>
        <v>0</v>
      </c>
      <c r="W89" s="28">
        <f t="shared" si="8"/>
        <v>0</v>
      </c>
      <c r="X89" s="333">
        <f t="shared" si="9"/>
        <v>0</v>
      </c>
      <c r="Y89" s="333">
        <f t="shared" si="10"/>
        <v>0</v>
      </c>
    </row>
    <row r="90" spans="1:25" s="2" customFormat="1" ht="21.95" customHeight="1">
      <c r="A90" s="82">
        <v>12</v>
      </c>
      <c r="B90" s="91" t="str">
        <f t="shared" si="11"/>
        <v>4A.S</v>
      </c>
      <c r="C90" s="83" t="s">
        <v>363</v>
      </c>
      <c r="D90" s="81" t="s">
        <v>511</v>
      </c>
      <c r="E90" s="48">
        <v>100082</v>
      </c>
      <c r="F90" s="30" t="s">
        <v>451</v>
      </c>
      <c r="G90" s="29" t="s">
        <v>31</v>
      </c>
      <c r="H90" s="30" t="s">
        <v>1110</v>
      </c>
      <c r="I90" s="78"/>
      <c r="J90" s="20"/>
      <c r="K90" s="20"/>
      <c r="L90" s="20"/>
      <c r="M90" s="20"/>
      <c r="N90" s="69" t="s">
        <v>256</v>
      </c>
      <c r="O90" s="70">
        <v>0</v>
      </c>
      <c r="P90" s="70">
        <v>0</v>
      </c>
      <c r="Q90" s="70">
        <f t="shared" si="6"/>
        <v>0</v>
      </c>
      <c r="R90" s="70"/>
      <c r="S90" s="67"/>
      <c r="T90" s="2" t="str">
        <f t="shared" si="7"/>
        <v>Trần Thị Trúc_10AS1</v>
      </c>
      <c r="U90" s="28">
        <f t="array" ref="U90">IFERROR(VLOOKUP($T90,'Nghi hoc T12'!$H$7:$I$160,2,0),0)</f>
        <v>0</v>
      </c>
      <c r="V90" s="28">
        <f>IFERROR(VLOOKUP($T90,No_HP!$B$2:$C$514,2,0),0)</f>
        <v>0</v>
      </c>
      <c r="W90" s="28">
        <f t="shared" si="8"/>
        <v>0</v>
      </c>
      <c r="X90" s="333">
        <f t="shared" si="9"/>
        <v>0</v>
      </c>
      <c r="Y90" s="333">
        <f t="shared" si="10"/>
        <v>0</v>
      </c>
    </row>
    <row r="91" spans="1:25" s="2" customFormat="1" ht="21.95" customHeight="1">
      <c r="A91" s="82">
        <v>13</v>
      </c>
      <c r="B91" s="91" t="str">
        <f t="shared" si="11"/>
        <v>4A.S</v>
      </c>
      <c r="C91" s="83" t="s">
        <v>363</v>
      </c>
      <c r="D91" s="81" t="s">
        <v>511</v>
      </c>
      <c r="E91" s="48">
        <v>100083</v>
      </c>
      <c r="F91" s="30" t="s">
        <v>1168</v>
      </c>
      <c r="G91" s="29" t="s">
        <v>51</v>
      </c>
      <c r="H91" s="30" t="s">
        <v>1110</v>
      </c>
      <c r="I91" s="78"/>
      <c r="J91" s="20"/>
      <c r="K91" s="20"/>
      <c r="L91" s="20"/>
      <c r="M91" s="20"/>
      <c r="N91" s="69" t="s">
        <v>256</v>
      </c>
      <c r="O91" s="70">
        <v>0</v>
      </c>
      <c r="P91" s="70">
        <v>0</v>
      </c>
      <c r="Q91" s="70">
        <f t="shared" si="6"/>
        <v>0</v>
      </c>
      <c r="R91" s="70"/>
      <c r="S91" s="67"/>
      <c r="T91" s="2" t="str">
        <f t="shared" si="7"/>
        <v>Huỳnh Như Cẩm Tú_10AS1</v>
      </c>
      <c r="U91" s="28">
        <f t="array" ref="U91">IFERROR(VLOOKUP($T91,'Nghi hoc T12'!$H$7:$I$160,2,0),0)</f>
        <v>0</v>
      </c>
      <c r="V91" s="28">
        <f>IFERROR(VLOOKUP($T91,No_HP!$B$2:$C$514,2,0),0)</f>
        <v>0</v>
      </c>
      <c r="W91" s="28">
        <f t="shared" si="8"/>
        <v>0</v>
      </c>
      <c r="X91" s="333">
        <f t="shared" si="9"/>
        <v>0</v>
      </c>
      <c r="Y91" s="333">
        <f t="shared" si="10"/>
        <v>0</v>
      </c>
    </row>
    <row r="92" spans="1:25" s="2" customFormat="1" ht="21.95" customHeight="1">
      <c r="A92" s="82">
        <v>14</v>
      </c>
      <c r="B92" s="91" t="str">
        <f t="shared" si="11"/>
        <v>4A.S</v>
      </c>
      <c r="C92" s="83" t="s">
        <v>363</v>
      </c>
      <c r="D92" s="81" t="s">
        <v>511</v>
      </c>
      <c r="E92" s="48">
        <v>100084</v>
      </c>
      <c r="F92" s="30" t="s">
        <v>1169</v>
      </c>
      <c r="G92" s="29" t="s">
        <v>51</v>
      </c>
      <c r="H92" s="30" t="s">
        <v>127</v>
      </c>
      <c r="I92" s="78"/>
      <c r="J92" s="20"/>
      <c r="K92" s="20"/>
      <c r="L92" s="20"/>
      <c r="M92" s="20"/>
      <c r="N92" s="69" t="s">
        <v>256</v>
      </c>
      <c r="O92" s="70">
        <v>0</v>
      </c>
      <c r="P92" s="70">
        <v>0</v>
      </c>
      <c r="Q92" s="70">
        <f t="shared" si="6"/>
        <v>0</v>
      </c>
      <c r="R92" s="70"/>
      <c r="S92" s="67"/>
      <c r="T92" s="2" t="str">
        <f t="shared" si="7"/>
        <v>Nguyễn Dương Anh Tú_10AS2</v>
      </c>
      <c r="U92" s="28">
        <f t="array" ref="U92">IFERROR(VLOOKUP($T92,'Nghi hoc T12'!$H$7:$I$160,2,0),0)</f>
        <v>0</v>
      </c>
      <c r="V92" s="28">
        <f>IFERROR(VLOOKUP($T92,No_HP!$B$2:$C$514,2,0),0)</f>
        <v>0</v>
      </c>
      <c r="W92" s="28">
        <f t="shared" si="8"/>
        <v>0</v>
      </c>
      <c r="X92" s="333">
        <f t="shared" si="9"/>
        <v>0</v>
      </c>
      <c r="Y92" s="333">
        <f t="shared" si="10"/>
        <v>0</v>
      </c>
    </row>
    <row r="93" spans="1:25" s="2" customFormat="1" ht="21.95" customHeight="1">
      <c r="A93" s="82">
        <v>15</v>
      </c>
      <c r="B93" s="91" t="str">
        <f t="shared" si="11"/>
        <v>4A.S</v>
      </c>
      <c r="C93" s="83" t="s">
        <v>363</v>
      </c>
      <c r="D93" s="81" t="s">
        <v>511</v>
      </c>
      <c r="E93" s="48">
        <v>100085</v>
      </c>
      <c r="F93" s="30" t="s">
        <v>148</v>
      </c>
      <c r="G93" s="29" t="s">
        <v>52</v>
      </c>
      <c r="H93" s="30" t="s">
        <v>1110</v>
      </c>
      <c r="I93" s="78"/>
      <c r="J93" s="20"/>
      <c r="K93" s="20"/>
      <c r="L93" s="20"/>
      <c r="M93" s="20"/>
      <c r="N93" s="69" t="s">
        <v>256</v>
      </c>
      <c r="O93" s="70">
        <v>0</v>
      </c>
      <c r="P93" s="70">
        <v>0</v>
      </c>
      <c r="Q93" s="70">
        <f t="shared" si="6"/>
        <v>0</v>
      </c>
      <c r="R93" s="70"/>
      <c r="S93" s="67"/>
      <c r="T93" s="2" t="str">
        <f t="shared" si="7"/>
        <v>Nguyễn Anh Tuấn_10AS1</v>
      </c>
      <c r="U93" s="28">
        <f t="array" ref="U93">IFERROR(VLOOKUP($T93,'Nghi hoc T12'!$H$7:$I$160,2,0),0)</f>
        <v>0</v>
      </c>
      <c r="V93" s="28">
        <f>IFERROR(VLOOKUP($T93,No_HP!$B$2:$C$514,2,0),0)</f>
        <v>0</v>
      </c>
      <c r="W93" s="28">
        <f t="shared" si="8"/>
        <v>0</v>
      </c>
      <c r="X93" s="333">
        <f t="shared" si="9"/>
        <v>0</v>
      </c>
      <c r="Y93" s="333">
        <f t="shared" si="10"/>
        <v>0</v>
      </c>
    </row>
    <row r="94" spans="1:25" s="2" customFormat="1" ht="21.95" customHeight="1">
      <c r="A94" s="82">
        <v>16</v>
      </c>
      <c r="B94" s="91" t="str">
        <f t="shared" si="11"/>
        <v>4A.S</v>
      </c>
      <c r="C94" s="83" t="s">
        <v>363</v>
      </c>
      <c r="D94" s="81" t="s">
        <v>511</v>
      </c>
      <c r="E94" s="48">
        <v>100086</v>
      </c>
      <c r="F94" s="30" t="s">
        <v>1170</v>
      </c>
      <c r="G94" s="29" t="s">
        <v>33</v>
      </c>
      <c r="H94" s="30" t="s">
        <v>127</v>
      </c>
      <c r="I94" s="78"/>
      <c r="J94" s="20"/>
      <c r="K94" s="20"/>
      <c r="L94" s="20"/>
      <c r="M94" s="20"/>
      <c r="N94" s="69" t="s">
        <v>256</v>
      </c>
      <c r="O94" s="70">
        <v>0</v>
      </c>
      <c r="P94" s="70">
        <v>0</v>
      </c>
      <c r="Q94" s="70">
        <f t="shared" si="6"/>
        <v>0</v>
      </c>
      <c r="R94" s="70"/>
      <c r="S94" s="67"/>
      <c r="T94" s="2" t="str">
        <f t="shared" si="7"/>
        <v>Phạm Quốc Việt_10AS2</v>
      </c>
      <c r="U94" s="28">
        <f t="array" ref="U94">IFERROR(VLOOKUP($T94,'Nghi hoc T12'!$H$7:$I$160,2,0),0)</f>
        <v>0</v>
      </c>
      <c r="V94" s="28">
        <f>IFERROR(VLOOKUP($T94,No_HP!$B$2:$C$514,2,0),0)</f>
        <v>0</v>
      </c>
      <c r="W94" s="28">
        <f t="shared" si="8"/>
        <v>0</v>
      </c>
      <c r="X94" s="333">
        <f t="shared" si="9"/>
        <v>0</v>
      </c>
      <c r="Y94" s="333">
        <f t="shared" si="10"/>
        <v>0</v>
      </c>
    </row>
    <row r="95" spans="1:25" s="2" customFormat="1" ht="21.95" customHeight="1">
      <c r="A95" s="82">
        <v>17</v>
      </c>
      <c r="B95" s="91" t="str">
        <f t="shared" si="11"/>
        <v>4A.S</v>
      </c>
      <c r="C95" s="83" t="s">
        <v>363</v>
      </c>
      <c r="D95" s="81" t="s">
        <v>511</v>
      </c>
      <c r="E95" s="48">
        <v>100087</v>
      </c>
      <c r="F95" s="30" t="s">
        <v>1171</v>
      </c>
      <c r="G95" s="29" t="s">
        <v>61</v>
      </c>
      <c r="H95" s="30" t="s">
        <v>1110</v>
      </c>
      <c r="I95" s="78"/>
      <c r="J95" s="20"/>
      <c r="K95" s="20"/>
      <c r="L95" s="20"/>
      <c r="M95" s="20"/>
      <c r="N95" s="69" t="s">
        <v>256</v>
      </c>
      <c r="O95" s="70">
        <v>0</v>
      </c>
      <c r="P95" s="70">
        <v>0</v>
      </c>
      <c r="Q95" s="70">
        <f t="shared" si="6"/>
        <v>0</v>
      </c>
      <c r="R95" s="70"/>
      <c r="S95" s="67"/>
      <c r="T95" s="2" t="str">
        <f t="shared" si="7"/>
        <v>Hồ Đức Vinh_10AS1</v>
      </c>
      <c r="U95" s="28">
        <f t="array" ref="U95">IFERROR(VLOOKUP($T95,'Nghi hoc T12'!$H$7:$I$160,2,0),0)</f>
        <v>0</v>
      </c>
      <c r="V95" s="28">
        <f>IFERROR(VLOOKUP($T95,No_HP!$B$2:$C$514,2,0),0)</f>
        <v>0</v>
      </c>
      <c r="W95" s="28">
        <f t="shared" si="8"/>
        <v>0</v>
      </c>
      <c r="X95" s="333">
        <f t="shared" si="9"/>
        <v>0</v>
      </c>
      <c r="Y95" s="333">
        <f t="shared" si="10"/>
        <v>0</v>
      </c>
    </row>
    <row r="96" spans="1:25" s="2" customFormat="1" ht="21.95" customHeight="1">
      <c r="A96" s="82">
        <v>18</v>
      </c>
      <c r="B96" s="91" t="str">
        <f t="shared" si="11"/>
        <v>4A.S</v>
      </c>
      <c r="C96" s="83" t="s">
        <v>363</v>
      </c>
      <c r="D96" s="81" t="s">
        <v>511</v>
      </c>
      <c r="E96" s="48">
        <v>100088</v>
      </c>
      <c r="F96" s="30" t="s">
        <v>1172</v>
      </c>
      <c r="G96" s="29" t="s">
        <v>34</v>
      </c>
      <c r="H96" s="30" t="s">
        <v>127</v>
      </c>
      <c r="I96" s="78"/>
      <c r="J96" s="20"/>
      <c r="K96" s="20"/>
      <c r="L96" s="20"/>
      <c r="M96" s="20"/>
      <c r="N96" s="69" t="s">
        <v>256</v>
      </c>
      <c r="O96" s="70">
        <v>0</v>
      </c>
      <c r="P96" s="70">
        <v>0</v>
      </c>
      <c r="Q96" s="70">
        <f t="shared" si="6"/>
        <v>0</v>
      </c>
      <c r="R96" s="70"/>
      <c r="S96" s="67"/>
      <c r="T96" s="2" t="str">
        <f t="shared" si="7"/>
        <v>Nguyễn Hoàng Ái Vy_10AS2</v>
      </c>
      <c r="U96" s="28">
        <f t="array" ref="U96">IFERROR(VLOOKUP($T96,'Nghi hoc T12'!$H$7:$I$160,2,0),0)</f>
        <v>0</v>
      </c>
      <c r="V96" s="28">
        <f>IFERROR(VLOOKUP($T96,No_HP!$B$2:$C$514,2,0),0)</f>
        <v>0</v>
      </c>
      <c r="W96" s="28">
        <f t="shared" si="8"/>
        <v>0</v>
      </c>
      <c r="X96" s="333">
        <f t="shared" si="9"/>
        <v>0</v>
      </c>
      <c r="Y96" s="333">
        <f t="shared" si="10"/>
        <v>0</v>
      </c>
    </row>
    <row r="97" spans="1:25" s="2" customFormat="1" ht="21.95" customHeight="1">
      <c r="A97" s="82">
        <v>19</v>
      </c>
      <c r="B97" s="91" t="str">
        <f t="shared" si="11"/>
        <v>4A.S</v>
      </c>
      <c r="C97" s="83" t="s">
        <v>363</v>
      </c>
      <c r="D97" s="81" t="s">
        <v>511</v>
      </c>
      <c r="E97" s="48">
        <v>100089</v>
      </c>
      <c r="F97" s="30" t="s">
        <v>471</v>
      </c>
      <c r="G97" s="29" t="s">
        <v>34</v>
      </c>
      <c r="H97" s="30" t="s">
        <v>1110</v>
      </c>
      <c r="I97" s="78"/>
      <c r="J97" s="20"/>
      <c r="K97" s="20"/>
      <c r="L97" s="20"/>
      <c r="M97" s="20"/>
      <c r="N97" s="69" t="s">
        <v>256</v>
      </c>
      <c r="O97" s="70">
        <v>0</v>
      </c>
      <c r="P97" s="70">
        <v>0</v>
      </c>
      <c r="Q97" s="70">
        <f t="shared" si="6"/>
        <v>0</v>
      </c>
      <c r="R97" s="70"/>
      <c r="S97" s="67"/>
      <c r="T97" s="2" t="str">
        <f t="shared" si="7"/>
        <v>Nguyễn Ngọc Khánh Vy_10AS1</v>
      </c>
      <c r="U97" s="28">
        <f t="array" ref="U97">IFERROR(VLOOKUP($T97,'Nghi hoc T12'!$H$7:$I$160,2,0),0)</f>
        <v>0</v>
      </c>
      <c r="V97" s="28">
        <f>IFERROR(VLOOKUP($T97,No_HP!$B$2:$C$514,2,0),0)</f>
        <v>0</v>
      </c>
      <c r="W97" s="28">
        <f t="shared" si="8"/>
        <v>0</v>
      </c>
      <c r="X97" s="333">
        <f t="shared" si="9"/>
        <v>0</v>
      </c>
      <c r="Y97" s="333">
        <f t="shared" si="10"/>
        <v>0</v>
      </c>
    </row>
    <row r="98" spans="1:25" s="2" customFormat="1" ht="21.95" customHeight="1">
      <c r="A98" s="82">
        <v>20</v>
      </c>
      <c r="B98" s="91" t="str">
        <f t="shared" si="11"/>
        <v>4A.S</v>
      </c>
      <c r="C98" s="83" t="s">
        <v>363</v>
      </c>
      <c r="D98" s="81" t="s">
        <v>511</v>
      </c>
      <c r="E98" s="48">
        <v>100090</v>
      </c>
      <c r="F98" s="30" t="s">
        <v>327</v>
      </c>
      <c r="G98" s="29" t="s">
        <v>34</v>
      </c>
      <c r="H98" s="30" t="s">
        <v>1110</v>
      </c>
      <c r="I98" s="78"/>
      <c r="J98" s="20"/>
      <c r="K98" s="20"/>
      <c r="L98" s="20"/>
      <c r="M98" s="20"/>
      <c r="N98" s="69" t="s">
        <v>256</v>
      </c>
      <c r="O98" s="70">
        <v>0</v>
      </c>
      <c r="P98" s="70">
        <v>0</v>
      </c>
      <c r="Q98" s="70">
        <f t="shared" si="6"/>
        <v>0</v>
      </c>
      <c r="R98" s="70"/>
      <c r="S98" s="67"/>
      <c r="T98" s="2" t="str">
        <f t="shared" si="7"/>
        <v>Nguyễn Phương Vy_10AS1</v>
      </c>
      <c r="U98" s="28">
        <f t="array" ref="U98">IFERROR(VLOOKUP($T98,'Nghi hoc T12'!$H$7:$I$160,2,0),0)</f>
        <v>0</v>
      </c>
      <c r="V98" s="28">
        <f>IFERROR(VLOOKUP($T98,No_HP!$B$2:$C$514,2,0),0)</f>
        <v>0</v>
      </c>
      <c r="W98" s="28">
        <f t="shared" si="8"/>
        <v>0</v>
      </c>
      <c r="X98" s="333">
        <f t="shared" si="9"/>
        <v>0</v>
      </c>
      <c r="Y98" s="333">
        <f t="shared" si="10"/>
        <v>0</v>
      </c>
    </row>
    <row r="99" spans="1:25" s="2" customFormat="1" ht="21.95" customHeight="1">
      <c r="A99" s="82">
        <v>21</v>
      </c>
      <c r="B99" s="91" t="str">
        <f t="shared" si="11"/>
        <v>4A.S</v>
      </c>
      <c r="C99" s="83" t="s">
        <v>363</v>
      </c>
      <c r="D99" s="81" t="s">
        <v>511</v>
      </c>
      <c r="E99" s="48">
        <v>100091</v>
      </c>
      <c r="F99" s="30" t="s">
        <v>1173</v>
      </c>
      <c r="G99" s="29" t="s">
        <v>34</v>
      </c>
      <c r="H99" s="30" t="s">
        <v>127</v>
      </c>
      <c r="I99" s="78"/>
      <c r="J99" s="20"/>
      <c r="K99" s="20"/>
      <c r="L99" s="20"/>
      <c r="M99" s="20"/>
      <c r="N99" s="69" t="s">
        <v>256</v>
      </c>
      <c r="O99" s="70">
        <v>0</v>
      </c>
      <c r="P99" s="70">
        <v>0</v>
      </c>
      <c r="Q99" s="70">
        <f t="shared" si="6"/>
        <v>0</v>
      </c>
      <c r="R99" s="70"/>
      <c r="S99" s="67"/>
      <c r="T99" s="2" t="str">
        <f t="shared" si="7"/>
        <v>Nguyễn Thị Tường Vy_10AS2</v>
      </c>
      <c r="U99" s="28">
        <f t="array" ref="U99">IFERROR(VLOOKUP($T99,'Nghi hoc T12'!$H$7:$I$160,2,0),0)</f>
        <v>0</v>
      </c>
      <c r="V99" s="28">
        <f>IFERROR(VLOOKUP($T99,No_HP!$B$2:$C$514,2,0),0)</f>
        <v>0</v>
      </c>
      <c r="W99" s="28">
        <f t="shared" si="8"/>
        <v>0</v>
      </c>
      <c r="X99" s="333">
        <f t="shared" si="9"/>
        <v>0</v>
      </c>
      <c r="Y99" s="333">
        <f t="shared" si="10"/>
        <v>0</v>
      </c>
    </row>
    <row r="100" spans="1:25" s="2" customFormat="1" ht="21.95" customHeight="1">
      <c r="A100" s="82">
        <v>22</v>
      </c>
      <c r="B100" s="91" t="str">
        <f t="shared" si="11"/>
        <v>4A.S</v>
      </c>
      <c r="C100" s="83" t="s">
        <v>363</v>
      </c>
      <c r="D100" s="81" t="s">
        <v>511</v>
      </c>
      <c r="E100" s="48">
        <v>100092</v>
      </c>
      <c r="F100" s="30" t="s">
        <v>1174</v>
      </c>
      <c r="G100" s="29" t="s">
        <v>75</v>
      </c>
      <c r="H100" s="30" t="s">
        <v>127</v>
      </c>
      <c r="I100" s="78"/>
      <c r="J100" s="20"/>
      <c r="K100" s="20"/>
      <c r="L100" s="20"/>
      <c r="M100" s="20"/>
      <c r="N100" s="69" t="s">
        <v>256</v>
      </c>
      <c r="O100" s="70">
        <v>0</v>
      </c>
      <c r="P100" s="70">
        <v>0</v>
      </c>
      <c r="Q100" s="70">
        <f t="shared" si="6"/>
        <v>0</v>
      </c>
      <c r="R100" s="70"/>
      <c r="S100" s="67"/>
      <c r="T100" s="2" t="str">
        <f t="shared" si="7"/>
        <v>Trịnh Thị Như Ý_10AS2</v>
      </c>
      <c r="U100" s="28">
        <f t="array" ref="U100">IFERROR(VLOOKUP($T100,'Nghi hoc T12'!$H$7:$I$160,2,0),0)</f>
        <v>0</v>
      </c>
      <c r="V100" s="28">
        <f>IFERROR(VLOOKUP($T100,No_HP!$B$2:$C$514,2,0),0)</f>
        <v>0</v>
      </c>
      <c r="W100" s="28">
        <f t="shared" si="8"/>
        <v>0</v>
      </c>
      <c r="X100" s="333">
        <f t="shared" si="9"/>
        <v>0</v>
      </c>
      <c r="Y100" s="333">
        <f t="shared" si="10"/>
        <v>0</v>
      </c>
    </row>
    <row r="101" spans="1:25" s="2" customFormat="1" ht="21.95" customHeight="1">
      <c r="A101" s="82">
        <v>23</v>
      </c>
      <c r="B101" s="91" t="str">
        <f t="shared" si="11"/>
        <v>4A.S</v>
      </c>
      <c r="C101" s="83" t="s">
        <v>363</v>
      </c>
      <c r="D101" s="81" t="s">
        <v>511</v>
      </c>
      <c r="E101" s="48">
        <v>100093</v>
      </c>
      <c r="F101" s="30" t="s">
        <v>1175</v>
      </c>
      <c r="G101" s="29" t="s">
        <v>62</v>
      </c>
      <c r="H101" s="30" t="s">
        <v>1110</v>
      </c>
      <c r="I101" s="78"/>
      <c r="J101" s="20"/>
      <c r="K101" s="20"/>
      <c r="L101" s="20"/>
      <c r="M101" s="20"/>
      <c r="N101" s="69" t="s">
        <v>256</v>
      </c>
      <c r="O101" s="70">
        <v>0</v>
      </c>
      <c r="P101" s="70">
        <v>0</v>
      </c>
      <c r="Q101" s="70">
        <f t="shared" si="6"/>
        <v>0</v>
      </c>
      <c r="R101" s="70"/>
      <c r="S101" s="67"/>
      <c r="T101" s="2" t="str">
        <f t="shared" si="7"/>
        <v>Bùi Thị Kim Yến_10AS1</v>
      </c>
      <c r="U101" s="28">
        <f t="array" ref="U101">IFERROR(VLOOKUP($T101,'Nghi hoc T12'!$H$7:$I$160,2,0),0)</f>
        <v>0</v>
      </c>
      <c r="V101" s="28">
        <f>IFERROR(VLOOKUP($T101,No_HP!$B$2:$C$514,2,0),0)</f>
        <v>0</v>
      </c>
      <c r="W101" s="28">
        <f t="shared" si="8"/>
        <v>0</v>
      </c>
      <c r="X101" s="333">
        <f t="shared" si="9"/>
        <v>0</v>
      </c>
      <c r="Y101" s="333">
        <f t="shared" si="10"/>
        <v>0</v>
      </c>
    </row>
    <row r="102" spans="1:25" s="2" customFormat="1" ht="21.95" customHeight="1">
      <c r="A102" s="200">
        <v>1</v>
      </c>
      <c r="B102" s="91" t="str">
        <f t="shared" si="11"/>
        <v>5A.S</v>
      </c>
      <c r="C102" s="185" t="s">
        <v>364</v>
      </c>
      <c r="D102" s="186" t="s">
        <v>512</v>
      </c>
      <c r="E102" s="187">
        <v>100094</v>
      </c>
      <c r="F102" s="188" t="s">
        <v>1176</v>
      </c>
      <c r="G102" s="189" t="s">
        <v>63</v>
      </c>
      <c r="H102" s="188" t="s">
        <v>1177</v>
      </c>
      <c r="I102" s="190"/>
      <c r="J102" s="191"/>
      <c r="K102" s="191"/>
      <c r="L102" s="191"/>
      <c r="M102" s="191"/>
      <c r="N102" s="69" t="s">
        <v>256</v>
      </c>
      <c r="O102" s="70">
        <v>0</v>
      </c>
      <c r="P102" s="70">
        <v>0</v>
      </c>
      <c r="Q102" s="70">
        <f t="shared" si="6"/>
        <v>0</v>
      </c>
      <c r="R102" s="70"/>
      <c r="S102" s="67"/>
      <c r="T102" s="2" t="str">
        <f t="shared" si="7"/>
        <v>Trịnh Duy An_10AS3</v>
      </c>
      <c r="U102" s="28">
        <f t="array" ref="U102">IFERROR(VLOOKUP($T102,'Nghi hoc T12'!$H$7:$I$160,2,0),0)</f>
        <v>0</v>
      </c>
      <c r="V102" s="28">
        <f>IFERROR(VLOOKUP($T102,No_HP!$B$2:$C$514,2,0),0)</f>
        <v>0</v>
      </c>
      <c r="W102" s="28">
        <f t="shared" si="8"/>
        <v>0</v>
      </c>
      <c r="X102" s="333">
        <f t="shared" si="9"/>
        <v>0</v>
      </c>
      <c r="Y102" s="333">
        <f t="shared" si="10"/>
        <v>0</v>
      </c>
    </row>
    <row r="103" spans="1:25" s="2" customFormat="1" ht="21.95" customHeight="1">
      <c r="A103" s="82">
        <v>2</v>
      </c>
      <c r="B103" s="91" t="str">
        <f t="shared" si="11"/>
        <v>5A.S</v>
      </c>
      <c r="C103" s="83" t="s">
        <v>364</v>
      </c>
      <c r="D103" s="81" t="s">
        <v>512</v>
      </c>
      <c r="E103" s="48">
        <v>100095</v>
      </c>
      <c r="F103" s="30" t="s">
        <v>1178</v>
      </c>
      <c r="G103" s="29" t="s">
        <v>5</v>
      </c>
      <c r="H103" s="30" t="s">
        <v>1177</v>
      </c>
      <c r="I103" s="78"/>
      <c r="J103" s="20"/>
      <c r="K103" s="20"/>
      <c r="L103" s="20"/>
      <c r="M103" s="20"/>
      <c r="N103" s="69" t="s">
        <v>256</v>
      </c>
      <c r="O103" s="70">
        <v>0</v>
      </c>
      <c r="P103" s="70">
        <v>0</v>
      </c>
      <c r="Q103" s="70">
        <f t="shared" si="6"/>
        <v>0</v>
      </c>
      <c r="R103" s="70"/>
      <c r="S103" s="67"/>
      <c r="T103" s="2" t="str">
        <f t="shared" si="7"/>
        <v>Hoàng Ngọc Phương Anh_10AS3</v>
      </c>
      <c r="U103" s="28">
        <f t="array" ref="U103">IFERROR(VLOOKUP($T103,'Nghi hoc T12'!$H$7:$I$160,2,0),0)</f>
        <v>0</v>
      </c>
      <c r="V103" s="28">
        <f>IFERROR(VLOOKUP($T103,No_HP!$B$2:$C$514,2,0),0)</f>
        <v>0</v>
      </c>
      <c r="W103" s="28">
        <f t="shared" si="8"/>
        <v>0</v>
      </c>
      <c r="X103" s="333">
        <f t="shared" si="9"/>
        <v>0</v>
      </c>
      <c r="Y103" s="333">
        <f t="shared" si="10"/>
        <v>0</v>
      </c>
    </row>
    <row r="104" spans="1:25" s="2" customFormat="1" ht="21.95" customHeight="1">
      <c r="A104" s="82">
        <v>3</v>
      </c>
      <c r="B104" s="91" t="str">
        <f t="shared" si="11"/>
        <v>5A.S</v>
      </c>
      <c r="C104" s="83" t="s">
        <v>364</v>
      </c>
      <c r="D104" s="81" t="s">
        <v>512</v>
      </c>
      <c r="E104" s="48">
        <v>100096</v>
      </c>
      <c r="F104" s="30" t="s">
        <v>487</v>
      </c>
      <c r="G104" s="29" t="s">
        <v>5</v>
      </c>
      <c r="H104" s="30" t="s">
        <v>128</v>
      </c>
      <c r="I104" s="78"/>
      <c r="J104" s="20"/>
      <c r="K104" s="20"/>
      <c r="L104" s="20"/>
      <c r="M104" s="20"/>
      <c r="N104" s="69" t="s">
        <v>256</v>
      </c>
      <c r="O104" s="70">
        <v>0</v>
      </c>
      <c r="P104" s="70">
        <v>0</v>
      </c>
      <c r="Q104" s="70">
        <f t="shared" si="6"/>
        <v>0</v>
      </c>
      <c r="R104" s="70"/>
      <c r="S104" s="67"/>
      <c r="T104" s="2" t="str">
        <f t="shared" si="7"/>
        <v>Lê Thị Phương Anh_10AS4</v>
      </c>
      <c r="U104" s="28">
        <f t="array" ref="U104">IFERROR(VLOOKUP($T104,'Nghi hoc T12'!$H$7:$I$160,2,0),0)</f>
        <v>0</v>
      </c>
      <c r="V104" s="28">
        <f>IFERROR(VLOOKUP($T104,No_HP!$B$2:$C$514,2,0),0)</f>
        <v>0</v>
      </c>
      <c r="W104" s="28">
        <f t="shared" si="8"/>
        <v>0</v>
      </c>
      <c r="X104" s="333">
        <f t="shared" si="9"/>
        <v>0</v>
      </c>
      <c r="Y104" s="333">
        <f t="shared" si="10"/>
        <v>0</v>
      </c>
    </row>
    <row r="105" spans="1:25" s="2" customFormat="1" ht="21.95" customHeight="1">
      <c r="A105" s="82">
        <v>4</v>
      </c>
      <c r="B105" s="91" t="str">
        <f t="shared" si="11"/>
        <v>5A.S</v>
      </c>
      <c r="C105" s="83" t="s">
        <v>364</v>
      </c>
      <c r="D105" s="81" t="s">
        <v>512</v>
      </c>
      <c r="E105" s="48">
        <v>100097</v>
      </c>
      <c r="F105" s="30" t="s">
        <v>1179</v>
      </c>
      <c r="G105" s="29" t="s">
        <v>5</v>
      </c>
      <c r="H105" s="30" t="s">
        <v>128</v>
      </c>
      <c r="I105" s="78"/>
      <c r="J105" s="20"/>
      <c r="K105" s="20"/>
      <c r="L105" s="20"/>
      <c r="M105" s="20"/>
      <c r="N105" s="69" t="s">
        <v>256</v>
      </c>
      <c r="O105" s="70">
        <v>0</v>
      </c>
      <c r="P105" s="70">
        <v>0</v>
      </c>
      <c r="Q105" s="70">
        <f t="shared" si="6"/>
        <v>0</v>
      </c>
      <c r="R105" s="70"/>
      <c r="S105" s="67"/>
      <c r="T105" s="2" t="str">
        <f t="shared" si="7"/>
        <v>Lý Quốc Anh_10AS4</v>
      </c>
      <c r="U105" s="28">
        <f t="array" ref="U105">IFERROR(VLOOKUP($T105,'Nghi hoc T12'!$H$7:$I$160,2,0),0)</f>
        <v>0</v>
      </c>
      <c r="V105" s="28">
        <f>IFERROR(VLOOKUP($T105,No_HP!$B$2:$C$514,2,0),0)</f>
        <v>0</v>
      </c>
      <c r="W105" s="28">
        <f t="shared" si="8"/>
        <v>0</v>
      </c>
      <c r="X105" s="333">
        <f t="shared" si="9"/>
        <v>0</v>
      </c>
      <c r="Y105" s="333">
        <f t="shared" si="10"/>
        <v>0</v>
      </c>
    </row>
    <row r="106" spans="1:25" s="2" customFormat="1" ht="21.95" customHeight="1">
      <c r="A106" s="82">
        <v>5</v>
      </c>
      <c r="B106" s="91" t="str">
        <f t="shared" si="11"/>
        <v>5A.S</v>
      </c>
      <c r="C106" s="83" t="s">
        <v>364</v>
      </c>
      <c r="D106" s="81" t="s">
        <v>512</v>
      </c>
      <c r="E106" s="48">
        <v>100098</v>
      </c>
      <c r="F106" s="30" t="s">
        <v>1180</v>
      </c>
      <c r="G106" s="29" t="s">
        <v>5</v>
      </c>
      <c r="H106" s="30" t="s">
        <v>1177</v>
      </c>
      <c r="I106" s="78"/>
      <c r="J106" s="20"/>
      <c r="K106" s="20"/>
      <c r="L106" s="20"/>
      <c r="M106" s="20"/>
      <c r="N106" s="69" t="s">
        <v>256</v>
      </c>
      <c r="O106" s="70">
        <v>0</v>
      </c>
      <c r="P106" s="70">
        <v>0</v>
      </c>
      <c r="Q106" s="70">
        <f t="shared" si="6"/>
        <v>0</v>
      </c>
      <c r="R106" s="70"/>
      <c r="S106" s="67"/>
      <c r="T106" s="2" t="str">
        <f t="shared" si="7"/>
        <v>Nguyễn Thị Trâm Anh_10AS3</v>
      </c>
      <c r="U106" s="28">
        <f t="array" ref="U106">IFERROR(VLOOKUP($T106,'Nghi hoc T12'!$H$7:$I$160,2,0),0)</f>
        <v>0</v>
      </c>
      <c r="V106" s="28">
        <f>IFERROR(VLOOKUP($T106,No_HP!$B$2:$C$514,2,0),0)</f>
        <v>0</v>
      </c>
      <c r="W106" s="28">
        <f t="shared" si="8"/>
        <v>0</v>
      </c>
      <c r="X106" s="333">
        <f t="shared" si="9"/>
        <v>0</v>
      </c>
      <c r="Y106" s="333">
        <f t="shared" si="10"/>
        <v>0</v>
      </c>
    </row>
    <row r="107" spans="1:25" s="2" customFormat="1" ht="21.95" customHeight="1">
      <c r="A107" s="82">
        <v>6</v>
      </c>
      <c r="B107" s="91" t="str">
        <f t="shared" si="11"/>
        <v>5A.S</v>
      </c>
      <c r="C107" s="83" t="s">
        <v>364</v>
      </c>
      <c r="D107" s="81" t="s">
        <v>512</v>
      </c>
      <c r="E107" s="48">
        <v>100099</v>
      </c>
      <c r="F107" s="30" t="s">
        <v>1181</v>
      </c>
      <c r="G107" s="29" t="s">
        <v>5</v>
      </c>
      <c r="H107" s="30" t="s">
        <v>128</v>
      </c>
      <c r="I107" s="78"/>
      <c r="J107" s="20"/>
      <c r="K107" s="20"/>
      <c r="L107" s="20"/>
      <c r="M107" s="20"/>
      <c r="N107" s="69" t="s">
        <v>256</v>
      </c>
      <c r="O107" s="70">
        <v>0</v>
      </c>
      <c r="P107" s="70">
        <v>0</v>
      </c>
      <c r="Q107" s="70">
        <f t="shared" si="6"/>
        <v>0</v>
      </c>
      <c r="R107" s="70"/>
      <c r="S107" s="67"/>
      <c r="T107" s="2" t="str">
        <f t="shared" si="7"/>
        <v>Phan Thị Lan Anh_10AS4</v>
      </c>
      <c r="U107" s="28">
        <f t="array" ref="U107">IFERROR(VLOOKUP($T107,'Nghi hoc T12'!$H$7:$I$160,2,0),0)</f>
        <v>0</v>
      </c>
      <c r="V107" s="28">
        <f>IFERROR(VLOOKUP($T107,No_HP!$B$2:$C$514,2,0),0)</f>
        <v>0</v>
      </c>
      <c r="W107" s="28">
        <f t="shared" si="8"/>
        <v>0</v>
      </c>
      <c r="X107" s="333">
        <f t="shared" si="9"/>
        <v>0</v>
      </c>
      <c r="Y107" s="333">
        <f t="shared" si="10"/>
        <v>0</v>
      </c>
    </row>
    <row r="108" spans="1:25" s="2" customFormat="1" ht="21.95" customHeight="1">
      <c r="A108" s="82">
        <v>7</v>
      </c>
      <c r="B108" s="91" t="str">
        <f t="shared" si="11"/>
        <v>5A.S</v>
      </c>
      <c r="C108" s="83" t="s">
        <v>364</v>
      </c>
      <c r="D108" s="81" t="s">
        <v>512</v>
      </c>
      <c r="E108" s="48">
        <v>100100</v>
      </c>
      <c r="F108" s="30" t="s">
        <v>1124</v>
      </c>
      <c r="G108" s="29" t="s">
        <v>76</v>
      </c>
      <c r="H108" s="30" t="s">
        <v>128</v>
      </c>
      <c r="I108" s="78"/>
      <c r="J108" s="20"/>
      <c r="K108" s="20"/>
      <c r="L108" s="20"/>
      <c r="M108" s="20"/>
      <c r="N108" s="69" t="s">
        <v>256</v>
      </c>
      <c r="O108" s="70">
        <v>0</v>
      </c>
      <c r="P108" s="70">
        <v>0</v>
      </c>
      <c r="Q108" s="70">
        <f t="shared" si="6"/>
        <v>0</v>
      </c>
      <c r="R108" s="70"/>
      <c r="S108" s="67"/>
      <c r="T108" s="2" t="str">
        <f t="shared" si="7"/>
        <v>Lê Nguyễn Ngọc Ánh_10AS4</v>
      </c>
      <c r="U108" s="28">
        <f t="array" ref="U108">IFERROR(VLOOKUP($T108,'Nghi hoc T12'!$H$7:$I$160,2,0),0)</f>
        <v>0</v>
      </c>
      <c r="V108" s="28">
        <f>IFERROR(VLOOKUP($T108,No_HP!$B$2:$C$514,2,0),0)</f>
        <v>0</v>
      </c>
      <c r="W108" s="28">
        <f t="shared" si="8"/>
        <v>0</v>
      </c>
      <c r="X108" s="333">
        <f t="shared" si="9"/>
        <v>0</v>
      </c>
      <c r="Y108" s="333">
        <f t="shared" si="10"/>
        <v>0</v>
      </c>
    </row>
    <row r="109" spans="1:25" s="2" customFormat="1" ht="21.95" customHeight="1">
      <c r="A109" s="82">
        <v>8</v>
      </c>
      <c r="B109" s="91" t="str">
        <f t="shared" si="11"/>
        <v>5A.S</v>
      </c>
      <c r="C109" s="83" t="s">
        <v>364</v>
      </c>
      <c r="D109" s="81" t="s">
        <v>512</v>
      </c>
      <c r="E109" s="48">
        <v>100101</v>
      </c>
      <c r="F109" s="30" t="s">
        <v>1182</v>
      </c>
      <c r="G109" s="29" t="s">
        <v>108</v>
      </c>
      <c r="H109" s="30" t="s">
        <v>1177</v>
      </c>
      <c r="I109" s="78"/>
      <c r="J109" s="20"/>
      <c r="K109" s="20"/>
      <c r="L109" s="20"/>
      <c r="M109" s="20"/>
      <c r="N109" s="69" t="s">
        <v>256</v>
      </c>
      <c r="O109" s="70">
        <v>0</v>
      </c>
      <c r="P109" s="70">
        <v>0</v>
      </c>
      <c r="Q109" s="70">
        <f t="shared" si="6"/>
        <v>0</v>
      </c>
      <c r="R109" s="70"/>
      <c r="S109" s="67"/>
      <c r="T109" s="2" t="str">
        <f t="shared" si="7"/>
        <v>Cổ Thiên Ân_10AS3</v>
      </c>
      <c r="U109" s="28">
        <f t="array" ref="U109">IFERROR(VLOOKUP($T109,'Nghi hoc T12'!$H$7:$I$160,2,0),0)</f>
        <v>0</v>
      </c>
      <c r="V109" s="28">
        <f>IFERROR(VLOOKUP($T109,No_HP!$B$2:$C$514,2,0),0)</f>
        <v>0</v>
      </c>
      <c r="W109" s="28">
        <f t="shared" si="8"/>
        <v>0</v>
      </c>
      <c r="X109" s="333">
        <f t="shared" si="9"/>
        <v>0</v>
      </c>
      <c r="Y109" s="333">
        <f t="shared" si="10"/>
        <v>0</v>
      </c>
    </row>
    <row r="110" spans="1:25" s="2" customFormat="1" ht="21.95" customHeight="1">
      <c r="A110" s="82">
        <v>9</v>
      </c>
      <c r="B110" s="91" t="str">
        <f t="shared" si="11"/>
        <v>5A.S</v>
      </c>
      <c r="C110" s="83" t="s">
        <v>364</v>
      </c>
      <c r="D110" s="81" t="s">
        <v>512</v>
      </c>
      <c r="E110" s="48">
        <v>100102</v>
      </c>
      <c r="F110" s="30" t="s">
        <v>196</v>
      </c>
      <c r="G110" s="29" t="s">
        <v>83</v>
      </c>
      <c r="H110" s="30" t="s">
        <v>1177</v>
      </c>
      <c r="I110" s="78"/>
      <c r="J110" s="20"/>
      <c r="K110" s="20"/>
      <c r="L110" s="20"/>
      <c r="M110" s="20"/>
      <c r="N110" s="69" t="s">
        <v>256</v>
      </c>
      <c r="O110" s="70">
        <v>0</v>
      </c>
      <c r="P110" s="70">
        <v>0</v>
      </c>
      <c r="Q110" s="70">
        <f t="shared" si="6"/>
        <v>0</v>
      </c>
      <c r="R110" s="70"/>
      <c r="S110" s="67"/>
      <c r="T110" s="2" t="str">
        <f t="shared" si="7"/>
        <v>Trần Gia Bảo_10AS3</v>
      </c>
      <c r="U110" s="28">
        <f t="array" ref="U110">IFERROR(VLOOKUP($T110,'Nghi hoc T12'!$H$7:$I$160,2,0),0)</f>
        <v>0</v>
      </c>
      <c r="V110" s="28">
        <f>IFERROR(VLOOKUP($T110,No_HP!$B$2:$C$514,2,0),0)</f>
        <v>0</v>
      </c>
      <c r="W110" s="28">
        <f t="shared" si="8"/>
        <v>0</v>
      </c>
      <c r="X110" s="333">
        <f t="shared" si="9"/>
        <v>0</v>
      </c>
      <c r="Y110" s="333">
        <f t="shared" si="10"/>
        <v>0</v>
      </c>
    </row>
    <row r="111" spans="1:25" s="2" customFormat="1" ht="21.95" customHeight="1">
      <c r="A111" s="82">
        <v>10</v>
      </c>
      <c r="B111" s="91" t="str">
        <f t="shared" si="11"/>
        <v>5A.S</v>
      </c>
      <c r="C111" s="83" t="s">
        <v>364</v>
      </c>
      <c r="D111" s="81" t="s">
        <v>512</v>
      </c>
      <c r="E111" s="48">
        <v>100103</v>
      </c>
      <c r="F111" s="30" t="s">
        <v>175</v>
      </c>
      <c r="G111" s="29" t="s">
        <v>1183</v>
      </c>
      <c r="H111" s="30" t="s">
        <v>128</v>
      </c>
      <c r="I111" s="78"/>
      <c r="J111" s="20"/>
      <c r="K111" s="20"/>
      <c r="L111" s="20"/>
      <c r="M111" s="20"/>
      <c r="N111" s="69" t="s">
        <v>256</v>
      </c>
      <c r="O111" s="70">
        <v>0</v>
      </c>
      <c r="P111" s="70">
        <v>0</v>
      </c>
      <c r="Q111" s="70">
        <f t="shared" si="6"/>
        <v>0</v>
      </c>
      <c r="R111" s="70"/>
      <c r="S111" s="67"/>
      <c r="T111" s="2" t="str">
        <f t="shared" si="7"/>
        <v>Nguyễn Khánh Băng_10AS4</v>
      </c>
      <c r="U111" s="28">
        <f t="array" ref="U111">IFERROR(VLOOKUP($T111,'Nghi hoc T12'!$H$7:$I$160,2,0),0)</f>
        <v>0</v>
      </c>
      <c r="V111" s="28">
        <f>IFERROR(VLOOKUP($T111,No_HP!$B$2:$C$514,2,0),0)</f>
        <v>0</v>
      </c>
      <c r="W111" s="28">
        <f t="shared" si="8"/>
        <v>0</v>
      </c>
      <c r="X111" s="333">
        <f t="shared" si="9"/>
        <v>0</v>
      </c>
      <c r="Y111" s="333">
        <f t="shared" si="10"/>
        <v>0</v>
      </c>
    </row>
    <row r="112" spans="1:25" s="2" customFormat="1" ht="21.95" customHeight="1">
      <c r="A112" s="82">
        <v>11</v>
      </c>
      <c r="B112" s="91" t="str">
        <f t="shared" si="11"/>
        <v>5A.S</v>
      </c>
      <c r="C112" s="83" t="s">
        <v>364</v>
      </c>
      <c r="D112" s="81" t="s">
        <v>512</v>
      </c>
      <c r="E112" s="48">
        <v>100104</v>
      </c>
      <c r="F112" s="30" t="s">
        <v>1184</v>
      </c>
      <c r="G112" s="29" t="s">
        <v>169</v>
      </c>
      <c r="H112" s="30" t="s">
        <v>1177</v>
      </c>
      <c r="I112" s="78"/>
      <c r="J112" s="20"/>
      <c r="K112" s="20"/>
      <c r="L112" s="20"/>
      <c r="M112" s="20"/>
      <c r="N112" s="69" t="s">
        <v>256</v>
      </c>
      <c r="O112" s="70">
        <v>0</v>
      </c>
      <c r="P112" s="70">
        <v>0</v>
      </c>
      <c r="Q112" s="70">
        <f t="shared" si="6"/>
        <v>0</v>
      </c>
      <c r="R112" s="70"/>
      <c r="S112" s="67"/>
      <c r="T112" s="2" t="str">
        <f t="shared" si="7"/>
        <v>Bùi Thị Ngọc Bích_10AS3</v>
      </c>
      <c r="U112" s="28">
        <f t="array" ref="U112">IFERROR(VLOOKUP($T112,'Nghi hoc T12'!$H$7:$I$160,2,0),0)</f>
        <v>0</v>
      </c>
      <c r="V112" s="28">
        <f>IFERROR(VLOOKUP($T112,No_HP!$B$2:$C$514,2,0),0)</f>
        <v>0</v>
      </c>
      <c r="W112" s="28">
        <f t="shared" si="8"/>
        <v>0</v>
      </c>
      <c r="X112" s="333">
        <f t="shared" si="9"/>
        <v>0</v>
      </c>
      <c r="Y112" s="333">
        <f t="shared" si="10"/>
        <v>0</v>
      </c>
    </row>
    <row r="113" spans="1:25" s="2" customFormat="1" ht="21.95" customHeight="1">
      <c r="A113" s="82">
        <v>12</v>
      </c>
      <c r="B113" s="91" t="str">
        <f t="shared" si="11"/>
        <v>5A.S</v>
      </c>
      <c r="C113" s="83" t="s">
        <v>364</v>
      </c>
      <c r="D113" s="81" t="s">
        <v>512</v>
      </c>
      <c r="E113" s="48">
        <v>100105</v>
      </c>
      <c r="F113" s="30" t="s">
        <v>183</v>
      </c>
      <c r="G113" s="29" t="s">
        <v>77</v>
      </c>
      <c r="H113" s="30" t="s">
        <v>128</v>
      </c>
      <c r="I113" s="78"/>
      <c r="J113" s="20"/>
      <c r="K113" s="20"/>
      <c r="L113" s="20"/>
      <c r="M113" s="20"/>
      <c r="N113" s="69" t="s">
        <v>256</v>
      </c>
      <c r="O113" s="70">
        <v>0</v>
      </c>
      <c r="P113" s="70">
        <v>0</v>
      </c>
      <c r="Q113" s="70">
        <f t="shared" si="6"/>
        <v>0</v>
      </c>
      <c r="R113" s="70"/>
      <c r="S113" s="67"/>
      <c r="T113" s="2" t="str">
        <f t="shared" si="7"/>
        <v>Nguyễn Thanh Bình_10AS4</v>
      </c>
      <c r="U113" s="28">
        <f t="array" ref="U113">IFERROR(VLOOKUP($T113,'Nghi hoc T12'!$H$7:$I$160,2,0),0)</f>
        <v>0</v>
      </c>
      <c r="V113" s="28">
        <f>IFERROR(VLOOKUP($T113,No_HP!$B$2:$C$514,2,0),0)</f>
        <v>0</v>
      </c>
      <c r="W113" s="28">
        <f t="shared" si="8"/>
        <v>0</v>
      </c>
      <c r="X113" s="333">
        <f t="shared" si="9"/>
        <v>0</v>
      </c>
      <c r="Y113" s="333">
        <f t="shared" si="10"/>
        <v>0</v>
      </c>
    </row>
    <row r="114" spans="1:25" s="2" customFormat="1" ht="21.95" customHeight="1">
      <c r="A114" s="82">
        <v>13</v>
      </c>
      <c r="B114" s="91" t="str">
        <f t="shared" si="11"/>
        <v>5A.S</v>
      </c>
      <c r="C114" s="83" t="s">
        <v>364</v>
      </c>
      <c r="D114" s="81" t="s">
        <v>512</v>
      </c>
      <c r="E114" s="48">
        <v>100106</v>
      </c>
      <c r="F114" s="30" t="s">
        <v>1185</v>
      </c>
      <c r="G114" s="29" t="s">
        <v>66</v>
      </c>
      <c r="H114" s="30" t="s">
        <v>128</v>
      </c>
      <c r="I114" s="78"/>
      <c r="J114" s="20"/>
      <c r="K114" s="20"/>
      <c r="L114" s="20"/>
      <c r="M114" s="20"/>
      <c r="N114" s="69" t="s">
        <v>256</v>
      </c>
      <c r="O114" s="70">
        <v>0</v>
      </c>
      <c r="P114" s="70">
        <v>0</v>
      </c>
      <c r="Q114" s="70">
        <f t="shared" si="6"/>
        <v>0</v>
      </c>
      <c r="R114" s="70"/>
      <c r="S114" s="67"/>
      <c r="T114" s="2" t="str">
        <f t="shared" si="7"/>
        <v>Nguyễn Mỹ Duyên_10AS4</v>
      </c>
      <c r="U114" s="28">
        <f t="array" ref="U114">IFERROR(VLOOKUP($T114,'Nghi hoc T12'!$H$7:$I$160,2,0),0)</f>
        <v>0</v>
      </c>
      <c r="V114" s="28">
        <f>IFERROR(VLOOKUP($T114,No_HP!$B$2:$C$514,2,0),0)</f>
        <v>0</v>
      </c>
      <c r="W114" s="28">
        <f t="shared" si="8"/>
        <v>0</v>
      </c>
      <c r="X114" s="333">
        <f t="shared" si="9"/>
        <v>0</v>
      </c>
      <c r="Y114" s="333">
        <f t="shared" si="10"/>
        <v>0</v>
      </c>
    </row>
    <row r="115" spans="1:25" s="2" customFormat="1" ht="21.95" customHeight="1">
      <c r="A115" s="82">
        <v>14</v>
      </c>
      <c r="B115" s="91" t="str">
        <f t="shared" si="11"/>
        <v>5A.S</v>
      </c>
      <c r="C115" s="83" t="s">
        <v>364</v>
      </c>
      <c r="D115" s="81" t="s">
        <v>512</v>
      </c>
      <c r="E115" s="48">
        <v>100107</v>
      </c>
      <c r="F115" s="30" t="s">
        <v>1186</v>
      </c>
      <c r="G115" s="29" t="s">
        <v>53</v>
      </c>
      <c r="H115" s="30" t="s">
        <v>1177</v>
      </c>
      <c r="I115" s="78"/>
      <c r="J115" s="20"/>
      <c r="K115" s="20"/>
      <c r="L115" s="20"/>
      <c r="M115" s="20"/>
      <c r="N115" s="69" t="s">
        <v>256</v>
      </c>
      <c r="O115" s="70">
        <v>0</v>
      </c>
      <c r="P115" s="70">
        <v>0</v>
      </c>
      <c r="Q115" s="70">
        <f t="shared" si="6"/>
        <v>0</v>
      </c>
      <c r="R115" s="70"/>
      <c r="S115" s="67"/>
      <c r="T115" s="2" t="str">
        <f t="shared" si="7"/>
        <v>Lê Nguyễn Ánh Dương_10AS3</v>
      </c>
      <c r="U115" s="28">
        <f t="array" ref="U115">IFERROR(VLOOKUP($T115,'Nghi hoc T12'!$H$7:$I$160,2,0),0)</f>
        <v>0</v>
      </c>
      <c r="V115" s="28">
        <f>IFERROR(VLOOKUP($T115,No_HP!$B$2:$C$514,2,0),0)</f>
        <v>0</v>
      </c>
      <c r="W115" s="28">
        <f t="shared" si="8"/>
        <v>0</v>
      </c>
      <c r="X115" s="333">
        <f t="shared" si="9"/>
        <v>0</v>
      </c>
      <c r="Y115" s="333">
        <f t="shared" si="10"/>
        <v>0</v>
      </c>
    </row>
    <row r="116" spans="1:25" s="2" customFormat="1" ht="21.95" customHeight="1">
      <c r="A116" s="82">
        <v>15</v>
      </c>
      <c r="B116" s="91" t="str">
        <f t="shared" si="11"/>
        <v>5A.S</v>
      </c>
      <c r="C116" s="83" t="s">
        <v>364</v>
      </c>
      <c r="D116" s="81" t="s">
        <v>512</v>
      </c>
      <c r="E116" s="48">
        <v>100108</v>
      </c>
      <c r="F116" s="30" t="s">
        <v>1187</v>
      </c>
      <c r="G116" s="29" t="s">
        <v>53</v>
      </c>
      <c r="H116" s="30" t="s">
        <v>128</v>
      </c>
      <c r="I116" s="78"/>
      <c r="J116" s="20"/>
      <c r="K116" s="20"/>
      <c r="L116" s="20"/>
      <c r="M116" s="20"/>
      <c r="N116" s="69" t="s">
        <v>256</v>
      </c>
      <c r="O116" s="70">
        <v>0</v>
      </c>
      <c r="P116" s="70">
        <v>0</v>
      </c>
      <c r="Q116" s="70">
        <f t="shared" si="6"/>
        <v>0</v>
      </c>
      <c r="R116" s="70"/>
      <c r="S116" s="67"/>
      <c r="T116" s="2" t="str">
        <f t="shared" si="7"/>
        <v>Trần Thuỳ Dương_10AS4</v>
      </c>
      <c r="U116" s="28">
        <f t="array" ref="U116">IFERROR(VLOOKUP($T116,'Nghi hoc T12'!$H$7:$I$160,2,0),0)</f>
        <v>0</v>
      </c>
      <c r="V116" s="28">
        <f>IFERROR(VLOOKUP($T116,No_HP!$B$2:$C$514,2,0),0)</f>
        <v>0</v>
      </c>
      <c r="W116" s="28">
        <f t="shared" si="8"/>
        <v>0</v>
      </c>
      <c r="X116" s="333">
        <f t="shared" si="9"/>
        <v>0</v>
      </c>
      <c r="Y116" s="333">
        <f t="shared" si="10"/>
        <v>0</v>
      </c>
    </row>
    <row r="117" spans="1:25" s="2" customFormat="1" ht="21.95" customHeight="1">
      <c r="A117" s="82">
        <v>16</v>
      </c>
      <c r="B117" s="91" t="str">
        <f t="shared" si="11"/>
        <v>5A.S</v>
      </c>
      <c r="C117" s="83" t="s">
        <v>364</v>
      </c>
      <c r="D117" s="81" t="s">
        <v>512</v>
      </c>
      <c r="E117" s="48">
        <v>100109</v>
      </c>
      <c r="F117" s="30" t="s">
        <v>151</v>
      </c>
      <c r="G117" s="29" t="s">
        <v>7</v>
      </c>
      <c r="H117" s="30" t="s">
        <v>128</v>
      </c>
      <c r="I117" s="78"/>
      <c r="J117" s="20"/>
      <c r="K117" s="20"/>
      <c r="L117" s="20"/>
      <c r="M117" s="20"/>
      <c r="N117" s="69" t="s">
        <v>256</v>
      </c>
      <c r="O117" s="70">
        <v>0</v>
      </c>
      <c r="P117" s="70">
        <v>0</v>
      </c>
      <c r="Q117" s="70">
        <f t="shared" si="6"/>
        <v>0</v>
      </c>
      <c r="R117" s="70"/>
      <c r="S117" s="67"/>
      <c r="T117" s="2" t="str">
        <f t="shared" si="7"/>
        <v>Nguyễn Hoàng Đạt_10AS4</v>
      </c>
      <c r="U117" s="28">
        <f t="array" ref="U117">IFERROR(VLOOKUP($T117,'Nghi hoc T12'!$H$7:$I$160,2,0),0)</f>
        <v>0</v>
      </c>
      <c r="V117" s="28">
        <f>IFERROR(VLOOKUP($T117,No_HP!$B$2:$C$514,2,0),0)</f>
        <v>0</v>
      </c>
      <c r="W117" s="28">
        <f t="shared" si="8"/>
        <v>0</v>
      </c>
      <c r="X117" s="333">
        <f t="shared" si="9"/>
        <v>0</v>
      </c>
      <c r="Y117" s="333">
        <f t="shared" si="10"/>
        <v>0</v>
      </c>
    </row>
    <row r="118" spans="1:25" s="2" customFormat="1" ht="21.95" customHeight="1">
      <c r="A118" s="82">
        <v>17</v>
      </c>
      <c r="B118" s="91" t="str">
        <f t="shared" si="11"/>
        <v>5A.S</v>
      </c>
      <c r="C118" s="83" t="s">
        <v>364</v>
      </c>
      <c r="D118" s="81" t="s">
        <v>512</v>
      </c>
      <c r="E118" s="48">
        <v>100110</v>
      </c>
      <c r="F118" s="30" t="s">
        <v>1188</v>
      </c>
      <c r="G118" s="29" t="s">
        <v>36</v>
      </c>
      <c r="H118" s="30" t="s">
        <v>1177</v>
      </c>
      <c r="I118" s="78"/>
      <c r="J118" s="20"/>
      <c r="K118" s="20"/>
      <c r="L118" s="20"/>
      <c r="M118" s="20"/>
      <c r="N118" s="69" t="s">
        <v>256</v>
      </c>
      <c r="O118" s="70">
        <v>0</v>
      </c>
      <c r="P118" s="70">
        <v>0</v>
      </c>
      <c r="Q118" s="70">
        <f t="shared" si="6"/>
        <v>0</v>
      </c>
      <c r="R118" s="70"/>
      <c r="S118" s="67"/>
      <c r="T118" s="2" t="str">
        <f t="shared" si="7"/>
        <v>Nguyễn Trần Phúc Đức_10AS3</v>
      </c>
      <c r="U118" s="28">
        <f t="array" ref="U118">IFERROR(VLOOKUP($T118,'Nghi hoc T12'!$H$7:$I$160,2,0),0)</f>
        <v>0</v>
      </c>
      <c r="V118" s="28">
        <f>IFERROR(VLOOKUP($T118,No_HP!$B$2:$C$514,2,0),0)</f>
        <v>0</v>
      </c>
      <c r="W118" s="28">
        <f t="shared" si="8"/>
        <v>0</v>
      </c>
      <c r="X118" s="333">
        <f t="shared" si="9"/>
        <v>0</v>
      </c>
      <c r="Y118" s="333">
        <f t="shared" si="10"/>
        <v>0</v>
      </c>
    </row>
    <row r="119" spans="1:25" s="2" customFormat="1" ht="21.95" customHeight="1">
      <c r="A119" s="82">
        <v>18</v>
      </c>
      <c r="B119" s="91" t="str">
        <f t="shared" si="11"/>
        <v>5A.S</v>
      </c>
      <c r="C119" s="83" t="s">
        <v>364</v>
      </c>
      <c r="D119" s="81" t="s">
        <v>512</v>
      </c>
      <c r="E119" s="48">
        <v>100111</v>
      </c>
      <c r="F119" s="30" t="s">
        <v>1189</v>
      </c>
      <c r="G119" s="29" t="s">
        <v>36</v>
      </c>
      <c r="H119" s="30" t="s">
        <v>128</v>
      </c>
      <c r="I119" s="78"/>
      <c r="J119" s="20"/>
      <c r="K119" s="20"/>
      <c r="L119" s="20"/>
      <c r="M119" s="20"/>
      <c r="N119" s="69" t="s">
        <v>256</v>
      </c>
      <c r="O119" s="70">
        <v>0</v>
      </c>
      <c r="P119" s="70">
        <v>0</v>
      </c>
      <c r="Q119" s="70">
        <f t="shared" si="6"/>
        <v>0</v>
      </c>
      <c r="R119" s="70"/>
      <c r="S119" s="67"/>
      <c r="T119" s="2" t="str">
        <f t="shared" si="7"/>
        <v>Trần Thiên Lộc Đức_10AS4</v>
      </c>
      <c r="U119" s="28">
        <f t="array" ref="U119">IFERROR(VLOOKUP($T119,'Nghi hoc T12'!$H$7:$I$160,2,0),0)</f>
        <v>0</v>
      </c>
      <c r="V119" s="28">
        <f>IFERROR(VLOOKUP($T119,No_HP!$B$2:$C$514,2,0),0)</f>
        <v>0</v>
      </c>
      <c r="W119" s="28">
        <f t="shared" si="8"/>
        <v>0</v>
      </c>
      <c r="X119" s="333">
        <f t="shared" si="9"/>
        <v>0</v>
      </c>
      <c r="Y119" s="333">
        <f t="shared" si="10"/>
        <v>0</v>
      </c>
    </row>
    <row r="120" spans="1:25" s="2" customFormat="1" ht="21.95" customHeight="1">
      <c r="A120" s="82">
        <v>19</v>
      </c>
      <c r="B120" s="91" t="str">
        <f t="shared" si="11"/>
        <v>5A.S</v>
      </c>
      <c r="C120" s="83" t="s">
        <v>364</v>
      </c>
      <c r="D120" s="81" t="s">
        <v>512</v>
      </c>
      <c r="E120" s="48">
        <v>100112</v>
      </c>
      <c r="F120" s="30" t="s">
        <v>1190</v>
      </c>
      <c r="G120" s="29" t="s">
        <v>439</v>
      </c>
      <c r="H120" s="30" t="s">
        <v>1177</v>
      </c>
      <c r="I120" s="78"/>
      <c r="J120" s="20"/>
      <c r="K120" s="20"/>
      <c r="L120" s="20"/>
      <c r="M120" s="20"/>
      <c r="N120" s="69" t="s">
        <v>256</v>
      </c>
      <c r="O120" s="70">
        <v>0</v>
      </c>
      <c r="P120" s="70">
        <v>0</v>
      </c>
      <c r="Q120" s="70">
        <f t="shared" si="6"/>
        <v>0</v>
      </c>
      <c r="R120" s="70"/>
      <c r="S120" s="67"/>
      <c r="T120" s="2" t="str">
        <f t="shared" si="7"/>
        <v>Hồ Thị Cẩm Giang_10AS3</v>
      </c>
      <c r="U120" s="28">
        <f t="array" ref="U120">IFERROR(VLOOKUP($T120,'Nghi hoc T12'!$H$7:$I$160,2,0),0)</f>
        <v>0</v>
      </c>
      <c r="V120" s="28">
        <f>IFERROR(VLOOKUP($T120,No_HP!$B$2:$C$514,2,0),0)</f>
        <v>0</v>
      </c>
      <c r="W120" s="28">
        <f t="shared" si="8"/>
        <v>0</v>
      </c>
      <c r="X120" s="333">
        <f t="shared" si="9"/>
        <v>0</v>
      </c>
      <c r="Y120" s="333">
        <f t="shared" si="10"/>
        <v>0</v>
      </c>
    </row>
    <row r="121" spans="1:25" s="2" customFormat="1" ht="21.95" customHeight="1">
      <c r="A121" s="82">
        <v>20</v>
      </c>
      <c r="B121" s="91" t="str">
        <f t="shared" si="11"/>
        <v>5A.S</v>
      </c>
      <c r="C121" s="83" t="s">
        <v>364</v>
      </c>
      <c r="D121" s="81" t="s">
        <v>512</v>
      </c>
      <c r="E121" s="48">
        <v>100113</v>
      </c>
      <c r="F121" s="30" t="s">
        <v>1191</v>
      </c>
      <c r="G121" s="29" t="s">
        <v>439</v>
      </c>
      <c r="H121" s="30" t="s">
        <v>128</v>
      </c>
      <c r="I121" s="78"/>
      <c r="J121" s="20"/>
      <c r="K121" s="20"/>
      <c r="L121" s="20"/>
      <c r="M121" s="20"/>
      <c r="N121" s="69" t="s">
        <v>256</v>
      </c>
      <c r="O121" s="70">
        <v>0</v>
      </c>
      <c r="P121" s="70">
        <v>0</v>
      </c>
      <c r="Q121" s="70">
        <f t="shared" si="6"/>
        <v>0</v>
      </c>
      <c r="R121" s="70"/>
      <c r="S121" s="67"/>
      <c r="T121" s="2" t="str">
        <f t="shared" si="7"/>
        <v>Nguyễn Hương Giang_10AS4</v>
      </c>
      <c r="U121" s="28">
        <f t="array" ref="U121">IFERROR(VLOOKUP($T121,'Nghi hoc T12'!$H$7:$I$160,2,0),0)</f>
        <v>0</v>
      </c>
      <c r="V121" s="28">
        <f>IFERROR(VLOOKUP($T121,No_HP!$B$2:$C$514,2,0),0)</f>
        <v>0</v>
      </c>
      <c r="W121" s="28">
        <f t="shared" si="8"/>
        <v>0</v>
      </c>
      <c r="X121" s="333">
        <f t="shared" si="9"/>
        <v>0</v>
      </c>
      <c r="Y121" s="333">
        <f t="shared" si="10"/>
        <v>0</v>
      </c>
    </row>
    <row r="122" spans="1:25" s="2" customFormat="1" ht="21.95" customHeight="1">
      <c r="A122" s="82">
        <v>21</v>
      </c>
      <c r="B122" s="91" t="str">
        <f t="shared" si="11"/>
        <v>5A.S</v>
      </c>
      <c r="C122" s="83" t="s">
        <v>364</v>
      </c>
      <c r="D122" s="81" t="s">
        <v>512</v>
      </c>
      <c r="E122" s="48">
        <v>100114</v>
      </c>
      <c r="F122" s="30" t="s">
        <v>1192</v>
      </c>
      <c r="G122" s="29" t="s">
        <v>171</v>
      </c>
      <c r="H122" s="30" t="s">
        <v>1177</v>
      </c>
      <c r="I122" s="78"/>
      <c r="J122" s="20"/>
      <c r="K122" s="20"/>
      <c r="L122" s="20"/>
      <c r="M122" s="20"/>
      <c r="N122" s="69" t="s">
        <v>256</v>
      </c>
      <c r="O122" s="70">
        <v>0</v>
      </c>
      <c r="P122" s="70">
        <v>0</v>
      </c>
      <c r="Q122" s="70">
        <f t="shared" si="6"/>
        <v>0</v>
      </c>
      <c r="R122" s="70"/>
      <c r="S122" s="67"/>
      <c r="T122" s="2" t="str">
        <f t="shared" si="7"/>
        <v>Nguyễn Phúc Hoàng Hải_10AS3</v>
      </c>
      <c r="U122" s="28">
        <f t="array" ref="U122">IFERROR(VLOOKUP($T122,'Nghi hoc T12'!$H$7:$I$160,2,0),0)</f>
        <v>0</v>
      </c>
      <c r="V122" s="28">
        <f>IFERROR(VLOOKUP($T122,No_HP!$B$2:$C$514,2,0),0)</f>
        <v>0</v>
      </c>
      <c r="W122" s="28">
        <f t="shared" si="8"/>
        <v>0</v>
      </c>
      <c r="X122" s="333">
        <f t="shared" si="9"/>
        <v>0</v>
      </c>
      <c r="Y122" s="333">
        <f t="shared" si="10"/>
        <v>0</v>
      </c>
    </row>
    <row r="123" spans="1:25" s="2" customFormat="1" ht="21.95" customHeight="1">
      <c r="A123" s="82">
        <v>22</v>
      </c>
      <c r="B123" s="91" t="str">
        <f t="shared" si="11"/>
        <v>5A.S</v>
      </c>
      <c r="C123" s="83" t="s">
        <v>364</v>
      </c>
      <c r="D123" s="81" t="s">
        <v>512</v>
      </c>
      <c r="E123" s="48">
        <v>100115</v>
      </c>
      <c r="F123" s="30" t="s">
        <v>316</v>
      </c>
      <c r="G123" s="29" t="s">
        <v>173</v>
      </c>
      <c r="H123" s="30" t="s">
        <v>128</v>
      </c>
      <c r="I123" s="78"/>
      <c r="J123" s="20"/>
      <c r="K123" s="20"/>
      <c r="L123" s="20"/>
      <c r="M123" s="20"/>
      <c r="N123" s="69" t="s">
        <v>256</v>
      </c>
      <c r="O123" s="70">
        <v>0</v>
      </c>
      <c r="P123" s="70">
        <v>0</v>
      </c>
      <c r="Q123" s="70">
        <f t="shared" si="6"/>
        <v>0</v>
      </c>
      <c r="R123" s="70"/>
      <c r="S123" s="67"/>
      <c r="T123" s="2" t="str">
        <f t="shared" si="7"/>
        <v>Ngô Thị Ngọc Hằng_10AS4</v>
      </c>
      <c r="U123" s="28">
        <f t="array" ref="U123">IFERROR(VLOOKUP($T123,'Nghi hoc T12'!$H$7:$I$160,2,0),0)</f>
        <v>0</v>
      </c>
      <c r="V123" s="28">
        <f>IFERROR(VLOOKUP($T123,No_HP!$B$2:$C$514,2,0),0)</f>
        <v>0</v>
      </c>
      <c r="W123" s="28">
        <f t="shared" si="8"/>
        <v>0</v>
      </c>
      <c r="X123" s="333">
        <f t="shared" si="9"/>
        <v>0</v>
      </c>
      <c r="Y123" s="333">
        <f t="shared" si="10"/>
        <v>0</v>
      </c>
    </row>
    <row r="124" spans="1:25" s="2" customFormat="1" ht="21.95" customHeight="1">
      <c r="A124" s="82">
        <v>23</v>
      </c>
      <c r="B124" s="91" t="str">
        <f t="shared" si="11"/>
        <v>5A.S</v>
      </c>
      <c r="C124" s="83" t="s">
        <v>364</v>
      </c>
      <c r="D124" s="81" t="s">
        <v>512</v>
      </c>
      <c r="E124" s="48">
        <v>100116</v>
      </c>
      <c r="F124" s="30" t="s">
        <v>464</v>
      </c>
      <c r="G124" s="29" t="s">
        <v>84</v>
      </c>
      <c r="H124" s="30" t="s">
        <v>128</v>
      </c>
      <c r="I124" s="78"/>
      <c r="J124" s="20"/>
      <c r="K124" s="20"/>
      <c r="L124" s="20"/>
      <c r="M124" s="20"/>
      <c r="N124" s="69" t="s">
        <v>256</v>
      </c>
      <c r="O124" s="70">
        <v>0</v>
      </c>
      <c r="P124" s="70">
        <v>0</v>
      </c>
      <c r="Q124" s="70">
        <f t="shared" si="6"/>
        <v>0</v>
      </c>
      <c r="R124" s="70"/>
      <c r="S124" s="67"/>
      <c r="T124" s="2" t="str">
        <f t="shared" si="7"/>
        <v>Trịnh Gia Hân_10AS4</v>
      </c>
      <c r="U124" s="28">
        <f t="array" ref="U124">IFERROR(VLOOKUP($T124,'Nghi hoc T12'!$H$7:$I$160,2,0),0)</f>
        <v>0</v>
      </c>
      <c r="V124" s="28">
        <f>IFERROR(VLOOKUP($T124,No_HP!$B$2:$C$514,2,0),0)</f>
        <v>0</v>
      </c>
      <c r="W124" s="28">
        <f t="shared" si="8"/>
        <v>0</v>
      </c>
      <c r="X124" s="333">
        <f t="shared" si="9"/>
        <v>0</v>
      </c>
      <c r="Y124" s="333">
        <f t="shared" si="10"/>
        <v>0</v>
      </c>
    </row>
    <row r="125" spans="1:25" s="2" customFormat="1" ht="21.95" customHeight="1">
      <c r="A125" s="82">
        <v>24</v>
      </c>
      <c r="B125" s="91" t="str">
        <f t="shared" si="11"/>
        <v>5A.S</v>
      </c>
      <c r="C125" s="83" t="s">
        <v>364</v>
      </c>
      <c r="D125" s="81" t="s">
        <v>512</v>
      </c>
      <c r="E125" s="48">
        <v>100117</v>
      </c>
      <c r="F125" s="30" t="s">
        <v>1234</v>
      </c>
      <c r="G125" s="29" t="s">
        <v>99</v>
      </c>
      <c r="H125" s="30" t="s">
        <v>1177</v>
      </c>
      <c r="I125" s="78" t="s">
        <v>408</v>
      </c>
      <c r="J125" s="20"/>
      <c r="K125" s="20"/>
      <c r="L125" s="20"/>
      <c r="M125" s="20"/>
      <c r="N125" s="69" t="s">
        <v>256</v>
      </c>
      <c r="O125" s="70" t="s">
        <v>402</v>
      </c>
      <c r="P125" s="70" t="s">
        <v>2123</v>
      </c>
      <c r="Q125" s="70">
        <f t="shared" si="6"/>
        <v>0</v>
      </c>
      <c r="R125" s="70"/>
      <c r="S125" s="67"/>
      <c r="T125" s="2" t="str">
        <f t="shared" si="7"/>
        <v>Huỳnh Phan Anh Vũ_10AS3</v>
      </c>
      <c r="U125" s="28">
        <f t="array" ref="U125">IFERROR(VLOOKUP($T125,'Nghi hoc T12'!$H$7:$I$160,2,0),0)</f>
        <v>0</v>
      </c>
      <c r="V125" s="28">
        <f>IFERROR(VLOOKUP($T125,No_HP!$B$2:$C$514,2,0),0)</f>
        <v>0</v>
      </c>
      <c r="W125" s="28" t="str">
        <f t="shared" si="8"/>
        <v>HN</v>
      </c>
      <c r="X125" s="333" t="str">
        <f t="shared" si="9"/>
        <v>Nhìn</v>
      </c>
      <c r="Y125" s="333" t="str">
        <f t="shared" si="10"/>
        <v>Nặng</v>
      </c>
    </row>
    <row r="126" spans="1:25" s="2" customFormat="1" ht="21.95" customHeight="1">
      <c r="A126" s="200">
        <v>1</v>
      </c>
      <c r="B126" s="91" t="str">
        <f t="shared" si="11"/>
        <v>6A.S</v>
      </c>
      <c r="C126" s="185" t="s">
        <v>364</v>
      </c>
      <c r="D126" s="186" t="s">
        <v>513</v>
      </c>
      <c r="E126" s="187">
        <v>100118</v>
      </c>
      <c r="F126" s="188" t="s">
        <v>222</v>
      </c>
      <c r="G126" s="189" t="s">
        <v>8</v>
      </c>
      <c r="H126" s="188" t="s">
        <v>1177</v>
      </c>
      <c r="I126" s="190"/>
      <c r="J126" s="191"/>
      <c r="K126" s="191"/>
      <c r="L126" s="191"/>
      <c r="M126" s="191"/>
      <c r="N126" s="69" t="s">
        <v>256</v>
      </c>
      <c r="O126" s="70">
        <v>0</v>
      </c>
      <c r="P126" s="70">
        <v>0</v>
      </c>
      <c r="Q126" s="70">
        <f t="shared" si="6"/>
        <v>0</v>
      </c>
      <c r="R126" s="70"/>
      <c r="S126" s="67"/>
      <c r="T126" s="2" t="str">
        <f t="shared" si="7"/>
        <v>Nguyễn Ngọc Hiền_10AS3</v>
      </c>
      <c r="U126" s="28">
        <f t="array" ref="U126">IFERROR(VLOOKUP($T126,'Nghi hoc T12'!$H$7:$I$160,2,0),0)</f>
        <v>0</v>
      </c>
      <c r="V126" s="28">
        <f>IFERROR(VLOOKUP($T126,No_HP!$B$2:$C$514,2,0),0)</f>
        <v>0</v>
      </c>
      <c r="W126" s="28">
        <f t="shared" si="8"/>
        <v>0</v>
      </c>
      <c r="X126" s="333">
        <f t="shared" si="9"/>
        <v>0</v>
      </c>
      <c r="Y126" s="333">
        <f t="shared" si="10"/>
        <v>0</v>
      </c>
    </row>
    <row r="127" spans="1:25" s="2" customFormat="1" ht="21.95" customHeight="1">
      <c r="A127" s="82">
        <v>2</v>
      </c>
      <c r="B127" s="91" t="str">
        <f t="shared" si="11"/>
        <v>6A.S</v>
      </c>
      <c r="C127" s="83" t="s">
        <v>364</v>
      </c>
      <c r="D127" s="81" t="s">
        <v>513</v>
      </c>
      <c r="E127" s="48">
        <v>100119</v>
      </c>
      <c r="F127" s="30" t="s">
        <v>343</v>
      </c>
      <c r="G127" s="29" t="s">
        <v>145</v>
      </c>
      <c r="H127" s="30" t="s">
        <v>128</v>
      </c>
      <c r="I127" s="78"/>
      <c r="J127" s="20"/>
      <c r="K127" s="20"/>
      <c r="L127" s="20"/>
      <c r="M127" s="20"/>
      <c r="N127" s="69" t="s">
        <v>256</v>
      </c>
      <c r="O127" s="70">
        <v>0</v>
      </c>
      <c r="P127" s="70">
        <v>0</v>
      </c>
      <c r="Q127" s="70">
        <f t="shared" si="6"/>
        <v>0</v>
      </c>
      <c r="R127" s="70"/>
      <c r="S127" s="67"/>
      <c r="T127" s="2" t="str">
        <f t="shared" si="7"/>
        <v>Trần Nguyễn Hoàng Hiệp_10AS4</v>
      </c>
      <c r="U127" s="28">
        <f t="array" ref="U127">IFERROR(VLOOKUP($T127,'Nghi hoc T12'!$H$7:$I$160,2,0),0)</f>
        <v>0</v>
      </c>
      <c r="V127" s="28">
        <f>IFERROR(VLOOKUP($T127,No_HP!$B$2:$C$514,2,0),0)</f>
        <v>0</v>
      </c>
      <c r="W127" s="28">
        <f t="shared" si="8"/>
        <v>0</v>
      </c>
      <c r="X127" s="333">
        <f t="shared" si="9"/>
        <v>0</v>
      </c>
      <c r="Y127" s="333">
        <f t="shared" si="10"/>
        <v>0</v>
      </c>
    </row>
    <row r="128" spans="1:25" s="2" customFormat="1" ht="21.95" customHeight="1">
      <c r="A128" s="82">
        <v>3</v>
      </c>
      <c r="B128" s="91" t="str">
        <f t="shared" si="11"/>
        <v>6A.S</v>
      </c>
      <c r="C128" s="83" t="s">
        <v>364</v>
      </c>
      <c r="D128" s="81" t="s">
        <v>513</v>
      </c>
      <c r="E128" s="48">
        <v>100120</v>
      </c>
      <c r="F128" s="30" t="s">
        <v>186</v>
      </c>
      <c r="G128" s="29" t="s">
        <v>10</v>
      </c>
      <c r="H128" s="30" t="s">
        <v>1177</v>
      </c>
      <c r="I128" s="78"/>
      <c r="J128" s="20"/>
      <c r="K128" s="20"/>
      <c r="L128" s="20"/>
      <c r="M128" s="20"/>
      <c r="N128" s="69" t="s">
        <v>256</v>
      </c>
      <c r="O128" s="70">
        <v>0</v>
      </c>
      <c r="P128" s="70">
        <v>0</v>
      </c>
      <c r="Q128" s="70">
        <f t="shared" si="6"/>
        <v>0</v>
      </c>
      <c r="R128" s="70"/>
      <c r="S128" s="67"/>
      <c r="T128" s="2" t="str">
        <f t="shared" si="7"/>
        <v>Nguyễn Minh Hoàng_10AS3</v>
      </c>
      <c r="U128" s="28">
        <f t="array" ref="U128">IFERROR(VLOOKUP($T128,'Nghi hoc T12'!$H$7:$I$160,2,0),0)</f>
        <v>0</v>
      </c>
      <c r="V128" s="28">
        <f>IFERROR(VLOOKUP($T128,No_HP!$B$2:$C$514,2,0),0)</f>
        <v>0</v>
      </c>
      <c r="W128" s="28">
        <f t="shared" si="8"/>
        <v>0</v>
      </c>
      <c r="X128" s="333">
        <f t="shared" si="9"/>
        <v>0</v>
      </c>
      <c r="Y128" s="333">
        <f t="shared" si="10"/>
        <v>0</v>
      </c>
    </row>
    <row r="129" spans="1:25" s="2" customFormat="1" ht="21.95" customHeight="1">
      <c r="A129" s="82">
        <v>4</v>
      </c>
      <c r="B129" s="91" t="str">
        <f t="shared" si="11"/>
        <v>6A.S</v>
      </c>
      <c r="C129" s="83" t="s">
        <v>364</v>
      </c>
      <c r="D129" s="81" t="s">
        <v>513</v>
      </c>
      <c r="E129" s="48">
        <v>100121</v>
      </c>
      <c r="F129" s="30" t="s">
        <v>231</v>
      </c>
      <c r="G129" s="29" t="s">
        <v>1193</v>
      </c>
      <c r="H129" s="30" t="s">
        <v>128</v>
      </c>
      <c r="I129" s="78"/>
      <c r="J129" s="20"/>
      <c r="K129" s="20"/>
      <c r="L129" s="20"/>
      <c r="M129" s="20"/>
      <c r="N129" s="69" t="s">
        <v>256</v>
      </c>
      <c r="O129" s="70">
        <v>0</v>
      </c>
      <c r="P129" s="70">
        <v>0</v>
      </c>
      <c r="Q129" s="70">
        <f t="shared" si="6"/>
        <v>0</v>
      </c>
      <c r="R129" s="70"/>
      <c r="S129" s="67"/>
      <c r="T129" s="2" t="str">
        <f t="shared" si="7"/>
        <v>Nguyễn Thị Phương Huế_10AS4</v>
      </c>
      <c r="U129" s="28">
        <f t="array" ref="U129">IFERROR(VLOOKUP($T129,'Nghi hoc T12'!$H$7:$I$160,2,0),0)</f>
        <v>0</v>
      </c>
      <c r="V129" s="28">
        <f>IFERROR(VLOOKUP($T129,No_HP!$B$2:$C$514,2,0),0)</f>
        <v>0</v>
      </c>
      <c r="W129" s="28">
        <f t="shared" si="8"/>
        <v>0</v>
      </c>
      <c r="X129" s="333">
        <f t="shared" si="9"/>
        <v>0</v>
      </c>
      <c r="Y129" s="333">
        <f t="shared" si="10"/>
        <v>0</v>
      </c>
    </row>
    <row r="130" spans="1:25" s="2" customFormat="1" ht="21.95" customHeight="1">
      <c r="A130" s="82">
        <v>5</v>
      </c>
      <c r="B130" s="91" t="str">
        <f t="shared" si="11"/>
        <v>6A.S</v>
      </c>
      <c r="C130" s="83" t="s">
        <v>364</v>
      </c>
      <c r="D130" s="81" t="s">
        <v>513</v>
      </c>
      <c r="E130" s="48">
        <v>100122</v>
      </c>
      <c r="F130" s="30" t="s">
        <v>296</v>
      </c>
      <c r="G130" s="29" t="s">
        <v>11</v>
      </c>
      <c r="H130" s="30" t="s">
        <v>1177</v>
      </c>
      <c r="I130" s="78"/>
      <c r="J130" s="20"/>
      <c r="K130" s="20"/>
      <c r="L130" s="20"/>
      <c r="M130" s="20"/>
      <c r="N130" s="69" t="s">
        <v>256</v>
      </c>
      <c r="O130" s="70">
        <v>0</v>
      </c>
      <c r="P130" s="70">
        <v>0</v>
      </c>
      <c r="Q130" s="70">
        <f t="shared" si="6"/>
        <v>0</v>
      </c>
      <c r="R130" s="70"/>
      <c r="S130" s="67"/>
      <c r="T130" s="2" t="str">
        <f t="shared" si="7"/>
        <v>Lâm Gia Huy_10AS3</v>
      </c>
      <c r="U130" s="28">
        <f t="array" ref="U130">IFERROR(VLOOKUP($T130,'Nghi hoc T12'!$H$7:$I$160,2,0),0)</f>
        <v>0</v>
      </c>
      <c r="V130" s="28">
        <f>IFERROR(VLOOKUP($T130,No_HP!$B$2:$C$514,2,0),0)</f>
        <v>0</v>
      </c>
      <c r="W130" s="28">
        <f t="shared" si="8"/>
        <v>0</v>
      </c>
      <c r="X130" s="333">
        <f t="shared" si="9"/>
        <v>0</v>
      </c>
      <c r="Y130" s="333">
        <f t="shared" si="10"/>
        <v>0</v>
      </c>
    </row>
    <row r="131" spans="1:25" s="2" customFormat="1" ht="21.95" customHeight="1">
      <c r="A131" s="82">
        <v>6</v>
      </c>
      <c r="B131" s="91" t="str">
        <f t="shared" si="11"/>
        <v>6A.S</v>
      </c>
      <c r="C131" s="83" t="s">
        <v>364</v>
      </c>
      <c r="D131" s="81" t="s">
        <v>513</v>
      </c>
      <c r="E131" s="48">
        <v>100123</v>
      </c>
      <c r="F131" s="30" t="s">
        <v>166</v>
      </c>
      <c r="G131" s="29" t="s">
        <v>11</v>
      </c>
      <c r="H131" s="30" t="s">
        <v>128</v>
      </c>
      <c r="I131" s="78"/>
      <c r="J131" s="20"/>
      <c r="K131" s="20"/>
      <c r="L131" s="20"/>
      <c r="M131" s="20"/>
      <c r="N131" s="69" t="s">
        <v>256</v>
      </c>
      <c r="O131" s="70">
        <v>0</v>
      </c>
      <c r="P131" s="70">
        <v>0</v>
      </c>
      <c r="Q131" s="70">
        <f t="shared" si="6"/>
        <v>0</v>
      </c>
      <c r="R131" s="70"/>
      <c r="S131" s="67"/>
      <c r="T131" s="2" t="str">
        <f t="shared" si="7"/>
        <v>Nguyễn Gia Huy_10AS4</v>
      </c>
      <c r="U131" s="28">
        <f t="array" ref="U131">IFERROR(VLOOKUP($T131,'Nghi hoc T12'!$H$7:$I$160,2,0),0)</f>
        <v>0</v>
      </c>
      <c r="V131" s="28">
        <f>IFERROR(VLOOKUP($T131,No_HP!$B$2:$C$514,2,0),0)</f>
        <v>0</v>
      </c>
      <c r="W131" s="28">
        <f t="shared" si="8"/>
        <v>0</v>
      </c>
      <c r="X131" s="333">
        <f t="shared" si="9"/>
        <v>0</v>
      </c>
      <c r="Y131" s="333">
        <f t="shared" si="10"/>
        <v>0</v>
      </c>
    </row>
    <row r="132" spans="1:25" s="2" customFormat="1" ht="21.95" customHeight="1">
      <c r="A132" s="82">
        <v>7</v>
      </c>
      <c r="B132" s="91" t="str">
        <f t="shared" si="11"/>
        <v>6A.S</v>
      </c>
      <c r="C132" s="83" t="s">
        <v>364</v>
      </c>
      <c r="D132" s="81" t="s">
        <v>513</v>
      </c>
      <c r="E132" s="48">
        <v>100124</v>
      </c>
      <c r="F132" s="30" t="s">
        <v>443</v>
      </c>
      <c r="G132" s="29" t="s">
        <v>11</v>
      </c>
      <c r="H132" s="30" t="s">
        <v>1177</v>
      </c>
      <c r="I132" s="78"/>
      <c r="J132" s="20"/>
      <c r="K132" s="20"/>
      <c r="L132" s="20"/>
      <c r="M132" s="20"/>
      <c r="N132" s="69" t="s">
        <v>256</v>
      </c>
      <c r="O132" s="70">
        <v>0</v>
      </c>
      <c r="P132" s="70">
        <v>0</v>
      </c>
      <c r="Q132" s="70">
        <f t="shared" si="6"/>
        <v>0</v>
      </c>
      <c r="R132" s="70"/>
      <c r="S132" s="67"/>
      <c r="T132" s="2" t="str">
        <f t="shared" si="7"/>
        <v>Phạm Nguyễn Gia Huy_10AS3</v>
      </c>
      <c r="U132" s="28">
        <f t="array" ref="U132">IFERROR(VLOOKUP($T132,'Nghi hoc T12'!$H$7:$I$160,2,0),0)</f>
        <v>0</v>
      </c>
      <c r="V132" s="28">
        <f>IFERROR(VLOOKUP($T132,No_HP!$B$2:$C$514,2,0),0)</f>
        <v>0</v>
      </c>
      <c r="W132" s="28">
        <f t="shared" si="8"/>
        <v>0</v>
      </c>
      <c r="X132" s="333">
        <f t="shared" si="9"/>
        <v>0</v>
      </c>
      <c r="Y132" s="333">
        <f t="shared" si="10"/>
        <v>0</v>
      </c>
    </row>
    <row r="133" spans="1:25" s="2" customFormat="1" ht="21.95" customHeight="1">
      <c r="A133" s="82">
        <v>8</v>
      </c>
      <c r="B133" s="91" t="str">
        <f t="shared" si="11"/>
        <v>6A.S</v>
      </c>
      <c r="C133" s="83" t="s">
        <v>364</v>
      </c>
      <c r="D133" s="81" t="s">
        <v>513</v>
      </c>
      <c r="E133" s="48">
        <v>100125</v>
      </c>
      <c r="F133" s="30" t="s">
        <v>486</v>
      </c>
      <c r="G133" s="29" t="s">
        <v>67</v>
      </c>
      <c r="H133" s="30" t="s">
        <v>128</v>
      </c>
      <c r="I133" s="78"/>
      <c r="J133" s="20"/>
      <c r="K133" s="20"/>
      <c r="L133" s="20"/>
      <c r="M133" s="20"/>
      <c r="N133" s="69" t="s">
        <v>256</v>
      </c>
      <c r="O133" s="70">
        <v>0</v>
      </c>
      <c r="P133" s="70">
        <v>0</v>
      </c>
      <c r="Q133" s="70">
        <f t="shared" si="6"/>
        <v>0</v>
      </c>
      <c r="R133" s="70"/>
      <c r="S133" s="67"/>
      <c r="T133" s="2" t="str">
        <f t="shared" si="7"/>
        <v>Võ Thị Thu Huyền_10AS4</v>
      </c>
      <c r="U133" s="28">
        <f t="array" ref="U133">IFERROR(VLOOKUP($T133,'Nghi hoc T12'!$H$7:$I$160,2,0),0)</f>
        <v>0</v>
      </c>
      <c r="V133" s="28">
        <f>IFERROR(VLOOKUP($T133,No_HP!$B$2:$C$514,2,0),0)</f>
        <v>0</v>
      </c>
      <c r="W133" s="28">
        <f t="shared" si="8"/>
        <v>0</v>
      </c>
      <c r="X133" s="333">
        <f t="shared" si="9"/>
        <v>0</v>
      </c>
      <c r="Y133" s="333">
        <f t="shared" si="10"/>
        <v>0</v>
      </c>
    </row>
    <row r="134" spans="1:25" s="2" customFormat="1" ht="21.95" customHeight="1">
      <c r="A134" s="82">
        <v>9</v>
      </c>
      <c r="B134" s="91" t="str">
        <f t="shared" si="11"/>
        <v>6A.S</v>
      </c>
      <c r="C134" s="83" t="s">
        <v>364</v>
      </c>
      <c r="D134" s="81" t="s">
        <v>513</v>
      </c>
      <c r="E134" s="48">
        <v>100126</v>
      </c>
      <c r="F134" s="30" t="s">
        <v>1194</v>
      </c>
      <c r="G134" s="29" t="s">
        <v>54</v>
      </c>
      <c r="H134" s="30" t="s">
        <v>1177</v>
      </c>
      <c r="I134" s="78"/>
      <c r="J134" s="20"/>
      <c r="K134" s="20"/>
      <c r="L134" s="20"/>
      <c r="M134" s="20"/>
      <c r="N134" s="69" t="s">
        <v>256</v>
      </c>
      <c r="O134" s="70">
        <v>0</v>
      </c>
      <c r="P134" s="70">
        <v>0</v>
      </c>
      <c r="Q134" s="70">
        <f t="shared" si="6"/>
        <v>0</v>
      </c>
      <c r="R134" s="70"/>
      <c r="S134" s="67"/>
      <c r="T134" s="2" t="str">
        <f t="shared" si="7"/>
        <v>Lê Lâm Quỳnh Hương_10AS3</v>
      </c>
      <c r="U134" s="28">
        <f t="array" ref="U134">IFERROR(VLOOKUP($T134,'Nghi hoc T12'!$H$7:$I$160,2,0),0)</f>
        <v>0</v>
      </c>
      <c r="V134" s="28">
        <f>IFERROR(VLOOKUP($T134,No_HP!$B$2:$C$514,2,0),0)</f>
        <v>0</v>
      </c>
      <c r="W134" s="28">
        <f t="shared" si="8"/>
        <v>0</v>
      </c>
      <c r="X134" s="333">
        <f t="shared" si="9"/>
        <v>0</v>
      </c>
      <c r="Y134" s="333">
        <f t="shared" si="10"/>
        <v>0</v>
      </c>
    </row>
    <row r="135" spans="1:25" s="2" customFormat="1" ht="21.95" customHeight="1">
      <c r="A135" s="82">
        <v>10</v>
      </c>
      <c r="B135" s="91" t="str">
        <f t="shared" si="11"/>
        <v>6A.S</v>
      </c>
      <c r="C135" s="83" t="s">
        <v>364</v>
      </c>
      <c r="D135" s="81" t="s">
        <v>513</v>
      </c>
      <c r="E135" s="48">
        <v>100127</v>
      </c>
      <c r="F135" s="30" t="s">
        <v>1195</v>
      </c>
      <c r="G135" s="29" t="s">
        <v>79</v>
      </c>
      <c r="H135" s="30" t="s">
        <v>1177</v>
      </c>
      <c r="I135" s="78"/>
      <c r="J135" s="20"/>
      <c r="K135" s="20"/>
      <c r="L135" s="20"/>
      <c r="M135" s="20"/>
      <c r="N135" s="69" t="s">
        <v>256</v>
      </c>
      <c r="O135" s="70">
        <v>0</v>
      </c>
      <c r="P135" s="70">
        <v>0</v>
      </c>
      <c r="Q135" s="70">
        <f t="shared" si="6"/>
        <v>0</v>
      </c>
      <c r="R135" s="70"/>
      <c r="S135" s="67"/>
      <c r="T135" s="2" t="str">
        <f t="shared" si="7"/>
        <v>Lê Nhựt Khang_10AS3</v>
      </c>
      <c r="U135" s="28">
        <f t="array" ref="U135">IFERROR(VLOOKUP($T135,'Nghi hoc T12'!$H$7:$I$160,2,0),0)</f>
        <v>0</v>
      </c>
      <c r="V135" s="28">
        <f>IFERROR(VLOOKUP($T135,No_HP!$B$2:$C$514,2,0),0)</f>
        <v>0</v>
      </c>
      <c r="W135" s="28">
        <f t="shared" si="8"/>
        <v>0</v>
      </c>
      <c r="X135" s="333">
        <f t="shared" si="9"/>
        <v>0</v>
      </c>
      <c r="Y135" s="333">
        <f t="shared" si="10"/>
        <v>0</v>
      </c>
    </row>
    <row r="136" spans="1:25" s="2" customFormat="1" ht="21.95" customHeight="1">
      <c r="A136" s="82">
        <v>11</v>
      </c>
      <c r="B136" s="91" t="str">
        <f t="shared" si="11"/>
        <v>6A.S</v>
      </c>
      <c r="C136" s="83" t="s">
        <v>364</v>
      </c>
      <c r="D136" s="81" t="s">
        <v>513</v>
      </c>
      <c r="E136" s="48">
        <v>100128</v>
      </c>
      <c r="F136" s="30" t="s">
        <v>242</v>
      </c>
      <c r="G136" s="29" t="s">
        <v>1196</v>
      </c>
      <c r="H136" s="30" t="s">
        <v>1177</v>
      </c>
      <c r="I136" s="78"/>
      <c r="J136" s="20"/>
      <c r="K136" s="20"/>
      <c r="L136" s="20"/>
      <c r="M136" s="20"/>
      <c r="N136" s="69" t="s">
        <v>256</v>
      </c>
      <c r="O136" s="70">
        <v>0</v>
      </c>
      <c r="P136" s="70">
        <v>0</v>
      </c>
      <c r="Q136" s="70">
        <f t="shared" si="6"/>
        <v>0</v>
      </c>
      <c r="R136" s="70"/>
      <c r="S136" s="67"/>
      <c r="T136" s="2" t="str">
        <f t="shared" si="7"/>
        <v>Nguyễn Ngọc Bảo Khanh_10AS3</v>
      </c>
      <c r="U136" s="28">
        <f t="array" ref="U136">IFERROR(VLOOKUP($T136,'Nghi hoc T12'!$H$7:$I$160,2,0),0)</f>
        <v>0</v>
      </c>
      <c r="V136" s="28">
        <f>IFERROR(VLOOKUP($T136,No_HP!$B$2:$C$514,2,0),0)</f>
        <v>0</v>
      </c>
      <c r="W136" s="28">
        <f t="shared" si="8"/>
        <v>0</v>
      </c>
      <c r="X136" s="333">
        <f t="shared" si="9"/>
        <v>0</v>
      </c>
      <c r="Y136" s="333">
        <f t="shared" si="10"/>
        <v>0</v>
      </c>
    </row>
    <row r="137" spans="1:25" s="2" customFormat="1" ht="21.95" customHeight="1">
      <c r="A137" s="82">
        <v>12</v>
      </c>
      <c r="B137" s="91" t="str">
        <f t="shared" si="11"/>
        <v>6A.S</v>
      </c>
      <c r="C137" s="83" t="s">
        <v>364</v>
      </c>
      <c r="D137" s="81" t="s">
        <v>513</v>
      </c>
      <c r="E137" s="48">
        <v>100129</v>
      </c>
      <c r="F137" s="30" t="s">
        <v>118</v>
      </c>
      <c r="G137" s="29" t="s">
        <v>68</v>
      </c>
      <c r="H137" s="30" t="s">
        <v>1177</v>
      </c>
      <c r="I137" s="78"/>
      <c r="J137" s="20"/>
      <c r="K137" s="20"/>
      <c r="L137" s="20"/>
      <c r="M137" s="20"/>
      <c r="N137" s="69" t="s">
        <v>256</v>
      </c>
      <c r="O137" s="70">
        <v>0</v>
      </c>
      <c r="P137" s="70">
        <v>0</v>
      </c>
      <c r="Q137" s="70">
        <f t="shared" si="6"/>
        <v>0</v>
      </c>
      <c r="R137" s="70"/>
      <c r="S137" s="67"/>
      <c r="T137" s="2" t="str">
        <f t="shared" si="7"/>
        <v>Nguyễn Quốc Kiệt_10AS3</v>
      </c>
      <c r="U137" s="28">
        <f t="array" ref="U137">IFERROR(VLOOKUP($T137,'Nghi hoc T12'!$H$7:$I$160,2,0),0)</f>
        <v>0</v>
      </c>
      <c r="V137" s="28">
        <f>IFERROR(VLOOKUP($T137,No_HP!$B$2:$C$514,2,0),0)</f>
        <v>0</v>
      </c>
      <c r="W137" s="28">
        <f t="shared" si="8"/>
        <v>0</v>
      </c>
      <c r="X137" s="333">
        <f t="shared" si="9"/>
        <v>0</v>
      </c>
      <c r="Y137" s="333">
        <f t="shared" si="10"/>
        <v>0</v>
      </c>
    </row>
    <row r="138" spans="1:25" s="2" customFormat="1" ht="21.95" customHeight="1">
      <c r="A138" s="82">
        <v>13</v>
      </c>
      <c r="B138" s="91" t="str">
        <f t="shared" si="11"/>
        <v>6A.S</v>
      </c>
      <c r="C138" s="83" t="s">
        <v>364</v>
      </c>
      <c r="D138" s="81" t="s">
        <v>513</v>
      </c>
      <c r="E138" s="48">
        <v>100130</v>
      </c>
      <c r="F138" s="30" t="s">
        <v>1197</v>
      </c>
      <c r="G138" s="29" t="s">
        <v>68</v>
      </c>
      <c r="H138" s="30" t="s">
        <v>128</v>
      </c>
      <c r="I138" s="78"/>
      <c r="J138" s="20"/>
      <c r="K138" s="20"/>
      <c r="L138" s="20"/>
      <c r="M138" s="20"/>
      <c r="N138" s="69" t="s">
        <v>256</v>
      </c>
      <c r="O138" s="70">
        <v>0</v>
      </c>
      <c r="P138" s="70">
        <v>0</v>
      </c>
      <c r="Q138" s="70">
        <f t="shared" ref="Q138:Q201" si="12">U138</f>
        <v>0</v>
      </c>
      <c r="R138" s="70"/>
      <c r="S138" s="67"/>
      <c r="T138" s="2" t="str">
        <f t="shared" ref="T138:T201" si="13">TRIM(F138&amp;" "&amp;G138&amp;"_"&amp;H138)</f>
        <v>Nguyễn Trần Gia Kiệt_10AS4</v>
      </c>
      <c r="U138" s="28">
        <f t="array" ref="U138">IFERROR(VLOOKUP($T138,'Nghi hoc T12'!$H$7:$I$160,2,0),0)</f>
        <v>0</v>
      </c>
      <c r="V138" s="28">
        <f>IFERROR(VLOOKUP($T138,No_HP!$B$2:$C$514,2,0),0)</f>
        <v>0</v>
      </c>
      <c r="W138" s="28">
        <f t="shared" ref="W138:W201" si="14">I138</f>
        <v>0</v>
      </c>
      <c r="X138" s="333">
        <f t="shared" ref="X138:X201" si="15">O138</f>
        <v>0</v>
      </c>
      <c r="Y138" s="333">
        <f t="shared" ref="Y138:Y201" si="16">P138</f>
        <v>0</v>
      </c>
    </row>
    <row r="139" spans="1:25" s="2" customFormat="1" ht="21.95" customHeight="1">
      <c r="A139" s="82">
        <v>14</v>
      </c>
      <c r="B139" s="91" t="str">
        <f t="shared" ref="B139:B202" si="17">RIGHT(D139,LEN(D139)-2)&amp;"."&amp;LEFT(N139,1)</f>
        <v>6A.S</v>
      </c>
      <c r="C139" s="83" t="s">
        <v>364</v>
      </c>
      <c r="D139" s="81" t="s">
        <v>513</v>
      </c>
      <c r="E139" s="48">
        <v>100131</v>
      </c>
      <c r="F139" s="30" t="s">
        <v>1198</v>
      </c>
      <c r="G139" s="29" t="s">
        <v>38</v>
      </c>
      <c r="H139" s="30" t="s">
        <v>1177</v>
      </c>
      <c r="I139" s="78"/>
      <c r="J139" s="20"/>
      <c r="K139" s="20"/>
      <c r="L139" s="20"/>
      <c r="M139" s="20"/>
      <c r="N139" s="69" t="s">
        <v>256</v>
      </c>
      <c r="O139" s="70">
        <v>0</v>
      </c>
      <c r="P139" s="70">
        <v>0</v>
      </c>
      <c r="Q139" s="70">
        <f t="shared" si="12"/>
        <v>0</v>
      </c>
      <c r="R139" s="70"/>
      <c r="S139" s="67"/>
      <c r="T139" s="2" t="str">
        <f t="shared" si="13"/>
        <v>Phạm La Khánh Linh_10AS3</v>
      </c>
      <c r="U139" s="28">
        <f t="array" ref="U139">IFERROR(VLOOKUP($T139,'Nghi hoc T12'!$H$7:$I$160,2,0),0)</f>
        <v>0</v>
      </c>
      <c r="V139" s="28">
        <f>IFERROR(VLOOKUP($T139,No_HP!$B$2:$C$514,2,0),0)</f>
        <v>0</v>
      </c>
      <c r="W139" s="28">
        <f t="shared" si="14"/>
        <v>0</v>
      </c>
      <c r="X139" s="333">
        <f t="shared" si="15"/>
        <v>0</v>
      </c>
      <c r="Y139" s="333">
        <f t="shared" si="16"/>
        <v>0</v>
      </c>
    </row>
    <row r="140" spans="1:25" s="2" customFormat="1" ht="21.95" customHeight="1">
      <c r="A140" s="82">
        <v>15</v>
      </c>
      <c r="B140" s="91" t="str">
        <f t="shared" si="17"/>
        <v>6A.S</v>
      </c>
      <c r="C140" s="83" t="s">
        <v>364</v>
      </c>
      <c r="D140" s="81" t="s">
        <v>513</v>
      </c>
      <c r="E140" s="48">
        <v>100132</v>
      </c>
      <c r="F140" s="30" t="s">
        <v>1199</v>
      </c>
      <c r="G140" s="29" t="s">
        <v>38</v>
      </c>
      <c r="H140" s="30" t="s">
        <v>128</v>
      </c>
      <c r="I140" s="78"/>
      <c r="J140" s="20"/>
      <c r="K140" s="20"/>
      <c r="L140" s="20"/>
      <c r="M140" s="20"/>
      <c r="N140" s="69" t="s">
        <v>256</v>
      </c>
      <c r="O140" s="70">
        <v>0</v>
      </c>
      <c r="P140" s="70">
        <v>0</v>
      </c>
      <c r="Q140" s="70">
        <f t="shared" si="12"/>
        <v>0</v>
      </c>
      <c r="R140" s="70"/>
      <c r="S140" s="67"/>
      <c r="T140" s="2" t="str">
        <f t="shared" si="13"/>
        <v>Trần Ngọc Khánh Linh_10AS4</v>
      </c>
      <c r="U140" s="28">
        <f t="array" ref="U140">IFERROR(VLOOKUP($T140,'Nghi hoc T12'!$H$7:$I$160,2,0),0)</f>
        <v>0</v>
      </c>
      <c r="V140" s="28">
        <f>IFERROR(VLOOKUP($T140,No_HP!$B$2:$C$514,2,0),0)</f>
        <v>0</v>
      </c>
      <c r="W140" s="28">
        <f t="shared" si="14"/>
        <v>0</v>
      </c>
      <c r="X140" s="333">
        <f t="shared" si="15"/>
        <v>0</v>
      </c>
      <c r="Y140" s="333">
        <f t="shared" si="16"/>
        <v>0</v>
      </c>
    </row>
    <row r="141" spans="1:25" s="2" customFormat="1" ht="21.95" customHeight="1">
      <c r="A141" s="82">
        <v>16</v>
      </c>
      <c r="B141" s="91" t="str">
        <f t="shared" si="17"/>
        <v>6A.S</v>
      </c>
      <c r="C141" s="83" t="s">
        <v>364</v>
      </c>
      <c r="D141" s="81" t="s">
        <v>513</v>
      </c>
      <c r="E141" s="48">
        <v>100133</v>
      </c>
      <c r="F141" s="30" t="s">
        <v>1200</v>
      </c>
      <c r="G141" s="29" t="s">
        <v>69</v>
      </c>
      <c r="H141" s="30" t="s">
        <v>1177</v>
      </c>
      <c r="I141" s="78"/>
      <c r="J141" s="20"/>
      <c r="K141" s="20"/>
      <c r="L141" s="20"/>
      <c r="M141" s="20"/>
      <c r="N141" s="69" t="s">
        <v>256</v>
      </c>
      <c r="O141" s="70">
        <v>0</v>
      </c>
      <c r="P141" s="70">
        <v>0</v>
      </c>
      <c r="Q141" s="70">
        <f t="shared" si="12"/>
        <v>0</v>
      </c>
      <c r="R141" s="70"/>
      <c r="S141" s="67"/>
      <c r="T141" s="2" t="str">
        <f t="shared" si="13"/>
        <v>Thạch Ngọc Ly_10AS3</v>
      </c>
      <c r="U141" s="28">
        <f t="array" ref="U141">IFERROR(VLOOKUP($T141,'Nghi hoc T12'!$H$7:$I$160,2,0),0)</f>
        <v>0</v>
      </c>
      <c r="V141" s="28">
        <f>IFERROR(VLOOKUP($T141,No_HP!$B$2:$C$514,2,0),0)</f>
        <v>0</v>
      </c>
      <c r="W141" s="28">
        <f t="shared" si="14"/>
        <v>0</v>
      </c>
      <c r="X141" s="333">
        <f t="shared" si="15"/>
        <v>0</v>
      </c>
      <c r="Y141" s="333">
        <f t="shared" si="16"/>
        <v>0</v>
      </c>
    </row>
    <row r="142" spans="1:25" s="2" customFormat="1" ht="21.95" customHeight="1">
      <c r="A142" s="82">
        <v>17</v>
      </c>
      <c r="B142" s="91" t="str">
        <f t="shared" si="17"/>
        <v>6A.S</v>
      </c>
      <c r="C142" s="83" t="s">
        <v>364</v>
      </c>
      <c r="D142" s="81" t="s">
        <v>513</v>
      </c>
      <c r="E142" s="48">
        <v>100134</v>
      </c>
      <c r="F142" s="30" t="s">
        <v>120</v>
      </c>
      <c r="G142" s="29" t="s">
        <v>15</v>
      </c>
      <c r="H142" s="30" t="s">
        <v>1177</v>
      </c>
      <c r="I142" s="78"/>
      <c r="J142" s="20"/>
      <c r="K142" s="20"/>
      <c r="L142" s="20"/>
      <c r="M142" s="20"/>
      <c r="N142" s="69" t="s">
        <v>256</v>
      </c>
      <c r="O142" s="70">
        <v>0</v>
      </c>
      <c r="P142" s="70">
        <v>0</v>
      </c>
      <c r="Q142" s="70">
        <f t="shared" si="12"/>
        <v>0</v>
      </c>
      <c r="R142" s="70"/>
      <c r="S142" s="67"/>
      <c r="T142" s="2" t="str">
        <f t="shared" si="13"/>
        <v>Nguyễn Quỳnh Mai_10AS3</v>
      </c>
      <c r="U142" s="28">
        <f t="array" ref="U142">IFERROR(VLOOKUP($T142,'Nghi hoc T12'!$H$7:$I$160,2,0),0)</f>
        <v>0</v>
      </c>
      <c r="V142" s="28">
        <f>IFERROR(VLOOKUP($T142,No_HP!$B$2:$C$514,2,0),0)</f>
        <v>0</v>
      </c>
      <c r="W142" s="28">
        <f t="shared" si="14"/>
        <v>0</v>
      </c>
      <c r="X142" s="333">
        <f t="shared" si="15"/>
        <v>0</v>
      </c>
      <c r="Y142" s="333">
        <f t="shared" si="16"/>
        <v>0</v>
      </c>
    </row>
    <row r="143" spans="1:25" s="2" customFormat="1" ht="21.95" customHeight="1">
      <c r="A143" s="82">
        <v>18</v>
      </c>
      <c r="B143" s="91" t="str">
        <f t="shared" si="17"/>
        <v>6A.S</v>
      </c>
      <c r="C143" s="83" t="s">
        <v>364</v>
      </c>
      <c r="D143" s="81" t="s">
        <v>513</v>
      </c>
      <c r="E143" s="48">
        <v>100135</v>
      </c>
      <c r="F143" s="30" t="s">
        <v>1201</v>
      </c>
      <c r="G143" s="29" t="s">
        <v>16</v>
      </c>
      <c r="H143" s="30" t="s">
        <v>1177</v>
      </c>
      <c r="I143" s="78"/>
      <c r="J143" s="20"/>
      <c r="K143" s="20"/>
      <c r="L143" s="20"/>
      <c r="M143" s="20"/>
      <c r="N143" s="69" t="s">
        <v>256</v>
      </c>
      <c r="O143" s="70">
        <v>0</v>
      </c>
      <c r="P143" s="70">
        <v>0</v>
      </c>
      <c r="Q143" s="70">
        <f t="shared" si="12"/>
        <v>0</v>
      </c>
      <c r="R143" s="70"/>
      <c r="S143" s="67"/>
      <c r="T143" s="2" t="str">
        <f t="shared" si="13"/>
        <v>Nguyễn Công Minh_10AS3</v>
      </c>
      <c r="U143" s="28">
        <f t="array" ref="U143">IFERROR(VLOOKUP($T143,'Nghi hoc T12'!$H$7:$I$160,2,0),0)</f>
        <v>0</v>
      </c>
      <c r="V143" s="28">
        <f>IFERROR(VLOOKUP($T143,No_HP!$B$2:$C$514,2,0),0)</f>
        <v>0</v>
      </c>
      <c r="W143" s="28">
        <f t="shared" si="14"/>
        <v>0</v>
      </c>
      <c r="X143" s="333">
        <f t="shared" si="15"/>
        <v>0</v>
      </c>
      <c r="Y143" s="333">
        <f t="shared" si="16"/>
        <v>0</v>
      </c>
    </row>
    <row r="144" spans="1:25" s="2" customFormat="1" ht="21.95" customHeight="1">
      <c r="A144" s="82">
        <v>19</v>
      </c>
      <c r="B144" s="91" t="str">
        <f t="shared" si="17"/>
        <v>6A.S</v>
      </c>
      <c r="C144" s="83" t="s">
        <v>364</v>
      </c>
      <c r="D144" s="81" t="s">
        <v>513</v>
      </c>
      <c r="E144" s="48">
        <v>100136</v>
      </c>
      <c r="F144" s="30" t="s">
        <v>1202</v>
      </c>
      <c r="G144" s="29" t="s">
        <v>40</v>
      </c>
      <c r="H144" s="30" t="s">
        <v>1177</v>
      </c>
      <c r="I144" s="78"/>
      <c r="J144" s="20"/>
      <c r="K144" s="20"/>
      <c r="L144" s="20"/>
      <c r="M144" s="20"/>
      <c r="N144" s="69" t="s">
        <v>256</v>
      </c>
      <c r="O144" s="70">
        <v>0</v>
      </c>
      <c r="P144" s="70">
        <v>0</v>
      </c>
      <c r="Q144" s="70">
        <f t="shared" si="12"/>
        <v>0</v>
      </c>
      <c r="R144" s="70"/>
      <c r="S144" s="67"/>
      <c r="T144" s="2" t="str">
        <f t="shared" si="13"/>
        <v>Đinh Thị Trà My_10AS3</v>
      </c>
      <c r="U144" s="28">
        <f t="array" ref="U144">IFERROR(VLOOKUP($T144,'Nghi hoc T12'!$H$7:$I$160,2,0),0)</f>
        <v>0</v>
      </c>
      <c r="V144" s="28">
        <f>IFERROR(VLOOKUP($T144,No_HP!$B$2:$C$514,2,0),0)</f>
        <v>0</v>
      </c>
      <c r="W144" s="28">
        <f t="shared" si="14"/>
        <v>0</v>
      </c>
      <c r="X144" s="333">
        <f t="shared" si="15"/>
        <v>0</v>
      </c>
      <c r="Y144" s="333">
        <f t="shared" si="16"/>
        <v>0</v>
      </c>
    </row>
    <row r="145" spans="1:25" s="2" customFormat="1" ht="21.95" customHeight="1">
      <c r="A145" s="82">
        <v>20</v>
      </c>
      <c r="B145" s="91" t="str">
        <f t="shared" si="17"/>
        <v>6A.S</v>
      </c>
      <c r="C145" s="83" t="s">
        <v>364</v>
      </c>
      <c r="D145" s="81" t="s">
        <v>513</v>
      </c>
      <c r="E145" s="48">
        <v>100137</v>
      </c>
      <c r="F145" s="30" t="s">
        <v>1203</v>
      </c>
      <c r="G145" s="29" t="s">
        <v>40</v>
      </c>
      <c r="H145" s="30" t="s">
        <v>128</v>
      </c>
      <c r="I145" s="78"/>
      <c r="J145" s="20"/>
      <c r="K145" s="20"/>
      <c r="L145" s="20"/>
      <c r="M145" s="20"/>
      <c r="N145" s="69" t="s">
        <v>256</v>
      </c>
      <c r="O145" s="70">
        <v>0</v>
      </c>
      <c r="P145" s="70">
        <v>0</v>
      </c>
      <c r="Q145" s="70">
        <f t="shared" si="12"/>
        <v>0</v>
      </c>
      <c r="R145" s="70"/>
      <c r="S145" s="67"/>
      <c r="T145" s="2" t="str">
        <f t="shared" si="13"/>
        <v>Nguyễn Thanh Trà My_10AS4</v>
      </c>
      <c r="U145" s="28">
        <f t="array" ref="U145">IFERROR(VLOOKUP($T145,'Nghi hoc T12'!$H$7:$I$160,2,0),0)</f>
        <v>0</v>
      </c>
      <c r="V145" s="28">
        <f>IFERROR(VLOOKUP($T145,No_HP!$B$2:$C$514,2,0),0)</f>
        <v>0</v>
      </c>
      <c r="W145" s="28">
        <f t="shared" si="14"/>
        <v>0</v>
      </c>
      <c r="X145" s="333">
        <f t="shared" si="15"/>
        <v>0</v>
      </c>
      <c r="Y145" s="333">
        <f t="shared" si="16"/>
        <v>0</v>
      </c>
    </row>
    <row r="146" spans="1:25" s="2" customFormat="1" ht="21.95" customHeight="1">
      <c r="A146" s="82">
        <v>21</v>
      </c>
      <c r="B146" s="91" t="str">
        <f t="shared" si="17"/>
        <v>6A.S</v>
      </c>
      <c r="C146" s="83" t="s">
        <v>364</v>
      </c>
      <c r="D146" s="81" t="s">
        <v>513</v>
      </c>
      <c r="E146" s="48">
        <v>100138</v>
      </c>
      <c r="F146" s="30" t="s">
        <v>1204</v>
      </c>
      <c r="G146" s="29" t="s">
        <v>290</v>
      </c>
      <c r="H146" s="30" t="s">
        <v>128</v>
      </c>
      <c r="I146" s="78"/>
      <c r="J146" s="20"/>
      <c r="K146" s="20"/>
      <c r="L146" s="20"/>
      <c r="M146" s="20"/>
      <c r="N146" s="69" t="s">
        <v>256</v>
      </c>
      <c r="O146" s="70">
        <v>0</v>
      </c>
      <c r="P146" s="70">
        <v>0</v>
      </c>
      <c r="Q146" s="70">
        <f t="shared" si="12"/>
        <v>0</v>
      </c>
      <c r="R146" s="70"/>
      <c r="S146" s="67"/>
      <c r="T146" s="2" t="str">
        <f t="shared" si="13"/>
        <v>Lê Thuý Nga_10AS4</v>
      </c>
      <c r="U146" s="28">
        <f t="array" ref="U146">IFERROR(VLOOKUP($T146,'Nghi hoc T12'!$H$7:$I$160,2,0),0)</f>
        <v>0</v>
      </c>
      <c r="V146" s="28">
        <f>IFERROR(VLOOKUP($T146,No_HP!$B$2:$C$514,2,0),0)</f>
        <v>0</v>
      </c>
      <c r="W146" s="28">
        <f t="shared" si="14"/>
        <v>0</v>
      </c>
      <c r="X146" s="333">
        <f t="shared" si="15"/>
        <v>0</v>
      </c>
      <c r="Y146" s="333">
        <f t="shared" si="16"/>
        <v>0</v>
      </c>
    </row>
    <row r="147" spans="1:25" s="2" customFormat="1" ht="21.95" customHeight="1">
      <c r="A147" s="82">
        <v>22</v>
      </c>
      <c r="B147" s="91" t="str">
        <f t="shared" si="17"/>
        <v>6A.S</v>
      </c>
      <c r="C147" s="83" t="s">
        <v>364</v>
      </c>
      <c r="D147" s="81" t="s">
        <v>513</v>
      </c>
      <c r="E147" s="48">
        <v>100139</v>
      </c>
      <c r="F147" s="30" t="s">
        <v>203</v>
      </c>
      <c r="G147" s="29" t="s">
        <v>101</v>
      </c>
      <c r="H147" s="30" t="s">
        <v>128</v>
      </c>
      <c r="I147" s="78"/>
      <c r="J147" s="20"/>
      <c r="K147" s="20"/>
      <c r="L147" s="20"/>
      <c r="M147" s="20"/>
      <c r="N147" s="69" t="s">
        <v>256</v>
      </c>
      <c r="O147" s="70">
        <v>0</v>
      </c>
      <c r="P147" s="70">
        <v>0</v>
      </c>
      <c r="Q147" s="70">
        <f t="shared" si="12"/>
        <v>0</v>
      </c>
      <c r="R147" s="70"/>
      <c r="S147" s="67"/>
      <c r="T147" s="2" t="str">
        <f t="shared" si="13"/>
        <v>Nguyễn Ngọc Phương Nghi_10AS4</v>
      </c>
      <c r="U147" s="28">
        <f t="array" ref="U147">IFERROR(VLOOKUP($T147,'Nghi hoc T12'!$H$7:$I$160,2,0),0)</f>
        <v>0</v>
      </c>
      <c r="V147" s="28">
        <f>IFERROR(VLOOKUP($T147,No_HP!$B$2:$C$514,2,0),0)</f>
        <v>0</v>
      </c>
      <c r="W147" s="28">
        <f t="shared" si="14"/>
        <v>0</v>
      </c>
      <c r="X147" s="333">
        <f t="shared" si="15"/>
        <v>0</v>
      </c>
      <c r="Y147" s="333">
        <f t="shared" si="16"/>
        <v>0</v>
      </c>
    </row>
    <row r="148" spans="1:25" s="2" customFormat="1" ht="21.95" customHeight="1">
      <c r="A148" s="82">
        <v>23</v>
      </c>
      <c r="B148" s="91" t="str">
        <f t="shared" si="17"/>
        <v>6A.S</v>
      </c>
      <c r="C148" s="83" t="s">
        <v>364</v>
      </c>
      <c r="D148" s="81" t="s">
        <v>513</v>
      </c>
      <c r="E148" s="48">
        <v>100140</v>
      </c>
      <c r="F148" s="30" t="s">
        <v>1205</v>
      </c>
      <c r="G148" s="29" t="s">
        <v>19</v>
      </c>
      <c r="H148" s="30" t="s">
        <v>1177</v>
      </c>
      <c r="I148" s="78"/>
      <c r="J148" s="20"/>
      <c r="K148" s="20"/>
      <c r="L148" s="20"/>
      <c r="M148" s="20"/>
      <c r="N148" s="69" t="s">
        <v>256</v>
      </c>
      <c r="O148" s="70">
        <v>0</v>
      </c>
      <c r="P148" s="70">
        <v>0</v>
      </c>
      <c r="Q148" s="70">
        <f t="shared" si="12"/>
        <v>0</v>
      </c>
      <c r="R148" s="70"/>
      <c r="S148" s="67"/>
      <c r="T148" s="2" t="str">
        <f t="shared" si="13"/>
        <v>Ngô Thị Bích Ngọc_10AS3</v>
      </c>
      <c r="U148" s="28">
        <f t="array" ref="U148">IFERROR(VLOOKUP($T148,'Nghi hoc T12'!$H$7:$I$160,2,0),0)</f>
        <v>0</v>
      </c>
      <c r="V148" s="28">
        <f>IFERROR(VLOOKUP($T148,No_HP!$B$2:$C$514,2,0),0)</f>
        <v>0</v>
      </c>
      <c r="W148" s="28">
        <f t="shared" si="14"/>
        <v>0</v>
      </c>
      <c r="X148" s="333">
        <f t="shared" si="15"/>
        <v>0</v>
      </c>
      <c r="Y148" s="333">
        <f t="shared" si="16"/>
        <v>0</v>
      </c>
    </row>
    <row r="149" spans="1:25" s="2" customFormat="1" ht="21.95" customHeight="1">
      <c r="A149" s="82">
        <v>24</v>
      </c>
      <c r="B149" s="91" t="str">
        <f t="shared" si="17"/>
        <v>6A.S</v>
      </c>
      <c r="C149" s="83" t="s">
        <v>364</v>
      </c>
      <c r="D149" s="81" t="s">
        <v>513</v>
      </c>
      <c r="E149" s="48">
        <v>100141</v>
      </c>
      <c r="F149" s="30" t="s">
        <v>1206</v>
      </c>
      <c r="G149" s="29" t="s">
        <v>19</v>
      </c>
      <c r="H149" s="30" t="s">
        <v>128</v>
      </c>
      <c r="I149" s="78"/>
      <c r="J149" s="20"/>
      <c r="K149" s="20"/>
      <c r="L149" s="20"/>
      <c r="M149" s="20"/>
      <c r="N149" s="69" t="s">
        <v>256</v>
      </c>
      <c r="O149" s="70">
        <v>0</v>
      </c>
      <c r="P149" s="70">
        <v>0</v>
      </c>
      <c r="Q149" s="70">
        <f t="shared" si="12"/>
        <v>0</v>
      </c>
      <c r="R149" s="70"/>
      <c r="S149" s="67"/>
      <c r="T149" s="2" t="str">
        <f t="shared" si="13"/>
        <v>Nguyễn Huỳnh Khánh Ngọc_10AS4</v>
      </c>
      <c r="U149" s="28">
        <f t="array" ref="U149">IFERROR(VLOOKUP($T149,'Nghi hoc T12'!$H$7:$I$160,2,0),0)</f>
        <v>0</v>
      </c>
      <c r="V149" s="28">
        <f>IFERROR(VLOOKUP($T149,No_HP!$B$2:$C$514,2,0),0)</f>
        <v>0</v>
      </c>
      <c r="W149" s="28">
        <f t="shared" si="14"/>
        <v>0</v>
      </c>
      <c r="X149" s="333">
        <f t="shared" si="15"/>
        <v>0</v>
      </c>
      <c r="Y149" s="333">
        <f t="shared" si="16"/>
        <v>0</v>
      </c>
    </row>
    <row r="150" spans="1:25" s="2" customFormat="1" ht="21.95" customHeight="1">
      <c r="A150" s="200">
        <v>1</v>
      </c>
      <c r="B150" s="91" t="str">
        <f t="shared" si="17"/>
        <v>9A.S</v>
      </c>
      <c r="C150" s="185" t="s">
        <v>364</v>
      </c>
      <c r="D150" s="186" t="s">
        <v>514</v>
      </c>
      <c r="E150" s="187">
        <v>100142</v>
      </c>
      <c r="F150" s="188" t="s">
        <v>1207</v>
      </c>
      <c r="G150" s="189" t="s">
        <v>20</v>
      </c>
      <c r="H150" s="188" t="s">
        <v>1177</v>
      </c>
      <c r="I150" s="190"/>
      <c r="J150" s="191"/>
      <c r="K150" s="191"/>
      <c r="L150" s="191"/>
      <c r="M150" s="191"/>
      <c r="N150" s="69" t="s">
        <v>256</v>
      </c>
      <c r="O150" s="70">
        <v>0</v>
      </c>
      <c r="P150" s="70">
        <v>0</v>
      </c>
      <c r="Q150" s="70">
        <f t="shared" si="12"/>
        <v>0</v>
      </c>
      <c r="R150" s="70"/>
      <c r="S150" s="67"/>
      <c r="T150" s="2" t="str">
        <f t="shared" si="13"/>
        <v>Dương Yến Nhi_10AS3</v>
      </c>
      <c r="U150" s="28">
        <f t="array" ref="U150">IFERROR(VLOOKUP($T150,'Nghi hoc T12'!$H$7:$I$160,2,0),0)</f>
        <v>0</v>
      </c>
      <c r="V150" s="28">
        <f>IFERROR(VLOOKUP($T150,No_HP!$B$2:$C$514,2,0),0)</f>
        <v>0</v>
      </c>
      <c r="W150" s="28">
        <f t="shared" si="14"/>
        <v>0</v>
      </c>
      <c r="X150" s="333">
        <f t="shared" si="15"/>
        <v>0</v>
      </c>
      <c r="Y150" s="333">
        <f t="shared" si="16"/>
        <v>0</v>
      </c>
    </row>
    <row r="151" spans="1:25" s="2" customFormat="1" ht="21.95" customHeight="1">
      <c r="A151" s="82">
        <v>2</v>
      </c>
      <c r="B151" s="91" t="str">
        <f t="shared" si="17"/>
        <v>9A.S</v>
      </c>
      <c r="C151" s="83" t="s">
        <v>364</v>
      </c>
      <c r="D151" s="81" t="s">
        <v>514</v>
      </c>
      <c r="E151" s="48">
        <v>100143</v>
      </c>
      <c r="F151" s="30" t="s">
        <v>1208</v>
      </c>
      <c r="G151" s="29" t="s">
        <v>20</v>
      </c>
      <c r="H151" s="30" t="s">
        <v>128</v>
      </c>
      <c r="I151" s="78"/>
      <c r="J151" s="20"/>
      <c r="K151" s="20"/>
      <c r="L151" s="20"/>
      <c r="M151" s="20"/>
      <c r="N151" s="69" t="s">
        <v>256</v>
      </c>
      <c r="O151" s="70">
        <v>0</v>
      </c>
      <c r="P151" s="70">
        <v>0</v>
      </c>
      <c r="Q151" s="70">
        <f t="shared" si="12"/>
        <v>0</v>
      </c>
      <c r="R151" s="70"/>
      <c r="S151" s="67"/>
      <c r="T151" s="2" t="str">
        <f t="shared" si="13"/>
        <v>Lê Phạm Yến Nhi_10AS4</v>
      </c>
      <c r="U151" s="28">
        <f t="array" ref="U151">IFERROR(VLOOKUP($T151,'Nghi hoc T12'!$H$7:$I$160,2,0),0)</f>
        <v>0</v>
      </c>
      <c r="V151" s="28">
        <f>IFERROR(VLOOKUP($T151,No_HP!$B$2:$C$514,2,0),0)</f>
        <v>0</v>
      </c>
      <c r="W151" s="28">
        <f t="shared" si="14"/>
        <v>0</v>
      </c>
      <c r="X151" s="333">
        <f t="shared" si="15"/>
        <v>0</v>
      </c>
      <c r="Y151" s="333">
        <f t="shared" si="16"/>
        <v>0</v>
      </c>
    </row>
    <row r="152" spans="1:25" s="2" customFormat="1" ht="21.95" customHeight="1">
      <c r="A152" s="82">
        <v>3</v>
      </c>
      <c r="B152" s="91" t="str">
        <f t="shared" si="17"/>
        <v>9A.S</v>
      </c>
      <c r="C152" s="83" t="s">
        <v>364</v>
      </c>
      <c r="D152" s="81" t="s">
        <v>514</v>
      </c>
      <c r="E152" s="48">
        <v>100144</v>
      </c>
      <c r="F152" s="30" t="s">
        <v>246</v>
      </c>
      <c r="G152" s="29" t="s">
        <v>20</v>
      </c>
      <c r="H152" s="30" t="s">
        <v>1177</v>
      </c>
      <c r="I152" s="78"/>
      <c r="J152" s="20"/>
      <c r="K152" s="20"/>
      <c r="L152" s="20"/>
      <c r="M152" s="20"/>
      <c r="N152" s="69" t="s">
        <v>256</v>
      </c>
      <c r="O152" s="70">
        <v>0</v>
      </c>
      <c r="P152" s="70">
        <v>0</v>
      </c>
      <c r="Q152" s="70">
        <f t="shared" si="12"/>
        <v>0</v>
      </c>
      <c r="R152" s="70"/>
      <c r="S152" s="67"/>
      <c r="T152" s="2" t="str">
        <f t="shared" si="13"/>
        <v>Nguyễn Thị Ngọc Nhi_10AS3</v>
      </c>
      <c r="U152" s="28">
        <f t="array" ref="U152">IFERROR(VLOOKUP($T152,'Nghi hoc T12'!$H$7:$I$160,2,0),0)</f>
        <v>0</v>
      </c>
      <c r="V152" s="28">
        <f>IFERROR(VLOOKUP($T152,No_HP!$B$2:$C$514,2,0),0)</f>
        <v>0</v>
      </c>
      <c r="W152" s="28">
        <f t="shared" si="14"/>
        <v>0</v>
      </c>
      <c r="X152" s="333">
        <f t="shared" si="15"/>
        <v>0</v>
      </c>
      <c r="Y152" s="333">
        <f t="shared" si="16"/>
        <v>0</v>
      </c>
    </row>
    <row r="153" spans="1:25" s="2" customFormat="1" ht="21.95" customHeight="1">
      <c r="A153" s="82">
        <v>4</v>
      </c>
      <c r="B153" s="91" t="str">
        <f t="shared" si="17"/>
        <v>9A.S</v>
      </c>
      <c r="C153" s="83" t="s">
        <v>364</v>
      </c>
      <c r="D153" s="81" t="s">
        <v>514</v>
      </c>
      <c r="E153" s="48">
        <v>100145</v>
      </c>
      <c r="F153" s="30" t="s">
        <v>1209</v>
      </c>
      <c r="G153" s="29" t="s">
        <v>20</v>
      </c>
      <c r="H153" s="30" t="s">
        <v>128</v>
      </c>
      <c r="I153" s="78"/>
      <c r="J153" s="20"/>
      <c r="K153" s="20"/>
      <c r="L153" s="20"/>
      <c r="M153" s="20"/>
      <c r="N153" s="69" t="s">
        <v>256</v>
      </c>
      <c r="O153" s="70">
        <v>0</v>
      </c>
      <c r="P153" s="70">
        <v>0</v>
      </c>
      <c r="Q153" s="70">
        <f t="shared" si="12"/>
        <v>0</v>
      </c>
      <c r="R153" s="70"/>
      <c r="S153" s="67"/>
      <c r="T153" s="2" t="str">
        <f t="shared" si="13"/>
        <v>Trần Tuyết Nhi_10AS4</v>
      </c>
      <c r="U153" s="28">
        <f t="array" ref="U153">IFERROR(VLOOKUP($T153,'Nghi hoc T12'!$H$7:$I$160,2,0),0)</f>
        <v>0</v>
      </c>
      <c r="V153" s="28">
        <f>IFERROR(VLOOKUP($T153,No_HP!$B$2:$C$514,2,0),0)</f>
        <v>0</v>
      </c>
      <c r="W153" s="28">
        <f t="shared" si="14"/>
        <v>0</v>
      </c>
      <c r="X153" s="333">
        <f t="shared" si="15"/>
        <v>0</v>
      </c>
      <c r="Y153" s="333">
        <f t="shared" si="16"/>
        <v>0</v>
      </c>
    </row>
    <row r="154" spans="1:25" s="2" customFormat="1" ht="21.95" customHeight="1">
      <c r="A154" s="82">
        <v>5</v>
      </c>
      <c r="B154" s="91" t="str">
        <f t="shared" si="17"/>
        <v>9A.S</v>
      </c>
      <c r="C154" s="83" t="s">
        <v>364</v>
      </c>
      <c r="D154" s="81" t="s">
        <v>514</v>
      </c>
      <c r="E154" s="48">
        <v>100146</v>
      </c>
      <c r="F154" s="30" t="s">
        <v>226</v>
      </c>
      <c r="G154" s="29" t="s">
        <v>21</v>
      </c>
      <c r="H154" s="30" t="s">
        <v>1177</v>
      </c>
      <c r="I154" s="78"/>
      <c r="J154" s="20"/>
      <c r="K154" s="20"/>
      <c r="L154" s="20"/>
      <c r="M154" s="20"/>
      <c r="N154" s="69" t="s">
        <v>256</v>
      </c>
      <c r="O154" s="70">
        <v>0</v>
      </c>
      <c r="P154" s="70">
        <v>0</v>
      </c>
      <c r="Q154" s="70">
        <f t="shared" si="12"/>
        <v>0</v>
      </c>
      <c r="R154" s="70"/>
      <c r="S154" s="67"/>
      <c r="T154" s="2" t="str">
        <f t="shared" si="13"/>
        <v>Nguyễn Thị Thanh Như_10AS3</v>
      </c>
      <c r="U154" s="28">
        <f t="array" ref="U154">IFERROR(VLOOKUP($T154,'Nghi hoc T12'!$H$7:$I$160,2,0),0)</f>
        <v>0</v>
      </c>
      <c r="V154" s="28">
        <f>IFERROR(VLOOKUP($T154,No_HP!$B$2:$C$514,2,0),0)</f>
        <v>0</v>
      </c>
      <c r="W154" s="28">
        <f t="shared" si="14"/>
        <v>0</v>
      </c>
      <c r="X154" s="333">
        <f t="shared" si="15"/>
        <v>0</v>
      </c>
      <c r="Y154" s="333">
        <f t="shared" si="16"/>
        <v>0</v>
      </c>
    </row>
    <row r="155" spans="1:25" s="2" customFormat="1" ht="21.95" customHeight="1">
      <c r="A155" s="82">
        <v>6</v>
      </c>
      <c r="B155" s="91" t="str">
        <f t="shared" si="17"/>
        <v>9A.S</v>
      </c>
      <c r="C155" s="83" t="s">
        <v>364</v>
      </c>
      <c r="D155" s="81" t="s">
        <v>514</v>
      </c>
      <c r="E155" s="48">
        <v>100147</v>
      </c>
      <c r="F155" s="30" t="s">
        <v>1210</v>
      </c>
      <c r="G155" s="29" t="s">
        <v>21</v>
      </c>
      <c r="H155" s="30" t="s">
        <v>128</v>
      </c>
      <c r="I155" s="78"/>
      <c r="J155" s="20"/>
      <c r="K155" s="20"/>
      <c r="L155" s="20"/>
      <c r="M155" s="20"/>
      <c r="N155" s="69" t="s">
        <v>256</v>
      </c>
      <c r="O155" s="70">
        <v>0</v>
      </c>
      <c r="P155" s="70">
        <v>0</v>
      </c>
      <c r="Q155" s="70">
        <f t="shared" si="12"/>
        <v>0</v>
      </c>
      <c r="R155" s="70"/>
      <c r="S155" s="67"/>
      <c r="T155" s="2" t="str">
        <f t="shared" si="13"/>
        <v>Phạm Nguyễn Bảo Như_10AS4</v>
      </c>
      <c r="U155" s="28">
        <f t="array" ref="U155">IFERROR(VLOOKUP($T155,'Nghi hoc T12'!$H$7:$I$160,2,0),0)</f>
        <v>0</v>
      </c>
      <c r="V155" s="28">
        <f>IFERROR(VLOOKUP($T155,No_HP!$B$2:$C$514,2,0),0)</f>
        <v>0</v>
      </c>
      <c r="W155" s="28">
        <f t="shared" si="14"/>
        <v>0</v>
      </c>
      <c r="X155" s="333">
        <f t="shared" si="15"/>
        <v>0</v>
      </c>
      <c r="Y155" s="333">
        <f t="shared" si="16"/>
        <v>0</v>
      </c>
    </row>
    <row r="156" spans="1:25" s="2" customFormat="1" ht="21.95" customHeight="1">
      <c r="A156" s="82">
        <v>7</v>
      </c>
      <c r="B156" s="91" t="str">
        <f t="shared" si="17"/>
        <v>9A.S</v>
      </c>
      <c r="C156" s="83" t="s">
        <v>364</v>
      </c>
      <c r="D156" s="81" t="s">
        <v>514</v>
      </c>
      <c r="E156" s="48">
        <v>100148</v>
      </c>
      <c r="F156" s="30" t="s">
        <v>1211</v>
      </c>
      <c r="G156" s="29" t="s">
        <v>181</v>
      </c>
      <c r="H156" s="30" t="s">
        <v>1177</v>
      </c>
      <c r="I156" s="78"/>
      <c r="J156" s="20"/>
      <c r="K156" s="20"/>
      <c r="L156" s="20"/>
      <c r="M156" s="20"/>
      <c r="N156" s="69" t="s">
        <v>256</v>
      </c>
      <c r="O156" s="70">
        <v>0</v>
      </c>
      <c r="P156" s="70">
        <v>0</v>
      </c>
      <c r="Q156" s="70">
        <f t="shared" si="12"/>
        <v>0</v>
      </c>
      <c r="R156" s="70"/>
      <c r="S156" s="67"/>
      <c r="T156" s="2" t="str">
        <f t="shared" si="13"/>
        <v>Trần Thị Yến Oanh_10AS3</v>
      </c>
      <c r="U156" s="28">
        <f t="array" ref="U156">IFERROR(VLOOKUP($T156,'Nghi hoc T12'!$H$7:$I$160,2,0),0)</f>
        <v>0</v>
      </c>
      <c r="V156" s="28">
        <f>IFERROR(VLOOKUP($T156,No_HP!$B$2:$C$514,2,0),0)</f>
        <v>0</v>
      </c>
      <c r="W156" s="28">
        <f t="shared" si="14"/>
        <v>0</v>
      </c>
      <c r="X156" s="333">
        <f t="shared" si="15"/>
        <v>0</v>
      </c>
      <c r="Y156" s="333">
        <f t="shared" si="16"/>
        <v>0</v>
      </c>
    </row>
    <row r="157" spans="1:25" s="2" customFormat="1" ht="21.95" customHeight="1">
      <c r="A157" s="82">
        <v>8</v>
      </c>
      <c r="B157" s="91" t="str">
        <f t="shared" si="17"/>
        <v>9A.S</v>
      </c>
      <c r="C157" s="83" t="s">
        <v>364</v>
      </c>
      <c r="D157" s="81" t="s">
        <v>514</v>
      </c>
      <c r="E157" s="48">
        <v>100149</v>
      </c>
      <c r="F157" s="30" t="s">
        <v>1212</v>
      </c>
      <c r="G157" s="29" t="s">
        <v>42</v>
      </c>
      <c r="H157" s="30" t="s">
        <v>128</v>
      </c>
      <c r="I157" s="78"/>
      <c r="J157" s="20"/>
      <c r="K157" s="20"/>
      <c r="L157" s="20"/>
      <c r="M157" s="20"/>
      <c r="N157" s="69" t="s">
        <v>256</v>
      </c>
      <c r="O157" s="70">
        <v>0</v>
      </c>
      <c r="P157" s="70">
        <v>0</v>
      </c>
      <c r="Q157" s="70">
        <f t="shared" si="12"/>
        <v>0</v>
      </c>
      <c r="R157" s="70"/>
      <c r="S157" s="67"/>
      <c r="T157" s="2" t="str">
        <f t="shared" si="13"/>
        <v>Nguyễn Phúc Minh Phát_10AS4</v>
      </c>
      <c r="U157" s="28">
        <f t="array" ref="U157">IFERROR(VLOOKUP($T157,'Nghi hoc T12'!$H$7:$I$160,2,0),0)</f>
        <v>0</v>
      </c>
      <c r="V157" s="28">
        <f>IFERROR(VLOOKUP($T157,No_HP!$B$2:$C$514,2,0),0)</f>
        <v>0</v>
      </c>
      <c r="W157" s="28">
        <f t="shared" si="14"/>
        <v>0</v>
      </c>
      <c r="X157" s="333">
        <f t="shared" si="15"/>
        <v>0</v>
      </c>
      <c r="Y157" s="333">
        <f t="shared" si="16"/>
        <v>0</v>
      </c>
    </row>
    <row r="158" spans="1:25" s="2" customFormat="1" ht="21.95" customHeight="1">
      <c r="A158" s="82">
        <v>9</v>
      </c>
      <c r="B158" s="91" t="str">
        <f t="shared" si="17"/>
        <v>9A.S</v>
      </c>
      <c r="C158" s="83" t="s">
        <v>364</v>
      </c>
      <c r="D158" s="81" t="s">
        <v>514</v>
      </c>
      <c r="E158" s="48">
        <v>100150</v>
      </c>
      <c r="F158" s="30" t="s">
        <v>1213</v>
      </c>
      <c r="G158" s="29" t="s">
        <v>43</v>
      </c>
      <c r="H158" s="30" t="s">
        <v>128</v>
      </c>
      <c r="I158" s="78"/>
      <c r="J158" s="20"/>
      <c r="K158" s="20"/>
      <c r="L158" s="20"/>
      <c r="M158" s="20"/>
      <c r="N158" s="69" t="s">
        <v>256</v>
      </c>
      <c r="O158" s="70">
        <v>0</v>
      </c>
      <c r="P158" s="70">
        <v>0</v>
      </c>
      <c r="Q158" s="70">
        <f t="shared" si="12"/>
        <v>0</v>
      </c>
      <c r="R158" s="70"/>
      <c r="S158" s="67"/>
      <c r="T158" s="2" t="str">
        <f t="shared" si="13"/>
        <v>Nguyễn Thị Ánh Phương_10AS4</v>
      </c>
      <c r="U158" s="28">
        <f t="array" ref="U158">IFERROR(VLOOKUP($T158,'Nghi hoc T12'!$H$7:$I$160,2,0),0)</f>
        <v>0</v>
      </c>
      <c r="V158" s="28">
        <f>IFERROR(VLOOKUP($T158,No_HP!$B$2:$C$514,2,0),0)</f>
        <v>0</v>
      </c>
      <c r="W158" s="28">
        <f t="shared" si="14"/>
        <v>0</v>
      </c>
      <c r="X158" s="333">
        <f t="shared" si="15"/>
        <v>0</v>
      </c>
      <c r="Y158" s="333">
        <f t="shared" si="16"/>
        <v>0</v>
      </c>
    </row>
    <row r="159" spans="1:25" s="2" customFormat="1" ht="21.95" customHeight="1">
      <c r="A159" s="82">
        <v>10</v>
      </c>
      <c r="B159" s="91" t="str">
        <f t="shared" si="17"/>
        <v>9A.S</v>
      </c>
      <c r="C159" s="83" t="s">
        <v>364</v>
      </c>
      <c r="D159" s="81" t="s">
        <v>514</v>
      </c>
      <c r="E159" s="48">
        <v>100151</v>
      </c>
      <c r="F159" s="30" t="s">
        <v>1214</v>
      </c>
      <c r="G159" s="29" t="s">
        <v>43</v>
      </c>
      <c r="H159" s="30" t="s">
        <v>1177</v>
      </c>
      <c r="I159" s="78"/>
      <c r="J159" s="20"/>
      <c r="K159" s="20"/>
      <c r="L159" s="20"/>
      <c r="M159" s="20"/>
      <c r="N159" s="69" t="s">
        <v>256</v>
      </c>
      <c r="O159" s="70">
        <v>0</v>
      </c>
      <c r="P159" s="70">
        <v>0</v>
      </c>
      <c r="Q159" s="70">
        <f t="shared" si="12"/>
        <v>0</v>
      </c>
      <c r="R159" s="70"/>
      <c r="S159" s="67"/>
      <c r="T159" s="2" t="str">
        <f t="shared" si="13"/>
        <v>Nguyễn Thị Hoài Phương_10AS3</v>
      </c>
      <c r="U159" s="28">
        <f t="array" ref="U159">IFERROR(VLOOKUP($T159,'Nghi hoc T12'!$H$7:$I$160,2,0),0)</f>
        <v>0</v>
      </c>
      <c r="V159" s="28">
        <f>IFERROR(VLOOKUP($T159,No_HP!$B$2:$C$514,2,0),0)</f>
        <v>0</v>
      </c>
      <c r="W159" s="28">
        <f t="shared" si="14"/>
        <v>0</v>
      </c>
      <c r="X159" s="333">
        <f t="shared" si="15"/>
        <v>0</v>
      </c>
      <c r="Y159" s="333">
        <f t="shared" si="16"/>
        <v>0</v>
      </c>
    </row>
    <row r="160" spans="1:25" s="2" customFormat="1" ht="21.95" customHeight="1">
      <c r="A160" s="82">
        <v>11</v>
      </c>
      <c r="B160" s="91" t="str">
        <f t="shared" si="17"/>
        <v>9A.S</v>
      </c>
      <c r="C160" s="83" t="s">
        <v>364</v>
      </c>
      <c r="D160" s="81" t="s">
        <v>514</v>
      </c>
      <c r="E160" s="48">
        <v>100152</v>
      </c>
      <c r="F160" s="30" t="s">
        <v>1215</v>
      </c>
      <c r="G160" s="29" t="s">
        <v>43</v>
      </c>
      <c r="H160" s="30" t="s">
        <v>128</v>
      </c>
      <c r="I160" s="78"/>
      <c r="J160" s="20"/>
      <c r="K160" s="20"/>
      <c r="L160" s="20"/>
      <c r="M160" s="20"/>
      <c r="N160" s="69" t="s">
        <v>256</v>
      </c>
      <c r="O160" s="70">
        <v>0</v>
      </c>
      <c r="P160" s="70">
        <v>0</v>
      </c>
      <c r="Q160" s="70">
        <f t="shared" si="12"/>
        <v>0</v>
      </c>
      <c r="R160" s="70"/>
      <c r="S160" s="67"/>
      <c r="T160" s="2" t="str">
        <f t="shared" si="13"/>
        <v>Văn Thị Hồng Phương_10AS4</v>
      </c>
      <c r="U160" s="28">
        <f t="array" ref="U160">IFERROR(VLOOKUP($T160,'Nghi hoc T12'!$H$7:$I$160,2,0),0)</f>
        <v>0</v>
      </c>
      <c r="V160" s="28">
        <f>IFERROR(VLOOKUP($T160,No_HP!$B$2:$C$514,2,0),0)</f>
        <v>0</v>
      </c>
      <c r="W160" s="28">
        <f t="shared" si="14"/>
        <v>0</v>
      </c>
      <c r="X160" s="333">
        <f t="shared" si="15"/>
        <v>0</v>
      </c>
      <c r="Y160" s="333">
        <f t="shared" si="16"/>
        <v>0</v>
      </c>
    </row>
    <row r="161" spans="1:25" s="2" customFormat="1" ht="21.95" customHeight="1">
      <c r="A161" s="82">
        <v>12</v>
      </c>
      <c r="B161" s="91" t="str">
        <f t="shared" si="17"/>
        <v>9A.S</v>
      </c>
      <c r="C161" s="83" t="s">
        <v>364</v>
      </c>
      <c r="D161" s="81" t="s">
        <v>514</v>
      </c>
      <c r="E161" s="48">
        <v>100153</v>
      </c>
      <c r="F161" s="30" t="s">
        <v>1216</v>
      </c>
      <c r="G161" s="29" t="s">
        <v>235</v>
      </c>
      <c r="H161" s="30" t="s">
        <v>1177</v>
      </c>
      <c r="I161" s="78"/>
      <c r="J161" s="20"/>
      <c r="K161" s="20"/>
      <c r="L161" s="20"/>
      <c r="M161" s="20"/>
      <c r="N161" s="69" t="s">
        <v>256</v>
      </c>
      <c r="O161" s="70">
        <v>0</v>
      </c>
      <c r="P161" s="70">
        <v>0</v>
      </c>
      <c r="Q161" s="70">
        <f t="shared" si="12"/>
        <v>0</v>
      </c>
      <c r="R161" s="70"/>
      <c r="S161" s="67"/>
      <c r="T161" s="2" t="str">
        <f t="shared" si="13"/>
        <v>Nguyễn Việt Quốc_10AS3</v>
      </c>
      <c r="U161" s="28">
        <f t="array" ref="U161">IFERROR(VLOOKUP($T161,'Nghi hoc T12'!$H$7:$I$160,2,0),0)</f>
        <v>0</v>
      </c>
      <c r="V161" s="28">
        <f>IFERROR(VLOOKUP($T161,No_HP!$B$2:$C$514,2,0),0)</f>
        <v>0</v>
      </c>
      <c r="W161" s="28">
        <f t="shared" si="14"/>
        <v>0</v>
      </c>
      <c r="X161" s="333">
        <f t="shared" si="15"/>
        <v>0</v>
      </c>
      <c r="Y161" s="333">
        <f t="shared" si="16"/>
        <v>0</v>
      </c>
    </row>
    <row r="162" spans="1:25" s="2" customFormat="1" ht="21.95" customHeight="1">
      <c r="A162" s="82">
        <v>13</v>
      </c>
      <c r="B162" s="91" t="str">
        <f t="shared" si="17"/>
        <v>9A.S</v>
      </c>
      <c r="C162" s="83" t="s">
        <v>364</v>
      </c>
      <c r="D162" s="81" t="s">
        <v>514</v>
      </c>
      <c r="E162" s="48">
        <v>100154</v>
      </c>
      <c r="F162" s="30" t="s">
        <v>1217</v>
      </c>
      <c r="G162" s="29" t="s">
        <v>235</v>
      </c>
      <c r="H162" s="30" t="s">
        <v>128</v>
      </c>
      <c r="I162" s="78"/>
      <c r="J162" s="20"/>
      <c r="K162" s="20"/>
      <c r="L162" s="20"/>
      <c r="M162" s="20"/>
      <c r="N162" s="69" t="s">
        <v>256</v>
      </c>
      <c r="O162" s="70">
        <v>0</v>
      </c>
      <c r="P162" s="70">
        <v>0</v>
      </c>
      <c r="Q162" s="70">
        <f t="shared" si="12"/>
        <v>0</v>
      </c>
      <c r="R162" s="70"/>
      <c r="S162" s="67"/>
      <c r="T162" s="2" t="str">
        <f t="shared" si="13"/>
        <v>Phạm Ái Quốc_10AS4</v>
      </c>
      <c r="U162" s="28">
        <f t="array" ref="U162">IFERROR(VLOOKUP($T162,'Nghi hoc T12'!$H$7:$I$160,2,0),0)</f>
        <v>0</v>
      </c>
      <c r="V162" s="28">
        <f>IFERROR(VLOOKUP($T162,No_HP!$B$2:$C$514,2,0),0)</f>
        <v>0</v>
      </c>
      <c r="W162" s="28">
        <f t="shared" si="14"/>
        <v>0</v>
      </c>
      <c r="X162" s="333">
        <f t="shared" si="15"/>
        <v>0</v>
      </c>
      <c r="Y162" s="333">
        <f t="shared" si="16"/>
        <v>0</v>
      </c>
    </row>
    <row r="163" spans="1:25" s="2" customFormat="1" ht="21.95" customHeight="1">
      <c r="A163" s="82">
        <v>14</v>
      </c>
      <c r="B163" s="91" t="str">
        <f t="shared" si="17"/>
        <v>9A.S</v>
      </c>
      <c r="C163" s="83" t="s">
        <v>364</v>
      </c>
      <c r="D163" s="81" t="s">
        <v>514</v>
      </c>
      <c r="E163" s="48">
        <v>100155</v>
      </c>
      <c r="F163" s="30" t="s">
        <v>1218</v>
      </c>
      <c r="G163" s="29" t="s">
        <v>305</v>
      </c>
      <c r="H163" s="30" t="s">
        <v>128</v>
      </c>
      <c r="I163" s="78"/>
      <c r="J163" s="20"/>
      <c r="K163" s="20"/>
      <c r="L163" s="20"/>
      <c r="M163" s="20"/>
      <c r="N163" s="69" t="s">
        <v>256</v>
      </c>
      <c r="O163" s="70">
        <v>0</v>
      </c>
      <c r="P163" s="70">
        <v>0</v>
      </c>
      <c r="Q163" s="70">
        <f t="shared" si="12"/>
        <v>0</v>
      </c>
      <c r="R163" s="70"/>
      <c r="S163" s="67"/>
      <c r="T163" s="2" t="str">
        <f t="shared" si="13"/>
        <v>Nguyễn Ngọc Tố Quyên_10AS4</v>
      </c>
      <c r="U163" s="28">
        <f t="array" ref="U163">IFERROR(VLOOKUP($T163,'Nghi hoc T12'!$H$7:$I$160,2,0),0)</f>
        <v>0</v>
      </c>
      <c r="V163" s="28">
        <f>IFERROR(VLOOKUP($T163,No_HP!$B$2:$C$514,2,0),0)</f>
        <v>0</v>
      </c>
      <c r="W163" s="28">
        <f t="shared" si="14"/>
        <v>0</v>
      </c>
      <c r="X163" s="333">
        <f t="shared" si="15"/>
        <v>0</v>
      </c>
      <c r="Y163" s="333">
        <f t="shared" si="16"/>
        <v>0</v>
      </c>
    </row>
    <row r="164" spans="1:25" s="2" customFormat="1" ht="21.95" customHeight="1">
      <c r="A164" s="82">
        <v>15</v>
      </c>
      <c r="B164" s="91" t="str">
        <f t="shared" si="17"/>
        <v>9A.S</v>
      </c>
      <c r="C164" s="83" t="s">
        <v>364</v>
      </c>
      <c r="D164" s="81" t="s">
        <v>514</v>
      </c>
      <c r="E164" s="48">
        <v>100156</v>
      </c>
      <c r="F164" s="30" t="s">
        <v>1219</v>
      </c>
      <c r="G164" s="29" t="s">
        <v>305</v>
      </c>
      <c r="H164" s="30" t="s">
        <v>1177</v>
      </c>
      <c r="I164" s="78"/>
      <c r="J164" s="20"/>
      <c r="K164" s="20"/>
      <c r="L164" s="20"/>
      <c r="M164" s="20"/>
      <c r="N164" s="69" t="s">
        <v>256</v>
      </c>
      <c r="O164" s="70">
        <v>0</v>
      </c>
      <c r="P164" s="70">
        <v>0</v>
      </c>
      <c r="Q164" s="70">
        <f t="shared" si="12"/>
        <v>0</v>
      </c>
      <c r="R164" s="70"/>
      <c r="S164" s="67"/>
      <c r="T164" s="2" t="str">
        <f t="shared" si="13"/>
        <v>Thạch Thị Bảo Quyên_10AS3</v>
      </c>
      <c r="U164" s="28">
        <f t="array" ref="U164">IFERROR(VLOOKUP($T164,'Nghi hoc T12'!$H$7:$I$160,2,0),0)</f>
        <v>0</v>
      </c>
      <c r="V164" s="28">
        <f>IFERROR(VLOOKUP($T164,No_HP!$B$2:$C$514,2,0),0)</f>
        <v>0</v>
      </c>
      <c r="W164" s="28">
        <f t="shared" si="14"/>
        <v>0</v>
      </c>
      <c r="X164" s="333">
        <f t="shared" si="15"/>
        <v>0</v>
      </c>
      <c r="Y164" s="333">
        <f t="shared" si="16"/>
        <v>0</v>
      </c>
    </row>
    <row r="165" spans="1:25" s="2" customFormat="1" ht="21.95" customHeight="1">
      <c r="A165" s="82">
        <v>16</v>
      </c>
      <c r="B165" s="91" t="str">
        <f t="shared" si="17"/>
        <v>9A.S</v>
      </c>
      <c r="C165" s="83" t="s">
        <v>364</v>
      </c>
      <c r="D165" s="81" t="s">
        <v>514</v>
      </c>
      <c r="E165" s="48">
        <v>100157</v>
      </c>
      <c r="F165" s="30" t="s">
        <v>1220</v>
      </c>
      <c r="G165" s="29" t="s">
        <v>23</v>
      </c>
      <c r="H165" s="30" t="s">
        <v>1177</v>
      </c>
      <c r="I165" s="78"/>
      <c r="J165" s="20"/>
      <c r="K165" s="20"/>
      <c r="L165" s="20"/>
      <c r="M165" s="20"/>
      <c r="N165" s="69" t="s">
        <v>256</v>
      </c>
      <c r="O165" s="70">
        <v>0</v>
      </c>
      <c r="P165" s="70">
        <v>0</v>
      </c>
      <c r="Q165" s="70">
        <f t="shared" si="12"/>
        <v>0</v>
      </c>
      <c r="R165" s="70"/>
      <c r="S165" s="67"/>
      <c r="T165" s="2" t="str">
        <f t="shared" si="13"/>
        <v>Nguyễn Sỹ Sơn_10AS3</v>
      </c>
      <c r="U165" s="28">
        <f t="array" ref="U165">IFERROR(VLOOKUP($T165,'Nghi hoc T12'!$H$7:$I$160,2,0),0)</f>
        <v>0</v>
      </c>
      <c r="V165" s="28">
        <f>IFERROR(VLOOKUP($T165,No_HP!$B$2:$C$514,2,0),0)</f>
        <v>0</v>
      </c>
      <c r="W165" s="28">
        <f t="shared" si="14"/>
        <v>0</v>
      </c>
      <c r="X165" s="333">
        <f t="shared" si="15"/>
        <v>0</v>
      </c>
      <c r="Y165" s="333">
        <f t="shared" si="16"/>
        <v>0</v>
      </c>
    </row>
    <row r="166" spans="1:25" s="2" customFormat="1" ht="21.95" customHeight="1">
      <c r="A166" s="82">
        <v>17</v>
      </c>
      <c r="B166" s="91" t="str">
        <f t="shared" si="17"/>
        <v>9A.S</v>
      </c>
      <c r="C166" s="83" t="s">
        <v>364</v>
      </c>
      <c r="D166" s="81" t="s">
        <v>514</v>
      </c>
      <c r="E166" s="48">
        <v>100158</v>
      </c>
      <c r="F166" s="30" t="s">
        <v>1221</v>
      </c>
      <c r="G166" s="29" t="s">
        <v>93</v>
      </c>
      <c r="H166" s="30" t="s">
        <v>1177</v>
      </c>
      <c r="I166" s="78"/>
      <c r="J166" s="20"/>
      <c r="K166" s="20"/>
      <c r="L166" s="20"/>
      <c r="M166" s="20"/>
      <c r="N166" s="69" t="s">
        <v>256</v>
      </c>
      <c r="O166" s="70">
        <v>0</v>
      </c>
      <c r="P166" s="70">
        <v>0</v>
      </c>
      <c r="Q166" s="70">
        <f t="shared" si="12"/>
        <v>0</v>
      </c>
      <c r="R166" s="70"/>
      <c r="S166" s="67"/>
      <c r="T166" s="2" t="str">
        <f t="shared" si="13"/>
        <v>Dương Đức Tài_10AS3</v>
      </c>
      <c r="U166" s="28">
        <f t="array" ref="U166">IFERROR(VLOOKUP($T166,'Nghi hoc T12'!$H$7:$I$160,2,0),0)</f>
        <v>0</v>
      </c>
      <c r="V166" s="28">
        <f>IFERROR(VLOOKUP($T166,No_HP!$B$2:$C$514,2,0),0)</f>
        <v>0</v>
      </c>
      <c r="W166" s="28">
        <f t="shared" si="14"/>
        <v>0</v>
      </c>
      <c r="X166" s="333">
        <f t="shared" si="15"/>
        <v>0</v>
      </c>
      <c r="Y166" s="333">
        <f t="shared" si="16"/>
        <v>0</v>
      </c>
    </row>
    <row r="167" spans="1:25" s="2" customFormat="1" ht="21.95" customHeight="1">
      <c r="A167" s="82">
        <v>18</v>
      </c>
      <c r="B167" s="91" t="str">
        <f t="shared" si="17"/>
        <v>9A.S</v>
      </c>
      <c r="C167" s="83" t="s">
        <v>364</v>
      </c>
      <c r="D167" s="81" t="s">
        <v>514</v>
      </c>
      <c r="E167" s="48">
        <v>100159</v>
      </c>
      <c r="F167" s="30" t="s">
        <v>222</v>
      </c>
      <c r="G167" s="29" t="s">
        <v>24</v>
      </c>
      <c r="H167" s="30" t="s">
        <v>128</v>
      </c>
      <c r="I167" s="78"/>
      <c r="J167" s="20"/>
      <c r="K167" s="20"/>
      <c r="L167" s="20"/>
      <c r="M167" s="20"/>
      <c r="N167" s="69" t="s">
        <v>256</v>
      </c>
      <c r="O167" s="70">
        <v>0</v>
      </c>
      <c r="P167" s="70">
        <v>0</v>
      </c>
      <c r="Q167" s="70">
        <f t="shared" si="12"/>
        <v>0</v>
      </c>
      <c r="R167" s="70"/>
      <c r="S167" s="67"/>
      <c r="T167" s="2" t="str">
        <f t="shared" si="13"/>
        <v>Nguyễn Ngọc Tâm_10AS4</v>
      </c>
      <c r="U167" s="28">
        <f t="array" ref="U167">IFERROR(VLOOKUP($T167,'Nghi hoc T12'!$H$7:$I$160,2,0),0)</f>
        <v>0</v>
      </c>
      <c r="V167" s="28">
        <f>IFERROR(VLOOKUP($T167,No_HP!$B$2:$C$514,2,0),0)</f>
        <v>0</v>
      </c>
      <c r="W167" s="28">
        <f t="shared" si="14"/>
        <v>0</v>
      </c>
      <c r="X167" s="333">
        <f t="shared" si="15"/>
        <v>0</v>
      </c>
      <c r="Y167" s="333">
        <f t="shared" si="16"/>
        <v>0</v>
      </c>
    </row>
    <row r="168" spans="1:25" s="2" customFormat="1" ht="21.95" customHeight="1">
      <c r="A168" s="82">
        <v>19</v>
      </c>
      <c r="B168" s="91" t="str">
        <f t="shared" si="17"/>
        <v>9A.S</v>
      </c>
      <c r="C168" s="83" t="s">
        <v>364</v>
      </c>
      <c r="D168" s="81" t="s">
        <v>514</v>
      </c>
      <c r="E168" s="48">
        <v>100160</v>
      </c>
      <c r="F168" s="30" t="s">
        <v>1222</v>
      </c>
      <c r="G168" s="29" t="s">
        <v>49</v>
      </c>
      <c r="H168" s="30" t="s">
        <v>1177</v>
      </c>
      <c r="I168" s="78"/>
      <c r="J168" s="20"/>
      <c r="K168" s="20"/>
      <c r="L168" s="20"/>
      <c r="M168" s="20"/>
      <c r="N168" s="69" t="s">
        <v>256</v>
      </c>
      <c r="O168" s="70">
        <v>0</v>
      </c>
      <c r="P168" s="70">
        <v>0</v>
      </c>
      <c r="Q168" s="70">
        <f t="shared" si="12"/>
        <v>0</v>
      </c>
      <c r="R168" s="70"/>
      <c r="S168" s="67"/>
      <c r="T168" s="2" t="str">
        <f t="shared" si="13"/>
        <v>Hà Thị Thanh Thảo_10AS3</v>
      </c>
      <c r="U168" s="28">
        <f t="array" ref="U168">IFERROR(VLOOKUP($T168,'Nghi hoc T12'!$H$7:$I$160,2,0),0)</f>
        <v>0</v>
      </c>
      <c r="V168" s="28">
        <f>IFERROR(VLOOKUP($T168,No_HP!$B$2:$C$514,2,0),0)</f>
        <v>0</v>
      </c>
      <c r="W168" s="28">
        <f t="shared" si="14"/>
        <v>0</v>
      </c>
      <c r="X168" s="333">
        <f t="shared" si="15"/>
        <v>0</v>
      </c>
      <c r="Y168" s="333">
        <f t="shared" si="16"/>
        <v>0</v>
      </c>
    </row>
    <row r="169" spans="1:25" s="2" customFormat="1" ht="21.95" customHeight="1">
      <c r="A169" s="82">
        <v>20</v>
      </c>
      <c r="B169" s="91" t="str">
        <f t="shared" si="17"/>
        <v>9A.S</v>
      </c>
      <c r="C169" s="83" t="s">
        <v>364</v>
      </c>
      <c r="D169" s="81" t="s">
        <v>514</v>
      </c>
      <c r="E169" s="48">
        <v>100161</v>
      </c>
      <c r="F169" s="30" t="s">
        <v>1223</v>
      </c>
      <c r="G169" s="29" t="s">
        <v>49</v>
      </c>
      <c r="H169" s="30" t="s">
        <v>128</v>
      </c>
      <c r="I169" s="78"/>
      <c r="J169" s="20"/>
      <c r="K169" s="20"/>
      <c r="L169" s="20"/>
      <c r="M169" s="20"/>
      <c r="N169" s="69" t="s">
        <v>256</v>
      </c>
      <c r="O169" s="70">
        <v>0</v>
      </c>
      <c r="P169" s="70">
        <v>0</v>
      </c>
      <c r="Q169" s="70">
        <f t="shared" si="12"/>
        <v>0</v>
      </c>
      <c r="R169" s="70"/>
      <c r="S169" s="67"/>
      <c r="T169" s="2" t="str">
        <f t="shared" si="13"/>
        <v>Lê Thị Thu Thảo_10AS4</v>
      </c>
      <c r="U169" s="28">
        <f t="array" ref="U169">IFERROR(VLOOKUP($T169,'Nghi hoc T12'!$H$7:$I$160,2,0),0)</f>
        <v>0</v>
      </c>
      <c r="V169" s="28">
        <f>IFERROR(VLOOKUP($T169,No_HP!$B$2:$C$514,2,0),0)</f>
        <v>0</v>
      </c>
      <c r="W169" s="28">
        <f t="shared" si="14"/>
        <v>0</v>
      </c>
      <c r="X169" s="333">
        <f t="shared" si="15"/>
        <v>0</v>
      </c>
      <c r="Y169" s="333">
        <f t="shared" si="16"/>
        <v>0</v>
      </c>
    </row>
    <row r="170" spans="1:25" s="2" customFormat="1" ht="21.95" customHeight="1">
      <c r="A170" s="82">
        <v>21</v>
      </c>
      <c r="B170" s="91" t="str">
        <f t="shared" si="17"/>
        <v>9A.S</v>
      </c>
      <c r="C170" s="83" t="s">
        <v>364</v>
      </c>
      <c r="D170" s="81" t="s">
        <v>514</v>
      </c>
      <c r="E170" s="48">
        <v>100162</v>
      </c>
      <c r="F170" s="30" t="s">
        <v>1224</v>
      </c>
      <c r="G170" s="29" t="s">
        <v>49</v>
      </c>
      <c r="H170" s="30" t="s">
        <v>1177</v>
      </c>
      <c r="I170" s="78"/>
      <c r="J170" s="20"/>
      <c r="K170" s="20"/>
      <c r="L170" s="20"/>
      <c r="M170" s="20"/>
      <c r="N170" s="69" t="s">
        <v>256</v>
      </c>
      <c r="O170" s="70">
        <v>0</v>
      </c>
      <c r="P170" s="70">
        <v>0</v>
      </c>
      <c r="Q170" s="70">
        <f t="shared" si="12"/>
        <v>0</v>
      </c>
      <c r="R170" s="70"/>
      <c r="S170" s="67"/>
      <c r="T170" s="2" t="str">
        <f t="shared" si="13"/>
        <v>Trần Thị Phương Thảo_10AS3</v>
      </c>
      <c r="U170" s="28">
        <f t="array" ref="U170">IFERROR(VLOOKUP($T170,'Nghi hoc T12'!$H$7:$I$160,2,0),0)</f>
        <v>0</v>
      </c>
      <c r="V170" s="28">
        <f>IFERROR(VLOOKUP($T170,No_HP!$B$2:$C$514,2,0),0)</f>
        <v>0</v>
      </c>
      <c r="W170" s="28">
        <f t="shared" si="14"/>
        <v>0</v>
      </c>
      <c r="X170" s="333">
        <f t="shared" si="15"/>
        <v>0</v>
      </c>
      <c r="Y170" s="333">
        <f t="shared" si="16"/>
        <v>0</v>
      </c>
    </row>
    <row r="171" spans="1:25" s="2" customFormat="1" ht="21.95" customHeight="1">
      <c r="A171" s="82">
        <v>22</v>
      </c>
      <c r="B171" s="91" t="str">
        <f t="shared" si="17"/>
        <v>9A.S</v>
      </c>
      <c r="C171" s="83" t="s">
        <v>364</v>
      </c>
      <c r="D171" s="81" t="s">
        <v>514</v>
      </c>
      <c r="E171" s="48">
        <v>100163</v>
      </c>
      <c r="F171" s="30" t="s">
        <v>204</v>
      </c>
      <c r="G171" s="29" t="s">
        <v>49</v>
      </c>
      <c r="H171" s="30" t="s">
        <v>128</v>
      </c>
      <c r="I171" s="78"/>
      <c r="J171" s="20"/>
      <c r="K171" s="20"/>
      <c r="L171" s="20"/>
      <c r="M171" s="20"/>
      <c r="N171" s="69" t="s">
        <v>256</v>
      </c>
      <c r="O171" s="70">
        <v>0</v>
      </c>
      <c r="P171" s="70">
        <v>0</v>
      </c>
      <c r="Q171" s="70">
        <f t="shared" si="12"/>
        <v>0</v>
      </c>
      <c r="R171" s="70"/>
      <c r="S171" s="67"/>
      <c r="T171" s="2" t="str">
        <f t="shared" si="13"/>
        <v>Vũ Thị Thanh Thảo_10AS4</v>
      </c>
      <c r="U171" s="28">
        <f t="array" ref="U171">IFERROR(VLOOKUP($T171,'Nghi hoc T12'!$H$7:$I$160,2,0),0)</f>
        <v>0</v>
      </c>
      <c r="V171" s="28">
        <f>IFERROR(VLOOKUP($T171,No_HP!$B$2:$C$514,2,0),0)</f>
        <v>0</v>
      </c>
      <c r="W171" s="28">
        <f t="shared" si="14"/>
        <v>0</v>
      </c>
      <c r="X171" s="333">
        <f t="shared" si="15"/>
        <v>0</v>
      </c>
      <c r="Y171" s="333">
        <f t="shared" si="16"/>
        <v>0</v>
      </c>
    </row>
    <row r="172" spans="1:25" s="2" customFormat="1" ht="21.95" customHeight="1">
      <c r="A172" s="82">
        <v>23</v>
      </c>
      <c r="B172" s="91" t="str">
        <f t="shared" si="17"/>
        <v>9A.S</v>
      </c>
      <c r="C172" s="83" t="s">
        <v>364</v>
      </c>
      <c r="D172" s="81" t="s">
        <v>514</v>
      </c>
      <c r="E172" s="48">
        <v>100164</v>
      </c>
      <c r="F172" s="30" t="s">
        <v>1225</v>
      </c>
      <c r="G172" s="29" t="s">
        <v>48</v>
      </c>
      <c r="H172" s="30" t="s">
        <v>128</v>
      </c>
      <c r="I172" s="78"/>
      <c r="J172" s="20"/>
      <c r="K172" s="20"/>
      <c r="L172" s="20"/>
      <c r="M172" s="20"/>
      <c r="N172" s="69" t="s">
        <v>256</v>
      </c>
      <c r="O172" s="70">
        <v>0</v>
      </c>
      <c r="P172" s="70">
        <v>0</v>
      </c>
      <c r="Q172" s="70">
        <f t="shared" si="12"/>
        <v>0</v>
      </c>
      <c r="R172" s="70"/>
      <c r="S172" s="67"/>
      <c r="T172" s="2" t="str">
        <f t="shared" si="13"/>
        <v>Hoàng Nhật Thắng_10AS4</v>
      </c>
      <c r="U172" s="28">
        <f t="array" ref="U172">IFERROR(VLOOKUP($T172,'Nghi hoc T12'!$H$7:$I$160,2,0),0)</f>
        <v>0</v>
      </c>
      <c r="V172" s="28">
        <f>IFERROR(VLOOKUP($T172,No_HP!$B$2:$C$514,2,0),0)</f>
        <v>0</v>
      </c>
      <c r="W172" s="28">
        <f t="shared" si="14"/>
        <v>0</v>
      </c>
      <c r="X172" s="333">
        <f t="shared" si="15"/>
        <v>0</v>
      </c>
      <c r="Y172" s="333">
        <f t="shared" si="16"/>
        <v>0</v>
      </c>
    </row>
    <row r="173" spans="1:25" s="2" customFormat="1" ht="21.95" customHeight="1">
      <c r="A173" s="82">
        <v>24</v>
      </c>
      <c r="B173" s="91" t="str">
        <f t="shared" si="17"/>
        <v>9A.S</v>
      </c>
      <c r="C173" s="83" t="s">
        <v>364</v>
      </c>
      <c r="D173" s="81" t="s">
        <v>514</v>
      </c>
      <c r="E173" s="48">
        <v>100165</v>
      </c>
      <c r="F173" s="30" t="s">
        <v>1226</v>
      </c>
      <c r="G173" s="29" t="s">
        <v>50</v>
      </c>
      <c r="H173" s="30" t="s">
        <v>1177</v>
      </c>
      <c r="I173" s="78"/>
      <c r="J173" s="20"/>
      <c r="K173" s="20"/>
      <c r="L173" s="20"/>
      <c r="M173" s="20"/>
      <c r="N173" s="69" t="s">
        <v>256</v>
      </c>
      <c r="O173" s="70">
        <v>0</v>
      </c>
      <c r="P173" s="70">
        <v>0</v>
      </c>
      <c r="Q173" s="70">
        <f t="shared" si="12"/>
        <v>0</v>
      </c>
      <c r="R173" s="70"/>
      <c r="S173" s="67"/>
      <c r="T173" s="2" t="str">
        <f t="shared" si="13"/>
        <v>Nguyễn Trần Hoàng Chí Thiện_10AS3</v>
      </c>
      <c r="U173" s="28">
        <f t="array" ref="U173">IFERROR(VLOOKUP($T173,'Nghi hoc T12'!$H$7:$I$160,2,0),0)</f>
        <v>0</v>
      </c>
      <c r="V173" s="28">
        <f>IFERROR(VLOOKUP($T173,No_HP!$B$2:$C$514,2,0),0)</f>
        <v>0</v>
      </c>
      <c r="W173" s="28">
        <f t="shared" si="14"/>
        <v>0</v>
      </c>
      <c r="X173" s="333">
        <f t="shared" si="15"/>
        <v>0</v>
      </c>
      <c r="Y173" s="333">
        <f t="shared" si="16"/>
        <v>0</v>
      </c>
    </row>
    <row r="174" spans="1:25" s="2" customFormat="1" ht="21.95" customHeight="1">
      <c r="A174" s="200">
        <v>1</v>
      </c>
      <c r="B174" s="91" t="str">
        <f t="shared" si="17"/>
        <v>10A.S</v>
      </c>
      <c r="C174" s="185" t="s">
        <v>364</v>
      </c>
      <c r="D174" s="186" t="s">
        <v>515</v>
      </c>
      <c r="E174" s="187">
        <v>100166</v>
      </c>
      <c r="F174" s="188" t="s">
        <v>239</v>
      </c>
      <c r="G174" s="189" t="s">
        <v>28</v>
      </c>
      <c r="H174" s="188" t="s">
        <v>1177</v>
      </c>
      <c r="I174" s="190"/>
      <c r="J174" s="191"/>
      <c r="K174" s="191"/>
      <c r="L174" s="191"/>
      <c r="M174" s="191"/>
      <c r="N174" s="69" t="s">
        <v>256</v>
      </c>
      <c r="O174" s="70">
        <v>0</v>
      </c>
      <c r="P174" s="70">
        <v>0</v>
      </c>
      <c r="Q174" s="70">
        <f t="shared" si="12"/>
        <v>0</v>
      </c>
      <c r="R174" s="70"/>
      <c r="S174" s="67"/>
      <c r="T174" s="2" t="str">
        <f t="shared" si="13"/>
        <v>Nguyễn Ngọc Anh Thư_10AS3</v>
      </c>
      <c r="U174" s="28">
        <f t="array" ref="U174">IFERROR(VLOOKUP($T174,'Nghi hoc T12'!$H$7:$I$160,2,0),0)</f>
        <v>0</v>
      </c>
      <c r="V174" s="28">
        <f>IFERROR(VLOOKUP($T174,No_HP!$B$2:$C$514,2,0),0)</f>
        <v>0</v>
      </c>
      <c r="W174" s="28">
        <f t="shared" si="14"/>
        <v>0</v>
      </c>
      <c r="X174" s="333">
        <f t="shared" si="15"/>
        <v>0</v>
      </c>
      <c r="Y174" s="333">
        <f t="shared" si="16"/>
        <v>0</v>
      </c>
    </row>
    <row r="175" spans="1:25" s="2" customFormat="1" ht="21.95" customHeight="1">
      <c r="A175" s="82">
        <v>2</v>
      </c>
      <c r="B175" s="91" t="str">
        <f t="shared" si="17"/>
        <v>10A.S</v>
      </c>
      <c r="C175" s="83" t="s">
        <v>364</v>
      </c>
      <c r="D175" s="81" t="s">
        <v>515</v>
      </c>
      <c r="E175" s="48">
        <v>100167</v>
      </c>
      <c r="F175" s="30" t="s">
        <v>1227</v>
      </c>
      <c r="G175" s="29" t="s">
        <v>28</v>
      </c>
      <c r="H175" s="30" t="s">
        <v>128</v>
      </c>
      <c r="I175" s="78"/>
      <c r="J175" s="20"/>
      <c r="K175" s="20"/>
      <c r="L175" s="20"/>
      <c r="M175" s="20"/>
      <c r="N175" s="69" t="s">
        <v>256</v>
      </c>
      <c r="O175" s="70">
        <v>0</v>
      </c>
      <c r="P175" s="70">
        <v>0</v>
      </c>
      <c r="Q175" s="70">
        <f t="shared" si="12"/>
        <v>0</v>
      </c>
      <c r="R175" s="70"/>
      <c r="S175" s="67"/>
      <c r="T175" s="2" t="str">
        <f t="shared" si="13"/>
        <v>Nguyễn Thái Hoàng Thư_10AS4</v>
      </c>
      <c r="U175" s="28">
        <f t="array" ref="U175">IFERROR(VLOOKUP($T175,'Nghi hoc T12'!$H$7:$I$160,2,0),0)</f>
        <v>0</v>
      </c>
      <c r="V175" s="28">
        <f>IFERROR(VLOOKUP($T175,No_HP!$B$2:$C$514,2,0),0)</f>
        <v>0</v>
      </c>
      <c r="W175" s="28">
        <f t="shared" si="14"/>
        <v>0</v>
      </c>
      <c r="X175" s="333">
        <f t="shared" si="15"/>
        <v>0</v>
      </c>
      <c r="Y175" s="333">
        <f t="shared" si="16"/>
        <v>0</v>
      </c>
    </row>
    <row r="176" spans="1:25" s="2" customFormat="1" ht="21.95" customHeight="1">
      <c r="A176" s="82">
        <v>3</v>
      </c>
      <c r="B176" s="91" t="str">
        <f t="shared" si="17"/>
        <v>10A.S</v>
      </c>
      <c r="C176" s="83" t="s">
        <v>364</v>
      </c>
      <c r="D176" s="81" t="s">
        <v>515</v>
      </c>
      <c r="E176" s="48">
        <v>100168</v>
      </c>
      <c r="F176" s="30" t="s">
        <v>1228</v>
      </c>
      <c r="G176" s="29" t="s">
        <v>28</v>
      </c>
      <c r="H176" s="30" t="s">
        <v>128</v>
      </c>
      <c r="I176" s="78"/>
      <c r="J176" s="20"/>
      <c r="K176" s="20"/>
      <c r="L176" s="20"/>
      <c r="M176" s="20"/>
      <c r="N176" s="69" t="s">
        <v>256</v>
      </c>
      <c r="O176" s="70">
        <v>0</v>
      </c>
      <c r="P176" s="70">
        <v>0</v>
      </c>
      <c r="Q176" s="70">
        <f t="shared" si="12"/>
        <v>0</v>
      </c>
      <c r="R176" s="70"/>
      <c r="S176" s="67"/>
      <c r="T176" s="2" t="str">
        <f t="shared" si="13"/>
        <v>Phạm Thị Minh Thư_10AS4</v>
      </c>
      <c r="U176" s="28">
        <f t="array" ref="U176">IFERROR(VLOOKUP($T176,'Nghi hoc T12'!$H$7:$I$160,2,0),0)</f>
        <v>0</v>
      </c>
      <c r="V176" s="28">
        <f>IFERROR(VLOOKUP($T176,No_HP!$B$2:$C$514,2,0),0)</f>
        <v>0</v>
      </c>
      <c r="W176" s="28">
        <f t="shared" si="14"/>
        <v>0</v>
      </c>
      <c r="X176" s="333">
        <f t="shared" si="15"/>
        <v>0</v>
      </c>
      <c r="Y176" s="333">
        <f t="shared" si="16"/>
        <v>0</v>
      </c>
    </row>
    <row r="177" spans="1:25" s="2" customFormat="1" ht="21.95" customHeight="1">
      <c r="A177" s="82">
        <v>4</v>
      </c>
      <c r="B177" s="91" t="str">
        <f t="shared" si="17"/>
        <v>10A.S</v>
      </c>
      <c r="C177" s="83" t="s">
        <v>364</v>
      </c>
      <c r="D177" s="81" t="s">
        <v>515</v>
      </c>
      <c r="E177" s="48">
        <v>100169</v>
      </c>
      <c r="F177" s="30" t="s">
        <v>1229</v>
      </c>
      <c r="G177" s="29" t="s">
        <v>72</v>
      </c>
      <c r="H177" s="30" t="s">
        <v>1177</v>
      </c>
      <c r="I177" s="78"/>
      <c r="J177" s="20"/>
      <c r="K177" s="20"/>
      <c r="L177" s="20"/>
      <c r="M177" s="20"/>
      <c r="N177" s="69" t="s">
        <v>256</v>
      </c>
      <c r="O177" s="70">
        <v>0</v>
      </c>
      <c r="P177" s="70">
        <v>0</v>
      </c>
      <c r="Q177" s="70">
        <f t="shared" si="12"/>
        <v>0</v>
      </c>
      <c r="R177" s="70"/>
      <c r="S177" s="67"/>
      <c r="T177" s="2" t="str">
        <f t="shared" si="13"/>
        <v>Đinh Trung Tín_10AS3</v>
      </c>
      <c r="U177" s="28">
        <f t="array" ref="U177">IFERROR(VLOOKUP($T177,'Nghi hoc T12'!$H$7:$I$160,2,0),0)</f>
        <v>0</v>
      </c>
      <c r="V177" s="28">
        <f>IFERROR(VLOOKUP($T177,No_HP!$B$2:$C$514,2,0),0)</f>
        <v>0</v>
      </c>
      <c r="W177" s="28">
        <f t="shared" si="14"/>
        <v>0</v>
      </c>
      <c r="X177" s="333">
        <f t="shared" si="15"/>
        <v>0</v>
      </c>
      <c r="Y177" s="333">
        <f t="shared" si="16"/>
        <v>0</v>
      </c>
    </row>
    <row r="178" spans="1:25" s="2" customFormat="1" ht="21.95" customHeight="1">
      <c r="A178" s="82">
        <v>5</v>
      </c>
      <c r="B178" s="91" t="str">
        <f t="shared" si="17"/>
        <v>10A.S</v>
      </c>
      <c r="C178" s="83" t="s">
        <v>364</v>
      </c>
      <c r="D178" s="81" t="s">
        <v>515</v>
      </c>
      <c r="E178" s="48">
        <v>100170</v>
      </c>
      <c r="F178" s="30" t="s">
        <v>1230</v>
      </c>
      <c r="G178" s="29" t="s">
        <v>106</v>
      </c>
      <c r="H178" s="30" t="s">
        <v>128</v>
      </c>
      <c r="I178" s="78"/>
      <c r="J178" s="20"/>
      <c r="K178" s="20"/>
      <c r="L178" s="20"/>
      <c r="M178" s="20"/>
      <c r="N178" s="69" t="s">
        <v>256</v>
      </c>
      <c r="O178" s="70">
        <v>0</v>
      </c>
      <c r="P178" s="70">
        <v>0</v>
      </c>
      <c r="Q178" s="70">
        <f t="shared" si="12"/>
        <v>0</v>
      </c>
      <c r="R178" s="70"/>
      <c r="S178" s="67"/>
      <c r="T178" s="2" t="str">
        <f t="shared" si="13"/>
        <v>Dương Trọng Toàn_10AS4</v>
      </c>
      <c r="U178" s="28">
        <f t="array" ref="U178">IFERROR(VLOOKUP($T178,'Nghi hoc T12'!$H$7:$I$160,2,0),0)</f>
        <v>0</v>
      </c>
      <c r="V178" s="28">
        <f>IFERROR(VLOOKUP($T178,No_HP!$B$2:$C$514,2,0),0)</f>
        <v>0</v>
      </c>
      <c r="W178" s="28">
        <f t="shared" si="14"/>
        <v>0</v>
      </c>
      <c r="X178" s="333">
        <f t="shared" si="15"/>
        <v>0</v>
      </c>
      <c r="Y178" s="333">
        <f t="shared" si="16"/>
        <v>0</v>
      </c>
    </row>
    <row r="179" spans="1:25" s="2" customFormat="1" ht="21.95" customHeight="1">
      <c r="A179" s="82">
        <v>6</v>
      </c>
      <c r="B179" s="91" t="str">
        <f t="shared" si="17"/>
        <v>10A.S</v>
      </c>
      <c r="C179" s="83" t="s">
        <v>364</v>
      </c>
      <c r="D179" s="81" t="s">
        <v>515</v>
      </c>
      <c r="E179" s="48">
        <v>100171</v>
      </c>
      <c r="F179" s="30" t="s">
        <v>1231</v>
      </c>
      <c r="G179" s="29" t="s">
        <v>30</v>
      </c>
      <c r="H179" s="30" t="s">
        <v>1177</v>
      </c>
      <c r="I179" s="78"/>
      <c r="J179" s="20"/>
      <c r="K179" s="20"/>
      <c r="L179" s="20"/>
      <c r="M179" s="20"/>
      <c r="N179" s="69" t="s">
        <v>256</v>
      </c>
      <c r="O179" s="70">
        <v>0</v>
      </c>
      <c r="P179" s="70">
        <v>0</v>
      </c>
      <c r="Q179" s="70">
        <f t="shared" si="12"/>
        <v>0</v>
      </c>
      <c r="R179" s="70"/>
      <c r="S179" s="67"/>
      <c r="T179" s="2" t="str">
        <f t="shared" si="13"/>
        <v>Nguyễn Lê Thuỳ Trang_10AS3</v>
      </c>
      <c r="U179" s="28">
        <f t="array" ref="U179">IFERROR(VLOOKUP($T179,'Nghi hoc T12'!$H$7:$I$160,2,0),0)</f>
        <v>0</v>
      </c>
      <c r="V179" s="28">
        <f>IFERROR(VLOOKUP($T179,No_HP!$B$2:$C$514,2,0),0)</f>
        <v>0</v>
      </c>
      <c r="W179" s="28">
        <f t="shared" si="14"/>
        <v>0</v>
      </c>
      <c r="X179" s="333">
        <f t="shared" si="15"/>
        <v>0</v>
      </c>
      <c r="Y179" s="333">
        <f t="shared" si="16"/>
        <v>0</v>
      </c>
    </row>
    <row r="180" spans="1:25" s="2" customFormat="1" ht="21.95" customHeight="1">
      <c r="A180" s="82">
        <v>7</v>
      </c>
      <c r="B180" s="91" t="str">
        <f t="shared" si="17"/>
        <v>10A.S</v>
      </c>
      <c r="C180" s="83" t="s">
        <v>364</v>
      </c>
      <c r="D180" s="81" t="s">
        <v>515</v>
      </c>
      <c r="E180" s="48">
        <v>100172</v>
      </c>
      <c r="F180" s="30" t="s">
        <v>141</v>
      </c>
      <c r="G180" s="29" t="s">
        <v>30</v>
      </c>
      <c r="H180" s="30" t="s">
        <v>128</v>
      </c>
      <c r="I180" s="78"/>
      <c r="J180" s="20"/>
      <c r="K180" s="20"/>
      <c r="L180" s="20"/>
      <c r="M180" s="20"/>
      <c r="N180" s="69" t="s">
        <v>256</v>
      </c>
      <c r="O180" s="70">
        <v>0</v>
      </c>
      <c r="P180" s="70">
        <v>0</v>
      </c>
      <c r="Q180" s="70">
        <f t="shared" si="12"/>
        <v>0</v>
      </c>
      <c r="R180" s="70"/>
      <c r="S180" s="67"/>
      <c r="T180" s="2" t="str">
        <f t="shared" si="13"/>
        <v>Nguyễn Thị Mỹ Trang_10AS4</v>
      </c>
      <c r="U180" s="28">
        <f t="array" ref="U180">IFERROR(VLOOKUP($T180,'Nghi hoc T12'!$H$7:$I$160,2,0),0)</f>
        <v>0</v>
      </c>
      <c r="V180" s="28">
        <f>IFERROR(VLOOKUP($T180,No_HP!$B$2:$C$514,2,0),0)</f>
        <v>0</v>
      </c>
      <c r="W180" s="28">
        <f t="shared" si="14"/>
        <v>0</v>
      </c>
      <c r="X180" s="333">
        <f t="shared" si="15"/>
        <v>0</v>
      </c>
      <c r="Y180" s="333">
        <f t="shared" si="16"/>
        <v>0</v>
      </c>
    </row>
    <row r="181" spans="1:25" s="2" customFormat="1" ht="21.95" customHeight="1">
      <c r="A181" s="82">
        <v>8</v>
      </c>
      <c r="B181" s="91" t="str">
        <f t="shared" si="17"/>
        <v>10A.S</v>
      </c>
      <c r="C181" s="83" t="s">
        <v>364</v>
      </c>
      <c r="D181" s="81" t="s">
        <v>515</v>
      </c>
      <c r="E181" s="48">
        <v>100173</v>
      </c>
      <c r="F181" s="30" t="s">
        <v>473</v>
      </c>
      <c r="G181" s="29" t="s">
        <v>30</v>
      </c>
      <c r="H181" s="30" t="s">
        <v>1177</v>
      </c>
      <c r="I181" s="78"/>
      <c r="J181" s="20"/>
      <c r="K181" s="20"/>
      <c r="L181" s="20"/>
      <c r="M181" s="20"/>
      <c r="N181" s="69" t="s">
        <v>256</v>
      </c>
      <c r="O181" s="70">
        <v>0</v>
      </c>
      <c r="P181" s="70">
        <v>0</v>
      </c>
      <c r="Q181" s="70">
        <f t="shared" si="12"/>
        <v>0</v>
      </c>
      <c r="R181" s="70"/>
      <c r="S181" s="67"/>
      <c r="T181" s="2" t="str">
        <f t="shared" si="13"/>
        <v>Trần Ngọc Phương Trang_10AS3</v>
      </c>
      <c r="U181" s="28">
        <f t="array" ref="U181">IFERROR(VLOOKUP($T181,'Nghi hoc T12'!$H$7:$I$160,2,0),0)</f>
        <v>0</v>
      </c>
      <c r="V181" s="28">
        <f>IFERROR(VLOOKUP($T181,No_HP!$B$2:$C$514,2,0),0)</f>
        <v>0</v>
      </c>
      <c r="W181" s="28">
        <f t="shared" si="14"/>
        <v>0</v>
      </c>
      <c r="X181" s="333">
        <f t="shared" si="15"/>
        <v>0</v>
      </c>
      <c r="Y181" s="333">
        <f t="shared" si="16"/>
        <v>0</v>
      </c>
    </row>
    <row r="182" spans="1:25" s="2" customFormat="1" ht="21.95" customHeight="1">
      <c r="A182" s="82">
        <v>9</v>
      </c>
      <c r="B182" s="91" t="str">
        <f t="shared" si="17"/>
        <v>10A.S</v>
      </c>
      <c r="C182" s="83" t="s">
        <v>364</v>
      </c>
      <c r="D182" s="81" t="s">
        <v>515</v>
      </c>
      <c r="E182" s="48">
        <v>100174</v>
      </c>
      <c r="F182" s="30" t="s">
        <v>180</v>
      </c>
      <c r="G182" s="29" t="s">
        <v>29</v>
      </c>
      <c r="H182" s="30" t="s">
        <v>128</v>
      </c>
      <c r="I182" s="78"/>
      <c r="J182" s="20"/>
      <c r="K182" s="20"/>
      <c r="L182" s="20"/>
      <c r="M182" s="20"/>
      <c r="N182" s="69" t="s">
        <v>256</v>
      </c>
      <c r="O182" s="70">
        <v>0</v>
      </c>
      <c r="P182" s="70">
        <v>0</v>
      </c>
      <c r="Q182" s="70">
        <f t="shared" si="12"/>
        <v>0</v>
      </c>
      <c r="R182" s="70"/>
      <c r="S182" s="67"/>
      <c r="T182" s="2" t="str">
        <f t="shared" si="13"/>
        <v>Nguyễn Thị Bảo Trâm_10AS4</v>
      </c>
      <c r="U182" s="28">
        <f t="array" ref="U182">IFERROR(VLOOKUP($T182,'Nghi hoc T12'!$H$7:$I$160,2,0),0)</f>
        <v>0</v>
      </c>
      <c r="V182" s="28">
        <f>IFERROR(VLOOKUP($T182,No_HP!$B$2:$C$514,2,0),0)</f>
        <v>0</v>
      </c>
      <c r="W182" s="28">
        <f t="shared" si="14"/>
        <v>0</v>
      </c>
      <c r="X182" s="333">
        <f t="shared" si="15"/>
        <v>0</v>
      </c>
      <c r="Y182" s="333">
        <f t="shared" si="16"/>
        <v>0</v>
      </c>
    </row>
    <row r="183" spans="1:25" s="2" customFormat="1" ht="21.95" customHeight="1">
      <c r="A183" s="82">
        <v>10</v>
      </c>
      <c r="B183" s="91" t="str">
        <f t="shared" si="17"/>
        <v>10A.S</v>
      </c>
      <c r="C183" s="83" t="s">
        <v>364</v>
      </c>
      <c r="D183" s="81" t="s">
        <v>515</v>
      </c>
      <c r="E183" s="48">
        <v>100175</v>
      </c>
      <c r="F183" s="30" t="s">
        <v>203</v>
      </c>
      <c r="G183" s="29" t="s">
        <v>98</v>
      </c>
      <c r="H183" s="30" t="s">
        <v>128</v>
      </c>
      <c r="I183" s="78"/>
      <c r="J183" s="20"/>
      <c r="K183" s="20"/>
      <c r="L183" s="20"/>
      <c r="M183" s="20"/>
      <c r="N183" s="69" t="s">
        <v>256</v>
      </c>
      <c r="O183" s="70">
        <v>0</v>
      </c>
      <c r="P183" s="70">
        <v>0</v>
      </c>
      <c r="Q183" s="70">
        <f t="shared" si="12"/>
        <v>0</v>
      </c>
      <c r="R183" s="70"/>
      <c r="S183" s="67"/>
      <c r="T183" s="2" t="str">
        <f t="shared" si="13"/>
        <v>Nguyễn Ngọc Phương Trinh_10AS4</v>
      </c>
      <c r="U183" s="28">
        <f t="array" ref="U183">IFERROR(VLOOKUP($T183,'Nghi hoc T12'!$H$7:$I$160,2,0),0)</f>
        <v>0</v>
      </c>
      <c r="V183" s="28">
        <f>IFERROR(VLOOKUP($T183,No_HP!$B$2:$C$514,2,0),0)</f>
        <v>0</v>
      </c>
      <c r="W183" s="28">
        <f t="shared" si="14"/>
        <v>0</v>
      </c>
      <c r="X183" s="333">
        <f t="shared" si="15"/>
        <v>0</v>
      </c>
      <c r="Y183" s="333">
        <f t="shared" si="16"/>
        <v>0</v>
      </c>
    </row>
    <row r="184" spans="1:25" s="2" customFormat="1" ht="21.95" customHeight="1">
      <c r="A184" s="82">
        <v>11</v>
      </c>
      <c r="B184" s="91" t="str">
        <f t="shared" si="17"/>
        <v>10A.S</v>
      </c>
      <c r="C184" s="83" t="s">
        <v>364</v>
      </c>
      <c r="D184" s="81" t="s">
        <v>515</v>
      </c>
      <c r="E184" s="48">
        <v>100176</v>
      </c>
      <c r="F184" s="30" t="s">
        <v>1232</v>
      </c>
      <c r="G184" s="29" t="s">
        <v>98</v>
      </c>
      <c r="H184" s="30" t="s">
        <v>1177</v>
      </c>
      <c r="I184" s="78"/>
      <c r="J184" s="20"/>
      <c r="K184" s="20"/>
      <c r="L184" s="20"/>
      <c r="M184" s="20"/>
      <c r="N184" s="69" t="s">
        <v>256</v>
      </c>
      <c r="O184" s="70">
        <v>0</v>
      </c>
      <c r="P184" s="70">
        <v>0</v>
      </c>
      <c r="Q184" s="70">
        <f t="shared" si="12"/>
        <v>0</v>
      </c>
      <c r="R184" s="70"/>
      <c r="S184" s="67"/>
      <c r="T184" s="2" t="str">
        <f t="shared" si="13"/>
        <v>Võ Ái Trinh_10AS3</v>
      </c>
      <c r="U184" s="28">
        <f t="array" ref="U184">IFERROR(VLOOKUP($T184,'Nghi hoc T12'!$H$7:$I$160,2,0),0)</f>
        <v>0</v>
      </c>
      <c r="V184" s="28">
        <f>IFERROR(VLOOKUP($T184,No_HP!$B$2:$C$514,2,0),0)</f>
        <v>0</v>
      </c>
      <c r="W184" s="28">
        <f t="shared" si="14"/>
        <v>0</v>
      </c>
      <c r="X184" s="333">
        <f t="shared" si="15"/>
        <v>0</v>
      </c>
      <c r="Y184" s="333">
        <f t="shared" si="16"/>
        <v>0</v>
      </c>
    </row>
    <row r="185" spans="1:25" s="2" customFormat="1" ht="21.95" customHeight="1">
      <c r="A185" s="82">
        <v>12</v>
      </c>
      <c r="B185" s="91" t="str">
        <f t="shared" si="17"/>
        <v>10A.S</v>
      </c>
      <c r="C185" s="83" t="s">
        <v>364</v>
      </c>
      <c r="D185" s="81" t="s">
        <v>515</v>
      </c>
      <c r="E185" s="48">
        <v>100177</v>
      </c>
      <c r="F185" s="30" t="s">
        <v>186</v>
      </c>
      <c r="G185" s="29" t="s">
        <v>52</v>
      </c>
      <c r="H185" s="30" t="s">
        <v>128</v>
      </c>
      <c r="I185" s="78"/>
      <c r="J185" s="20"/>
      <c r="K185" s="20"/>
      <c r="L185" s="20"/>
      <c r="M185" s="20"/>
      <c r="N185" s="69" t="s">
        <v>256</v>
      </c>
      <c r="O185" s="70">
        <v>0</v>
      </c>
      <c r="P185" s="70">
        <v>0</v>
      </c>
      <c r="Q185" s="70">
        <f t="shared" si="12"/>
        <v>0</v>
      </c>
      <c r="R185" s="70"/>
      <c r="S185" s="67"/>
      <c r="T185" s="2" t="str">
        <f t="shared" si="13"/>
        <v>Nguyễn Minh Tuấn_10AS4</v>
      </c>
      <c r="U185" s="28">
        <f t="array" ref="U185">IFERROR(VLOOKUP($T185,'Nghi hoc T12'!$H$7:$I$160,2,0),0)</f>
        <v>0</v>
      </c>
      <c r="V185" s="28">
        <f>IFERROR(VLOOKUP($T185,No_HP!$B$2:$C$514,2,0),0)</f>
        <v>0</v>
      </c>
      <c r="W185" s="28">
        <f t="shared" si="14"/>
        <v>0</v>
      </c>
      <c r="X185" s="333">
        <f t="shared" si="15"/>
        <v>0</v>
      </c>
      <c r="Y185" s="333">
        <f t="shared" si="16"/>
        <v>0</v>
      </c>
    </row>
    <row r="186" spans="1:25" s="2" customFormat="1" ht="21.95" customHeight="1">
      <c r="A186" s="82">
        <v>13</v>
      </c>
      <c r="B186" s="91" t="str">
        <f t="shared" si="17"/>
        <v>10A.S</v>
      </c>
      <c r="C186" s="83" t="s">
        <v>364</v>
      </c>
      <c r="D186" s="81" t="s">
        <v>515</v>
      </c>
      <c r="E186" s="48">
        <v>100178</v>
      </c>
      <c r="F186" s="30" t="s">
        <v>458</v>
      </c>
      <c r="G186" s="29" t="s">
        <v>188</v>
      </c>
      <c r="H186" s="30" t="s">
        <v>1177</v>
      </c>
      <c r="I186" s="78"/>
      <c r="J186" s="20"/>
      <c r="K186" s="20"/>
      <c r="L186" s="20"/>
      <c r="M186" s="20"/>
      <c r="N186" s="69" t="s">
        <v>256</v>
      </c>
      <c r="O186" s="70">
        <v>0</v>
      </c>
      <c r="P186" s="70">
        <v>0</v>
      </c>
      <c r="Q186" s="70">
        <f t="shared" si="12"/>
        <v>0</v>
      </c>
      <c r="R186" s="70"/>
      <c r="S186" s="67"/>
      <c r="T186" s="2" t="str">
        <f t="shared" si="13"/>
        <v>Trần Ngọc Hải Uyên_10AS3</v>
      </c>
      <c r="U186" s="28">
        <f t="array" ref="U186">IFERROR(VLOOKUP($T186,'Nghi hoc T12'!$H$7:$I$160,2,0),0)</f>
        <v>0</v>
      </c>
      <c r="V186" s="28">
        <f>IFERROR(VLOOKUP($T186,No_HP!$B$2:$C$514,2,0),0)</f>
        <v>0</v>
      </c>
      <c r="W186" s="28">
        <f t="shared" si="14"/>
        <v>0</v>
      </c>
      <c r="X186" s="333">
        <f t="shared" si="15"/>
        <v>0</v>
      </c>
      <c r="Y186" s="333">
        <f t="shared" si="16"/>
        <v>0</v>
      </c>
    </row>
    <row r="187" spans="1:25" s="2" customFormat="1" ht="21.95" customHeight="1">
      <c r="A187" s="82">
        <v>14</v>
      </c>
      <c r="B187" s="91" t="str">
        <f t="shared" si="17"/>
        <v>10A.S</v>
      </c>
      <c r="C187" s="83" t="s">
        <v>364</v>
      </c>
      <c r="D187" s="81" t="s">
        <v>515</v>
      </c>
      <c r="E187" s="48">
        <v>100179</v>
      </c>
      <c r="F187" s="30" t="s">
        <v>358</v>
      </c>
      <c r="G187" s="29" t="s">
        <v>60</v>
      </c>
      <c r="H187" s="30" t="s">
        <v>128</v>
      </c>
      <c r="I187" s="78"/>
      <c r="J187" s="20"/>
      <c r="K187" s="20"/>
      <c r="L187" s="20"/>
      <c r="M187" s="20"/>
      <c r="N187" s="69" t="s">
        <v>256</v>
      </c>
      <c r="O187" s="70">
        <v>0</v>
      </c>
      <c r="P187" s="70">
        <v>0</v>
      </c>
      <c r="Q187" s="70">
        <f t="shared" si="12"/>
        <v>0</v>
      </c>
      <c r="R187" s="70"/>
      <c r="S187" s="67"/>
      <c r="T187" s="2" t="str">
        <f t="shared" si="13"/>
        <v>Nguyễn Thị Hà Vân_10AS4</v>
      </c>
      <c r="U187" s="28">
        <f t="array" ref="U187">IFERROR(VLOOKUP($T187,'Nghi hoc T12'!$H$7:$I$160,2,0),0)</f>
        <v>0</v>
      </c>
      <c r="V187" s="28">
        <f>IFERROR(VLOOKUP($T187,No_HP!$B$2:$C$514,2,0),0)</f>
        <v>0</v>
      </c>
      <c r="W187" s="28">
        <f t="shared" si="14"/>
        <v>0</v>
      </c>
      <c r="X187" s="333">
        <f t="shared" si="15"/>
        <v>0</v>
      </c>
      <c r="Y187" s="333">
        <f t="shared" si="16"/>
        <v>0</v>
      </c>
    </row>
    <row r="188" spans="1:25" s="2" customFormat="1" ht="21.95" customHeight="1">
      <c r="A188" s="82">
        <v>15</v>
      </c>
      <c r="B188" s="91" t="str">
        <f t="shared" si="17"/>
        <v>10A.S</v>
      </c>
      <c r="C188" s="83" t="s">
        <v>364</v>
      </c>
      <c r="D188" s="81" t="s">
        <v>515</v>
      </c>
      <c r="E188" s="48">
        <v>100180</v>
      </c>
      <c r="F188" s="30" t="s">
        <v>1233</v>
      </c>
      <c r="G188" s="29" t="s">
        <v>74</v>
      </c>
      <c r="H188" s="30" t="s">
        <v>128</v>
      </c>
      <c r="I188" s="78"/>
      <c r="J188" s="20"/>
      <c r="K188" s="20"/>
      <c r="L188" s="20"/>
      <c r="M188" s="20"/>
      <c r="N188" s="69" t="s">
        <v>256</v>
      </c>
      <c r="O188" s="70">
        <v>0</v>
      </c>
      <c r="P188" s="70">
        <v>0</v>
      </c>
      <c r="Q188" s="70">
        <f t="shared" si="12"/>
        <v>0</v>
      </c>
      <c r="R188" s="70"/>
      <c r="S188" s="67"/>
      <c r="T188" s="2" t="str">
        <f t="shared" si="13"/>
        <v>Ngô Trần Tường Vi_10AS4</v>
      </c>
      <c r="U188" s="28">
        <f t="array" ref="U188">IFERROR(VLOOKUP($T188,'Nghi hoc T12'!$H$7:$I$160,2,0),0)</f>
        <v>0</v>
      </c>
      <c r="V188" s="28">
        <f>IFERROR(VLOOKUP($T188,No_HP!$B$2:$C$514,2,0),0)</f>
        <v>0</v>
      </c>
      <c r="W188" s="28">
        <f t="shared" si="14"/>
        <v>0</v>
      </c>
      <c r="X188" s="333">
        <f t="shared" si="15"/>
        <v>0</v>
      </c>
      <c r="Y188" s="333">
        <f t="shared" si="16"/>
        <v>0</v>
      </c>
    </row>
    <row r="189" spans="1:25" s="2" customFormat="1" ht="21.95" customHeight="1">
      <c r="A189" s="82">
        <v>16</v>
      </c>
      <c r="B189" s="91" t="str">
        <f t="shared" si="17"/>
        <v>10A.S</v>
      </c>
      <c r="C189" s="83" t="s">
        <v>364</v>
      </c>
      <c r="D189" s="81" t="s">
        <v>515</v>
      </c>
      <c r="E189" s="48">
        <v>100181</v>
      </c>
      <c r="F189" s="30" t="s">
        <v>118</v>
      </c>
      <c r="G189" s="29" t="s">
        <v>1235</v>
      </c>
      <c r="H189" s="30" t="s">
        <v>128</v>
      </c>
      <c r="I189" s="78"/>
      <c r="J189" s="20"/>
      <c r="K189" s="20"/>
      <c r="L189" s="20"/>
      <c r="M189" s="20"/>
      <c r="N189" s="69" t="s">
        <v>256</v>
      </c>
      <c r="O189" s="70">
        <v>0</v>
      </c>
      <c r="P189" s="70">
        <v>0</v>
      </c>
      <c r="Q189" s="70">
        <f t="shared" si="12"/>
        <v>0</v>
      </c>
      <c r="R189" s="70"/>
      <c r="S189" s="67"/>
      <c r="T189" s="2" t="str">
        <f t="shared" si="13"/>
        <v>Nguyễn Quốc Vượng_10AS4</v>
      </c>
      <c r="U189" s="28">
        <f t="array" ref="U189">IFERROR(VLOOKUP($T189,'Nghi hoc T12'!$H$7:$I$160,2,0),0)</f>
        <v>0</v>
      </c>
      <c r="V189" s="28">
        <f>IFERROR(VLOOKUP($T189,No_HP!$B$2:$C$514,2,0),0)</f>
        <v>0</v>
      </c>
      <c r="W189" s="28">
        <f t="shared" si="14"/>
        <v>0</v>
      </c>
      <c r="X189" s="333">
        <f t="shared" si="15"/>
        <v>0</v>
      </c>
      <c r="Y189" s="333">
        <f t="shared" si="16"/>
        <v>0</v>
      </c>
    </row>
    <row r="190" spans="1:25" s="2" customFormat="1" ht="21.95" customHeight="1">
      <c r="A190" s="82">
        <v>17</v>
      </c>
      <c r="B190" s="91" t="str">
        <f t="shared" si="17"/>
        <v>10A.S</v>
      </c>
      <c r="C190" s="83" t="s">
        <v>364</v>
      </c>
      <c r="D190" s="81" t="s">
        <v>515</v>
      </c>
      <c r="E190" s="48">
        <v>100182</v>
      </c>
      <c r="F190" s="30" t="s">
        <v>1236</v>
      </c>
      <c r="G190" s="29" t="s">
        <v>34</v>
      </c>
      <c r="H190" s="30" t="s">
        <v>1177</v>
      </c>
      <c r="I190" s="78"/>
      <c r="J190" s="20"/>
      <c r="K190" s="20"/>
      <c r="L190" s="20"/>
      <c r="M190" s="20"/>
      <c r="N190" s="69" t="s">
        <v>256</v>
      </c>
      <c r="O190" s="70">
        <v>0</v>
      </c>
      <c r="P190" s="70">
        <v>0</v>
      </c>
      <c r="Q190" s="70">
        <f t="shared" si="12"/>
        <v>0</v>
      </c>
      <c r="R190" s="70"/>
      <c r="S190" s="67"/>
      <c r="T190" s="2" t="str">
        <f t="shared" si="13"/>
        <v>Hoàng Ngọc Ánh Vy_10AS3</v>
      </c>
      <c r="U190" s="28">
        <f t="array" ref="U190">IFERROR(VLOOKUP($T190,'Nghi hoc T12'!$H$7:$I$160,2,0),0)</f>
        <v>0</v>
      </c>
      <c r="V190" s="28">
        <f>IFERROR(VLOOKUP($T190,No_HP!$B$2:$C$514,2,0),0)</f>
        <v>0</v>
      </c>
      <c r="W190" s="28">
        <f t="shared" si="14"/>
        <v>0</v>
      </c>
      <c r="X190" s="333">
        <f t="shared" si="15"/>
        <v>0</v>
      </c>
      <c r="Y190" s="333">
        <f t="shared" si="16"/>
        <v>0</v>
      </c>
    </row>
    <row r="191" spans="1:25" s="2" customFormat="1" ht="21.95" customHeight="1">
      <c r="A191" s="82">
        <v>18</v>
      </c>
      <c r="B191" s="91" t="str">
        <f t="shared" si="17"/>
        <v>10A.S</v>
      </c>
      <c r="C191" s="83" t="s">
        <v>364</v>
      </c>
      <c r="D191" s="81" t="s">
        <v>515</v>
      </c>
      <c r="E191" s="48">
        <v>100183</v>
      </c>
      <c r="F191" s="30" t="s">
        <v>1237</v>
      </c>
      <c r="G191" s="29" t="s">
        <v>34</v>
      </c>
      <c r="H191" s="30" t="s">
        <v>128</v>
      </c>
      <c r="I191" s="78"/>
      <c r="J191" s="20"/>
      <c r="K191" s="20"/>
      <c r="L191" s="20"/>
      <c r="M191" s="20"/>
      <c r="N191" s="69" t="s">
        <v>256</v>
      </c>
      <c r="O191" s="70">
        <v>0</v>
      </c>
      <c r="P191" s="70">
        <v>0</v>
      </c>
      <c r="Q191" s="70">
        <f t="shared" si="12"/>
        <v>0</v>
      </c>
      <c r="R191" s="70"/>
      <c r="S191" s="67"/>
      <c r="T191" s="2" t="str">
        <f t="shared" si="13"/>
        <v>Lê Trần Thảo Vy_10AS4</v>
      </c>
      <c r="U191" s="28">
        <f t="array" ref="U191">IFERROR(VLOOKUP($T191,'Nghi hoc T12'!$H$7:$I$160,2,0),0)</f>
        <v>0</v>
      </c>
      <c r="V191" s="28">
        <f>IFERROR(VLOOKUP($T191,No_HP!$B$2:$C$514,2,0),0)</f>
        <v>0</v>
      </c>
      <c r="W191" s="28">
        <f t="shared" si="14"/>
        <v>0</v>
      </c>
      <c r="X191" s="333">
        <f t="shared" si="15"/>
        <v>0</v>
      </c>
      <c r="Y191" s="333">
        <f t="shared" si="16"/>
        <v>0</v>
      </c>
    </row>
    <row r="192" spans="1:25" s="2" customFormat="1" ht="21.95" customHeight="1">
      <c r="A192" s="82">
        <v>19</v>
      </c>
      <c r="B192" s="91" t="str">
        <f t="shared" si="17"/>
        <v>10A.S</v>
      </c>
      <c r="C192" s="83" t="s">
        <v>364</v>
      </c>
      <c r="D192" s="81" t="s">
        <v>515</v>
      </c>
      <c r="E192" s="48">
        <v>100184</v>
      </c>
      <c r="F192" s="30" t="s">
        <v>1238</v>
      </c>
      <c r="G192" s="29" t="s">
        <v>34</v>
      </c>
      <c r="H192" s="30" t="s">
        <v>1177</v>
      </c>
      <c r="I192" s="78"/>
      <c r="J192" s="20"/>
      <c r="K192" s="20"/>
      <c r="L192" s="20"/>
      <c r="M192" s="20"/>
      <c r="N192" s="69" t="s">
        <v>256</v>
      </c>
      <c r="O192" s="70">
        <v>0</v>
      </c>
      <c r="P192" s="70">
        <v>0</v>
      </c>
      <c r="Q192" s="70">
        <f t="shared" si="12"/>
        <v>0</v>
      </c>
      <c r="R192" s="70"/>
      <c r="S192" s="67"/>
      <c r="T192" s="2" t="str">
        <f t="shared" si="13"/>
        <v>Nguyễn Tường Vy_10AS3</v>
      </c>
      <c r="U192" s="28">
        <f t="array" ref="U192">IFERROR(VLOOKUP($T192,'Nghi hoc T12'!$H$7:$I$160,2,0),0)</f>
        <v>0</v>
      </c>
      <c r="V192" s="28">
        <f>IFERROR(VLOOKUP($T192,No_HP!$B$2:$C$514,2,0),0)</f>
        <v>0</v>
      </c>
      <c r="W192" s="28">
        <f t="shared" si="14"/>
        <v>0</v>
      </c>
      <c r="X192" s="333">
        <f t="shared" si="15"/>
        <v>0</v>
      </c>
      <c r="Y192" s="333">
        <f t="shared" si="16"/>
        <v>0</v>
      </c>
    </row>
    <row r="193" spans="1:25" s="2" customFormat="1" ht="21.95" customHeight="1">
      <c r="A193" s="82">
        <v>20</v>
      </c>
      <c r="B193" s="91" t="str">
        <f t="shared" si="17"/>
        <v>10A.S</v>
      </c>
      <c r="C193" s="83" t="s">
        <v>364</v>
      </c>
      <c r="D193" s="81" t="s">
        <v>515</v>
      </c>
      <c r="E193" s="48">
        <v>100185</v>
      </c>
      <c r="F193" s="30" t="s">
        <v>1239</v>
      </c>
      <c r="G193" s="29" t="s">
        <v>34</v>
      </c>
      <c r="H193" s="30" t="s">
        <v>128</v>
      </c>
      <c r="I193" s="78"/>
      <c r="J193" s="20"/>
      <c r="K193" s="20"/>
      <c r="L193" s="20"/>
      <c r="M193" s="20"/>
      <c r="N193" s="69" t="s">
        <v>256</v>
      </c>
      <c r="O193" s="70">
        <v>0</v>
      </c>
      <c r="P193" s="70">
        <v>0</v>
      </c>
      <c r="Q193" s="70">
        <f t="shared" si="12"/>
        <v>0</v>
      </c>
      <c r="R193" s="70"/>
      <c r="S193" s="67"/>
      <c r="T193" s="2" t="str">
        <f t="shared" si="13"/>
        <v>Phạm Hoài Phương Vy_10AS4</v>
      </c>
      <c r="U193" s="28">
        <f t="array" ref="U193">IFERROR(VLOOKUP($T193,'Nghi hoc T12'!$H$7:$I$160,2,0),0)</f>
        <v>0</v>
      </c>
      <c r="V193" s="28">
        <f>IFERROR(VLOOKUP($T193,No_HP!$B$2:$C$514,2,0),0)</f>
        <v>0</v>
      </c>
      <c r="W193" s="28">
        <f t="shared" si="14"/>
        <v>0</v>
      </c>
      <c r="X193" s="333">
        <f t="shared" si="15"/>
        <v>0</v>
      </c>
      <c r="Y193" s="333">
        <f t="shared" si="16"/>
        <v>0</v>
      </c>
    </row>
    <row r="194" spans="1:25" s="2" customFormat="1" ht="21.95" customHeight="1">
      <c r="A194" s="82">
        <v>21</v>
      </c>
      <c r="B194" s="91" t="str">
        <f t="shared" si="17"/>
        <v>10A.S</v>
      </c>
      <c r="C194" s="83" t="s">
        <v>364</v>
      </c>
      <c r="D194" s="81" t="s">
        <v>515</v>
      </c>
      <c r="E194" s="48">
        <v>100186</v>
      </c>
      <c r="F194" s="30" t="s">
        <v>432</v>
      </c>
      <c r="G194" s="29" t="s">
        <v>34</v>
      </c>
      <c r="H194" s="30" t="s">
        <v>1177</v>
      </c>
      <c r="I194" s="78"/>
      <c r="J194" s="20"/>
      <c r="K194" s="20"/>
      <c r="L194" s="20"/>
      <c r="M194" s="20"/>
      <c r="N194" s="69" t="s">
        <v>256</v>
      </c>
      <c r="O194" s="70">
        <v>0</v>
      </c>
      <c r="P194" s="70">
        <v>0</v>
      </c>
      <c r="Q194" s="70">
        <f t="shared" si="12"/>
        <v>0</v>
      </c>
      <c r="R194" s="70"/>
      <c r="S194" s="67"/>
      <c r="T194" s="2" t="str">
        <f t="shared" si="13"/>
        <v>Trần Thị Tường Vy_10AS3</v>
      </c>
      <c r="U194" s="28">
        <f t="array" ref="U194">IFERROR(VLOOKUP($T194,'Nghi hoc T12'!$H$7:$I$160,2,0),0)</f>
        <v>0</v>
      </c>
      <c r="V194" s="28">
        <f>IFERROR(VLOOKUP($T194,No_HP!$B$2:$C$514,2,0),0)</f>
        <v>0</v>
      </c>
      <c r="W194" s="28">
        <f t="shared" si="14"/>
        <v>0</v>
      </c>
      <c r="X194" s="333">
        <f t="shared" si="15"/>
        <v>0</v>
      </c>
      <c r="Y194" s="333">
        <f t="shared" si="16"/>
        <v>0</v>
      </c>
    </row>
    <row r="195" spans="1:25" s="2" customFormat="1" ht="21.95" customHeight="1">
      <c r="A195" s="82">
        <v>22</v>
      </c>
      <c r="B195" s="91" t="str">
        <f t="shared" si="17"/>
        <v>10A.S</v>
      </c>
      <c r="C195" s="83" t="s">
        <v>364</v>
      </c>
      <c r="D195" s="81" t="s">
        <v>515</v>
      </c>
      <c r="E195" s="48">
        <v>100187</v>
      </c>
      <c r="F195" s="30" t="s">
        <v>1240</v>
      </c>
      <c r="G195" s="29" t="s">
        <v>75</v>
      </c>
      <c r="H195" s="30" t="s">
        <v>1177</v>
      </c>
      <c r="I195" s="78"/>
      <c r="J195" s="20"/>
      <c r="K195" s="20"/>
      <c r="L195" s="20"/>
      <c r="M195" s="20"/>
      <c r="N195" s="69" t="s">
        <v>256</v>
      </c>
      <c r="O195" s="70">
        <v>0</v>
      </c>
      <c r="P195" s="70">
        <v>0</v>
      </c>
      <c r="Q195" s="70">
        <f t="shared" si="12"/>
        <v>0</v>
      </c>
      <c r="R195" s="70"/>
      <c r="S195" s="67"/>
      <c r="T195" s="2" t="str">
        <f t="shared" si="13"/>
        <v>Nguyễn Hoàng Như Ý_10AS3</v>
      </c>
      <c r="U195" s="28">
        <f t="array" ref="U195">IFERROR(VLOOKUP($T195,'Nghi hoc T12'!$H$7:$I$160,2,0),0)</f>
        <v>0</v>
      </c>
      <c r="V195" s="28">
        <f>IFERROR(VLOOKUP($T195,No_HP!$B$2:$C$514,2,0),0)</f>
        <v>0</v>
      </c>
      <c r="W195" s="28">
        <f t="shared" si="14"/>
        <v>0</v>
      </c>
      <c r="X195" s="333">
        <f t="shared" si="15"/>
        <v>0</v>
      </c>
      <c r="Y195" s="333">
        <f t="shared" si="16"/>
        <v>0</v>
      </c>
    </row>
    <row r="196" spans="1:25" s="2" customFormat="1" ht="21.95" customHeight="1">
      <c r="A196" s="82">
        <v>23</v>
      </c>
      <c r="B196" s="91" t="str">
        <f t="shared" si="17"/>
        <v>10A.S</v>
      </c>
      <c r="C196" s="83" t="s">
        <v>364</v>
      </c>
      <c r="D196" s="81" t="s">
        <v>515</v>
      </c>
      <c r="E196" s="48">
        <v>100188</v>
      </c>
      <c r="F196" s="30" t="s">
        <v>157</v>
      </c>
      <c r="G196" s="29" t="s">
        <v>62</v>
      </c>
      <c r="H196" s="30" t="s">
        <v>1177</v>
      </c>
      <c r="I196" s="78"/>
      <c r="J196" s="20"/>
      <c r="K196" s="20"/>
      <c r="L196" s="20"/>
      <c r="M196" s="20"/>
      <c r="N196" s="69" t="s">
        <v>256</v>
      </c>
      <c r="O196" s="70">
        <v>0</v>
      </c>
      <c r="P196" s="70">
        <v>0</v>
      </c>
      <c r="Q196" s="70">
        <f t="shared" si="12"/>
        <v>0</v>
      </c>
      <c r="R196" s="70"/>
      <c r="S196" s="67"/>
      <c r="T196" s="2" t="str">
        <f t="shared" si="13"/>
        <v>Lê Hoàng Yến_10AS3</v>
      </c>
      <c r="U196" s="28">
        <f t="array" ref="U196">IFERROR(VLOOKUP($T196,'Nghi hoc T12'!$H$7:$I$160,2,0),0)</f>
        <v>0</v>
      </c>
      <c r="V196" s="28">
        <f>IFERROR(VLOOKUP($T196,No_HP!$B$2:$C$514,2,0),0)</f>
        <v>0</v>
      </c>
      <c r="W196" s="28">
        <f t="shared" si="14"/>
        <v>0</v>
      </c>
      <c r="X196" s="333">
        <f t="shared" si="15"/>
        <v>0</v>
      </c>
      <c r="Y196" s="333">
        <f t="shared" si="16"/>
        <v>0</v>
      </c>
    </row>
    <row r="197" spans="1:25" s="2" customFormat="1" ht="21.95" customHeight="1">
      <c r="A197" s="200">
        <v>1</v>
      </c>
      <c r="B197" s="91" t="str">
        <f t="shared" si="17"/>
        <v>11A.S</v>
      </c>
      <c r="C197" s="185" t="s">
        <v>366</v>
      </c>
      <c r="D197" s="186" t="s">
        <v>516</v>
      </c>
      <c r="E197" s="187">
        <v>100189</v>
      </c>
      <c r="F197" s="188" t="s">
        <v>1241</v>
      </c>
      <c r="G197" s="189" t="s">
        <v>63</v>
      </c>
      <c r="H197" s="188" t="s">
        <v>1242</v>
      </c>
      <c r="I197" s="190"/>
      <c r="J197" s="191"/>
      <c r="K197" s="191"/>
      <c r="L197" s="191"/>
      <c r="M197" s="191"/>
      <c r="N197" s="69" t="s">
        <v>256</v>
      </c>
      <c r="O197" s="70">
        <v>0</v>
      </c>
      <c r="P197" s="70">
        <v>0</v>
      </c>
      <c r="Q197" s="70">
        <f t="shared" si="12"/>
        <v>0</v>
      </c>
      <c r="R197" s="70"/>
      <c r="S197" s="67"/>
      <c r="T197" s="2" t="str">
        <f t="shared" si="13"/>
        <v>Nguyễn Hồ Gia An_10AS5</v>
      </c>
      <c r="U197" s="28">
        <f t="array" ref="U197">IFERROR(VLOOKUP($T197,'Nghi hoc T12'!$H$7:$I$160,2,0),0)</f>
        <v>0</v>
      </c>
      <c r="V197" s="28">
        <f>IFERROR(VLOOKUP($T197,No_HP!$B$2:$C$514,2,0),0)</f>
        <v>0</v>
      </c>
      <c r="W197" s="28">
        <f t="shared" si="14"/>
        <v>0</v>
      </c>
      <c r="X197" s="333">
        <f t="shared" si="15"/>
        <v>0</v>
      </c>
      <c r="Y197" s="333">
        <f t="shared" si="16"/>
        <v>0</v>
      </c>
    </row>
    <row r="198" spans="1:25" s="2" customFormat="1" ht="21.95" customHeight="1">
      <c r="A198" s="82">
        <v>2</v>
      </c>
      <c r="B198" s="91" t="str">
        <f t="shared" si="17"/>
        <v>11A.S</v>
      </c>
      <c r="C198" s="83" t="s">
        <v>366</v>
      </c>
      <c r="D198" s="81" t="s">
        <v>516</v>
      </c>
      <c r="E198" s="48">
        <v>100190</v>
      </c>
      <c r="F198" s="30" t="s">
        <v>207</v>
      </c>
      <c r="G198" s="29" t="s">
        <v>63</v>
      </c>
      <c r="H198" s="30" t="s">
        <v>130</v>
      </c>
      <c r="I198" s="78"/>
      <c r="J198" s="20"/>
      <c r="K198" s="20"/>
      <c r="L198" s="20"/>
      <c r="M198" s="20"/>
      <c r="N198" s="69" t="s">
        <v>256</v>
      </c>
      <c r="O198" s="70">
        <v>0</v>
      </c>
      <c r="P198" s="70">
        <v>0</v>
      </c>
      <c r="Q198" s="70">
        <f t="shared" si="12"/>
        <v>0</v>
      </c>
      <c r="R198" s="70"/>
      <c r="S198" s="67"/>
      <c r="T198" s="2" t="str">
        <f t="shared" si="13"/>
        <v>Phạm Văn An_10AS6</v>
      </c>
      <c r="U198" s="28">
        <f t="array" ref="U198">IFERROR(VLOOKUP($T198,'Nghi hoc T12'!$H$7:$I$160,2,0),0)</f>
        <v>0</v>
      </c>
      <c r="V198" s="28">
        <f>IFERROR(VLOOKUP($T198,No_HP!$B$2:$C$514,2,0),0)</f>
        <v>0</v>
      </c>
      <c r="W198" s="28">
        <f t="shared" si="14"/>
        <v>0</v>
      </c>
      <c r="X198" s="333">
        <f t="shared" si="15"/>
        <v>0</v>
      </c>
      <c r="Y198" s="333">
        <f t="shared" si="16"/>
        <v>0</v>
      </c>
    </row>
    <row r="199" spans="1:25" s="2" customFormat="1" ht="21.95" customHeight="1">
      <c r="A199" s="82">
        <v>3</v>
      </c>
      <c r="B199" s="91" t="str">
        <f t="shared" si="17"/>
        <v>11A.S</v>
      </c>
      <c r="C199" s="83" t="s">
        <v>366</v>
      </c>
      <c r="D199" s="81" t="s">
        <v>516</v>
      </c>
      <c r="E199" s="48">
        <v>100191</v>
      </c>
      <c r="F199" s="30" t="s">
        <v>1243</v>
      </c>
      <c r="G199" s="29" t="s">
        <v>5</v>
      </c>
      <c r="H199" s="30" t="s">
        <v>131</v>
      </c>
      <c r="I199" s="78"/>
      <c r="J199" s="20"/>
      <c r="K199" s="20"/>
      <c r="L199" s="20"/>
      <c r="M199" s="20"/>
      <c r="N199" s="69" t="s">
        <v>256</v>
      </c>
      <c r="O199" s="70">
        <v>0</v>
      </c>
      <c r="P199" s="70">
        <v>0</v>
      </c>
      <c r="Q199" s="70">
        <f t="shared" si="12"/>
        <v>0</v>
      </c>
      <c r="R199" s="70"/>
      <c r="S199" s="67"/>
      <c r="T199" s="2" t="str">
        <f t="shared" si="13"/>
        <v>Bùi Quốc Anh_10AS7</v>
      </c>
      <c r="U199" s="28">
        <f t="array" ref="U199">IFERROR(VLOOKUP($T199,'Nghi hoc T12'!$H$7:$I$160,2,0),0)</f>
        <v>0</v>
      </c>
      <c r="V199" s="28">
        <f>IFERROR(VLOOKUP($T199,No_HP!$B$2:$C$514,2,0),0)</f>
        <v>0</v>
      </c>
      <c r="W199" s="28">
        <f t="shared" si="14"/>
        <v>0</v>
      </c>
      <c r="X199" s="333">
        <f t="shared" si="15"/>
        <v>0</v>
      </c>
      <c r="Y199" s="333">
        <f t="shared" si="16"/>
        <v>0</v>
      </c>
    </row>
    <row r="200" spans="1:25" s="2" customFormat="1" ht="21.95" customHeight="1">
      <c r="A200" s="82">
        <v>4</v>
      </c>
      <c r="B200" s="91" t="str">
        <f t="shared" si="17"/>
        <v>11A.S</v>
      </c>
      <c r="C200" s="83" t="s">
        <v>366</v>
      </c>
      <c r="D200" s="81" t="s">
        <v>516</v>
      </c>
      <c r="E200" s="48">
        <v>100192</v>
      </c>
      <c r="F200" s="30" t="s">
        <v>1244</v>
      </c>
      <c r="G200" s="29" t="s">
        <v>5</v>
      </c>
      <c r="H200" s="30" t="s">
        <v>130</v>
      </c>
      <c r="I200" s="78"/>
      <c r="J200" s="20"/>
      <c r="K200" s="20"/>
      <c r="L200" s="20"/>
      <c r="M200" s="20"/>
      <c r="N200" s="69" t="s">
        <v>256</v>
      </c>
      <c r="O200" s="70">
        <v>0</v>
      </c>
      <c r="P200" s="70">
        <v>0</v>
      </c>
      <c r="Q200" s="70">
        <f t="shared" si="12"/>
        <v>0</v>
      </c>
      <c r="R200" s="70"/>
      <c r="S200" s="67"/>
      <c r="T200" s="2" t="str">
        <f t="shared" si="13"/>
        <v>Đỗ Hà Trúc Anh_10AS6</v>
      </c>
      <c r="U200" s="28">
        <f t="array" ref="U200">IFERROR(VLOOKUP($T200,'Nghi hoc T12'!$H$7:$I$160,2,0),0)</f>
        <v>0</v>
      </c>
      <c r="V200" s="28">
        <f>IFERROR(VLOOKUP($T200,No_HP!$B$2:$C$514,2,0),0)</f>
        <v>0</v>
      </c>
      <c r="W200" s="28">
        <f t="shared" si="14"/>
        <v>0</v>
      </c>
      <c r="X200" s="333">
        <f t="shared" si="15"/>
        <v>0</v>
      </c>
      <c r="Y200" s="333">
        <f t="shared" si="16"/>
        <v>0</v>
      </c>
    </row>
    <row r="201" spans="1:25" s="2" customFormat="1" ht="21.95" customHeight="1">
      <c r="A201" s="82">
        <v>5</v>
      </c>
      <c r="B201" s="91" t="str">
        <f t="shared" si="17"/>
        <v>11A.S</v>
      </c>
      <c r="C201" s="83" t="s">
        <v>366</v>
      </c>
      <c r="D201" s="81" t="s">
        <v>516</v>
      </c>
      <c r="E201" s="48">
        <v>100193</v>
      </c>
      <c r="F201" s="30" t="s">
        <v>1245</v>
      </c>
      <c r="G201" s="29" t="s">
        <v>5</v>
      </c>
      <c r="H201" s="30" t="s">
        <v>1242</v>
      </c>
      <c r="I201" s="78"/>
      <c r="J201" s="20"/>
      <c r="K201" s="20"/>
      <c r="L201" s="20"/>
      <c r="M201" s="20"/>
      <c r="N201" s="69" t="s">
        <v>256</v>
      </c>
      <c r="O201" s="70">
        <v>0</v>
      </c>
      <c r="P201" s="70">
        <v>0</v>
      </c>
      <c r="Q201" s="70">
        <f t="shared" si="12"/>
        <v>0</v>
      </c>
      <c r="R201" s="70"/>
      <c r="S201" s="67"/>
      <c r="T201" s="2" t="str">
        <f t="shared" si="13"/>
        <v>Lê Khả Anh_10AS5</v>
      </c>
      <c r="U201" s="28">
        <f t="array" ref="U201">IFERROR(VLOOKUP($T201,'Nghi hoc T12'!$H$7:$I$160,2,0),0)</f>
        <v>0</v>
      </c>
      <c r="V201" s="28">
        <f>IFERROR(VLOOKUP($T201,No_HP!$B$2:$C$514,2,0),0)</f>
        <v>0</v>
      </c>
      <c r="W201" s="28">
        <f t="shared" si="14"/>
        <v>0</v>
      </c>
      <c r="X201" s="333">
        <f t="shared" si="15"/>
        <v>0</v>
      </c>
      <c r="Y201" s="333">
        <f t="shared" si="16"/>
        <v>0</v>
      </c>
    </row>
    <row r="202" spans="1:25" s="2" customFormat="1" ht="21.95" customHeight="1">
      <c r="A202" s="82">
        <v>6</v>
      </c>
      <c r="B202" s="91" t="str">
        <f t="shared" si="17"/>
        <v>11A.S</v>
      </c>
      <c r="C202" s="83" t="s">
        <v>366</v>
      </c>
      <c r="D202" s="81" t="s">
        <v>516</v>
      </c>
      <c r="E202" s="48">
        <v>100194</v>
      </c>
      <c r="F202" s="30" t="s">
        <v>1246</v>
      </c>
      <c r="G202" s="29" t="s">
        <v>5</v>
      </c>
      <c r="H202" s="30" t="s">
        <v>131</v>
      </c>
      <c r="I202" s="78"/>
      <c r="J202" s="20"/>
      <c r="K202" s="20"/>
      <c r="L202" s="20"/>
      <c r="M202" s="20"/>
      <c r="N202" s="69" t="s">
        <v>256</v>
      </c>
      <c r="O202" s="70">
        <v>0</v>
      </c>
      <c r="P202" s="70">
        <v>0</v>
      </c>
      <c r="Q202" s="70">
        <f t="shared" ref="Q202:Q265" si="18">U202</f>
        <v>0</v>
      </c>
      <c r="R202" s="70"/>
      <c r="S202" s="67"/>
      <c r="T202" s="2" t="str">
        <f t="shared" ref="T202:T265" si="19">TRIM(F202&amp;" "&amp;G202&amp;"_"&amp;H202)</f>
        <v>Nguyễn Lại Phương Anh_10AS7</v>
      </c>
      <c r="U202" s="28">
        <f t="array" ref="U202">IFERROR(VLOOKUP($T202,'Nghi hoc T12'!$H$7:$I$160,2,0),0)</f>
        <v>0</v>
      </c>
      <c r="V202" s="28">
        <f>IFERROR(VLOOKUP($T202,No_HP!$B$2:$C$514,2,0),0)</f>
        <v>0</v>
      </c>
      <c r="W202" s="28">
        <f t="shared" ref="W202:W265" si="20">I202</f>
        <v>0</v>
      </c>
      <c r="X202" s="333">
        <f t="shared" ref="X202:X265" si="21">O202</f>
        <v>0</v>
      </c>
      <c r="Y202" s="333">
        <f t="shared" ref="Y202:Y265" si="22">P202</f>
        <v>0</v>
      </c>
    </row>
    <row r="203" spans="1:25" s="2" customFormat="1" ht="21.95" customHeight="1">
      <c r="A203" s="82">
        <v>7</v>
      </c>
      <c r="B203" s="91" t="str">
        <f t="shared" ref="B203:B266" si="23">RIGHT(D203,LEN(D203)-2)&amp;"."&amp;LEFT(N203,1)</f>
        <v>11A.S</v>
      </c>
      <c r="C203" s="83" t="s">
        <v>366</v>
      </c>
      <c r="D203" s="81" t="s">
        <v>516</v>
      </c>
      <c r="E203" s="48">
        <v>100195</v>
      </c>
      <c r="F203" s="30" t="s">
        <v>1247</v>
      </c>
      <c r="G203" s="29" t="s">
        <v>5</v>
      </c>
      <c r="H203" s="30" t="s">
        <v>130</v>
      </c>
      <c r="I203" s="78"/>
      <c r="J203" s="20"/>
      <c r="K203" s="20"/>
      <c r="L203" s="20"/>
      <c r="M203" s="20"/>
      <c r="N203" s="69" t="s">
        <v>256</v>
      </c>
      <c r="O203" s="70">
        <v>0</v>
      </c>
      <c r="P203" s="70">
        <v>0</v>
      </c>
      <c r="Q203" s="70">
        <f t="shared" si="18"/>
        <v>0</v>
      </c>
      <c r="R203" s="70"/>
      <c r="S203" s="67"/>
      <c r="T203" s="2" t="str">
        <f t="shared" si="19"/>
        <v>Triệu Nguyễn Ngọc Anh_10AS6</v>
      </c>
      <c r="U203" s="28">
        <f t="array" ref="U203">IFERROR(VLOOKUP($T203,'Nghi hoc T12'!$H$7:$I$160,2,0),0)</f>
        <v>0</v>
      </c>
      <c r="V203" s="28">
        <f>IFERROR(VLOOKUP($T203,No_HP!$B$2:$C$514,2,0),0)</f>
        <v>0</v>
      </c>
      <c r="W203" s="28">
        <f t="shared" si="20"/>
        <v>0</v>
      </c>
      <c r="X203" s="333">
        <f t="shared" si="21"/>
        <v>0</v>
      </c>
      <c r="Y203" s="333">
        <f t="shared" si="22"/>
        <v>0</v>
      </c>
    </row>
    <row r="204" spans="1:25" s="2" customFormat="1" ht="21.95" customHeight="1">
      <c r="A204" s="82">
        <v>8</v>
      </c>
      <c r="B204" s="91" t="str">
        <f t="shared" si="23"/>
        <v>11A.S</v>
      </c>
      <c r="C204" s="83" t="s">
        <v>366</v>
      </c>
      <c r="D204" s="81" t="s">
        <v>516</v>
      </c>
      <c r="E204" s="48">
        <v>100196</v>
      </c>
      <c r="F204" s="30" t="s">
        <v>1248</v>
      </c>
      <c r="G204" s="29" t="s">
        <v>1183</v>
      </c>
      <c r="H204" s="30" t="s">
        <v>130</v>
      </c>
      <c r="I204" s="78"/>
      <c r="J204" s="20"/>
      <c r="K204" s="20"/>
      <c r="L204" s="20"/>
      <c r="M204" s="20"/>
      <c r="N204" s="69" t="s">
        <v>256</v>
      </c>
      <c r="O204" s="70">
        <v>0</v>
      </c>
      <c r="P204" s="70">
        <v>0</v>
      </c>
      <c r="Q204" s="70">
        <f t="shared" si="18"/>
        <v>0</v>
      </c>
      <c r="R204" s="70"/>
      <c r="S204" s="67"/>
      <c r="T204" s="2" t="str">
        <f t="shared" si="19"/>
        <v>Phạm Băng Băng_10AS6</v>
      </c>
      <c r="U204" s="28">
        <f t="array" ref="U204">IFERROR(VLOOKUP($T204,'Nghi hoc T12'!$H$7:$I$160,2,0),0)</f>
        <v>0</v>
      </c>
      <c r="V204" s="28">
        <f>IFERROR(VLOOKUP($T204,No_HP!$B$2:$C$514,2,0),0)</f>
        <v>0</v>
      </c>
      <c r="W204" s="28">
        <f t="shared" si="20"/>
        <v>0</v>
      </c>
      <c r="X204" s="333">
        <f t="shared" si="21"/>
        <v>0</v>
      </c>
      <c r="Y204" s="333">
        <f t="shared" si="22"/>
        <v>0</v>
      </c>
    </row>
    <row r="205" spans="1:25" s="2" customFormat="1" ht="21.95" customHeight="1">
      <c r="A205" s="82">
        <v>9</v>
      </c>
      <c r="B205" s="91" t="str">
        <f t="shared" si="23"/>
        <v>11A.S</v>
      </c>
      <c r="C205" s="83" t="s">
        <v>366</v>
      </c>
      <c r="D205" s="81" t="s">
        <v>516</v>
      </c>
      <c r="E205" s="48">
        <v>100197</v>
      </c>
      <c r="F205" s="30" t="s">
        <v>1249</v>
      </c>
      <c r="G205" s="29" t="s">
        <v>107</v>
      </c>
      <c r="H205" s="30" t="s">
        <v>1242</v>
      </c>
      <c r="I205" s="78"/>
      <c r="J205" s="20"/>
      <c r="K205" s="20"/>
      <c r="L205" s="20"/>
      <c r="M205" s="20"/>
      <c r="N205" s="69" t="s">
        <v>256</v>
      </c>
      <c r="O205" s="70">
        <v>0</v>
      </c>
      <c r="P205" s="70">
        <v>0</v>
      </c>
      <c r="Q205" s="70">
        <f t="shared" si="18"/>
        <v>0</v>
      </c>
      <c r="R205" s="70"/>
      <c r="S205" s="67"/>
      <c r="T205" s="2" t="str">
        <f t="shared" si="19"/>
        <v>Huỳnh Hà Bảo Châu_10AS5</v>
      </c>
      <c r="U205" s="28">
        <f t="array" ref="U205">IFERROR(VLOOKUP($T205,'Nghi hoc T12'!$H$7:$I$160,2,0),0)</f>
        <v>0</v>
      </c>
      <c r="V205" s="28">
        <f>IFERROR(VLOOKUP($T205,No_HP!$B$2:$C$514,2,0),0)</f>
        <v>0</v>
      </c>
      <c r="W205" s="28">
        <f t="shared" si="20"/>
        <v>0</v>
      </c>
      <c r="X205" s="333">
        <f t="shared" si="21"/>
        <v>0</v>
      </c>
      <c r="Y205" s="333">
        <f t="shared" si="22"/>
        <v>0</v>
      </c>
    </row>
    <row r="206" spans="1:25" s="2" customFormat="1" ht="21.95" customHeight="1">
      <c r="A206" s="82">
        <v>10</v>
      </c>
      <c r="B206" s="91" t="str">
        <f t="shared" si="23"/>
        <v>11A.S</v>
      </c>
      <c r="C206" s="83" t="s">
        <v>366</v>
      </c>
      <c r="D206" s="81" t="s">
        <v>516</v>
      </c>
      <c r="E206" s="48">
        <v>100198</v>
      </c>
      <c r="F206" s="30" t="s">
        <v>1250</v>
      </c>
      <c r="G206" s="29" t="s">
        <v>107</v>
      </c>
      <c r="H206" s="30" t="s">
        <v>130</v>
      </c>
      <c r="I206" s="78"/>
      <c r="J206" s="20"/>
      <c r="K206" s="20"/>
      <c r="L206" s="20"/>
      <c r="M206" s="20"/>
      <c r="N206" s="69" t="s">
        <v>256</v>
      </c>
      <c r="O206" s="70">
        <v>0</v>
      </c>
      <c r="P206" s="70">
        <v>0</v>
      </c>
      <c r="Q206" s="70">
        <f t="shared" si="18"/>
        <v>0</v>
      </c>
      <c r="R206" s="70"/>
      <c r="S206" s="67"/>
      <c r="T206" s="2" t="str">
        <f t="shared" si="19"/>
        <v>Lê Ngọc Minh Châu_10AS6</v>
      </c>
      <c r="U206" s="28">
        <f t="array" ref="U206">IFERROR(VLOOKUP($T206,'Nghi hoc T12'!$H$7:$I$160,2,0),0)</f>
        <v>0</v>
      </c>
      <c r="V206" s="28">
        <f>IFERROR(VLOOKUP($T206,No_HP!$B$2:$C$514,2,0),0)</f>
        <v>0</v>
      </c>
      <c r="W206" s="28">
        <f t="shared" si="20"/>
        <v>0</v>
      </c>
      <c r="X206" s="333">
        <f t="shared" si="21"/>
        <v>0</v>
      </c>
      <c r="Y206" s="333">
        <f t="shared" si="22"/>
        <v>0</v>
      </c>
    </row>
    <row r="207" spans="1:25" s="2" customFormat="1" ht="21.95" customHeight="1">
      <c r="A207" s="82">
        <v>11</v>
      </c>
      <c r="B207" s="91" t="str">
        <f t="shared" si="23"/>
        <v>11A.S</v>
      </c>
      <c r="C207" s="83" t="s">
        <v>366</v>
      </c>
      <c r="D207" s="81" t="s">
        <v>516</v>
      </c>
      <c r="E207" s="48">
        <v>100199</v>
      </c>
      <c r="F207" s="30" t="s">
        <v>156</v>
      </c>
      <c r="G207" s="29" t="s">
        <v>1251</v>
      </c>
      <c r="H207" s="30" t="s">
        <v>130</v>
      </c>
      <c r="I207" s="78"/>
      <c r="J207" s="20"/>
      <c r="K207" s="20"/>
      <c r="L207" s="20"/>
      <c r="M207" s="20"/>
      <c r="N207" s="69" t="s">
        <v>256</v>
      </c>
      <c r="O207" s="70">
        <v>0</v>
      </c>
      <c r="P207" s="70">
        <v>0</v>
      </c>
      <c r="Q207" s="70">
        <f t="shared" si="18"/>
        <v>0</v>
      </c>
      <c r="R207" s="70"/>
      <c r="S207" s="67"/>
      <c r="T207" s="2" t="str">
        <f t="shared" si="19"/>
        <v>Trần Minh Chiến_10AS6</v>
      </c>
      <c r="U207" s="28">
        <f t="array" ref="U207">IFERROR(VLOOKUP($T207,'Nghi hoc T12'!$H$7:$I$160,2,0),0)</f>
        <v>0</v>
      </c>
      <c r="V207" s="28">
        <f>IFERROR(VLOOKUP($T207,No_HP!$B$2:$C$514,2,0),0)</f>
        <v>0</v>
      </c>
      <c r="W207" s="28">
        <f t="shared" si="20"/>
        <v>0</v>
      </c>
      <c r="X207" s="333">
        <f t="shared" si="21"/>
        <v>0</v>
      </c>
      <c r="Y207" s="333">
        <f t="shared" si="22"/>
        <v>0</v>
      </c>
    </row>
    <row r="208" spans="1:25" s="2" customFormat="1" ht="21.95" customHeight="1">
      <c r="A208" s="82">
        <v>12</v>
      </c>
      <c r="B208" s="91" t="str">
        <f t="shared" si="23"/>
        <v>11A.S</v>
      </c>
      <c r="C208" s="83" t="s">
        <v>366</v>
      </c>
      <c r="D208" s="81" t="s">
        <v>516</v>
      </c>
      <c r="E208" s="48">
        <v>100200</v>
      </c>
      <c r="F208" s="30" t="s">
        <v>257</v>
      </c>
      <c r="G208" s="29" t="s">
        <v>116</v>
      </c>
      <c r="H208" s="30" t="s">
        <v>131</v>
      </c>
      <c r="I208" s="78"/>
      <c r="J208" s="20"/>
      <c r="K208" s="20"/>
      <c r="L208" s="20"/>
      <c r="M208" s="20"/>
      <c r="N208" s="69" t="s">
        <v>256</v>
      </c>
      <c r="O208" s="70">
        <v>0</v>
      </c>
      <c r="P208" s="70">
        <v>0</v>
      </c>
      <c r="Q208" s="70">
        <f t="shared" si="18"/>
        <v>0</v>
      </c>
      <c r="R208" s="70"/>
      <c r="S208" s="67"/>
      <c r="T208" s="2" t="str">
        <f t="shared" si="19"/>
        <v>Lê Minh Công_10AS7</v>
      </c>
      <c r="U208" s="28">
        <f t="array" ref="U208">IFERROR(VLOOKUP($T208,'Nghi hoc T12'!$H$7:$I$160,2,0),0)</f>
        <v>0</v>
      </c>
      <c r="V208" s="28">
        <f>IFERROR(VLOOKUP($T208,No_HP!$B$2:$C$514,2,0),0)</f>
        <v>0</v>
      </c>
      <c r="W208" s="28">
        <f t="shared" si="20"/>
        <v>0</v>
      </c>
      <c r="X208" s="333">
        <f t="shared" si="21"/>
        <v>0</v>
      </c>
      <c r="Y208" s="333">
        <f t="shared" si="22"/>
        <v>0</v>
      </c>
    </row>
    <row r="209" spans="1:25" s="2" customFormat="1" ht="21.95" customHeight="1">
      <c r="A209" s="82">
        <v>13</v>
      </c>
      <c r="B209" s="91" t="str">
        <f t="shared" si="23"/>
        <v>11A.S</v>
      </c>
      <c r="C209" s="83" t="s">
        <v>366</v>
      </c>
      <c r="D209" s="81" t="s">
        <v>516</v>
      </c>
      <c r="E209" s="48">
        <v>100201</v>
      </c>
      <c r="F209" s="30" t="s">
        <v>1252</v>
      </c>
      <c r="G209" s="29" t="s">
        <v>65</v>
      </c>
      <c r="H209" s="30" t="s">
        <v>130</v>
      </c>
      <c r="I209" s="78"/>
      <c r="J209" s="20"/>
      <c r="K209" s="20"/>
      <c r="L209" s="20"/>
      <c r="M209" s="20"/>
      <c r="N209" s="69" t="s">
        <v>256</v>
      </c>
      <c r="O209" s="70">
        <v>0</v>
      </c>
      <c r="P209" s="70">
        <v>0</v>
      </c>
      <c r="Q209" s="70">
        <f t="shared" si="18"/>
        <v>0</v>
      </c>
      <c r="R209" s="70"/>
      <c r="S209" s="67"/>
      <c r="T209" s="2" t="str">
        <f t="shared" si="19"/>
        <v>Nguyễn Hồ Bảo Duy_10AS6</v>
      </c>
      <c r="U209" s="28">
        <f t="array" ref="U209">IFERROR(VLOOKUP($T209,'Nghi hoc T12'!$H$7:$I$160,2,0),0)</f>
        <v>0</v>
      </c>
      <c r="V209" s="28">
        <f>IFERROR(VLOOKUP($T209,No_HP!$B$2:$C$514,2,0),0)</f>
        <v>0</v>
      </c>
      <c r="W209" s="28">
        <f t="shared" si="20"/>
        <v>0</v>
      </c>
      <c r="X209" s="333">
        <f t="shared" si="21"/>
        <v>0</v>
      </c>
      <c r="Y209" s="333">
        <f t="shared" si="22"/>
        <v>0</v>
      </c>
    </row>
    <row r="210" spans="1:25" s="2" customFormat="1" ht="21.95" customHeight="1">
      <c r="A210" s="82">
        <v>14</v>
      </c>
      <c r="B210" s="91" t="str">
        <f t="shared" si="23"/>
        <v>11A.S</v>
      </c>
      <c r="C210" s="83" t="s">
        <v>366</v>
      </c>
      <c r="D210" s="81" t="s">
        <v>516</v>
      </c>
      <c r="E210" s="48">
        <v>100202</v>
      </c>
      <c r="F210" s="30" t="s">
        <v>1253</v>
      </c>
      <c r="G210" s="29" t="s">
        <v>65</v>
      </c>
      <c r="H210" s="30" t="s">
        <v>131</v>
      </c>
      <c r="I210" s="78"/>
      <c r="J210" s="20"/>
      <c r="K210" s="20"/>
      <c r="L210" s="20"/>
      <c r="M210" s="20"/>
      <c r="N210" s="69" t="s">
        <v>256</v>
      </c>
      <c r="O210" s="70">
        <v>0</v>
      </c>
      <c r="P210" s="70">
        <v>0</v>
      </c>
      <c r="Q210" s="70">
        <f t="shared" si="18"/>
        <v>0</v>
      </c>
      <c r="R210" s="70"/>
      <c r="S210" s="67"/>
      <c r="T210" s="2" t="str">
        <f t="shared" si="19"/>
        <v>Trần Phương Duy_10AS7</v>
      </c>
      <c r="U210" s="28">
        <f t="array" ref="U210">IFERROR(VLOOKUP($T210,'Nghi hoc T12'!$H$7:$I$160,2,0),0)</f>
        <v>0</v>
      </c>
      <c r="V210" s="28">
        <f>IFERROR(VLOOKUP($T210,No_HP!$B$2:$C$514,2,0),0)</f>
        <v>0</v>
      </c>
      <c r="W210" s="28">
        <f t="shared" si="20"/>
        <v>0</v>
      </c>
      <c r="X210" s="333">
        <f t="shared" si="21"/>
        <v>0</v>
      </c>
      <c r="Y210" s="333">
        <f t="shared" si="22"/>
        <v>0</v>
      </c>
    </row>
    <row r="211" spans="1:25" s="2" customFormat="1" ht="21.95" customHeight="1">
      <c r="A211" s="82">
        <v>15</v>
      </c>
      <c r="B211" s="91" t="str">
        <f t="shared" si="23"/>
        <v>11A.S</v>
      </c>
      <c r="C211" s="83" t="s">
        <v>366</v>
      </c>
      <c r="D211" s="81" t="s">
        <v>516</v>
      </c>
      <c r="E211" s="48">
        <v>100203</v>
      </c>
      <c r="F211" s="30" t="s">
        <v>311</v>
      </c>
      <c r="G211" s="29" t="s">
        <v>66</v>
      </c>
      <c r="H211" s="30" t="s">
        <v>1242</v>
      </c>
      <c r="I211" s="78"/>
      <c r="J211" s="20"/>
      <c r="K211" s="20"/>
      <c r="L211" s="20"/>
      <c r="M211" s="20"/>
      <c r="N211" s="69" t="s">
        <v>256</v>
      </c>
      <c r="O211" s="70">
        <v>0</v>
      </c>
      <c r="P211" s="70">
        <v>0</v>
      </c>
      <c r="Q211" s="70">
        <f t="shared" si="18"/>
        <v>0</v>
      </c>
      <c r="R211" s="70"/>
      <c r="S211" s="67"/>
      <c r="T211" s="2" t="str">
        <f t="shared" si="19"/>
        <v>Kỳ Duyên_10AS5</v>
      </c>
      <c r="U211" s="28">
        <f t="array" ref="U211">IFERROR(VLOOKUP($T211,'Nghi hoc T12'!$H$7:$I$160,2,0),0)</f>
        <v>0</v>
      </c>
      <c r="V211" s="28">
        <f>IFERROR(VLOOKUP($T211,No_HP!$B$2:$C$514,2,0),0)</f>
        <v>0</v>
      </c>
      <c r="W211" s="28">
        <f t="shared" si="20"/>
        <v>0</v>
      </c>
      <c r="X211" s="333">
        <f t="shared" si="21"/>
        <v>0</v>
      </c>
      <c r="Y211" s="333">
        <f t="shared" si="22"/>
        <v>0</v>
      </c>
    </row>
    <row r="212" spans="1:25" s="2" customFormat="1" ht="21.95" customHeight="1">
      <c r="A212" s="82">
        <v>16</v>
      </c>
      <c r="B212" s="91" t="str">
        <f t="shared" si="23"/>
        <v>11A.S</v>
      </c>
      <c r="C212" s="83" t="s">
        <v>366</v>
      </c>
      <c r="D212" s="81" t="s">
        <v>516</v>
      </c>
      <c r="E212" s="48">
        <v>100204</v>
      </c>
      <c r="F212" s="30" t="s">
        <v>141</v>
      </c>
      <c r="G212" s="29" t="s">
        <v>66</v>
      </c>
      <c r="H212" s="30" t="s">
        <v>1242</v>
      </c>
      <c r="I212" s="78"/>
      <c r="J212" s="20"/>
      <c r="K212" s="20"/>
      <c r="L212" s="20"/>
      <c r="M212" s="20"/>
      <c r="N212" s="69" t="s">
        <v>256</v>
      </c>
      <c r="O212" s="70">
        <v>0</v>
      </c>
      <c r="P212" s="70">
        <v>0</v>
      </c>
      <c r="Q212" s="70">
        <f t="shared" si="18"/>
        <v>0</v>
      </c>
      <c r="R212" s="70"/>
      <c r="S212" s="67"/>
      <c r="T212" s="2" t="str">
        <f t="shared" si="19"/>
        <v>Nguyễn Thị Mỹ Duyên_10AS5</v>
      </c>
      <c r="U212" s="28">
        <f t="array" ref="U212">IFERROR(VLOOKUP($T212,'Nghi hoc T12'!$H$7:$I$160,2,0),0)</f>
        <v>0</v>
      </c>
      <c r="V212" s="28">
        <f>IFERROR(VLOOKUP($T212,No_HP!$B$2:$C$514,2,0),0)</f>
        <v>0</v>
      </c>
      <c r="W212" s="28">
        <f t="shared" si="20"/>
        <v>0</v>
      </c>
      <c r="X212" s="333">
        <f t="shared" si="21"/>
        <v>0</v>
      </c>
      <c r="Y212" s="333">
        <f t="shared" si="22"/>
        <v>0</v>
      </c>
    </row>
    <row r="213" spans="1:25" s="2" customFormat="1" ht="21.95" customHeight="1">
      <c r="A213" s="82">
        <v>17</v>
      </c>
      <c r="B213" s="91" t="str">
        <f t="shared" si="23"/>
        <v>11A.S</v>
      </c>
      <c r="C213" s="83" t="s">
        <v>366</v>
      </c>
      <c r="D213" s="81" t="s">
        <v>516</v>
      </c>
      <c r="E213" s="48">
        <v>100205</v>
      </c>
      <c r="F213" s="30" t="s">
        <v>1254</v>
      </c>
      <c r="G213" s="29" t="s">
        <v>53</v>
      </c>
      <c r="H213" s="30" t="s">
        <v>130</v>
      </c>
      <c r="I213" s="78"/>
      <c r="J213" s="20"/>
      <c r="K213" s="20"/>
      <c r="L213" s="20"/>
      <c r="M213" s="20"/>
      <c r="N213" s="69" t="s">
        <v>256</v>
      </c>
      <c r="O213" s="70">
        <v>0</v>
      </c>
      <c r="P213" s="70">
        <v>0</v>
      </c>
      <c r="Q213" s="70">
        <f t="shared" si="18"/>
        <v>0</v>
      </c>
      <c r="R213" s="70"/>
      <c r="S213" s="67"/>
      <c r="T213" s="2" t="str">
        <f t="shared" si="19"/>
        <v>Đặng Nguyễn Tùng Dương_10AS6</v>
      </c>
      <c r="U213" s="28">
        <f t="array" ref="U213">IFERROR(VLOOKUP($T213,'Nghi hoc T12'!$H$7:$I$160,2,0),0)</f>
        <v>0</v>
      </c>
      <c r="V213" s="28">
        <f>IFERROR(VLOOKUP($T213,No_HP!$B$2:$C$514,2,0),0)</f>
        <v>0</v>
      </c>
      <c r="W213" s="28">
        <f t="shared" si="20"/>
        <v>0</v>
      </c>
      <c r="X213" s="333">
        <f t="shared" si="21"/>
        <v>0</v>
      </c>
      <c r="Y213" s="333">
        <f t="shared" si="22"/>
        <v>0</v>
      </c>
    </row>
    <row r="214" spans="1:25" s="2" customFormat="1" ht="21.95" customHeight="1">
      <c r="A214" s="82">
        <v>18</v>
      </c>
      <c r="B214" s="91" t="str">
        <f t="shared" si="23"/>
        <v>11A.S</v>
      </c>
      <c r="C214" s="83" t="s">
        <v>366</v>
      </c>
      <c r="D214" s="81" t="s">
        <v>516</v>
      </c>
      <c r="E214" s="48">
        <v>100206</v>
      </c>
      <c r="F214" s="30" t="s">
        <v>1255</v>
      </c>
      <c r="G214" s="29" t="s">
        <v>53</v>
      </c>
      <c r="H214" s="30" t="s">
        <v>1242</v>
      </c>
      <c r="I214" s="78"/>
      <c r="J214" s="20"/>
      <c r="K214" s="20"/>
      <c r="L214" s="20"/>
      <c r="M214" s="20"/>
      <c r="N214" s="69" t="s">
        <v>256</v>
      </c>
      <c r="O214" s="70">
        <v>0</v>
      </c>
      <c r="P214" s="70">
        <v>0</v>
      </c>
      <c r="Q214" s="70">
        <f t="shared" si="18"/>
        <v>0</v>
      </c>
      <c r="R214" s="70"/>
      <c r="S214" s="67"/>
      <c r="T214" s="2" t="str">
        <f t="shared" si="19"/>
        <v>Lê Hà Thùy Dương_10AS5</v>
      </c>
      <c r="U214" s="28">
        <f t="array" ref="U214">IFERROR(VLOOKUP($T214,'Nghi hoc T12'!$H$7:$I$160,2,0),0)</f>
        <v>0</v>
      </c>
      <c r="V214" s="28">
        <f>IFERROR(VLOOKUP($T214,No_HP!$B$2:$C$514,2,0),0)</f>
        <v>0</v>
      </c>
      <c r="W214" s="28">
        <f t="shared" si="20"/>
        <v>0</v>
      </c>
      <c r="X214" s="333">
        <f t="shared" si="21"/>
        <v>0</v>
      </c>
      <c r="Y214" s="333">
        <f t="shared" si="22"/>
        <v>0</v>
      </c>
    </row>
    <row r="215" spans="1:25" s="2" customFormat="1" ht="21.95" customHeight="1">
      <c r="A215" s="82">
        <v>19</v>
      </c>
      <c r="B215" s="91" t="str">
        <f t="shared" si="23"/>
        <v>11A.S</v>
      </c>
      <c r="C215" s="83" t="s">
        <v>366</v>
      </c>
      <c r="D215" s="81" t="s">
        <v>516</v>
      </c>
      <c r="E215" s="48">
        <v>100207</v>
      </c>
      <c r="F215" s="30" t="s">
        <v>1256</v>
      </c>
      <c r="G215" s="29" t="s">
        <v>53</v>
      </c>
      <c r="H215" s="30" t="s">
        <v>131</v>
      </c>
      <c r="I215" s="78"/>
      <c r="J215" s="20"/>
      <c r="K215" s="20"/>
      <c r="L215" s="20"/>
      <c r="M215" s="20"/>
      <c r="N215" s="69" t="s">
        <v>256</v>
      </c>
      <c r="O215" s="70">
        <v>0</v>
      </c>
      <c r="P215" s="70">
        <v>0</v>
      </c>
      <c r="Q215" s="70">
        <f t="shared" si="18"/>
        <v>0</v>
      </c>
      <c r="R215" s="70"/>
      <c r="S215" s="67"/>
      <c r="T215" s="2" t="str">
        <f t="shared" si="19"/>
        <v>Nguyễn Thị Thùy Dương_10AS7</v>
      </c>
      <c r="U215" s="28">
        <f t="array" ref="U215">IFERROR(VLOOKUP($T215,'Nghi hoc T12'!$H$7:$I$160,2,0),0)</f>
        <v>0</v>
      </c>
      <c r="V215" s="28">
        <f>IFERROR(VLOOKUP($T215,No_HP!$B$2:$C$514,2,0),0)</f>
        <v>0</v>
      </c>
      <c r="W215" s="28">
        <f t="shared" si="20"/>
        <v>0</v>
      </c>
      <c r="X215" s="333">
        <f t="shared" si="21"/>
        <v>0</v>
      </c>
      <c r="Y215" s="333">
        <f t="shared" si="22"/>
        <v>0</v>
      </c>
    </row>
    <row r="216" spans="1:25" s="2" customFormat="1" ht="21.95" customHeight="1">
      <c r="A216" s="82">
        <v>20</v>
      </c>
      <c r="B216" s="91" t="str">
        <f t="shared" si="23"/>
        <v>11A.S</v>
      </c>
      <c r="C216" s="83" t="s">
        <v>366</v>
      </c>
      <c r="D216" s="81" t="s">
        <v>516</v>
      </c>
      <c r="E216" s="48">
        <v>100208</v>
      </c>
      <c r="F216" s="30" t="s">
        <v>1257</v>
      </c>
      <c r="G216" s="29" t="s">
        <v>7</v>
      </c>
      <c r="H216" s="30" t="s">
        <v>131</v>
      </c>
      <c r="I216" s="78"/>
      <c r="J216" s="20"/>
      <c r="K216" s="20"/>
      <c r="L216" s="20"/>
      <c r="M216" s="20"/>
      <c r="N216" s="69" t="s">
        <v>256</v>
      </c>
      <c r="O216" s="70">
        <v>0</v>
      </c>
      <c r="P216" s="70">
        <v>0</v>
      </c>
      <c r="Q216" s="70">
        <f t="shared" si="18"/>
        <v>0</v>
      </c>
      <c r="R216" s="70"/>
      <c r="S216" s="67"/>
      <c r="T216" s="2" t="str">
        <f t="shared" si="19"/>
        <v>Trần Thành Đạt_10AS7</v>
      </c>
      <c r="U216" s="28">
        <f t="array" ref="U216">IFERROR(VLOOKUP($T216,'Nghi hoc T12'!$H$7:$I$160,2,0),0)</f>
        <v>0</v>
      </c>
      <c r="V216" s="28">
        <f>IFERROR(VLOOKUP($T216,No_HP!$B$2:$C$514,2,0),0)</f>
        <v>0</v>
      </c>
      <c r="W216" s="28">
        <f t="shared" si="20"/>
        <v>0</v>
      </c>
      <c r="X216" s="333">
        <f t="shared" si="21"/>
        <v>0</v>
      </c>
      <c r="Y216" s="333">
        <f t="shared" si="22"/>
        <v>0</v>
      </c>
    </row>
    <row r="217" spans="1:25" s="2" customFormat="1" ht="21.95" customHeight="1">
      <c r="A217" s="82">
        <v>21</v>
      </c>
      <c r="B217" s="91" t="str">
        <f t="shared" si="23"/>
        <v>11A.S</v>
      </c>
      <c r="C217" s="83" t="s">
        <v>366</v>
      </c>
      <c r="D217" s="81" t="s">
        <v>516</v>
      </c>
      <c r="E217" s="48">
        <v>100209</v>
      </c>
      <c r="F217" s="30" t="s">
        <v>1258</v>
      </c>
      <c r="G217" s="29" t="s">
        <v>36</v>
      </c>
      <c r="H217" s="30" t="s">
        <v>130</v>
      </c>
      <c r="I217" s="78"/>
      <c r="J217" s="20"/>
      <c r="K217" s="20"/>
      <c r="L217" s="20"/>
      <c r="M217" s="20"/>
      <c r="N217" s="69" t="s">
        <v>256</v>
      </c>
      <c r="O217" s="70">
        <v>0</v>
      </c>
      <c r="P217" s="70">
        <v>0</v>
      </c>
      <c r="Q217" s="70">
        <f t="shared" si="18"/>
        <v>0</v>
      </c>
      <c r="R217" s="70"/>
      <c r="S217" s="67"/>
      <c r="T217" s="2" t="str">
        <f t="shared" si="19"/>
        <v>Nguyễn Khắc Minh Đức_10AS6</v>
      </c>
      <c r="U217" s="28">
        <f t="array" ref="U217">IFERROR(VLOOKUP($T217,'Nghi hoc T12'!$H$7:$I$160,2,0),0)</f>
        <v>0</v>
      </c>
      <c r="V217" s="28">
        <f>IFERROR(VLOOKUP($T217,No_HP!$B$2:$C$514,2,0),0)</f>
        <v>0</v>
      </c>
      <c r="W217" s="28">
        <f t="shared" si="20"/>
        <v>0</v>
      </c>
      <c r="X217" s="333">
        <f t="shared" si="21"/>
        <v>0</v>
      </c>
      <c r="Y217" s="333">
        <f t="shared" si="22"/>
        <v>0</v>
      </c>
    </row>
    <row r="218" spans="1:25" s="2" customFormat="1" ht="21.95" customHeight="1">
      <c r="A218" s="82">
        <v>22</v>
      </c>
      <c r="B218" s="91" t="str">
        <f t="shared" si="23"/>
        <v>11A.S</v>
      </c>
      <c r="C218" s="83" t="s">
        <v>366</v>
      </c>
      <c r="D218" s="81" t="s">
        <v>516</v>
      </c>
      <c r="E218" s="48">
        <v>100210</v>
      </c>
      <c r="F218" s="30" t="s">
        <v>1259</v>
      </c>
      <c r="G218" s="29" t="s">
        <v>36</v>
      </c>
      <c r="H218" s="30" t="s">
        <v>1242</v>
      </c>
      <c r="I218" s="78"/>
      <c r="J218" s="20"/>
      <c r="K218" s="20"/>
      <c r="L218" s="20"/>
      <c r="M218" s="20"/>
      <c r="N218" s="69" t="s">
        <v>256</v>
      </c>
      <c r="O218" s="70">
        <v>0</v>
      </c>
      <c r="P218" s="70">
        <v>0</v>
      </c>
      <c r="Q218" s="70">
        <f t="shared" si="18"/>
        <v>0</v>
      </c>
      <c r="R218" s="70"/>
      <c r="S218" s="67"/>
      <c r="T218" s="2" t="str">
        <f t="shared" si="19"/>
        <v>Trịnh Nguyễn Thành Đức_10AS5</v>
      </c>
      <c r="U218" s="28">
        <f t="array" ref="U218">IFERROR(VLOOKUP($T218,'Nghi hoc T12'!$H$7:$I$160,2,0),0)</f>
        <v>0</v>
      </c>
      <c r="V218" s="28">
        <f>IFERROR(VLOOKUP($T218,No_HP!$B$2:$C$514,2,0),0)</f>
        <v>0</v>
      </c>
      <c r="W218" s="28">
        <f t="shared" si="20"/>
        <v>0</v>
      </c>
      <c r="X218" s="333">
        <f t="shared" si="21"/>
        <v>0</v>
      </c>
      <c r="Y218" s="333">
        <f t="shared" si="22"/>
        <v>0</v>
      </c>
    </row>
    <row r="219" spans="1:25" s="2" customFormat="1" ht="21.95" customHeight="1">
      <c r="A219" s="82">
        <v>23</v>
      </c>
      <c r="B219" s="91" t="str">
        <f t="shared" si="23"/>
        <v>11A.S</v>
      </c>
      <c r="C219" s="83" t="s">
        <v>366</v>
      </c>
      <c r="D219" s="81" t="s">
        <v>516</v>
      </c>
      <c r="E219" s="48">
        <v>100211</v>
      </c>
      <c r="F219" s="30" t="s">
        <v>154</v>
      </c>
      <c r="G219" s="29" t="s">
        <v>439</v>
      </c>
      <c r="H219" s="30" t="s">
        <v>130</v>
      </c>
      <c r="I219" s="78"/>
      <c r="J219" s="20"/>
      <c r="K219" s="20"/>
      <c r="L219" s="20"/>
      <c r="M219" s="20"/>
      <c r="N219" s="69" t="s">
        <v>256</v>
      </c>
      <c r="O219" s="70">
        <v>0</v>
      </c>
      <c r="P219" s="70">
        <v>0</v>
      </c>
      <c r="Q219" s="70">
        <f t="shared" si="18"/>
        <v>0</v>
      </c>
      <c r="R219" s="70"/>
      <c r="S219" s="67"/>
      <c r="T219" s="2" t="str">
        <f t="shared" si="19"/>
        <v>Nguyễn Bảo Giang_10AS6</v>
      </c>
      <c r="U219" s="28">
        <f t="array" ref="U219">IFERROR(VLOOKUP($T219,'Nghi hoc T12'!$H$7:$I$160,2,0),0)</f>
        <v>0</v>
      </c>
      <c r="V219" s="28">
        <f>IFERROR(VLOOKUP($T219,No_HP!$B$2:$C$514,2,0),0)</f>
        <v>0</v>
      </c>
      <c r="W219" s="28">
        <f t="shared" si="20"/>
        <v>0</v>
      </c>
      <c r="X219" s="333">
        <f t="shared" si="21"/>
        <v>0</v>
      </c>
      <c r="Y219" s="333">
        <f t="shared" si="22"/>
        <v>0</v>
      </c>
    </row>
    <row r="220" spans="1:25" s="2" customFormat="1" ht="21.95" customHeight="1">
      <c r="A220" s="82">
        <v>24</v>
      </c>
      <c r="B220" s="91" t="str">
        <f t="shared" si="23"/>
        <v>11A.S</v>
      </c>
      <c r="C220" s="83" t="s">
        <v>366</v>
      </c>
      <c r="D220" s="81" t="s">
        <v>516</v>
      </c>
      <c r="E220" s="48">
        <v>100240</v>
      </c>
      <c r="F220" s="30" t="s">
        <v>1277</v>
      </c>
      <c r="G220" s="29" t="s">
        <v>79</v>
      </c>
      <c r="H220" s="30" t="s">
        <v>130</v>
      </c>
      <c r="I220" s="78" t="s">
        <v>408</v>
      </c>
      <c r="J220" s="20"/>
      <c r="K220" s="20"/>
      <c r="L220" s="20"/>
      <c r="M220" s="20"/>
      <c r="N220" s="69" t="s">
        <v>256</v>
      </c>
      <c r="O220" s="70" t="s">
        <v>2124</v>
      </c>
      <c r="P220" s="70" t="s">
        <v>401</v>
      </c>
      <c r="Q220" s="70">
        <f t="shared" si="18"/>
        <v>0</v>
      </c>
      <c r="R220" s="70"/>
      <c r="S220" s="67"/>
      <c r="T220" s="2" t="str">
        <f t="shared" si="19"/>
        <v>Võ Hoàng Khang_10AS6</v>
      </c>
      <c r="U220" s="28">
        <f t="array" ref="U220">IFERROR(VLOOKUP($T220,'Nghi hoc T12'!$H$7:$I$160,2,0),0)</f>
        <v>0</v>
      </c>
      <c r="V220" s="28">
        <f>IFERROR(VLOOKUP($T220,No_HP!$B$2:$C$514,2,0),0)</f>
        <v>0</v>
      </c>
      <c r="W220" s="28" t="str">
        <f t="shared" si="20"/>
        <v>HN</v>
      </c>
      <c r="X220" s="333" t="str">
        <f t="shared" si="21"/>
        <v>Trí tuệ, nói</v>
      </c>
      <c r="Y220" s="333" t="str">
        <f t="shared" si="22"/>
        <v>Nhẹ</v>
      </c>
    </row>
    <row r="221" spans="1:25" s="2" customFormat="1" ht="21.95" customHeight="1">
      <c r="A221" s="200">
        <v>1</v>
      </c>
      <c r="B221" s="91" t="str">
        <f t="shared" si="23"/>
        <v>12A.S</v>
      </c>
      <c r="C221" s="185" t="s">
        <v>366</v>
      </c>
      <c r="D221" s="186" t="s">
        <v>517</v>
      </c>
      <c r="E221" s="187">
        <v>100212</v>
      </c>
      <c r="F221" s="188" t="s">
        <v>267</v>
      </c>
      <c r="G221" s="189" t="s">
        <v>143</v>
      </c>
      <c r="H221" s="188" t="s">
        <v>130</v>
      </c>
      <c r="I221" s="190"/>
      <c r="J221" s="191"/>
      <c r="K221" s="191"/>
      <c r="L221" s="191"/>
      <c r="M221" s="191"/>
      <c r="N221" s="69" t="s">
        <v>256</v>
      </c>
      <c r="O221" s="70">
        <v>0</v>
      </c>
      <c r="P221" s="70">
        <v>0</v>
      </c>
      <c r="Q221" s="70">
        <f t="shared" si="18"/>
        <v>0</v>
      </c>
      <c r="R221" s="70"/>
      <c r="S221" s="67"/>
      <c r="T221" s="2" t="str">
        <f t="shared" si="19"/>
        <v>Phạm Quang Hà_10AS6</v>
      </c>
      <c r="U221" s="28">
        <f t="array" ref="U221">IFERROR(VLOOKUP($T221,'Nghi hoc T12'!$H$7:$I$160,2,0),0)</f>
        <v>0</v>
      </c>
      <c r="V221" s="28">
        <f>IFERROR(VLOOKUP($T221,No_HP!$B$2:$C$514,2,0),0)</f>
        <v>0</v>
      </c>
      <c r="W221" s="28">
        <f t="shared" si="20"/>
        <v>0</v>
      </c>
      <c r="X221" s="333">
        <f t="shared" si="21"/>
        <v>0</v>
      </c>
      <c r="Y221" s="333">
        <f t="shared" si="22"/>
        <v>0</v>
      </c>
    </row>
    <row r="222" spans="1:25" s="2" customFormat="1" ht="21.95" customHeight="1">
      <c r="A222" s="82">
        <v>2</v>
      </c>
      <c r="B222" s="91" t="str">
        <f t="shared" si="23"/>
        <v>12A.S</v>
      </c>
      <c r="C222" s="83" t="s">
        <v>366</v>
      </c>
      <c r="D222" s="81" t="s">
        <v>517</v>
      </c>
      <c r="E222" s="48">
        <v>100213</v>
      </c>
      <c r="F222" s="30" t="s">
        <v>151</v>
      </c>
      <c r="G222" s="29" t="s">
        <v>171</v>
      </c>
      <c r="H222" s="30" t="s">
        <v>1242</v>
      </c>
      <c r="I222" s="78"/>
      <c r="J222" s="20"/>
      <c r="K222" s="20"/>
      <c r="L222" s="20"/>
      <c r="M222" s="20"/>
      <c r="N222" s="69" t="s">
        <v>256</v>
      </c>
      <c r="O222" s="70">
        <v>0</v>
      </c>
      <c r="P222" s="70">
        <v>0</v>
      </c>
      <c r="Q222" s="70">
        <f t="shared" si="18"/>
        <v>0</v>
      </c>
      <c r="R222" s="70"/>
      <c r="S222" s="67"/>
      <c r="T222" s="2" t="str">
        <f t="shared" si="19"/>
        <v>Nguyễn Hoàng Hải_10AS5</v>
      </c>
      <c r="U222" s="28">
        <f t="array" ref="U222">IFERROR(VLOOKUP($T222,'Nghi hoc T12'!$H$7:$I$160,2,0),0)</f>
        <v>0</v>
      </c>
      <c r="V222" s="28">
        <f>IFERROR(VLOOKUP($T222,No_HP!$B$2:$C$514,2,0),0)</f>
        <v>0</v>
      </c>
      <c r="W222" s="28">
        <f t="shared" si="20"/>
        <v>0</v>
      </c>
      <c r="X222" s="333">
        <f t="shared" si="21"/>
        <v>0</v>
      </c>
      <c r="Y222" s="333">
        <f t="shared" si="22"/>
        <v>0</v>
      </c>
    </row>
    <row r="223" spans="1:25" s="2" customFormat="1" ht="21.95" customHeight="1">
      <c r="A223" s="82">
        <v>3</v>
      </c>
      <c r="B223" s="91" t="str">
        <f t="shared" si="23"/>
        <v>12A.S</v>
      </c>
      <c r="C223" s="83" t="s">
        <v>366</v>
      </c>
      <c r="D223" s="81" t="s">
        <v>517</v>
      </c>
      <c r="E223" s="48">
        <v>100214</v>
      </c>
      <c r="F223" s="30" t="s">
        <v>142</v>
      </c>
      <c r="G223" s="29" t="s">
        <v>78</v>
      </c>
      <c r="H223" s="30" t="s">
        <v>130</v>
      </c>
      <c r="I223" s="78"/>
      <c r="J223" s="20"/>
      <c r="K223" s="20"/>
      <c r="L223" s="20"/>
      <c r="M223" s="20"/>
      <c r="N223" s="69" t="s">
        <v>256</v>
      </c>
      <c r="O223" s="70">
        <v>0</v>
      </c>
      <c r="P223" s="70">
        <v>0</v>
      </c>
      <c r="Q223" s="70">
        <f t="shared" si="18"/>
        <v>0</v>
      </c>
      <c r="R223" s="70"/>
      <c r="S223" s="67"/>
      <c r="T223" s="2" t="str">
        <f t="shared" si="19"/>
        <v>Nguyễn Tấn Hào_10AS6</v>
      </c>
      <c r="U223" s="28">
        <f t="array" ref="U223">IFERROR(VLOOKUP($T223,'Nghi hoc T12'!$H$7:$I$160,2,0),0)</f>
        <v>0</v>
      </c>
      <c r="V223" s="28">
        <f>IFERROR(VLOOKUP($T223,No_HP!$B$2:$C$514,2,0),0)</f>
        <v>0</v>
      </c>
      <c r="W223" s="28">
        <f t="shared" si="20"/>
        <v>0</v>
      </c>
      <c r="X223" s="333">
        <f t="shared" si="21"/>
        <v>0</v>
      </c>
      <c r="Y223" s="333">
        <f t="shared" si="22"/>
        <v>0</v>
      </c>
    </row>
    <row r="224" spans="1:25" s="2" customFormat="1" ht="21.95" customHeight="1">
      <c r="A224" s="82">
        <v>4</v>
      </c>
      <c r="B224" s="91" t="str">
        <f t="shared" si="23"/>
        <v>12A.S</v>
      </c>
      <c r="C224" s="83" t="s">
        <v>366</v>
      </c>
      <c r="D224" s="81" t="s">
        <v>517</v>
      </c>
      <c r="E224" s="48">
        <v>100215</v>
      </c>
      <c r="F224" s="30" t="s">
        <v>1260</v>
      </c>
      <c r="G224" s="29" t="s">
        <v>78</v>
      </c>
      <c r="H224" s="30" t="s">
        <v>1242</v>
      </c>
      <c r="I224" s="78"/>
      <c r="J224" s="20"/>
      <c r="K224" s="20"/>
      <c r="L224" s="20"/>
      <c r="M224" s="20"/>
      <c r="N224" s="69" t="s">
        <v>256</v>
      </c>
      <c r="O224" s="70">
        <v>0</v>
      </c>
      <c r="P224" s="70">
        <v>0</v>
      </c>
      <c r="Q224" s="70">
        <f t="shared" si="18"/>
        <v>0</v>
      </c>
      <c r="R224" s="70"/>
      <c r="S224" s="67"/>
      <c r="T224" s="2" t="str">
        <f t="shared" si="19"/>
        <v>Trần Nhựt Hào_10AS5</v>
      </c>
      <c r="U224" s="28">
        <f t="array" ref="U224">IFERROR(VLOOKUP($T224,'Nghi hoc T12'!$H$7:$I$160,2,0),0)</f>
        <v>0</v>
      </c>
      <c r="V224" s="28">
        <f>IFERROR(VLOOKUP($T224,No_HP!$B$2:$C$514,2,0),0)</f>
        <v>0</v>
      </c>
      <c r="W224" s="28">
        <f t="shared" si="20"/>
        <v>0</v>
      </c>
      <c r="X224" s="333">
        <f t="shared" si="21"/>
        <v>0</v>
      </c>
      <c r="Y224" s="333">
        <f t="shared" si="22"/>
        <v>0</v>
      </c>
    </row>
    <row r="225" spans="1:25" s="2" customFormat="1" ht="21.95" customHeight="1">
      <c r="A225" s="82">
        <v>5</v>
      </c>
      <c r="B225" s="91" t="str">
        <f t="shared" si="23"/>
        <v>12A.S</v>
      </c>
      <c r="C225" s="83" t="s">
        <v>366</v>
      </c>
      <c r="D225" s="81" t="s">
        <v>517</v>
      </c>
      <c r="E225" s="48">
        <v>100216</v>
      </c>
      <c r="F225" s="30" t="s">
        <v>1261</v>
      </c>
      <c r="G225" s="29" t="s">
        <v>84</v>
      </c>
      <c r="H225" s="30" t="s">
        <v>131</v>
      </c>
      <c r="I225" s="78"/>
      <c r="J225" s="20"/>
      <c r="K225" s="20"/>
      <c r="L225" s="20"/>
      <c r="M225" s="20"/>
      <c r="N225" s="69" t="s">
        <v>256</v>
      </c>
      <c r="O225" s="70">
        <v>0</v>
      </c>
      <c r="P225" s="70">
        <v>0</v>
      </c>
      <c r="Q225" s="70">
        <f t="shared" si="18"/>
        <v>0</v>
      </c>
      <c r="R225" s="70"/>
      <c r="S225" s="67"/>
      <c r="T225" s="2" t="str">
        <f t="shared" si="19"/>
        <v>Đỗ Thụy Ngọc Hân_10AS7</v>
      </c>
      <c r="U225" s="28">
        <f t="array" ref="U225">IFERROR(VLOOKUP($T225,'Nghi hoc T12'!$H$7:$I$160,2,0),0)</f>
        <v>0</v>
      </c>
      <c r="V225" s="28">
        <f>IFERROR(VLOOKUP($T225,No_HP!$B$2:$C$514,2,0),0)</f>
        <v>0</v>
      </c>
      <c r="W225" s="28">
        <f t="shared" si="20"/>
        <v>0</v>
      </c>
      <c r="X225" s="333">
        <f t="shared" si="21"/>
        <v>0</v>
      </c>
      <c r="Y225" s="333">
        <f t="shared" si="22"/>
        <v>0</v>
      </c>
    </row>
    <row r="226" spans="1:25" s="2" customFormat="1" ht="21.95" customHeight="1">
      <c r="A226" s="82">
        <v>6</v>
      </c>
      <c r="B226" s="91" t="str">
        <f t="shared" si="23"/>
        <v>12A.S</v>
      </c>
      <c r="C226" s="83" t="s">
        <v>366</v>
      </c>
      <c r="D226" s="81" t="s">
        <v>517</v>
      </c>
      <c r="E226" s="48">
        <v>100217</v>
      </c>
      <c r="F226" s="30" t="s">
        <v>1262</v>
      </c>
      <c r="G226" s="29" t="s">
        <v>84</v>
      </c>
      <c r="H226" s="30" t="s">
        <v>1242</v>
      </c>
      <c r="I226" s="78"/>
      <c r="J226" s="20"/>
      <c r="K226" s="20"/>
      <c r="L226" s="20"/>
      <c r="M226" s="20"/>
      <c r="N226" s="69" t="s">
        <v>256</v>
      </c>
      <c r="O226" s="70">
        <v>0</v>
      </c>
      <c r="P226" s="70">
        <v>0</v>
      </c>
      <c r="Q226" s="70">
        <f t="shared" si="18"/>
        <v>0</v>
      </c>
      <c r="R226" s="70"/>
      <c r="S226" s="67"/>
      <c r="T226" s="2" t="str">
        <f t="shared" si="19"/>
        <v>Nguyễn Ngọc Gia Hân_10AS5</v>
      </c>
      <c r="U226" s="28">
        <f t="array" ref="U226">IFERROR(VLOOKUP($T226,'Nghi hoc T12'!$H$7:$I$160,2,0),0)</f>
        <v>0</v>
      </c>
      <c r="V226" s="28">
        <f>IFERROR(VLOOKUP($T226,No_HP!$B$2:$C$514,2,0),0)</f>
        <v>0</v>
      </c>
      <c r="W226" s="28">
        <f t="shared" si="20"/>
        <v>0</v>
      </c>
      <c r="X226" s="333">
        <f t="shared" si="21"/>
        <v>0</v>
      </c>
      <c r="Y226" s="333">
        <f t="shared" si="22"/>
        <v>0</v>
      </c>
    </row>
    <row r="227" spans="1:25" s="2" customFormat="1" ht="21.95" customHeight="1">
      <c r="A227" s="82">
        <v>7</v>
      </c>
      <c r="B227" s="91" t="str">
        <f t="shared" si="23"/>
        <v>12A.S</v>
      </c>
      <c r="C227" s="83" t="s">
        <v>366</v>
      </c>
      <c r="D227" s="81" t="s">
        <v>517</v>
      </c>
      <c r="E227" s="48">
        <v>100218</v>
      </c>
      <c r="F227" s="30" t="s">
        <v>196</v>
      </c>
      <c r="G227" s="29" t="s">
        <v>84</v>
      </c>
      <c r="H227" s="30" t="s">
        <v>130</v>
      </c>
      <c r="I227" s="78"/>
      <c r="J227" s="20"/>
      <c r="K227" s="20"/>
      <c r="L227" s="20"/>
      <c r="M227" s="20"/>
      <c r="N227" s="69" t="s">
        <v>256</v>
      </c>
      <c r="O227" s="70">
        <v>0</v>
      </c>
      <c r="P227" s="70">
        <v>0</v>
      </c>
      <c r="Q227" s="70">
        <f t="shared" si="18"/>
        <v>0</v>
      </c>
      <c r="R227" s="70"/>
      <c r="S227" s="67"/>
      <c r="T227" s="2" t="str">
        <f t="shared" si="19"/>
        <v>Trần Gia Hân_10AS6</v>
      </c>
      <c r="U227" s="28">
        <f t="array" ref="U227">IFERROR(VLOOKUP($T227,'Nghi hoc T12'!$H$7:$I$160,2,0),0)</f>
        <v>0</v>
      </c>
      <c r="V227" s="28">
        <f>IFERROR(VLOOKUP($T227,No_HP!$B$2:$C$514,2,0),0)</f>
        <v>0</v>
      </c>
      <c r="W227" s="28">
        <f t="shared" si="20"/>
        <v>0</v>
      </c>
      <c r="X227" s="333">
        <f t="shared" si="21"/>
        <v>0</v>
      </c>
      <c r="Y227" s="333">
        <f t="shared" si="22"/>
        <v>0</v>
      </c>
    </row>
    <row r="228" spans="1:25" s="2" customFormat="1" ht="21.95" customHeight="1">
      <c r="A228" s="82">
        <v>8</v>
      </c>
      <c r="B228" s="91" t="str">
        <f t="shared" si="23"/>
        <v>12A.S</v>
      </c>
      <c r="C228" s="83" t="s">
        <v>366</v>
      </c>
      <c r="D228" s="81" t="s">
        <v>517</v>
      </c>
      <c r="E228" s="48">
        <v>100219</v>
      </c>
      <c r="F228" s="30" t="s">
        <v>1263</v>
      </c>
      <c r="G228" s="29" t="s">
        <v>9</v>
      </c>
      <c r="H228" s="30" t="s">
        <v>131</v>
      </c>
      <c r="I228" s="78"/>
      <c r="J228" s="20"/>
      <c r="K228" s="20"/>
      <c r="L228" s="20"/>
      <c r="M228" s="20"/>
      <c r="N228" s="69" t="s">
        <v>256</v>
      </c>
      <c r="O228" s="70">
        <v>0</v>
      </c>
      <c r="P228" s="70">
        <v>0</v>
      </c>
      <c r="Q228" s="70">
        <f t="shared" si="18"/>
        <v>0</v>
      </c>
      <c r="R228" s="70"/>
      <c r="S228" s="67"/>
      <c r="T228" s="2" t="str">
        <f t="shared" si="19"/>
        <v>Lại Văn Hiếu_10AS7</v>
      </c>
      <c r="U228" s="28">
        <f t="array" ref="U228">IFERROR(VLOOKUP($T228,'Nghi hoc T12'!$H$7:$I$160,2,0),0)</f>
        <v>0</v>
      </c>
      <c r="V228" s="28">
        <f>IFERROR(VLOOKUP($T228,No_HP!$B$2:$C$514,2,0),0)</f>
        <v>0</v>
      </c>
      <c r="W228" s="28">
        <f t="shared" si="20"/>
        <v>0</v>
      </c>
      <c r="X228" s="333">
        <f t="shared" si="21"/>
        <v>0</v>
      </c>
      <c r="Y228" s="333">
        <f t="shared" si="22"/>
        <v>0</v>
      </c>
    </row>
    <row r="229" spans="1:25" s="2" customFormat="1" ht="21.95" customHeight="1">
      <c r="A229" s="82">
        <v>9</v>
      </c>
      <c r="B229" s="91" t="str">
        <f t="shared" si="23"/>
        <v>12A.S</v>
      </c>
      <c r="C229" s="83" t="s">
        <v>366</v>
      </c>
      <c r="D229" s="81" t="s">
        <v>517</v>
      </c>
      <c r="E229" s="48">
        <v>100220</v>
      </c>
      <c r="F229" s="30" t="s">
        <v>1264</v>
      </c>
      <c r="G229" s="29" t="s">
        <v>9</v>
      </c>
      <c r="H229" s="30" t="s">
        <v>130</v>
      </c>
      <c r="I229" s="78"/>
      <c r="J229" s="20"/>
      <c r="K229" s="20"/>
      <c r="L229" s="20"/>
      <c r="M229" s="20"/>
      <c r="N229" s="69" t="s">
        <v>256</v>
      </c>
      <c r="O229" s="70">
        <v>0</v>
      </c>
      <c r="P229" s="70">
        <v>0</v>
      </c>
      <c r="Q229" s="70">
        <f t="shared" si="18"/>
        <v>0</v>
      </c>
      <c r="R229" s="70"/>
      <c r="S229" s="67"/>
      <c r="T229" s="2" t="str">
        <f t="shared" si="19"/>
        <v>Ngô Trần Trọng Hiếu_10AS6</v>
      </c>
      <c r="U229" s="28">
        <f t="array" ref="U229">IFERROR(VLOOKUP($T229,'Nghi hoc T12'!$H$7:$I$160,2,0),0)</f>
        <v>0</v>
      </c>
      <c r="V229" s="28">
        <f>IFERROR(VLOOKUP($T229,No_HP!$B$2:$C$514,2,0),0)</f>
        <v>0</v>
      </c>
      <c r="W229" s="28">
        <f t="shared" si="20"/>
        <v>0</v>
      </c>
      <c r="X229" s="333">
        <f t="shared" si="21"/>
        <v>0</v>
      </c>
      <c r="Y229" s="333">
        <f t="shared" si="22"/>
        <v>0</v>
      </c>
    </row>
    <row r="230" spans="1:25" s="2" customFormat="1" ht="21.95" customHeight="1">
      <c r="A230" s="82">
        <v>10</v>
      </c>
      <c r="B230" s="91" t="str">
        <f t="shared" si="23"/>
        <v>12A.S</v>
      </c>
      <c r="C230" s="83" t="s">
        <v>366</v>
      </c>
      <c r="D230" s="81" t="s">
        <v>517</v>
      </c>
      <c r="E230" s="48">
        <v>100221</v>
      </c>
      <c r="F230" s="30" t="s">
        <v>1265</v>
      </c>
      <c r="G230" s="29" t="s">
        <v>90</v>
      </c>
      <c r="H230" s="30" t="s">
        <v>1242</v>
      </c>
      <c r="I230" s="78"/>
      <c r="J230" s="20"/>
      <c r="K230" s="20"/>
      <c r="L230" s="20"/>
      <c r="M230" s="20"/>
      <c r="N230" s="69" t="s">
        <v>256</v>
      </c>
      <c r="O230" s="70">
        <v>0</v>
      </c>
      <c r="P230" s="70">
        <v>0</v>
      </c>
      <c r="Q230" s="70">
        <f t="shared" si="18"/>
        <v>0</v>
      </c>
      <c r="R230" s="70"/>
      <c r="S230" s="67"/>
      <c r="T230" s="2" t="str">
        <f t="shared" si="19"/>
        <v>Nguyễn Thu Hòa_10AS5</v>
      </c>
      <c r="U230" s="28">
        <f t="array" ref="U230">IFERROR(VLOOKUP($T230,'Nghi hoc T12'!$H$7:$I$160,2,0),0)</f>
        <v>0</v>
      </c>
      <c r="V230" s="28">
        <f>IFERROR(VLOOKUP($T230,No_HP!$B$2:$C$514,2,0),0)</f>
        <v>0</v>
      </c>
      <c r="W230" s="28">
        <f t="shared" si="20"/>
        <v>0</v>
      </c>
      <c r="X230" s="333">
        <f t="shared" si="21"/>
        <v>0</v>
      </c>
      <c r="Y230" s="333">
        <f t="shared" si="22"/>
        <v>0</v>
      </c>
    </row>
    <row r="231" spans="1:25" s="2" customFormat="1" ht="21.95" customHeight="1">
      <c r="A231" s="82">
        <v>11</v>
      </c>
      <c r="B231" s="91" t="str">
        <f t="shared" si="23"/>
        <v>12A.S</v>
      </c>
      <c r="C231" s="83" t="s">
        <v>366</v>
      </c>
      <c r="D231" s="81" t="s">
        <v>517</v>
      </c>
      <c r="E231" s="48">
        <v>100222</v>
      </c>
      <c r="F231" s="30" t="s">
        <v>1266</v>
      </c>
      <c r="G231" s="29" t="s">
        <v>10</v>
      </c>
      <c r="H231" s="30" t="s">
        <v>131</v>
      </c>
      <c r="I231" s="78"/>
      <c r="J231" s="20"/>
      <c r="K231" s="20"/>
      <c r="L231" s="20"/>
      <c r="M231" s="20"/>
      <c r="N231" s="69" t="s">
        <v>256</v>
      </c>
      <c r="O231" s="70">
        <v>0</v>
      </c>
      <c r="P231" s="70">
        <v>0</v>
      </c>
      <c r="Q231" s="70">
        <f t="shared" si="18"/>
        <v>0</v>
      </c>
      <c r="R231" s="70"/>
      <c r="S231" s="67"/>
      <c r="T231" s="2" t="str">
        <f t="shared" si="19"/>
        <v>Lê Nhật Gia Hoàng_10AS7</v>
      </c>
      <c r="U231" s="28">
        <f t="array" ref="U231">IFERROR(VLOOKUP($T231,'Nghi hoc T12'!$H$7:$I$160,2,0),0)</f>
        <v>0</v>
      </c>
      <c r="V231" s="28">
        <f>IFERROR(VLOOKUP($T231,No_HP!$B$2:$C$514,2,0),0)</f>
        <v>0</v>
      </c>
      <c r="W231" s="28">
        <f t="shared" si="20"/>
        <v>0</v>
      </c>
      <c r="X231" s="333">
        <f t="shared" si="21"/>
        <v>0</v>
      </c>
      <c r="Y231" s="333">
        <f t="shared" si="22"/>
        <v>0</v>
      </c>
    </row>
    <row r="232" spans="1:25" s="2" customFormat="1" ht="21.95" customHeight="1">
      <c r="A232" s="82">
        <v>12</v>
      </c>
      <c r="B232" s="91" t="str">
        <f t="shared" si="23"/>
        <v>12A.S</v>
      </c>
      <c r="C232" s="83" t="s">
        <v>366</v>
      </c>
      <c r="D232" s="81" t="s">
        <v>517</v>
      </c>
      <c r="E232" s="48">
        <v>100223</v>
      </c>
      <c r="F232" s="30" t="s">
        <v>1267</v>
      </c>
      <c r="G232" s="29" t="s">
        <v>10</v>
      </c>
      <c r="H232" s="30" t="s">
        <v>1242</v>
      </c>
      <c r="I232" s="78"/>
      <c r="J232" s="20"/>
      <c r="K232" s="20"/>
      <c r="L232" s="20"/>
      <c r="M232" s="20"/>
      <c r="N232" s="69" t="s">
        <v>256</v>
      </c>
      <c r="O232" s="70">
        <v>0</v>
      </c>
      <c r="P232" s="70">
        <v>0</v>
      </c>
      <c r="Q232" s="70">
        <f t="shared" si="18"/>
        <v>0</v>
      </c>
      <c r="R232" s="70"/>
      <c r="S232" s="67"/>
      <c r="T232" s="2" t="str">
        <f t="shared" si="19"/>
        <v>Phạm Nguyễn Huy Hoàng_10AS5</v>
      </c>
      <c r="U232" s="28">
        <f t="array" ref="U232">IFERROR(VLOOKUP($T232,'Nghi hoc T12'!$H$7:$I$160,2,0),0)</f>
        <v>0</v>
      </c>
      <c r="V232" s="28">
        <f>IFERROR(VLOOKUP($T232,No_HP!$B$2:$C$514,2,0),0)</f>
        <v>0</v>
      </c>
      <c r="W232" s="28">
        <f t="shared" si="20"/>
        <v>0</v>
      </c>
      <c r="X232" s="333">
        <f t="shared" si="21"/>
        <v>0</v>
      </c>
      <c r="Y232" s="333">
        <f t="shared" si="22"/>
        <v>0</v>
      </c>
    </row>
    <row r="233" spans="1:25" s="2" customFormat="1" ht="21.95" customHeight="1">
      <c r="A233" s="82">
        <v>13</v>
      </c>
      <c r="B233" s="91" t="str">
        <f t="shared" si="23"/>
        <v>12A.S</v>
      </c>
      <c r="C233" s="83" t="s">
        <v>366</v>
      </c>
      <c r="D233" s="81" t="s">
        <v>517</v>
      </c>
      <c r="E233" s="48">
        <v>100224</v>
      </c>
      <c r="F233" s="30" t="s">
        <v>1268</v>
      </c>
      <c r="G233" s="29" t="s">
        <v>478</v>
      </c>
      <c r="H233" s="30" t="s">
        <v>1242</v>
      </c>
      <c r="I233" s="78"/>
      <c r="J233" s="20"/>
      <c r="K233" s="20"/>
      <c r="L233" s="20"/>
      <c r="M233" s="20"/>
      <c r="N233" s="69" t="s">
        <v>256</v>
      </c>
      <c r="O233" s="70">
        <v>0</v>
      </c>
      <c r="P233" s="70">
        <v>0</v>
      </c>
      <c r="Q233" s="70">
        <f t="shared" si="18"/>
        <v>0</v>
      </c>
      <c r="R233" s="70"/>
      <c r="S233" s="67"/>
      <c r="T233" s="2" t="str">
        <f t="shared" si="19"/>
        <v>Hoàng Thị Thu Hồng_10AS5</v>
      </c>
      <c r="U233" s="28">
        <f t="array" ref="U233">IFERROR(VLOOKUP($T233,'Nghi hoc T12'!$H$7:$I$160,2,0),0)</f>
        <v>0</v>
      </c>
      <c r="V233" s="28">
        <f>IFERROR(VLOOKUP($T233,No_HP!$B$2:$C$514,2,0),0)</f>
        <v>0</v>
      </c>
      <c r="W233" s="28">
        <f t="shared" si="20"/>
        <v>0</v>
      </c>
      <c r="X233" s="333">
        <f t="shared" si="21"/>
        <v>0</v>
      </c>
      <c r="Y233" s="333">
        <f t="shared" si="22"/>
        <v>0</v>
      </c>
    </row>
    <row r="234" spans="1:25" s="2" customFormat="1" ht="21.95" customHeight="1">
      <c r="A234" s="82">
        <v>14</v>
      </c>
      <c r="B234" s="91" t="str">
        <f t="shared" si="23"/>
        <v>12A.S</v>
      </c>
      <c r="C234" s="83" t="s">
        <v>366</v>
      </c>
      <c r="D234" s="81" t="s">
        <v>517</v>
      </c>
      <c r="E234" s="48">
        <v>100225</v>
      </c>
      <c r="F234" s="30" t="s">
        <v>1216</v>
      </c>
      <c r="G234" s="29" t="s">
        <v>100</v>
      </c>
      <c r="H234" s="30" t="s">
        <v>130</v>
      </c>
      <c r="I234" s="78"/>
      <c r="J234" s="20"/>
      <c r="K234" s="20"/>
      <c r="L234" s="20"/>
      <c r="M234" s="20"/>
      <c r="N234" s="69" t="s">
        <v>256</v>
      </c>
      <c r="O234" s="70">
        <v>0</v>
      </c>
      <c r="P234" s="70">
        <v>0</v>
      </c>
      <c r="Q234" s="70">
        <f t="shared" si="18"/>
        <v>0</v>
      </c>
      <c r="R234" s="70"/>
      <c r="S234" s="67"/>
      <c r="T234" s="2" t="str">
        <f t="shared" si="19"/>
        <v>Nguyễn Việt Hùng_10AS6</v>
      </c>
      <c r="U234" s="28">
        <f t="array" ref="U234">IFERROR(VLOOKUP($T234,'Nghi hoc T12'!$H$7:$I$160,2,0),0)</f>
        <v>0</v>
      </c>
      <c r="V234" s="28">
        <f>IFERROR(VLOOKUP($T234,No_HP!$B$2:$C$514,2,0),0)</f>
        <v>0</v>
      </c>
      <c r="W234" s="28">
        <f t="shared" si="20"/>
        <v>0</v>
      </c>
      <c r="X234" s="333">
        <f t="shared" si="21"/>
        <v>0</v>
      </c>
      <c r="Y234" s="333">
        <f t="shared" si="22"/>
        <v>0</v>
      </c>
    </row>
    <row r="235" spans="1:25" s="2" customFormat="1" ht="21.95" customHeight="1">
      <c r="A235" s="82">
        <v>15</v>
      </c>
      <c r="B235" s="91" t="str">
        <f t="shared" si="23"/>
        <v>12A.S</v>
      </c>
      <c r="C235" s="83" t="s">
        <v>366</v>
      </c>
      <c r="D235" s="81" t="s">
        <v>517</v>
      </c>
      <c r="E235" s="48">
        <v>100226</v>
      </c>
      <c r="F235" s="30" t="s">
        <v>455</v>
      </c>
      <c r="G235" s="29" t="s">
        <v>11</v>
      </c>
      <c r="H235" s="30" t="s">
        <v>1242</v>
      </c>
      <c r="I235" s="78"/>
      <c r="J235" s="20"/>
      <c r="K235" s="20"/>
      <c r="L235" s="20"/>
      <c r="M235" s="20"/>
      <c r="N235" s="69" t="s">
        <v>256</v>
      </c>
      <c r="O235" s="70">
        <v>0</v>
      </c>
      <c r="P235" s="70">
        <v>0</v>
      </c>
      <c r="Q235" s="70">
        <f t="shared" si="18"/>
        <v>0</v>
      </c>
      <c r="R235" s="70"/>
      <c r="S235" s="67"/>
      <c r="T235" s="2" t="str">
        <f t="shared" si="19"/>
        <v>Lê Đình Huy_10AS5</v>
      </c>
      <c r="U235" s="28">
        <f t="array" ref="U235">IFERROR(VLOOKUP($T235,'Nghi hoc T12'!$H$7:$I$160,2,0),0)</f>
        <v>0</v>
      </c>
      <c r="V235" s="28">
        <f>IFERROR(VLOOKUP($T235,No_HP!$B$2:$C$514,2,0),0)</f>
        <v>0</v>
      </c>
      <c r="W235" s="28">
        <f t="shared" si="20"/>
        <v>0</v>
      </c>
      <c r="X235" s="333">
        <f t="shared" si="21"/>
        <v>0</v>
      </c>
      <c r="Y235" s="333">
        <f t="shared" si="22"/>
        <v>0</v>
      </c>
    </row>
    <row r="236" spans="1:25" s="2" customFormat="1" ht="21.95" customHeight="1">
      <c r="A236" s="82">
        <v>16</v>
      </c>
      <c r="B236" s="91" t="str">
        <f t="shared" si="23"/>
        <v>12A.S</v>
      </c>
      <c r="C236" s="83" t="s">
        <v>366</v>
      </c>
      <c r="D236" s="81" t="s">
        <v>517</v>
      </c>
      <c r="E236" s="48">
        <v>100227</v>
      </c>
      <c r="F236" s="30" t="s">
        <v>158</v>
      </c>
      <c r="G236" s="29" t="s">
        <v>11</v>
      </c>
      <c r="H236" s="30" t="s">
        <v>130</v>
      </c>
      <c r="I236" s="78"/>
      <c r="J236" s="20"/>
      <c r="K236" s="20"/>
      <c r="L236" s="20"/>
      <c r="M236" s="20"/>
      <c r="N236" s="69" t="s">
        <v>256</v>
      </c>
      <c r="O236" s="70">
        <v>0</v>
      </c>
      <c r="P236" s="70">
        <v>0</v>
      </c>
      <c r="Q236" s="70">
        <f t="shared" si="18"/>
        <v>0</v>
      </c>
      <c r="R236" s="70"/>
      <c r="S236" s="67"/>
      <c r="T236" s="2" t="str">
        <f t="shared" si="19"/>
        <v>Nguyễn Hoàng Gia Huy_10AS6</v>
      </c>
      <c r="U236" s="28">
        <f t="array" ref="U236">IFERROR(VLOOKUP($T236,'Nghi hoc T12'!$H$7:$I$160,2,0),0)</f>
        <v>0</v>
      </c>
      <c r="V236" s="28">
        <f>IFERROR(VLOOKUP($T236,No_HP!$B$2:$C$514,2,0),0)</f>
        <v>0</v>
      </c>
      <c r="W236" s="28">
        <f t="shared" si="20"/>
        <v>0</v>
      </c>
      <c r="X236" s="333">
        <f t="shared" si="21"/>
        <v>0</v>
      </c>
      <c r="Y236" s="333">
        <f t="shared" si="22"/>
        <v>0</v>
      </c>
    </row>
    <row r="237" spans="1:25" s="2" customFormat="1" ht="21.95" customHeight="1">
      <c r="A237" s="82">
        <v>17</v>
      </c>
      <c r="B237" s="91" t="str">
        <f t="shared" si="23"/>
        <v>12A.S</v>
      </c>
      <c r="C237" s="83" t="s">
        <v>366</v>
      </c>
      <c r="D237" s="81" t="s">
        <v>517</v>
      </c>
      <c r="E237" s="48">
        <v>100228</v>
      </c>
      <c r="F237" s="30" t="s">
        <v>1269</v>
      </c>
      <c r="G237" s="29" t="s">
        <v>11</v>
      </c>
      <c r="H237" s="30" t="s">
        <v>131</v>
      </c>
      <c r="I237" s="78"/>
      <c r="J237" s="20"/>
      <c r="K237" s="20"/>
      <c r="L237" s="20"/>
      <c r="M237" s="20"/>
      <c r="N237" s="69" t="s">
        <v>256</v>
      </c>
      <c r="O237" s="70">
        <v>0</v>
      </c>
      <c r="P237" s="70">
        <v>0</v>
      </c>
      <c r="Q237" s="70">
        <f t="shared" si="18"/>
        <v>0</v>
      </c>
      <c r="R237" s="70"/>
      <c r="S237" s="67"/>
      <c r="T237" s="2" t="str">
        <f t="shared" si="19"/>
        <v>Phùng Nguyễn Quốc Huy_10AS7</v>
      </c>
      <c r="U237" s="28">
        <f t="array" ref="U237">IFERROR(VLOOKUP($T237,'Nghi hoc T12'!$H$7:$I$160,2,0),0)</f>
        <v>0</v>
      </c>
      <c r="V237" s="28">
        <f>IFERROR(VLOOKUP($T237,No_HP!$B$2:$C$514,2,0),0)</f>
        <v>0</v>
      </c>
      <c r="W237" s="28">
        <f t="shared" si="20"/>
        <v>0</v>
      </c>
      <c r="X237" s="333">
        <f t="shared" si="21"/>
        <v>0</v>
      </c>
      <c r="Y237" s="333">
        <f t="shared" si="22"/>
        <v>0</v>
      </c>
    </row>
    <row r="238" spans="1:25" s="2" customFormat="1" ht="21.95" customHeight="1">
      <c r="A238" s="82">
        <v>18</v>
      </c>
      <c r="B238" s="91" t="str">
        <f t="shared" si="23"/>
        <v>12A.S</v>
      </c>
      <c r="C238" s="83" t="s">
        <v>366</v>
      </c>
      <c r="D238" s="81" t="s">
        <v>517</v>
      </c>
      <c r="E238" s="48">
        <v>100229</v>
      </c>
      <c r="F238" s="30" t="s">
        <v>1270</v>
      </c>
      <c r="G238" s="29" t="s">
        <v>11</v>
      </c>
      <c r="H238" s="30" t="s">
        <v>1242</v>
      </c>
      <c r="I238" s="78"/>
      <c r="J238" s="20"/>
      <c r="K238" s="20"/>
      <c r="L238" s="20"/>
      <c r="M238" s="20"/>
      <c r="N238" s="69" t="s">
        <v>256</v>
      </c>
      <c r="O238" s="70">
        <v>0</v>
      </c>
      <c r="P238" s="70">
        <v>0</v>
      </c>
      <c r="Q238" s="70">
        <f t="shared" si="18"/>
        <v>0</v>
      </c>
      <c r="R238" s="70"/>
      <c r="S238" s="67"/>
      <c r="T238" s="2" t="str">
        <f t="shared" si="19"/>
        <v>Tạ Quang Huy_10AS5</v>
      </c>
      <c r="U238" s="28">
        <f t="array" ref="U238">IFERROR(VLOOKUP($T238,'Nghi hoc T12'!$H$7:$I$160,2,0),0)</f>
        <v>0</v>
      </c>
      <c r="V238" s="28">
        <f>IFERROR(VLOOKUP($T238,No_HP!$B$2:$C$514,2,0),0)</f>
        <v>0</v>
      </c>
      <c r="W238" s="28">
        <f t="shared" si="20"/>
        <v>0</v>
      </c>
      <c r="X238" s="333">
        <f t="shared" si="21"/>
        <v>0</v>
      </c>
      <c r="Y238" s="333">
        <f t="shared" si="22"/>
        <v>0</v>
      </c>
    </row>
    <row r="239" spans="1:25" s="2" customFormat="1" ht="21.95" customHeight="1">
      <c r="A239" s="82">
        <v>19</v>
      </c>
      <c r="B239" s="91" t="str">
        <f t="shared" si="23"/>
        <v>12A.S</v>
      </c>
      <c r="C239" s="83" t="s">
        <v>366</v>
      </c>
      <c r="D239" s="81" t="s">
        <v>517</v>
      </c>
      <c r="E239" s="48">
        <v>100230</v>
      </c>
      <c r="F239" s="30" t="s">
        <v>182</v>
      </c>
      <c r="G239" s="29" t="s">
        <v>67</v>
      </c>
      <c r="H239" s="30" t="s">
        <v>130</v>
      </c>
      <c r="I239" s="78"/>
      <c r="J239" s="20"/>
      <c r="K239" s="20"/>
      <c r="L239" s="20"/>
      <c r="M239" s="20"/>
      <c r="N239" s="69" t="s">
        <v>256</v>
      </c>
      <c r="O239" s="70">
        <v>0</v>
      </c>
      <c r="P239" s="70">
        <v>0</v>
      </c>
      <c r="Q239" s="70">
        <f t="shared" si="18"/>
        <v>0</v>
      </c>
      <c r="R239" s="70"/>
      <c r="S239" s="67"/>
      <c r="T239" s="2" t="str">
        <f t="shared" si="19"/>
        <v>Lê Thanh Huyền_10AS6</v>
      </c>
      <c r="U239" s="28">
        <f t="array" ref="U239">IFERROR(VLOOKUP($T239,'Nghi hoc T12'!$H$7:$I$160,2,0),0)</f>
        <v>0</v>
      </c>
      <c r="V239" s="28">
        <f>IFERROR(VLOOKUP($T239,No_HP!$B$2:$C$514,2,0),0)</f>
        <v>0</v>
      </c>
      <c r="W239" s="28">
        <f t="shared" si="20"/>
        <v>0</v>
      </c>
      <c r="X239" s="333">
        <f t="shared" si="21"/>
        <v>0</v>
      </c>
      <c r="Y239" s="333">
        <f t="shared" si="22"/>
        <v>0</v>
      </c>
    </row>
    <row r="240" spans="1:25" s="2" customFormat="1" ht="21.95" customHeight="1">
      <c r="A240" s="82">
        <v>20</v>
      </c>
      <c r="B240" s="91" t="str">
        <f t="shared" si="23"/>
        <v>12A.S</v>
      </c>
      <c r="C240" s="83" t="s">
        <v>366</v>
      </c>
      <c r="D240" s="81" t="s">
        <v>517</v>
      </c>
      <c r="E240" s="48">
        <v>100231</v>
      </c>
      <c r="F240" s="30" t="s">
        <v>222</v>
      </c>
      <c r="G240" s="29" t="s">
        <v>67</v>
      </c>
      <c r="H240" s="30" t="s">
        <v>131</v>
      </c>
      <c r="I240" s="78"/>
      <c r="J240" s="20"/>
      <c r="K240" s="20"/>
      <c r="L240" s="20"/>
      <c r="M240" s="20"/>
      <c r="N240" s="69" t="s">
        <v>256</v>
      </c>
      <c r="O240" s="70">
        <v>0</v>
      </c>
      <c r="P240" s="70">
        <v>0</v>
      </c>
      <c r="Q240" s="70">
        <f t="shared" si="18"/>
        <v>0</v>
      </c>
      <c r="R240" s="70"/>
      <c r="S240" s="67"/>
      <c r="T240" s="2" t="str">
        <f t="shared" si="19"/>
        <v>Nguyễn Ngọc Huyền_10AS7</v>
      </c>
      <c r="U240" s="28">
        <f t="array" ref="U240">IFERROR(VLOOKUP($T240,'Nghi hoc T12'!$H$7:$I$160,2,0),0)</f>
        <v>0</v>
      </c>
      <c r="V240" s="28">
        <f>IFERROR(VLOOKUP($T240,No_HP!$B$2:$C$514,2,0),0)</f>
        <v>0</v>
      </c>
      <c r="W240" s="28">
        <f t="shared" si="20"/>
        <v>0</v>
      </c>
      <c r="X240" s="333">
        <f t="shared" si="21"/>
        <v>0</v>
      </c>
      <c r="Y240" s="333">
        <f t="shared" si="22"/>
        <v>0</v>
      </c>
    </row>
    <row r="241" spans="1:25" s="2" customFormat="1" ht="21.95" customHeight="1">
      <c r="A241" s="82">
        <v>21</v>
      </c>
      <c r="B241" s="91" t="str">
        <f t="shared" si="23"/>
        <v>12A.S</v>
      </c>
      <c r="C241" s="83" t="s">
        <v>366</v>
      </c>
      <c r="D241" s="81" t="s">
        <v>517</v>
      </c>
      <c r="E241" s="48">
        <v>100232</v>
      </c>
      <c r="F241" s="30" t="s">
        <v>1271</v>
      </c>
      <c r="G241" s="29" t="s">
        <v>91</v>
      </c>
      <c r="H241" s="30" t="s">
        <v>130</v>
      </c>
      <c r="I241" s="78"/>
      <c r="J241" s="20"/>
      <c r="K241" s="20"/>
      <c r="L241" s="20"/>
      <c r="M241" s="20"/>
      <c r="N241" s="69" t="s">
        <v>256</v>
      </c>
      <c r="O241" s="70">
        <v>0</v>
      </c>
      <c r="P241" s="70">
        <v>0</v>
      </c>
      <c r="Q241" s="70">
        <f t="shared" si="18"/>
        <v>0</v>
      </c>
      <c r="R241" s="70"/>
      <c r="S241" s="67"/>
      <c r="T241" s="2" t="str">
        <f t="shared" si="19"/>
        <v>Phạm Thành Hưng_10AS6</v>
      </c>
      <c r="U241" s="28">
        <f t="array" ref="U241">IFERROR(VLOOKUP($T241,'Nghi hoc T12'!$H$7:$I$160,2,0),0)</f>
        <v>0</v>
      </c>
      <c r="V241" s="28">
        <f>IFERROR(VLOOKUP($T241,No_HP!$B$2:$C$514,2,0),0)</f>
        <v>0</v>
      </c>
      <c r="W241" s="28">
        <f t="shared" si="20"/>
        <v>0</v>
      </c>
      <c r="X241" s="333">
        <f t="shared" si="21"/>
        <v>0</v>
      </c>
      <c r="Y241" s="333">
        <f t="shared" si="22"/>
        <v>0</v>
      </c>
    </row>
    <row r="242" spans="1:25" s="2" customFormat="1" ht="21.95" customHeight="1">
      <c r="A242" s="82">
        <v>22</v>
      </c>
      <c r="B242" s="91" t="str">
        <f t="shared" si="23"/>
        <v>12A.S</v>
      </c>
      <c r="C242" s="83" t="s">
        <v>366</v>
      </c>
      <c r="D242" s="81" t="s">
        <v>517</v>
      </c>
      <c r="E242" s="48">
        <v>100233</v>
      </c>
      <c r="F242" s="30" t="s">
        <v>1272</v>
      </c>
      <c r="G242" s="29" t="s">
        <v>91</v>
      </c>
      <c r="H242" s="30" t="s">
        <v>131</v>
      </c>
      <c r="I242" s="78"/>
      <c r="J242" s="20"/>
      <c r="K242" s="20"/>
      <c r="L242" s="20"/>
      <c r="M242" s="20"/>
      <c r="N242" s="69" t="s">
        <v>256</v>
      </c>
      <c r="O242" s="70">
        <v>0</v>
      </c>
      <c r="P242" s="70">
        <v>0</v>
      </c>
      <c r="Q242" s="70">
        <f t="shared" si="18"/>
        <v>0</v>
      </c>
      <c r="R242" s="70"/>
      <c r="S242" s="67"/>
      <c r="T242" s="2" t="str">
        <f t="shared" si="19"/>
        <v>Phan Bảo Hưng_10AS7</v>
      </c>
      <c r="U242" s="28">
        <f t="array" ref="U242">IFERROR(VLOOKUP($T242,'Nghi hoc T12'!$H$7:$I$160,2,0),0)</f>
        <v>0</v>
      </c>
      <c r="V242" s="28">
        <f>IFERROR(VLOOKUP($T242,No_HP!$B$2:$C$514,2,0),0)</f>
        <v>0</v>
      </c>
      <c r="W242" s="28">
        <f t="shared" si="20"/>
        <v>0</v>
      </c>
      <c r="X242" s="333">
        <f t="shared" si="21"/>
        <v>0</v>
      </c>
      <c r="Y242" s="333">
        <f t="shared" si="22"/>
        <v>0</v>
      </c>
    </row>
    <row r="243" spans="1:25" s="2" customFormat="1" ht="21.95" customHeight="1">
      <c r="A243" s="82">
        <v>23</v>
      </c>
      <c r="B243" s="91" t="str">
        <f t="shared" si="23"/>
        <v>12A.S</v>
      </c>
      <c r="C243" s="83" t="s">
        <v>366</v>
      </c>
      <c r="D243" s="81" t="s">
        <v>517</v>
      </c>
      <c r="E243" s="48">
        <v>100234</v>
      </c>
      <c r="F243" s="30" t="s">
        <v>1273</v>
      </c>
      <c r="G243" s="29" t="s">
        <v>54</v>
      </c>
      <c r="H243" s="30" t="s">
        <v>131</v>
      </c>
      <c r="I243" s="78"/>
      <c r="J243" s="20"/>
      <c r="K243" s="20"/>
      <c r="L243" s="20"/>
      <c r="M243" s="20"/>
      <c r="N243" s="69" t="s">
        <v>256</v>
      </c>
      <c r="O243" s="70">
        <v>0</v>
      </c>
      <c r="P243" s="70">
        <v>0</v>
      </c>
      <c r="Q243" s="70">
        <f t="shared" si="18"/>
        <v>0</v>
      </c>
      <c r="R243" s="70"/>
      <c r="S243" s="67"/>
      <c r="T243" s="2" t="str">
        <f t="shared" si="19"/>
        <v>Nguyễn Hoàng Mai Hương_10AS7</v>
      </c>
      <c r="U243" s="28">
        <f t="array" ref="U243">IFERROR(VLOOKUP($T243,'Nghi hoc T12'!$H$7:$I$160,2,0),0)</f>
        <v>0</v>
      </c>
      <c r="V243" s="28">
        <f>IFERROR(VLOOKUP($T243,No_HP!$B$2:$C$514,2,0),0)</f>
        <v>0</v>
      </c>
      <c r="W243" s="28">
        <f t="shared" si="20"/>
        <v>0</v>
      </c>
      <c r="X243" s="333">
        <f t="shared" si="21"/>
        <v>0</v>
      </c>
      <c r="Y243" s="333">
        <f t="shared" si="22"/>
        <v>0</v>
      </c>
    </row>
    <row r="244" spans="1:25" s="2" customFormat="1" ht="21.95" customHeight="1">
      <c r="A244" s="82">
        <v>24</v>
      </c>
      <c r="B244" s="91" t="str">
        <f t="shared" si="23"/>
        <v>12A.S</v>
      </c>
      <c r="C244" s="83" t="s">
        <v>366</v>
      </c>
      <c r="D244" s="81" t="s">
        <v>517</v>
      </c>
      <c r="E244" s="48">
        <v>100235</v>
      </c>
      <c r="F244" s="30" t="s">
        <v>1274</v>
      </c>
      <c r="G244" s="29" t="s">
        <v>79</v>
      </c>
      <c r="H244" s="30" t="s">
        <v>1242</v>
      </c>
      <c r="I244" s="78"/>
      <c r="J244" s="20"/>
      <c r="K244" s="20"/>
      <c r="L244" s="20"/>
      <c r="M244" s="20"/>
      <c r="N244" s="69" t="s">
        <v>256</v>
      </c>
      <c r="O244" s="70">
        <v>0</v>
      </c>
      <c r="P244" s="70">
        <v>0</v>
      </c>
      <c r="Q244" s="70">
        <f t="shared" si="18"/>
        <v>0</v>
      </c>
      <c r="R244" s="70"/>
      <c r="S244" s="67"/>
      <c r="T244" s="2" t="str">
        <f t="shared" si="19"/>
        <v>Hồ Minh Khang_10AS5</v>
      </c>
      <c r="U244" s="28">
        <f t="array" ref="U244">IFERROR(VLOOKUP($T244,'Nghi hoc T12'!$H$7:$I$160,2,0),0)</f>
        <v>0</v>
      </c>
      <c r="V244" s="28">
        <f>IFERROR(VLOOKUP($T244,No_HP!$B$2:$C$514,2,0),0)</f>
        <v>0</v>
      </c>
      <c r="W244" s="28">
        <f t="shared" si="20"/>
        <v>0</v>
      </c>
      <c r="X244" s="333">
        <f t="shared" si="21"/>
        <v>0</v>
      </c>
      <c r="Y244" s="333">
        <f t="shared" si="22"/>
        <v>0</v>
      </c>
    </row>
    <row r="245" spans="1:25" s="2" customFormat="1" ht="21.95" customHeight="1">
      <c r="A245" s="200">
        <v>1</v>
      </c>
      <c r="B245" s="91" t="str">
        <f t="shared" si="23"/>
        <v>13A.S</v>
      </c>
      <c r="C245" s="185" t="s">
        <v>366</v>
      </c>
      <c r="D245" s="186" t="s">
        <v>518</v>
      </c>
      <c r="E245" s="187">
        <v>100236</v>
      </c>
      <c r="F245" s="188" t="s">
        <v>10</v>
      </c>
      <c r="G245" s="189" t="s">
        <v>79</v>
      </c>
      <c r="H245" s="188" t="s">
        <v>131</v>
      </c>
      <c r="I245" s="190"/>
      <c r="J245" s="191"/>
      <c r="K245" s="191"/>
      <c r="L245" s="191"/>
      <c r="M245" s="191"/>
      <c r="N245" s="69" t="s">
        <v>256</v>
      </c>
      <c r="O245" s="70">
        <v>0</v>
      </c>
      <c r="P245" s="70">
        <v>0</v>
      </c>
      <c r="Q245" s="70">
        <f t="shared" si="18"/>
        <v>0</v>
      </c>
      <c r="R245" s="70"/>
      <c r="S245" s="67"/>
      <c r="T245" s="2" t="str">
        <f t="shared" si="19"/>
        <v>Hoàng Khang_10AS7</v>
      </c>
      <c r="U245" s="28">
        <f t="array" ref="U245">IFERROR(VLOOKUP($T245,'Nghi hoc T12'!$H$7:$I$160,2,0),0)</f>
        <v>0</v>
      </c>
      <c r="V245" s="28">
        <f>IFERROR(VLOOKUP($T245,No_HP!$B$2:$C$514,2,0),0)</f>
        <v>0</v>
      </c>
      <c r="W245" s="28">
        <f t="shared" si="20"/>
        <v>0</v>
      </c>
      <c r="X245" s="333">
        <f t="shared" si="21"/>
        <v>0</v>
      </c>
      <c r="Y245" s="333">
        <f t="shared" si="22"/>
        <v>0</v>
      </c>
    </row>
    <row r="246" spans="1:25" s="2" customFormat="1" ht="21.95" customHeight="1">
      <c r="A246" s="82">
        <v>2</v>
      </c>
      <c r="B246" s="91" t="str">
        <f t="shared" si="23"/>
        <v>13A.S</v>
      </c>
      <c r="C246" s="83" t="s">
        <v>366</v>
      </c>
      <c r="D246" s="81" t="s">
        <v>518</v>
      </c>
      <c r="E246" s="48">
        <v>100237</v>
      </c>
      <c r="F246" s="30" t="s">
        <v>315</v>
      </c>
      <c r="G246" s="29" t="s">
        <v>79</v>
      </c>
      <c r="H246" s="30" t="s">
        <v>1242</v>
      </c>
      <c r="I246" s="78"/>
      <c r="J246" s="20"/>
      <c r="K246" s="20"/>
      <c r="L246" s="20"/>
      <c r="M246" s="20"/>
      <c r="N246" s="69" t="s">
        <v>256</v>
      </c>
      <c r="O246" s="70">
        <v>0</v>
      </c>
      <c r="P246" s="70">
        <v>0</v>
      </c>
      <c r="Q246" s="70">
        <f t="shared" si="18"/>
        <v>0</v>
      </c>
      <c r="R246" s="70"/>
      <c r="S246" s="67"/>
      <c r="T246" s="2" t="str">
        <f t="shared" si="19"/>
        <v>Nguyễn Tuấn Khang_10AS5</v>
      </c>
      <c r="U246" s="28">
        <f t="array" ref="U246">IFERROR(VLOOKUP($T246,'Nghi hoc T12'!$H$7:$I$160,2,0),0)</f>
        <v>0</v>
      </c>
      <c r="V246" s="28">
        <f>IFERROR(VLOOKUP($T246,No_HP!$B$2:$C$514,2,0),0)</f>
        <v>0</v>
      </c>
      <c r="W246" s="28">
        <f t="shared" si="20"/>
        <v>0</v>
      </c>
      <c r="X246" s="333">
        <f t="shared" si="21"/>
        <v>0</v>
      </c>
      <c r="Y246" s="333">
        <f t="shared" si="22"/>
        <v>0</v>
      </c>
    </row>
    <row r="247" spans="1:25" s="2" customFormat="1" ht="21.95" customHeight="1">
      <c r="A247" s="82">
        <v>3</v>
      </c>
      <c r="B247" s="91" t="str">
        <f t="shared" si="23"/>
        <v>13A.S</v>
      </c>
      <c r="C247" s="83" t="s">
        <v>366</v>
      </c>
      <c r="D247" s="81" t="s">
        <v>518</v>
      </c>
      <c r="E247" s="48">
        <v>100238</v>
      </c>
      <c r="F247" s="30" t="s">
        <v>1275</v>
      </c>
      <c r="G247" s="29" t="s">
        <v>79</v>
      </c>
      <c r="H247" s="30" t="s">
        <v>1242</v>
      </c>
      <c r="I247" s="78"/>
      <c r="J247" s="20"/>
      <c r="K247" s="20"/>
      <c r="L247" s="20"/>
      <c r="M247" s="20"/>
      <c r="N247" s="69" t="s">
        <v>256</v>
      </c>
      <c r="O247" s="70">
        <v>0</v>
      </c>
      <c r="P247" s="70">
        <v>0</v>
      </c>
      <c r="Q247" s="70">
        <f t="shared" si="18"/>
        <v>0</v>
      </c>
      <c r="R247" s="70"/>
      <c r="S247" s="67"/>
      <c r="T247" s="2" t="str">
        <f t="shared" si="19"/>
        <v>Phạm Trần Duy Khang_10AS5</v>
      </c>
      <c r="U247" s="28">
        <f t="array" ref="U247">IFERROR(VLOOKUP($T247,'Nghi hoc T12'!$H$7:$I$160,2,0),0)</f>
        <v>0</v>
      </c>
      <c r="V247" s="28">
        <f>IFERROR(VLOOKUP($T247,No_HP!$B$2:$C$514,2,0),0)</f>
        <v>0</v>
      </c>
      <c r="W247" s="28">
        <f t="shared" si="20"/>
        <v>0</v>
      </c>
      <c r="X247" s="333">
        <f t="shared" si="21"/>
        <v>0</v>
      </c>
      <c r="Y247" s="333">
        <f t="shared" si="22"/>
        <v>0</v>
      </c>
    </row>
    <row r="248" spans="1:25" s="2" customFormat="1" ht="21.95" customHeight="1">
      <c r="A248" s="82">
        <v>4</v>
      </c>
      <c r="B248" s="91" t="str">
        <f t="shared" si="23"/>
        <v>13A.S</v>
      </c>
      <c r="C248" s="83" t="s">
        <v>366</v>
      </c>
      <c r="D248" s="81" t="s">
        <v>518</v>
      </c>
      <c r="E248" s="48">
        <v>100239</v>
      </c>
      <c r="F248" s="30" t="s">
        <v>1276</v>
      </c>
      <c r="G248" s="29" t="s">
        <v>79</v>
      </c>
      <c r="H248" s="30" t="s">
        <v>131</v>
      </c>
      <c r="I248" s="78"/>
      <c r="J248" s="20"/>
      <c r="K248" s="20"/>
      <c r="L248" s="20"/>
      <c r="M248" s="20"/>
      <c r="N248" s="69" t="s">
        <v>256</v>
      </c>
      <c r="O248" s="70">
        <v>0</v>
      </c>
      <c r="P248" s="70">
        <v>0</v>
      </c>
      <c r="Q248" s="70">
        <f t="shared" si="18"/>
        <v>0</v>
      </c>
      <c r="R248" s="70"/>
      <c r="S248" s="67"/>
      <c r="T248" s="2" t="str">
        <f t="shared" si="19"/>
        <v>Trịnh Nguyễn Hoàng Khang_10AS7</v>
      </c>
      <c r="U248" s="28">
        <f t="array" ref="U248">IFERROR(VLOOKUP($T248,'Nghi hoc T12'!$H$7:$I$160,2,0),0)</f>
        <v>0</v>
      </c>
      <c r="V248" s="28">
        <f>IFERROR(VLOOKUP($T248,No_HP!$B$2:$C$514,2,0),0)</f>
        <v>0</v>
      </c>
      <c r="W248" s="28">
        <f t="shared" si="20"/>
        <v>0</v>
      </c>
      <c r="X248" s="333">
        <f t="shared" si="21"/>
        <v>0</v>
      </c>
      <c r="Y248" s="333">
        <f t="shared" si="22"/>
        <v>0</v>
      </c>
    </row>
    <row r="249" spans="1:25" s="2" customFormat="1" ht="21.95" customHeight="1">
      <c r="A249" s="82">
        <v>5</v>
      </c>
      <c r="B249" s="91" t="str">
        <f t="shared" si="23"/>
        <v>13A.S</v>
      </c>
      <c r="C249" s="83" t="s">
        <v>366</v>
      </c>
      <c r="D249" s="81" t="s">
        <v>518</v>
      </c>
      <c r="E249" s="48">
        <v>100241</v>
      </c>
      <c r="F249" s="30" t="s">
        <v>1278</v>
      </c>
      <c r="G249" s="29" t="s">
        <v>55</v>
      </c>
      <c r="H249" s="30" t="s">
        <v>130</v>
      </c>
      <c r="I249" s="78"/>
      <c r="J249" s="20"/>
      <c r="K249" s="20"/>
      <c r="L249" s="20"/>
      <c r="M249" s="20"/>
      <c r="N249" s="69" t="s">
        <v>256</v>
      </c>
      <c r="O249" s="70">
        <v>0</v>
      </c>
      <c r="P249" s="70">
        <v>0</v>
      </c>
      <c r="Q249" s="70">
        <f t="shared" si="18"/>
        <v>0</v>
      </c>
      <c r="R249" s="70"/>
      <c r="S249" s="67"/>
      <c r="T249" s="2" t="str">
        <f t="shared" si="19"/>
        <v>Huỳnh Đăng Khoa_10AS6</v>
      </c>
      <c r="U249" s="28">
        <f t="array" ref="U249">IFERROR(VLOOKUP($T249,'Nghi hoc T12'!$H$7:$I$160,2,0),0)</f>
        <v>0</v>
      </c>
      <c r="V249" s="28">
        <f>IFERROR(VLOOKUP($T249,No_HP!$B$2:$C$514,2,0),0)</f>
        <v>0</v>
      </c>
      <c r="W249" s="28">
        <f t="shared" si="20"/>
        <v>0</v>
      </c>
      <c r="X249" s="333">
        <f t="shared" si="21"/>
        <v>0</v>
      </c>
      <c r="Y249" s="333">
        <f t="shared" si="22"/>
        <v>0</v>
      </c>
    </row>
    <row r="250" spans="1:25" s="2" customFormat="1" ht="21.95" customHeight="1">
      <c r="A250" s="82">
        <v>6</v>
      </c>
      <c r="B250" s="91" t="str">
        <f t="shared" si="23"/>
        <v>13A.S</v>
      </c>
      <c r="C250" s="83" t="s">
        <v>366</v>
      </c>
      <c r="D250" s="81" t="s">
        <v>518</v>
      </c>
      <c r="E250" s="48">
        <v>100242</v>
      </c>
      <c r="F250" s="30" t="s">
        <v>1279</v>
      </c>
      <c r="G250" s="29" t="s">
        <v>1132</v>
      </c>
      <c r="H250" s="30" t="s">
        <v>131</v>
      </c>
      <c r="I250" s="78"/>
      <c r="J250" s="20"/>
      <c r="K250" s="20"/>
      <c r="L250" s="20"/>
      <c r="M250" s="20"/>
      <c r="N250" s="69" t="s">
        <v>256</v>
      </c>
      <c r="O250" s="70">
        <v>0</v>
      </c>
      <c r="P250" s="70">
        <v>0</v>
      </c>
      <c r="Q250" s="70">
        <f t="shared" si="18"/>
        <v>0</v>
      </c>
      <c r="R250" s="70"/>
      <c r="S250" s="67"/>
      <c r="T250" s="2" t="str">
        <f t="shared" si="19"/>
        <v>Hứa Đức Kiên_10AS7</v>
      </c>
      <c r="U250" s="28">
        <f t="array" ref="U250">IFERROR(VLOOKUP($T250,'Nghi hoc T12'!$H$7:$I$160,2,0),0)</f>
        <v>0</v>
      </c>
      <c r="V250" s="28">
        <f>IFERROR(VLOOKUP($T250,No_HP!$B$2:$C$514,2,0),0)</f>
        <v>0</v>
      </c>
      <c r="W250" s="28">
        <f t="shared" si="20"/>
        <v>0</v>
      </c>
      <c r="X250" s="333">
        <f t="shared" si="21"/>
        <v>0</v>
      </c>
      <c r="Y250" s="333">
        <f t="shared" si="22"/>
        <v>0</v>
      </c>
    </row>
    <row r="251" spans="1:25" s="2" customFormat="1" ht="21.95" customHeight="1">
      <c r="A251" s="82">
        <v>7</v>
      </c>
      <c r="B251" s="91" t="str">
        <f t="shared" si="23"/>
        <v>13A.S</v>
      </c>
      <c r="C251" s="83" t="s">
        <v>366</v>
      </c>
      <c r="D251" s="81" t="s">
        <v>518</v>
      </c>
      <c r="E251" s="48">
        <v>100243</v>
      </c>
      <c r="F251" s="30" t="s">
        <v>1280</v>
      </c>
      <c r="G251" s="29" t="s">
        <v>68</v>
      </c>
      <c r="H251" s="30" t="s">
        <v>1242</v>
      </c>
      <c r="I251" s="78"/>
      <c r="J251" s="20"/>
      <c r="K251" s="20"/>
      <c r="L251" s="20"/>
      <c r="M251" s="20"/>
      <c r="N251" s="69" t="s">
        <v>256</v>
      </c>
      <c r="O251" s="70">
        <v>0</v>
      </c>
      <c r="P251" s="70">
        <v>0</v>
      </c>
      <c r="Q251" s="70">
        <f t="shared" si="18"/>
        <v>0</v>
      </c>
      <c r="R251" s="70"/>
      <c r="S251" s="67"/>
      <c r="T251" s="2" t="str">
        <f t="shared" si="19"/>
        <v>Lê Anh Kiệt_10AS5</v>
      </c>
      <c r="U251" s="28">
        <f t="array" ref="U251">IFERROR(VLOOKUP($T251,'Nghi hoc T12'!$H$7:$I$160,2,0),0)</f>
        <v>0</v>
      </c>
      <c r="V251" s="28">
        <f>IFERROR(VLOOKUP($T251,No_HP!$B$2:$C$514,2,0),0)</f>
        <v>0</v>
      </c>
      <c r="W251" s="28">
        <f t="shared" si="20"/>
        <v>0</v>
      </c>
      <c r="X251" s="333">
        <f t="shared" si="21"/>
        <v>0</v>
      </c>
      <c r="Y251" s="333">
        <f t="shared" si="22"/>
        <v>0</v>
      </c>
    </row>
    <row r="252" spans="1:25" s="2" customFormat="1" ht="21.95" customHeight="1">
      <c r="A252" s="82">
        <v>8</v>
      </c>
      <c r="B252" s="91" t="str">
        <f t="shared" si="23"/>
        <v>13A.S</v>
      </c>
      <c r="C252" s="83" t="s">
        <v>366</v>
      </c>
      <c r="D252" s="81" t="s">
        <v>518</v>
      </c>
      <c r="E252" s="48">
        <v>100244</v>
      </c>
      <c r="F252" s="30" t="s">
        <v>420</v>
      </c>
      <c r="G252" s="29" t="s">
        <v>278</v>
      </c>
      <c r="H252" s="30" t="s">
        <v>1242</v>
      </c>
      <c r="I252" s="78"/>
      <c r="J252" s="20"/>
      <c r="K252" s="20"/>
      <c r="L252" s="20"/>
      <c r="M252" s="20"/>
      <c r="N252" s="69" t="s">
        <v>256</v>
      </c>
      <c r="O252" s="70">
        <v>0</v>
      </c>
      <c r="P252" s="70">
        <v>0</v>
      </c>
      <c r="Q252" s="70">
        <f t="shared" si="18"/>
        <v>0</v>
      </c>
      <c r="R252" s="70"/>
      <c r="S252" s="67"/>
      <c r="T252" s="2" t="str">
        <f t="shared" si="19"/>
        <v>Bùi Hoàng Lam_10AS5</v>
      </c>
      <c r="U252" s="28">
        <f t="array" ref="U252">IFERROR(VLOOKUP($T252,'Nghi hoc T12'!$H$7:$I$160,2,0),0)</f>
        <v>0</v>
      </c>
      <c r="V252" s="28">
        <f>IFERROR(VLOOKUP($T252,No_HP!$B$2:$C$514,2,0),0)</f>
        <v>0</v>
      </c>
      <c r="W252" s="28">
        <f t="shared" si="20"/>
        <v>0</v>
      </c>
      <c r="X252" s="333">
        <f t="shared" si="21"/>
        <v>0</v>
      </c>
      <c r="Y252" s="333">
        <f t="shared" si="22"/>
        <v>0</v>
      </c>
    </row>
    <row r="253" spans="1:25" s="2" customFormat="1" ht="21.95" customHeight="1">
      <c r="A253" s="82">
        <v>9</v>
      </c>
      <c r="B253" s="91" t="str">
        <f t="shared" si="23"/>
        <v>13A.S</v>
      </c>
      <c r="C253" s="83" t="s">
        <v>366</v>
      </c>
      <c r="D253" s="81" t="s">
        <v>518</v>
      </c>
      <c r="E253" s="48">
        <v>100245</v>
      </c>
      <c r="F253" s="30" t="s">
        <v>1281</v>
      </c>
      <c r="G253" s="29" t="s">
        <v>278</v>
      </c>
      <c r="H253" s="30" t="s">
        <v>130</v>
      </c>
      <c r="I253" s="78"/>
      <c r="J253" s="20"/>
      <c r="K253" s="20"/>
      <c r="L253" s="20"/>
      <c r="M253" s="20"/>
      <c r="N253" s="69" t="s">
        <v>256</v>
      </c>
      <c r="O253" s="70">
        <v>0</v>
      </c>
      <c r="P253" s="70">
        <v>0</v>
      </c>
      <c r="Q253" s="70">
        <f t="shared" si="18"/>
        <v>0</v>
      </c>
      <c r="R253" s="70"/>
      <c r="S253" s="67"/>
      <c r="T253" s="2" t="str">
        <f t="shared" si="19"/>
        <v>Cao Nguyễn Phương Lam_10AS6</v>
      </c>
      <c r="U253" s="28">
        <f t="array" ref="U253">IFERROR(VLOOKUP($T253,'Nghi hoc T12'!$H$7:$I$160,2,0),0)</f>
        <v>0</v>
      </c>
      <c r="V253" s="28">
        <f>IFERROR(VLOOKUP($T253,No_HP!$B$2:$C$514,2,0),0)</f>
        <v>0</v>
      </c>
      <c r="W253" s="28">
        <f t="shared" si="20"/>
        <v>0</v>
      </c>
      <c r="X253" s="333">
        <f t="shared" si="21"/>
        <v>0</v>
      </c>
      <c r="Y253" s="333">
        <f t="shared" si="22"/>
        <v>0</v>
      </c>
    </row>
    <row r="254" spans="1:25" s="2" customFormat="1" ht="21.95" customHeight="1">
      <c r="A254" s="82">
        <v>10</v>
      </c>
      <c r="B254" s="91" t="str">
        <f t="shared" si="23"/>
        <v>13A.S</v>
      </c>
      <c r="C254" s="83" t="s">
        <v>366</v>
      </c>
      <c r="D254" s="81" t="s">
        <v>518</v>
      </c>
      <c r="E254" s="48">
        <v>100246</v>
      </c>
      <c r="F254" s="30" t="s">
        <v>1282</v>
      </c>
      <c r="G254" s="29" t="s">
        <v>278</v>
      </c>
      <c r="H254" s="30" t="s">
        <v>131</v>
      </c>
      <c r="I254" s="78"/>
      <c r="J254" s="20"/>
      <c r="K254" s="20"/>
      <c r="L254" s="20"/>
      <c r="M254" s="20"/>
      <c r="N254" s="69" t="s">
        <v>256</v>
      </c>
      <c r="O254" s="70">
        <v>0</v>
      </c>
      <c r="P254" s="70">
        <v>0</v>
      </c>
      <c r="Q254" s="70">
        <f t="shared" si="18"/>
        <v>0</v>
      </c>
      <c r="R254" s="70"/>
      <c r="S254" s="67"/>
      <c r="T254" s="2" t="str">
        <f t="shared" si="19"/>
        <v>Ngô Phương Lam_10AS7</v>
      </c>
      <c r="U254" s="28">
        <f t="array" ref="U254">IFERROR(VLOOKUP($T254,'Nghi hoc T12'!$H$7:$I$160,2,0),0)</f>
        <v>0</v>
      </c>
      <c r="V254" s="28">
        <f>IFERROR(VLOOKUP($T254,No_HP!$B$2:$C$514,2,0),0)</f>
        <v>0</v>
      </c>
      <c r="W254" s="28">
        <f t="shared" si="20"/>
        <v>0</v>
      </c>
      <c r="X254" s="333">
        <f t="shared" si="21"/>
        <v>0</v>
      </c>
      <c r="Y254" s="333">
        <f t="shared" si="22"/>
        <v>0</v>
      </c>
    </row>
    <row r="255" spans="1:25" s="2" customFormat="1" ht="21.95" customHeight="1">
      <c r="A255" s="82">
        <v>11</v>
      </c>
      <c r="B255" s="91" t="str">
        <f t="shared" si="23"/>
        <v>13A.S</v>
      </c>
      <c r="C255" s="83" t="s">
        <v>366</v>
      </c>
      <c r="D255" s="81" t="s">
        <v>518</v>
      </c>
      <c r="E255" s="48">
        <v>100247</v>
      </c>
      <c r="F255" s="30" t="s">
        <v>1283</v>
      </c>
      <c r="G255" s="29" t="s">
        <v>113</v>
      </c>
      <c r="H255" s="30" t="s">
        <v>130</v>
      </c>
      <c r="I255" s="78"/>
      <c r="J255" s="20"/>
      <c r="K255" s="20"/>
      <c r="L255" s="20"/>
      <c r="M255" s="20"/>
      <c r="N255" s="69" t="s">
        <v>256</v>
      </c>
      <c r="O255" s="70">
        <v>0</v>
      </c>
      <c r="P255" s="70">
        <v>0</v>
      </c>
      <c r="Q255" s="70">
        <f t="shared" si="18"/>
        <v>0</v>
      </c>
      <c r="R255" s="70"/>
      <c r="S255" s="67"/>
      <c r="T255" s="2" t="str">
        <f t="shared" si="19"/>
        <v>Nguyễn Thị Hương Lan_10AS6</v>
      </c>
      <c r="U255" s="28">
        <f t="array" ref="U255">IFERROR(VLOOKUP($T255,'Nghi hoc T12'!$H$7:$I$160,2,0),0)</f>
        <v>0</v>
      </c>
      <c r="V255" s="28">
        <f>IFERROR(VLOOKUP($T255,No_HP!$B$2:$C$514,2,0),0)</f>
        <v>0</v>
      </c>
      <c r="W255" s="28">
        <f t="shared" si="20"/>
        <v>0</v>
      </c>
      <c r="X255" s="333">
        <f t="shared" si="21"/>
        <v>0</v>
      </c>
      <c r="Y255" s="333">
        <f t="shared" si="22"/>
        <v>0</v>
      </c>
    </row>
    <row r="256" spans="1:25" s="2" customFormat="1" ht="21.95" customHeight="1">
      <c r="A256" s="82">
        <v>12</v>
      </c>
      <c r="B256" s="91" t="str">
        <f t="shared" si="23"/>
        <v>13A.S</v>
      </c>
      <c r="C256" s="83" t="s">
        <v>366</v>
      </c>
      <c r="D256" s="81" t="s">
        <v>518</v>
      </c>
      <c r="E256" s="48">
        <v>100248</v>
      </c>
      <c r="F256" s="30" t="s">
        <v>1284</v>
      </c>
      <c r="G256" s="29" t="s">
        <v>38</v>
      </c>
      <c r="H256" s="30" t="s">
        <v>130</v>
      </c>
      <c r="I256" s="78"/>
      <c r="J256" s="20"/>
      <c r="K256" s="20"/>
      <c r="L256" s="20"/>
      <c r="M256" s="20"/>
      <c r="N256" s="69" t="s">
        <v>256</v>
      </c>
      <c r="O256" s="70">
        <v>0</v>
      </c>
      <c r="P256" s="70">
        <v>0</v>
      </c>
      <c r="Q256" s="70">
        <f t="shared" si="18"/>
        <v>0</v>
      </c>
      <c r="R256" s="70"/>
      <c r="S256" s="67"/>
      <c r="T256" s="2" t="str">
        <f t="shared" si="19"/>
        <v>Đinh Ngọc Linh_10AS6</v>
      </c>
      <c r="U256" s="28">
        <f t="array" ref="U256">IFERROR(VLOOKUP($T256,'Nghi hoc T12'!$H$7:$I$160,2,0),0)</f>
        <v>0</v>
      </c>
      <c r="V256" s="28">
        <f>IFERROR(VLOOKUP($T256,No_HP!$B$2:$C$514,2,0),0)</f>
        <v>0</v>
      </c>
      <c r="W256" s="28">
        <f t="shared" si="20"/>
        <v>0</v>
      </c>
      <c r="X256" s="333">
        <f t="shared" si="21"/>
        <v>0</v>
      </c>
      <c r="Y256" s="333">
        <f t="shared" si="22"/>
        <v>0</v>
      </c>
    </row>
    <row r="257" spans="1:25" s="2" customFormat="1" ht="21.95" customHeight="1">
      <c r="A257" s="82">
        <v>13</v>
      </c>
      <c r="B257" s="91" t="str">
        <f t="shared" si="23"/>
        <v>13A.S</v>
      </c>
      <c r="C257" s="83" t="s">
        <v>366</v>
      </c>
      <c r="D257" s="81" t="s">
        <v>518</v>
      </c>
      <c r="E257" s="48">
        <v>100249</v>
      </c>
      <c r="F257" s="30" t="s">
        <v>1285</v>
      </c>
      <c r="G257" s="29" t="s">
        <v>38</v>
      </c>
      <c r="H257" s="30" t="s">
        <v>130</v>
      </c>
      <c r="I257" s="78"/>
      <c r="J257" s="20"/>
      <c r="K257" s="20"/>
      <c r="L257" s="20"/>
      <c r="M257" s="20"/>
      <c r="N257" s="69" t="s">
        <v>256</v>
      </c>
      <c r="O257" s="70">
        <v>0</v>
      </c>
      <c r="P257" s="70">
        <v>0</v>
      </c>
      <c r="Q257" s="70">
        <f t="shared" si="18"/>
        <v>0</v>
      </c>
      <c r="R257" s="70"/>
      <c r="S257" s="67"/>
      <c r="T257" s="2" t="str">
        <f t="shared" si="19"/>
        <v>Lê Ngọc Khánh Linh_10AS6</v>
      </c>
      <c r="U257" s="28">
        <f t="array" ref="U257">IFERROR(VLOOKUP($T257,'Nghi hoc T12'!$H$7:$I$160,2,0),0)</f>
        <v>0</v>
      </c>
      <c r="V257" s="28">
        <f>IFERROR(VLOOKUP($T257,No_HP!$B$2:$C$514,2,0),0)</f>
        <v>0</v>
      </c>
      <c r="W257" s="28">
        <f t="shared" si="20"/>
        <v>0</v>
      </c>
      <c r="X257" s="333">
        <f t="shared" si="21"/>
        <v>0</v>
      </c>
      <c r="Y257" s="333">
        <f t="shared" si="22"/>
        <v>0</v>
      </c>
    </row>
    <row r="258" spans="1:25" s="2" customFormat="1" ht="21.95" customHeight="1">
      <c r="A258" s="82">
        <v>14</v>
      </c>
      <c r="B258" s="91" t="str">
        <f t="shared" si="23"/>
        <v>13A.S</v>
      </c>
      <c r="C258" s="83" t="s">
        <v>366</v>
      </c>
      <c r="D258" s="81" t="s">
        <v>518</v>
      </c>
      <c r="E258" s="48">
        <v>100250</v>
      </c>
      <c r="F258" s="30" t="s">
        <v>1286</v>
      </c>
      <c r="G258" s="29" t="s">
        <v>38</v>
      </c>
      <c r="H258" s="30" t="s">
        <v>1242</v>
      </c>
      <c r="I258" s="78"/>
      <c r="J258" s="20"/>
      <c r="K258" s="20"/>
      <c r="L258" s="20"/>
      <c r="M258" s="20"/>
      <c r="N258" s="69" t="s">
        <v>256</v>
      </c>
      <c r="O258" s="70">
        <v>0</v>
      </c>
      <c r="P258" s="70">
        <v>0</v>
      </c>
      <c r="Q258" s="70">
        <f t="shared" si="18"/>
        <v>0</v>
      </c>
      <c r="R258" s="70"/>
      <c r="S258" s="67"/>
      <c r="T258" s="2" t="str">
        <f t="shared" si="19"/>
        <v>Văn Thị Thùy Linh_10AS5</v>
      </c>
      <c r="U258" s="28">
        <f t="array" ref="U258">IFERROR(VLOOKUP($T258,'Nghi hoc T12'!$H$7:$I$160,2,0),0)</f>
        <v>0</v>
      </c>
      <c r="V258" s="28">
        <f>IFERROR(VLOOKUP($T258,No_HP!$B$2:$C$514,2,0),0)</f>
        <v>0</v>
      </c>
      <c r="W258" s="28">
        <f t="shared" si="20"/>
        <v>0</v>
      </c>
      <c r="X258" s="333">
        <f t="shared" si="21"/>
        <v>0</v>
      </c>
      <c r="Y258" s="333">
        <f t="shared" si="22"/>
        <v>0</v>
      </c>
    </row>
    <row r="259" spans="1:25" s="2" customFormat="1" ht="21.95" customHeight="1">
      <c r="A259" s="82">
        <v>15</v>
      </c>
      <c r="B259" s="91" t="str">
        <f t="shared" si="23"/>
        <v>13A.S</v>
      </c>
      <c r="C259" s="83" t="s">
        <v>366</v>
      </c>
      <c r="D259" s="81" t="s">
        <v>518</v>
      </c>
      <c r="E259" s="48">
        <v>100251</v>
      </c>
      <c r="F259" s="30" t="s">
        <v>1287</v>
      </c>
      <c r="G259" s="29" t="s">
        <v>152</v>
      </c>
      <c r="H259" s="30" t="s">
        <v>130</v>
      </c>
      <c r="I259" s="78"/>
      <c r="J259" s="20"/>
      <c r="K259" s="20"/>
      <c r="L259" s="20"/>
      <c r="M259" s="20"/>
      <c r="N259" s="69" t="s">
        <v>256</v>
      </c>
      <c r="O259" s="70">
        <v>0</v>
      </c>
      <c r="P259" s="70">
        <v>0</v>
      </c>
      <c r="Q259" s="70">
        <f t="shared" si="18"/>
        <v>0</v>
      </c>
      <c r="R259" s="70"/>
      <c r="S259" s="67"/>
      <c r="T259" s="2" t="str">
        <f t="shared" si="19"/>
        <v>Huỳnh Thanh Lộc_10AS6</v>
      </c>
      <c r="U259" s="28">
        <f t="array" ref="U259">IFERROR(VLOOKUP($T259,'Nghi hoc T12'!$H$7:$I$160,2,0),0)</f>
        <v>0</v>
      </c>
      <c r="V259" s="28">
        <f>IFERROR(VLOOKUP($T259,No_HP!$B$2:$C$514,2,0),0)</f>
        <v>0</v>
      </c>
      <c r="W259" s="28">
        <f t="shared" si="20"/>
        <v>0</v>
      </c>
      <c r="X259" s="333">
        <f t="shared" si="21"/>
        <v>0</v>
      </c>
      <c r="Y259" s="333">
        <f t="shared" si="22"/>
        <v>0</v>
      </c>
    </row>
    <row r="260" spans="1:25" s="2" customFormat="1" ht="21.95" customHeight="1">
      <c r="A260" s="82">
        <v>16</v>
      </c>
      <c r="B260" s="91" t="str">
        <f t="shared" si="23"/>
        <v>13A.S</v>
      </c>
      <c r="C260" s="83" t="s">
        <v>366</v>
      </c>
      <c r="D260" s="81" t="s">
        <v>518</v>
      </c>
      <c r="E260" s="48">
        <v>100252</v>
      </c>
      <c r="F260" s="30" t="s">
        <v>1288</v>
      </c>
      <c r="G260" s="29" t="s">
        <v>153</v>
      </c>
      <c r="H260" s="30" t="s">
        <v>131</v>
      </c>
      <c r="I260" s="78"/>
      <c r="J260" s="20"/>
      <c r="K260" s="20"/>
      <c r="L260" s="20"/>
      <c r="M260" s="20"/>
      <c r="N260" s="69" t="s">
        <v>256</v>
      </c>
      <c r="O260" s="70">
        <v>0</v>
      </c>
      <c r="P260" s="70">
        <v>0</v>
      </c>
      <c r="Q260" s="70">
        <f t="shared" si="18"/>
        <v>0</v>
      </c>
      <c r="R260" s="70"/>
      <c r="S260" s="67"/>
      <c r="T260" s="2" t="str">
        <f t="shared" si="19"/>
        <v>Nguyễn Thái Thành Luân_10AS7</v>
      </c>
      <c r="U260" s="28">
        <f t="array" ref="U260">IFERROR(VLOOKUP($T260,'Nghi hoc T12'!$H$7:$I$160,2,0),0)</f>
        <v>0</v>
      </c>
      <c r="V260" s="28">
        <f>IFERROR(VLOOKUP($T260,No_HP!$B$2:$C$514,2,0),0)</f>
        <v>0</v>
      </c>
      <c r="W260" s="28">
        <f t="shared" si="20"/>
        <v>0</v>
      </c>
      <c r="X260" s="333">
        <f t="shared" si="21"/>
        <v>0</v>
      </c>
      <c r="Y260" s="333">
        <f t="shared" si="22"/>
        <v>0</v>
      </c>
    </row>
    <row r="261" spans="1:25" s="2" customFormat="1" ht="21.95" customHeight="1">
      <c r="A261" s="82">
        <v>17</v>
      </c>
      <c r="B261" s="91" t="str">
        <f t="shared" si="23"/>
        <v>13A.S</v>
      </c>
      <c r="C261" s="83" t="s">
        <v>366</v>
      </c>
      <c r="D261" s="81" t="s">
        <v>518</v>
      </c>
      <c r="E261" s="48">
        <v>100253</v>
      </c>
      <c r="F261" s="30" t="s">
        <v>312</v>
      </c>
      <c r="G261" s="29" t="s">
        <v>69</v>
      </c>
      <c r="H261" s="30" t="s">
        <v>131</v>
      </c>
      <c r="I261" s="78"/>
      <c r="J261" s="20"/>
      <c r="K261" s="20"/>
      <c r="L261" s="20"/>
      <c r="M261" s="20"/>
      <c r="N261" s="69" t="s">
        <v>256</v>
      </c>
      <c r="O261" s="70">
        <v>0</v>
      </c>
      <c r="P261" s="70">
        <v>0</v>
      </c>
      <c r="Q261" s="70">
        <f t="shared" si="18"/>
        <v>0</v>
      </c>
      <c r="R261" s="70"/>
      <c r="S261" s="67"/>
      <c r="T261" s="2" t="str">
        <f t="shared" si="19"/>
        <v>Nguyễn Thị Cẩm Ly_10AS7</v>
      </c>
      <c r="U261" s="28">
        <f t="array" ref="U261">IFERROR(VLOOKUP($T261,'Nghi hoc T12'!$H$7:$I$160,2,0),0)</f>
        <v>0</v>
      </c>
      <c r="V261" s="28">
        <f>IFERROR(VLOOKUP($T261,No_HP!$B$2:$C$514,2,0),0)</f>
        <v>0</v>
      </c>
      <c r="W261" s="28">
        <f t="shared" si="20"/>
        <v>0</v>
      </c>
      <c r="X261" s="333">
        <f t="shared" si="21"/>
        <v>0</v>
      </c>
      <c r="Y261" s="333">
        <f t="shared" si="22"/>
        <v>0</v>
      </c>
    </row>
    <row r="262" spans="1:25" s="2" customFormat="1" ht="21.95" customHeight="1">
      <c r="A262" s="82">
        <v>18</v>
      </c>
      <c r="B262" s="91" t="str">
        <f t="shared" si="23"/>
        <v>13A.S</v>
      </c>
      <c r="C262" s="83" t="s">
        <v>366</v>
      </c>
      <c r="D262" s="81" t="s">
        <v>518</v>
      </c>
      <c r="E262" s="48">
        <v>100254</v>
      </c>
      <c r="F262" s="30" t="s">
        <v>1289</v>
      </c>
      <c r="G262" s="29" t="s">
        <v>15</v>
      </c>
      <c r="H262" s="30" t="s">
        <v>130</v>
      </c>
      <c r="I262" s="78"/>
      <c r="J262" s="20"/>
      <c r="K262" s="20"/>
      <c r="L262" s="20"/>
      <c r="M262" s="20"/>
      <c r="N262" s="69" t="s">
        <v>256</v>
      </c>
      <c r="O262" s="70">
        <v>0</v>
      </c>
      <c r="P262" s="70">
        <v>0</v>
      </c>
      <c r="Q262" s="70">
        <f t="shared" si="18"/>
        <v>0</v>
      </c>
      <c r="R262" s="70"/>
      <c r="S262" s="67"/>
      <c r="T262" s="2" t="str">
        <f t="shared" si="19"/>
        <v>Trần Lý Trúc Mai_10AS6</v>
      </c>
      <c r="U262" s="28">
        <f t="array" ref="U262">IFERROR(VLOOKUP($T262,'Nghi hoc T12'!$H$7:$I$160,2,0),0)</f>
        <v>0</v>
      </c>
      <c r="V262" s="28">
        <f>IFERROR(VLOOKUP($T262,No_HP!$B$2:$C$514,2,0),0)</f>
        <v>0</v>
      </c>
      <c r="W262" s="28">
        <f t="shared" si="20"/>
        <v>0</v>
      </c>
      <c r="X262" s="333">
        <f t="shared" si="21"/>
        <v>0</v>
      </c>
      <c r="Y262" s="333">
        <f t="shared" si="22"/>
        <v>0</v>
      </c>
    </row>
    <row r="263" spans="1:25" s="2" customFormat="1" ht="21.95" customHeight="1">
      <c r="A263" s="82">
        <v>19</v>
      </c>
      <c r="B263" s="91" t="str">
        <f t="shared" si="23"/>
        <v>13A.S</v>
      </c>
      <c r="C263" s="83" t="s">
        <v>366</v>
      </c>
      <c r="D263" s="81" t="s">
        <v>518</v>
      </c>
      <c r="E263" s="48">
        <v>100255</v>
      </c>
      <c r="F263" s="30" t="s">
        <v>1290</v>
      </c>
      <c r="G263" s="29" t="s">
        <v>16</v>
      </c>
      <c r="H263" s="30" t="s">
        <v>130</v>
      </c>
      <c r="I263" s="78"/>
      <c r="J263" s="20"/>
      <c r="K263" s="20"/>
      <c r="L263" s="20"/>
      <c r="M263" s="20"/>
      <c r="N263" s="69" t="s">
        <v>256</v>
      </c>
      <c r="O263" s="70">
        <v>0</v>
      </c>
      <c r="P263" s="70">
        <v>0</v>
      </c>
      <c r="Q263" s="70">
        <f t="shared" si="18"/>
        <v>0</v>
      </c>
      <c r="R263" s="70"/>
      <c r="S263" s="67"/>
      <c r="T263" s="2" t="str">
        <f t="shared" si="19"/>
        <v>Trần Nguyễn Đức Minh_10AS6</v>
      </c>
      <c r="U263" s="28">
        <f t="array" ref="U263">IFERROR(VLOOKUP($T263,'Nghi hoc T12'!$H$7:$I$160,2,0),0)</f>
        <v>0</v>
      </c>
      <c r="V263" s="28">
        <f>IFERROR(VLOOKUP($T263,No_HP!$B$2:$C$514,2,0),0)</f>
        <v>0</v>
      </c>
      <c r="W263" s="28">
        <f t="shared" si="20"/>
        <v>0</v>
      </c>
      <c r="X263" s="333">
        <f t="shared" si="21"/>
        <v>0</v>
      </c>
      <c r="Y263" s="333">
        <f t="shared" si="22"/>
        <v>0</v>
      </c>
    </row>
    <row r="264" spans="1:25" s="2" customFormat="1" ht="21.95" customHeight="1">
      <c r="A264" s="82">
        <v>20</v>
      </c>
      <c r="B264" s="91" t="str">
        <f t="shared" si="23"/>
        <v>13A.S</v>
      </c>
      <c r="C264" s="83" t="s">
        <v>366</v>
      </c>
      <c r="D264" s="81" t="s">
        <v>518</v>
      </c>
      <c r="E264" s="48">
        <v>100256</v>
      </c>
      <c r="F264" s="30" t="s">
        <v>1291</v>
      </c>
      <c r="G264" s="29" t="s">
        <v>16</v>
      </c>
      <c r="H264" s="30" t="s">
        <v>131</v>
      </c>
      <c r="I264" s="78"/>
      <c r="J264" s="20"/>
      <c r="K264" s="20"/>
      <c r="L264" s="20"/>
      <c r="M264" s="20"/>
      <c r="N264" s="69" t="s">
        <v>256</v>
      </c>
      <c r="O264" s="70">
        <v>0</v>
      </c>
      <c r="P264" s="70">
        <v>0</v>
      </c>
      <c r="Q264" s="70">
        <f t="shared" si="18"/>
        <v>0</v>
      </c>
      <c r="R264" s="70"/>
      <c r="S264" s="67"/>
      <c r="T264" s="2" t="str">
        <f t="shared" si="19"/>
        <v>Trần Nhật Minh_10AS7</v>
      </c>
      <c r="U264" s="28">
        <f t="array" ref="U264">IFERROR(VLOOKUP($T264,'Nghi hoc T12'!$H$7:$I$160,2,0),0)</f>
        <v>0</v>
      </c>
      <c r="V264" s="28">
        <f>IFERROR(VLOOKUP($T264,No_HP!$B$2:$C$514,2,0),0)</f>
        <v>0</v>
      </c>
      <c r="W264" s="28">
        <f t="shared" si="20"/>
        <v>0</v>
      </c>
      <c r="X264" s="333">
        <f t="shared" si="21"/>
        <v>0</v>
      </c>
      <c r="Y264" s="333">
        <f t="shared" si="22"/>
        <v>0</v>
      </c>
    </row>
    <row r="265" spans="1:25" s="2" customFormat="1" ht="21.95" customHeight="1">
      <c r="A265" s="82">
        <v>21</v>
      </c>
      <c r="B265" s="91" t="str">
        <f t="shared" si="23"/>
        <v>13A.S</v>
      </c>
      <c r="C265" s="83" t="s">
        <v>366</v>
      </c>
      <c r="D265" s="81" t="s">
        <v>518</v>
      </c>
      <c r="E265" s="48">
        <v>100257</v>
      </c>
      <c r="F265" s="30" t="s">
        <v>1292</v>
      </c>
      <c r="G265" s="29" t="s">
        <v>40</v>
      </c>
      <c r="H265" s="30" t="s">
        <v>131</v>
      </c>
      <c r="I265" s="78"/>
      <c r="J265" s="20"/>
      <c r="K265" s="20"/>
      <c r="L265" s="20"/>
      <c r="M265" s="20"/>
      <c r="N265" s="69" t="s">
        <v>256</v>
      </c>
      <c r="O265" s="70">
        <v>0</v>
      </c>
      <c r="P265" s="70">
        <v>0</v>
      </c>
      <c r="Q265" s="70">
        <f t="shared" si="18"/>
        <v>0</v>
      </c>
      <c r="R265" s="70"/>
      <c r="S265" s="67"/>
      <c r="T265" s="2" t="str">
        <f t="shared" si="19"/>
        <v>Đỗ Ngọc Trà My_10AS7</v>
      </c>
      <c r="U265" s="28">
        <f t="array" ref="U265">IFERROR(VLOOKUP($T265,'Nghi hoc T12'!$H$7:$I$160,2,0),0)</f>
        <v>0</v>
      </c>
      <c r="V265" s="28">
        <f>IFERROR(VLOOKUP($T265,No_HP!$B$2:$C$514,2,0),0)</f>
        <v>0</v>
      </c>
      <c r="W265" s="28">
        <f t="shared" si="20"/>
        <v>0</v>
      </c>
      <c r="X265" s="333">
        <f t="shared" si="21"/>
        <v>0</v>
      </c>
      <c r="Y265" s="333">
        <f t="shared" si="22"/>
        <v>0</v>
      </c>
    </row>
    <row r="266" spans="1:25" s="2" customFormat="1" ht="21.95" customHeight="1">
      <c r="A266" s="82">
        <v>22</v>
      </c>
      <c r="B266" s="91" t="str">
        <f t="shared" si="23"/>
        <v>13A.S</v>
      </c>
      <c r="C266" s="83" t="s">
        <v>366</v>
      </c>
      <c r="D266" s="81" t="s">
        <v>518</v>
      </c>
      <c r="E266" s="48">
        <v>100258</v>
      </c>
      <c r="F266" s="30" t="s">
        <v>1293</v>
      </c>
      <c r="G266" s="29" t="s">
        <v>17</v>
      </c>
      <c r="H266" s="30" t="s">
        <v>1242</v>
      </c>
      <c r="I266" s="78"/>
      <c r="J266" s="20"/>
      <c r="K266" s="20"/>
      <c r="L266" s="20"/>
      <c r="M266" s="20"/>
      <c r="N266" s="69" t="s">
        <v>256</v>
      </c>
      <c r="O266" s="70">
        <v>0</v>
      </c>
      <c r="P266" s="70">
        <v>0</v>
      </c>
      <c r="Q266" s="70">
        <f t="shared" ref="Q266:Q329" si="24">U266</f>
        <v>0</v>
      </c>
      <c r="R266" s="70"/>
      <c r="S266" s="67"/>
      <c r="T266" s="2" t="str">
        <f t="shared" ref="T266:T329" si="25">TRIM(F266&amp;" "&amp;G266&amp;"_"&amp;H266)</f>
        <v>Cao Bảo Nam_10AS5</v>
      </c>
      <c r="U266" s="28">
        <f t="array" ref="U266">IFERROR(VLOOKUP($T266,'Nghi hoc T12'!$H$7:$I$160,2,0),0)</f>
        <v>0</v>
      </c>
      <c r="V266" s="28">
        <f>IFERROR(VLOOKUP($T266,No_HP!$B$2:$C$514,2,0),0)</f>
        <v>0</v>
      </c>
      <c r="W266" s="28">
        <f t="shared" ref="W266:W329" si="26">I266</f>
        <v>0</v>
      </c>
      <c r="X266" s="333">
        <f t="shared" ref="X266:X329" si="27">O266</f>
        <v>0</v>
      </c>
      <c r="Y266" s="333">
        <f t="shared" ref="Y266:Y329" si="28">P266</f>
        <v>0</v>
      </c>
    </row>
    <row r="267" spans="1:25" s="2" customFormat="1" ht="21.95" customHeight="1">
      <c r="A267" s="82">
        <v>23</v>
      </c>
      <c r="B267" s="91" t="str">
        <f t="shared" ref="B267:B330" si="29">RIGHT(D267,LEN(D267)-2)&amp;"."&amp;LEFT(N267,1)</f>
        <v>13A.S</v>
      </c>
      <c r="C267" s="83" t="s">
        <v>366</v>
      </c>
      <c r="D267" s="81" t="s">
        <v>518</v>
      </c>
      <c r="E267" s="48">
        <v>100259</v>
      </c>
      <c r="F267" s="30" t="s">
        <v>1294</v>
      </c>
      <c r="G267" s="29" t="s">
        <v>17</v>
      </c>
      <c r="H267" s="30" t="s">
        <v>130</v>
      </c>
      <c r="I267" s="78"/>
      <c r="J267" s="20"/>
      <c r="K267" s="20"/>
      <c r="L267" s="20"/>
      <c r="M267" s="20"/>
      <c r="N267" s="69" t="s">
        <v>256</v>
      </c>
      <c r="O267" s="70">
        <v>0</v>
      </c>
      <c r="P267" s="70">
        <v>0</v>
      </c>
      <c r="Q267" s="70">
        <f t="shared" si="24"/>
        <v>0</v>
      </c>
      <c r="R267" s="70"/>
      <c r="S267" s="67"/>
      <c r="T267" s="2" t="str">
        <f t="shared" si="25"/>
        <v>Mai Trung Nam_10AS6</v>
      </c>
      <c r="U267" s="28">
        <f t="array" ref="U267">IFERROR(VLOOKUP($T267,'Nghi hoc T12'!$H$7:$I$160,2,0),0)</f>
        <v>0</v>
      </c>
      <c r="V267" s="28">
        <f>IFERROR(VLOOKUP($T267,No_HP!$B$2:$C$514,2,0),0)</f>
        <v>0</v>
      </c>
      <c r="W267" s="28">
        <f t="shared" si="26"/>
        <v>0</v>
      </c>
      <c r="X267" s="333">
        <f t="shared" si="27"/>
        <v>0</v>
      </c>
      <c r="Y267" s="333">
        <f t="shared" si="28"/>
        <v>0</v>
      </c>
    </row>
    <row r="268" spans="1:25" s="2" customFormat="1" ht="21.95" customHeight="1">
      <c r="A268" s="82">
        <v>24</v>
      </c>
      <c r="B268" s="91" t="str">
        <f t="shared" si="29"/>
        <v>13A.S</v>
      </c>
      <c r="C268" s="83" t="s">
        <v>366</v>
      </c>
      <c r="D268" s="81" t="s">
        <v>518</v>
      </c>
      <c r="E268" s="48">
        <v>100260</v>
      </c>
      <c r="F268" s="30" t="s">
        <v>1295</v>
      </c>
      <c r="G268" s="29" t="s">
        <v>17</v>
      </c>
      <c r="H268" s="30" t="s">
        <v>1242</v>
      </c>
      <c r="I268" s="78"/>
      <c r="J268" s="20"/>
      <c r="K268" s="20"/>
      <c r="L268" s="20"/>
      <c r="M268" s="20"/>
      <c r="N268" s="69" t="s">
        <v>256</v>
      </c>
      <c r="O268" s="70">
        <v>0</v>
      </c>
      <c r="P268" s="70">
        <v>0</v>
      </c>
      <c r="Q268" s="70">
        <f t="shared" si="24"/>
        <v>0</v>
      </c>
      <c r="R268" s="70"/>
      <c r="S268" s="67"/>
      <c r="T268" s="2" t="str">
        <f t="shared" si="25"/>
        <v>Phạm Bảo Nam_10AS5</v>
      </c>
      <c r="U268" s="28">
        <f t="array" ref="U268">IFERROR(VLOOKUP($T268,'Nghi hoc T12'!$H$7:$I$160,2,0),0)</f>
        <v>0</v>
      </c>
      <c r="V268" s="28">
        <f>IFERROR(VLOOKUP($T268,No_HP!$B$2:$C$514,2,0),0)</f>
        <v>0</v>
      </c>
      <c r="W268" s="28">
        <f t="shared" si="26"/>
        <v>0</v>
      </c>
      <c r="X268" s="333">
        <f t="shared" si="27"/>
        <v>0</v>
      </c>
      <c r="Y268" s="333">
        <f t="shared" si="28"/>
        <v>0</v>
      </c>
    </row>
    <row r="269" spans="1:25" s="2" customFormat="1" ht="21.95" customHeight="1">
      <c r="A269" s="200">
        <v>1</v>
      </c>
      <c r="B269" s="91" t="str">
        <f t="shared" si="29"/>
        <v>14A.S</v>
      </c>
      <c r="C269" s="185" t="s">
        <v>366</v>
      </c>
      <c r="D269" s="186" t="s">
        <v>519</v>
      </c>
      <c r="E269" s="187">
        <v>100261</v>
      </c>
      <c r="F269" s="188" t="s">
        <v>1296</v>
      </c>
      <c r="G269" s="189" t="s">
        <v>17</v>
      </c>
      <c r="H269" s="188" t="s">
        <v>131</v>
      </c>
      <c r="I269" s="190"/>
      <c r="J269" s="191"/>
      <c r="K269" s="191"/>
      <c r="L269" s="191"/>
      <c r="M269" s="191"/>
      <c r="N269" s="69" t="s">
        <v>256</v>
      </c>
      <c r="O269" s="70">
        <v>0</v>
      </c>
      <c r="P269" s="70">
        <v>0</v>
      </c>
      <c r="Q269" s="70">
        <f t="shared" si="24"/>
        <v>0</v>
      </c>
      <c r="R269" s="70"/>
      <c r="S269" s="67"/>
      <c r="T269" s="2" t="str">
        <f t="shared" si="25"/>
        <v>Phạm Vũ Tuấn Nam_10AS7</v>
      </c>
      <c r="U269" s="28">
        <f t="array" ref="U269">IFERROR(VLOOKUP($T269,'Nghi hoc T12'!$H$7:$I$160,2,0),0)</f>
        <v>0</v>
      </c>
      <c r="V269" s="28">
        <f>IFERROR(VLOOKUP($T269,No_HP!$B$2:$C$514,2,0),0)</f>
        <v>0</v>
      </c>
      <c r="W269" s="28">
        <f t="shared" si="26"/>
        <v>0</v>
      </c>
      <c r="X269" s="333">
        <f t="shared" si="27"/>
        <v>0</v>
      </c>
      <c r="Y269" s="333">
        <f t="shared" si="28"/>
        <v>0</v>
      </c>
    </row>
    <row r="270" spans="1:25" s="2" customFormat="1" ht="21.95" customHeight="1">
      <c r="A270" s="82">
        <v>2</v>
      </c>
      <c r="B270" s="91" t="str">
        <f t="shared" si="29"/>
        <v>14A.S</v>
      </c>
      <c r="C270" s="83" t="s">
        <v>366</v>
      </c>
      <c r="D270" s="81" t="s">
        <v>519</v>
      </c>
      <c r="E270" s="48">
        <v>100262</v>
      </c>
      <c r="F270" s="30" t="s">
        <v>1297</v>
      </c>
      <c r="G270" s="29" t="s">
        <v>17</v>
      </c>
      <c r="H270" s="30" t="s">
        <v>130</v>
      </c>
      <c r="I270" s="78"/>
      <c r="J270" s="20"/>
      <c r="K270" s="20"/>
      <c r="L270" s="20"/>
      <c r="M270" s="20"/>
      <c r="N270" s="69" t="s">
        <v>256</v>
      </c>
      <c r="O270" s="70">
        <v>0</v>
      </c>
      <c r="P270" s="70">
        <v>0</v>
      </c>
      <c r="Q270" s="70">
        <f t="shared" si="24"/>
        <v>0</v>
      </c>
      <c r="R270" s="70"/>
      <c r="S270" s="67"/>
      <c r="T270" s="2" t="str">
        <f t="shared" si="25"/>
        <v>Trần Hồng Hải Nam_10AS6</v>
      </c>
      <c r="U270" s="28">
        <f t="array" ref="U270">IFERROR(VLOOKUP($T270,'Nghi hoc T12'!$H$7:$I$160,2,0),0)</f>
        <v>0</v>
      </c>
      <c r="V270" s="28">
        <f>IFERROR(VLOOKUP($T270,No_HP!$B$2:$C$514,2,0),0)</f>
        <v>0</v>
      </c>
      <c r="W270" s="28">
        <f t="shared" si="26"/>
        <v>0</v>
      </c>
      <c r="X270" s="333">
        <f t="shared" si="27"/>
        <v>0</v>
      </c>
      <c r="Y270" s="333">
        <f t="shared" si="28"/>
        <v>0</v>
      </c>
    </row>
    <row r="271" spans="1:25" s="2" customFormat="1" ht="21.95" customHeight="1">
      <c r="A271" s="82">
        <v>3</v>
      </c>
      <c r="B271" s="91" t="str">
        <f t="shared" si="29"/>
        <v>14A.S</v>
      </c>
      <c r="C271" s="83" t="s">
        <v>366</v>
      </c>
      <c r="D271" s="81" t="s">
        <v>519</v>
      </c>
      <c r="E271" s="48">
        <v>100263</v>
      </c>
      <c r="F271" s="30" t="s">
        <v>225</v>
      </c>
      <c r="G271" s="29" t="s">
        <v>1298</v>
      </c>
      <c r="H271" s="30" t="s">
        <v>1242</v>
      </c>
      <c r="I271" s="78"/>
      <c r="J271" s="20"/>
      <c r="K271" s="20"/>
      <c r="L271" s="20"/>
      <c r="M271" s="20"/>
      <c r="N271" s="69" t="s">
        <v>256</v>
      </c>
      <c r="O271" s="70">
        <v>0</v>
      </c>
      <c r="P271" s="70">
        <v>0</v>
      </c>
      <c r="Q271" s="70">
        <f t="shared" si="24"/>
        <v>0</v>
      </c>
      <c r="R271" s="70"/>
      <c r="S271" s="67"/>
      <c r="T271" s="2" t="str">
        <f t="shared" si="25"/>
        <v>Trần Ngọc Ngà_10AS5</v>
      </c>
      <c r="U271" s="28">
        <f t="array" ref="U271">IFERROR(VLOOKUP($T271,'Nghi hoc T12'!$H$7:$I$160,2,0),0)</f>
        <v>0</v>
      </c>
      <c r="V271" s="28">
        <f>IFERROR(VLOOKUP($T271,No_HP!$B$2:$C$514,2,0),0)</f>
        <v>0</v>
      </c>
      <c r="W271" s="28">
        <f t="shared" si="26"/>
        <v>0</v>
      </c>
      <c r="X271" s="333">
        <f t="shared" si="27"/>
        <v>0</v>
      </c>
      <c r="Y271" s="333">
        <f t="shared" si="28"/>
        <v>0</v>
      </c>
    </row>
    <row r="272" spans="1:25" s="2" customFormat="1" ht="21.95" customHeight="1">
      <c r="A272" s="82">
        <v>4</v>
      </c>
      <c r="B272" s="91" t="str">
        <f t="shared" si="29"/>
        <v>14A.S</v>
      </c>
      <c r="C272" s="83" t="s">
        <v>366</v>
      </c>
      <c r="D272" s="81" t="s">
        <v>519</v>
      </c>
      <c r="E272" s="48">
        <v>100264</v>
      </c>
      <c r="F272" s="30" t="s">
        <v>1299</v>
      </c>
      <c r="G272" s="29" t="s">
        <v>18</v>
      </c>
      <c r="H272" s="30" t="s">
        <v>131</v>
      </c>
      <c r="I272" s="78"/>
      <c r="J272" s="20"/>
      <c r="K272" s="20"/>
      <c r="L272" s="20"/>
      <c r="M272" s="20"/>
      <c r="N272" s="69" t="s">
        <v>256</v>
      </c>
      <c r="O272" s="70">
        <v>0</v>
      </c>
      <c r="P272" s="70">
        <v>0</v>
      </c>
      <c r="Q272" s="70">
        <f t="shared" si="24"/>
        <v>0</v>
      </c>
      <c r="R272" s="70"/>
      <c r="S272" s="67"/>
      <c r="T272" s="2" t="str">
        <f t="shared" si="25"/>
        <v>Trần Vũ Gia Ngân_10AS7</v>
      </c>
      <c r="U272" s="28">
        <f t="array" ref="U272">IFERROR(VLOOKUP($T272,'Nghi hoc T12'!$H$7:$I$160,2,0),0)</f>
        <v>0</v>
      </c>
      <c r="V272" s="28">
        <f>IFERROR(VLOOKUP($T272,No_HP!$B$2:$C$514,2,0),0)</f>
        <v>0</v>
      </c>
      <c r="W272" s="28">
        <f t="shared" si="26"/>
        <v>0</v>
      </c>
      <c r="X272" s="333">
        <f t="shared" si="27"/>
        <v>0</v>
      </c>
      <c r="Y272" s="333">
        <f t="shared" si="28"/>
        <v>0</v>
      </c>
    </row>
    <row r="273" spans="1:25" s="2" customFormat="1" ht="21.95" customHeight="1">
      <c r="A273" s="82">
        <v>5</v>
      </c>
      <c r="B273" s="91" t="str">
        <f t="shared" si="29"/>
        <v>14A.S</v>
      </c>
      <c r="C273" s="83" t="s">
        <v>366</v>
      </c>
      <c r="D273" s="81" t="s">
        <v>519</v>
      </c>
      <c r="E273" s="48">
        <v>100265</v>
      </c>
      <c r="F273" s="30" t="s">
        <v>452</v>
      </c>
      <c r="G273" s="29" t="s">
        <v>19</v>
      </c>
      <c r="H273" s="30" t="s">
        <v>1242</v>
      </c>
      <c r="I273" s="78"/>
      <c r="J273" s="20"/>
      <c r="K273" s="20"/>
      <c r="L273" s="20"/>
      <c r="M273" s="20"/>
      <c r="N273" s="69" t="s">
        <v>256</v>
      </c>
      <c r="O273" s="70">
        <v>0</v>
      </c>
      <c r="P273" s="70">
        <v>0</v>
      </c>
      <c r="Q273" s="70">
        <f t="shared" si="24"/>
        <v>0</v>
      </c>
      <c r="R273" s="70"/>
      <c r="S273" s="67"/>
      <c r="T273" s="2" t="str">
        <f t="shared" si="25"/>
        <v>Đỗ Hồng Ngọc_10AS5</v>
      </c>
      <c r="U273" s="28">
        <f t="array" ref="U273">IFERROR(VLOOKUP($T273,'Nghi hoc T12'!$H$7:$I$160,2,0),0)</f>
        <v>0</v>
      </c>
      <c r="V273" s="28">
        <f>IFERROR(VLOOKUP($T273,No_HP!$B$2:$C$514,2,0),0)</f>
        <v>0</v>
      </c>
      <c r="W273" s="28">
        <f t="shared" si="26"/>
        <v>0</v>
      </c>
      <c r="X273" s="333">
        <f t="shared" si="27"/>
        <v>0</v>
      </c>
      <c r="Y273" s="333">
        <f t="shared" si="28"/>
        <v>0</v>
      </c>
    </row>
    <row r="274" spans="1:25" s="2" customFormat="1" ht="21.95" customHeight="1">
      <c r="A274" s="82">
        <v>6</v>
      </c>
      <c r="B274" s="91" t="str">
        <f t="shared" si="29"/>
        <v>14A.S</v>
      </c>
      <c r="C274" s="83" t="s">
        <v>366</v>
      </c>
      <c r="D274" s="81" t="s">
        <v>519</v>
      </c>
      <c r="E274" s="48">
        <v>100266</v>
      </c>
      <c r="F274" s="30" t="s">
        <v>1300</v>
      </c>
      <c r="G274" s="29" t="s">
        <v>19</v>
      </c>
      <c r="H274" s="30" t="s">
        <v>130</v>
      </c>
      <c r="I274" s="78"/>
      <c r="J274" s="20"/>
      <c r="K274" s="20"/>
      <c r="L274" s="20"/>
      <c r="M274" s="20"/>
      <c r="N274" s="69" t="s">
        <v>256</v>
      </c>
      <c r="O274" s="70">
        <v>0</v>
      </c>
      <c r="P274" s="70">
        <v>0</v>
      </c>
      <c r="Q274" s="70">
        <f t="shared" si="24"/>
        <v>0</v>
      </c>
      <c r="R274" s="70"/>
      <c r="S274" s="67"/>
      <c r="T274" s="2" t="str">
        <f t="shared" si="25"/>
        <v>Hồ Dương Như Ngọc_10AS6</v>
      </c>
      <c r="U274" s="28">
        <f t="array" ref="U274">IFERROR(VLOOKUP($T274,'Nghi hoc T12'!$H$7:$I$160,2,0),0)</f>
        <v>0</v>
      </c>
      <c r="V274" s="28">
        <f>IFERROR(VLOOKUP($T274,No_HP!$B$2:$C$514,2,0),0)</f>
        <v>0</v>
      </c>
      <c r="W274" s="28">
        <f t="shared" si="26"/>
        <v>0</v>
      </c>
      <c r="X274" s="333">
        <f t="shared" si="27"/>
        <v>0</v>
      </c>
      <c r="Y274" s="333">
        <f t="shared" si="28"/>
        <v>0</v>
      </c>
    </row>
    <row r="275" spans="1:25" s="2" customFormat="1" ht="21.95" customHeight="1">
      <c r="A275" s="82">
        <v>7</v>
      </c>
      <c r="B275" s="91" t="str">
        <f t="shared" si="29"/>
        <v>14A.S</v>
      </c>
      <c r="C275" s="83" t="s">
        <v>366</v>
      </c>
      <c r="D275" s="81" t="s">
        <v>519</v>
      </c>
      <c r="E275" s="48">
        <v>100267</v>
      </c>
      <c r="F275" s="30" t="s">
        <v>457</v>
      </c>
      <c r="G275" s="29" t="s">
        <v>19</v>
      </c>
      <c r="H275" s="30" t="s">
        <v>131</v>
      </c>
      <c r="I275" s="78"/>
      <c r="J275" s="20"/>
      <c r="K275" s="20"/>
      <c r="L275" s="20"/>
      <c r="M275" s="20"/>
      <c r="N275" s="69" t="s">
        <v>256</v>
      </c>
      <c r="O275" s="70">
        <v>0</v>
      </c>
      <c r="P275" s="70">
        <v>0</v>
      </c>
      <c r="Q275" s="70">
        <f t="shared" si="24"/>
        <v>0</v>
      </c>
      <c r="R275" s="70"/>
      <c r="S275" s="67"/>
      <c r="T275" s="2" t="str">
        <f t="shared" si="25"/>
        <v>Lê Nguyễn Như Ngọc_10AS7</v>
      </c>
      <c r="U275" s="28">
        <f t="array" ref="U275">IFERROR(VLOOKUP($T275,'Nghi hoc T12'!$H$7:$I$160,2,0),0)</f>
        <v>0</v>
      </c>
      <c r="V275" s="28">
        <f>IFERROR(VLOOKUP($T275,No_HP!$B$2:$C$514,2,0),0)</f>
        <v>0</v>
      </c>
      <c r="W275" s="28">
        <f t="shared" si="26"/>
        <v>0</v>
      </c>
      <c r="X275" s="333">
        <f t="shared" si="27"/>
        <v>0</v>
      </c>
      <c r="Y275" s="333">
        <f t="shared" si="28"/>
        <v>0</v>
      </c>
    </row>
    <row r="276" spans="1:25" s="2" customFormat="1" ht="21.95" customHeight="1">
      <c r="A276" s="82">
        <v>8</v>
      </c>
      <c r="B276" s="91" t="str">
        <f t="shared" si="29"/>
        <v>14A.S</v>
      </c>
      <c r="C276" s="83" t="s">
        <v>366</v>
      </c>
      <c r="D276" s="81" t="s">
        <v>519</v>
      </c>
      <c r="E276" s="48">
        <v>100268</v>
      </c>
      <c r="F276" s="30" t="s">
        <v>1301</v>
      </c>
      <c r="G276" s="29" t="s">
        <v>19</v>
      </c>
      <c r="H276" s="30" t="s">
        <v>1242</v>
      </c>
      <c r="I276" s="78"/>
      <c r="J276" s="20"/>
      <c r="K276" s="20"/>
      <c r="L276" s="20"/>
      <c r="M276" s="20"/>
      <c r="N276" s="69" t="s">
        <v>256</v>
      </c>
      <c r="O276" s="70">
        <v>0</v>
      </c>
      <c r="P276" s="70">
        <v>0</v>
      </c>
      <c r="Q276" s="70">
        <f t="shared" si="24"/>
        <v>0</v>
      </c>
      <c r="R276" s="70"/>
      <c r="S276" s="67"/>
      <c r="T276" s="2" t="str">
        <f t="shared" si="25"/>
        <v>Ngô Khánh Ngọc_10AS5</v>
      </c>
      <c r="U276" s="28">
        <f t="array" ref="U276">IFERROR(VLOOKUP($T276,'Nghi hoc T12'!$H$7:$I$160,2,0),0)</f>
        <v>0</v>
      </c>
      <c r="V276" s="28">
        <f>IFERROR(VLOOKUP($T276,No_HP!$B$2:$C$514,2,0),0)</f>
        <v>0</v>
      </c>
      <c r="W276" s="28">
        <f t="shared" si="26"/>
        <v>0</v>
      </c>
      <c r="X276" s="333">
        <f t="shared" si="27"/>
        <v>0</v>
      </c>
      <c r="Y276" s="333">
        <f t="shared" si="28"/>
        <v>0</v>
      </c>
    </row>
    <row r="277" spans="1:25" s="2" customFormat="1" ht="21.95" customHeight="1">
      <c r="A277" s="82">
        <v>9</v>
      </c>
      <c r="B277" s="91" t="str">
        <f t="shared" si="29"/>
        <v>14A.S</v>
      </c>
      <c r="C277" s="83" t="s">
        <v>366</v>
      </c>
      <c r="D277" s="81" t="s">
        <v>519</v>
      </c>
      <c r="E277" s="48">
        <v>100269</v>
      </c>
      <c r="F277" s="30" t="s">
        <v>1302</v>
      </c>
      <c r="G277" s="29" t="s">
        <v>19</v>
      </c>
      <c r="H277" s="30" t="s">
        <v>130</v>
      </c>
      <c r="I277" s="78"/>
      <c r="J277" s="20"/>
      <c r="K277" s="20"/>
      <c r="L277" s="20"/>
      <c r="M277" s="20"/>
      <c r="N277" s="69" t="s">
        <v>256</v>
      </c>
      <c r="O277" s="70">
        <v>0</v>
      </c>
      <c r="P277" s="70">
        <v>0</v>
      </c>
      <c r="Q277" s="70">
        <f t="shared" si="24"/>
        <v>0</v>
      </c>
      <c r="R277" s="70"/>
      <c r="S277" s="67"/>
      <c r="T277" s="2" t="str">
        <f t="shared" si="25"/>
        <v>Trần Như Ngọc_10AS6</v>
      </c>
      <c r="U277" s="28">
        <f t="array" ref="U277">IFERROR(VLOOKUP($T277,'Nghi hoc T12'!$H$7:$I$160,2,0),0)</f>
        <v>0</v>
      </c>
      <c r="V277" s="28">
        <f>IFERROR(VLOOKUP($T277,No_HP!$B$2:$C$514,2,0),0)</f>
        <v>0</v>
      </c>
      <c r="W277" s="28">
        <f t="shared" si="26"/>
        <v>0</v>
      </c>
      <c r="X277" s="333">
        <f t="shared" si="27"/>
        <v>0</v>
      </c>
      <c r="Y277" s="333">
        <f t="shared" si="28"/>
        <v>0</v>
      </c>
    </row>
    <row r="278" spans="1:25" s="2" customFormat="1" ht="21.95" customHeight="1">
      <c r="A278" s="82">
        <v>10</v>
      </c>
      <c r="B278" s="91" t="str">
        <f t="shared" si="29"/>
        <v>14A.S</v>
      </c>
      <c r="C278" s="83" t="s">
        <v>366</v>
      </c>
      <c r="D278" s="81" t="s">
        <v>519</v>
      </c>
      <c r="E278" s="48">
        <v>100270</v>
      </c>
      <c r="F278" s="30" t="s">
        <v>1303</v>
      </c>
      <c r="G278" s="29" t="s">
        <v>87</v>
      </c>
      <c r="H278" s="30" t="s">
        <v>131</v>
      </c>
      <c r="I278" s="78"/>
      <c r="J278" s="20"/>
      <c r="K278" s="20"/>
      <c r="L278" s="20"/>
      <c r="M278" s="20"/>
      <c r="N278" s="69" t="s">
        <v>256</v>
      </c>
      <c r="O278" s="70">
        <v>0</v>
      </c>
      <c r="P278" s="70">
        <v>0</v>
      </c>
      <c r="Q278" s="70">
        <f t="shared" si="24"/>
        <v>0</v>
      </c>
      <c r="R278" s="70"/>
      <c r="S278" s="67"/>
      <c r="T278" s="2" t="str">
        <f t="shared" si="25"/>
        <v>Lê Ngọc Thảo Nguyên_10AS7</v>
      </c>
      <c r="U278" s="28">
        <f t="array" ref="U278">IFERROR(VLOOKUP($T278,'Nghi hoc T12'!$H$7:$I$160,2,0),0)</f>
        <v>0</v>
      </c>
      <c r="V278" s="28">
        <f>IFERROR(VLOOKUP($T278,No_HP!$B$2:$C$514,2,0),0)</f>
        <v>0</v>
      </c>
      <c r="W278" s="28">
        <f t="shared" si="26"/>
        <v>0</v>
      </c>
      <c r="X278" s="333">
        <f t="shared" si="27"/>
        <v>0</v>
      </c>
      <c r="Y278" s="333">
        <f t="shared" si="28"/>
        <v>0</v>
      </c>
    </row>
    <row r="279" spans="1:25" s="2" customFormat="1" ht="21.95" customHeight="1">
      <c r="A279" s="82">
        <v>11</v>
      </c>
      <c r="B279" s="91" t="str">
        <f t="shared" si="29"/>
        <v>14A.S</v>
      </c>
      <c r="C279" s="83" t="s">
        <v>366</v>
      </c>
      <c r="D279" s="81" t="s">
        <v>519</v>
      </c>
      <c r="E279" s="48">
        <v>100271</v>
      </c>
      <c r="F279" s="30" t="s">
        <v>334</v>
      </c>
      <c r="G279" s="29" t="s">
        <v>254</v>
      </c>
      <c r="H279" s="30" t="s">
        <v>130</v>
      </c>
      <c r="I279" s="78"/>
      <c r="J279" s="20"/>
      <c r="K279" s="20"/>
      <c r="L279" s="20"/>
      <c r="M279" s="20"/>
      <c r="N279" s="69" t="s">
        <v>256</v>
      </c>
      <c r="O279" s="70">
        <v>0</v>
      </c>
      <c r="P279" s="70">
        <v>0</v>
      </c>
      <c r="Q279" s="70">
        <f t="shared" si="24"/>
        <v>0</v>
      </c>
      <c r="R279" s="70"/>
      <c r="S279" s="67"/>
      <c r="T279" s="2" t="str">
        <f t="shared" si="25"/>
        <v>Hoàng Trung Nhật_10AS6</v>
      </c>
      <c r="U279" s="28">
        <f t="array" ref="U279">IFERROR(VLOOKUP($T279,'Nghi hoc T12'!$H$7:$I$160,2,0),0)</f>
        <v>0</v>
      </c>
      <c r="V279" s="28">
        <f>IFERROR(VLOOKUP($T279,No_HP!$B$2:$C$514,2,0),0)</f>
        <v>0</v>
      </c>
      <c r="W279" s="28">
        <f t="shared" si="26"/>
        <v>0</v>
      </c>
      <c r="X279" s="333">
        <f t="shared" si="27"/>
        <v>0</v>
      </c>
      <c r="Y279" s="333">
        <f t="shared" si="28"/>
        <v>0</v>
      </c>
    </row>
    <row r="280" spans="1:25" s="2" customFormat="1" ht="21.95" customHeight="1">
      <c r="A280" s="82">
        <v>12</v>
      </c>
      <c r="B280" s="91" t="str">
        <f t="shared" si="29"/>
        <v>14A.S</v>
      </c>
      <c r="C280" s="83" t="s">
        <v>366</v>
      </c>
      <c r="D280" s="81" t="s">
        <v>519</v>
      </c>
      <c r="E280" s="48">
        <v>100272</v>
      </c>
      <c r="F280" s="30" t="s">
        <v>1304</v>
      </c>
      <c r="G280" s="29" t="s">
        <v>254</v>
      </c>
      <c r="H280" s="30" t="s">
        <v>131</v>
      </c>
      <c r="I280" s="78"/>
      <c r="J280" s="20"/>
      <c r="K280" s="20"/>
      <c r="L280" s="20"/>
      <c r="M280" s="20"/>
      <c r="N280" s="69" t="s">
        <v>256</v>
      </c>
      <c r="O280" s="70">
        <v>0</v>
      </c>
      <c r="P280" s="70">
        <v>0</v>
      </c>
      <c r="Q280" s="70">
        <f t="shared" si="24"/>
        <v>0</v>
      </c>
      <c r="R280" s="70"/>
      <c r="S280" s="67"/>
      <c r="T280" s="2" t="str">
        <f t="shared" si="25"/>
        <v>Ngô Xuân Nhật_10AS7</v>
      </c>
      <c r="U280" s="28">
        <f t="array" ref="U280">IFERROR(VLOOKUP($T280,'Nghi hoc T12'!$H$7:$I$160,2,0),0)</f>
        <v>0</v>
      </c>
      <c r="V280" s="28">
        <f>IFERROR(VLOOKUP($T280,No_HP!$B$2:$C$514,2,0),0)</f>
        <v>0</v>
      </c>
      <c r="W280" s="28">
        <f t="shared" si="26"/>
        <v>0</v>
      </c>
      <c r="X280" s="333">
        <f t="shared" si="27"/>
        <v>0</v>
      </c>
      <c r="Y280" s="333">
        <f t="shared" si="28"/>
        <v>0</v>
      </c>
    </row>
    <row r="281" spans="1:25" s="2" customFormat="1" ht="21.95" customHeight="1">
      <c r="A281" s="82">
        <v>13</v>
      </c>
      <c r="B281" s="91" t="str">
        <f t="shared" si="29"/>
        <v>14A.S</v>
      </c>
      <c r="C281" s="83" t="s">
        <v>366</v>
      </c>
      <c r="D281" s="81" t="s">
        <v>519</v>
      </c>
      <c r="E281" s="48">
        <v>100273</v>
      </c>
      <c r="F281" s="30" t="s">
        <v>1305</v>
      </c>
      <c r="G281" s="29" t="s">
        <v>254</v>
      </c>
      <c r="H281" s="30" t="s">
        <v>1242</v>
      </c>
      <c r="I281" s="78"/>
      <c r="J281" s="20"/>
      <c r="K281" s="20"/>
      <c r="L281" s="20"/>
      <c r="M281" s="20"/>
      <c r="N281" s="69" t="s">
        <v>256</v>
      </c>
      <c r="O281" s="70">
        <v>0</v>
      </c>
      <c r="P281" s="70">
        <v>0</v>
      </c>
      <c r="Q281" s="70">
        <f t="shared" si="24"/>
        <v>0</v>
      </c>
      <c r="R281" s="70"/>
      <c r="S281" s="67"/>
      <c r="T281" s="2" t="str">
        <f t="shared" si="25"/>
        <v>Nguyễn Lương Minh Nhật_10AS5</v>
      </c>
      <c r="U281" s="28">
        <f t="array" ref="U281">IFERROR(VLOOKUP($T281,'Nghi hoc T12'!$H$7:$I$160,2,0),0)</f>
        <v>0</v>
      </c>
      <c r="V281" s="28">
        <f>IFERROR(VLOOKUP($T281,No_HP!$B$2:$C$514,2,0),0)</f>
        <v>0</v>
      </c>
      <c r="W281" s="28">
        <f t="shared" si="26"/>
        <v>0</v>
      </c>
      <c r="X281" s="333">
        <f t="shared" si="27"/>
        <v>0</v>
      </c>
      <c r="Y281" s="333">
        <f t="shared" si="28"/>
        <v>0</v>
      </c>
    </row>
    <row r="282" spans="1:25" s="2" customFormat="1" ht="21.95" customHeight="1">
      <c r="A282" s="82">
        <v>14</v>
      </c>
      <c r="B282" s="91" t="str">
        <f t="shared" si="29"/>
        <v>14A.S</v>
      </c>
      <c r="C282" s="83" t="s">
        <v>366</v>
      </c>
      <c r="D282" s="81" t="s">
        <v>519</v>
      </c>
      <c r="E282" s="48">
        <v>100274</v>
      </c>
      <c r="F282" s="30" t="s">
        <v>186</v>
      </c>
      <c r="G282" s="29" t="s">
        <v>254</v>
      </c>
      <c r="H282" s="30" t="s">
        <v>130</v>
      </c>
      <c r="I282" s="78"/>
      <c r="J282" s="20"/>
      <c r="K282" s="20"/>
      <c r="L282" s="20"/>
      <c r="M282" s="20"/>
      <c r="N282" s="69" t="s">
        <v>256</v>
      </c>
      <c r="O282" s="70">
        <v>0</v>
      </c>
      <c r="P282" s="70">
        <v>0</v>
      </c>
      <c r="Q282" s="70">
        <f t="shared" si="24"/>
        <v>0</v>
      </c>
      <c r="R282" s="70"/>
      <c r="S282" s="67"/>
      <c r="T282" s="2" t="str">
        <f t="shared" si="25"/>
        <v>Nguyễn Minh Nhật_10AS6</v>
      </c>
      <c r="U282" s="28">
        <f t="array" ref="U282">IFERROR(VLOOKUP($T282,'Nghi hoc T12'!$H$7:$I$160,2,0),0)</f>
        <v>0</v>
      </c>
      <c r="V282" s="28">
        <f>IFERROR(VLOOKUP($T282,No_HP!$B$2:$C$514,2,0),0)</f>
        <v>0</v>
      </c>
      <c r="W282" s="28">
        <f t="shared" si="26"/>
        <v>0</v>
      </c>
      <c r="X282" s="333">
        <f t="shared" si="27"/>
        <v>0</v>
      </c>
      <c r="Y282" s="333">
        <f t="shared" si="28"/>
        <v>0</v>
      </c>
    </row>
    <row r="283" spans="1:25" s="2" customFormat="1" ht="21.95" customHeight="1">
      <c r="A283" s="82">
        <v>15</v>
      </c>
      <c r="B283" s="91" t="str">
        <f t="shared" si="29"/>
        <v>14A.S</v>
      </c>
      <c r="C283" s="83" t="s">
        <v>366</v>
      </c>
      <c r="D283" s="81" t="s">
        <v>519</v>
      </c>
      <c r="E283" s="48">
        <v>100275</v>
      </c>
      <c r="F283" s="30" t="s">
        <v>1306</v>
      </c>
      <c r="G283" s="29" t="s">
        <v>20</v>
      </c>
      <c r="H283" s="30" t="s">
        <v>1242</v>
      </c>
      <c r="I283" s="78"/>
      <c r="J283" s="20"/>
      <c r="K283" s="20"/>
      <c r="L283" s="20"/>
      <c r="M283" s="20"/>
      <c r="N283" s="69" t="s">
        <v>256</v>
      </c>
      <c r="O283" s="70">
        <v>0</v>
      </c>
      <c r="P283" s="70">
        <v>0</v>
      </c>
      <c r="Q283" s="70">
        <f t="shared" si="24"/>
        <v>0</v>
      </c>
      <c r="R283" s="70"/>
      <c r="S283" s="67"/>
      <c r="T283" s="2" t="str">
        <f t="shared" si="25"/>
        <v>Đặng Thị Yến Nhi_10AS5</v>
      </c>
      <c r="U283" s="28">
        <f t="array" ref="U283">IFERROR(VLOOKUP($T283,'Nghi hoc T12'!$H$7:$I$160,2,0),0)</f>
        <v>0</v>
      </c>
      <c r="V283" s="28">
        <f>IFERROR(VLOOKUP($T283,No_HP!$B$2:$C$514,2,0),0)</f>
        <v>0</v>
      </c>
      <c r="W283" s="28">
        <f t="shared" si="26"/>
        <v>0</v>
      </c>
      <c r="X283" s="333">
        <f t="shared" si="27"/>
        <v>0</v>
      </c>
      <c r="Y283" s="333">
        <f t="shared" si="28"/>
        <v>0</v>
      </c>
    </row>
    <row r="284" spans="1:25" s="2" customFormat="1" ht="21.95" customHeight="1">
      <c r="A284" s="82">
        <v>16</v>
      </c>
      <c r="B284" s="91" t="str">
        <f t="shared" si="29"/>
        <v>14A.S</v>
      </c>
      <c r="C284" s="83" t="s">
        <v>366</v>
      </c>
      <c r="D284" s="81" t="s">
        <v>519</v>
      </c>
      <c r="E284" s="48">
        <v>100276</v>
      </c>
      <c r="F284" s="30" t="s">
        <v>1307</v>
      </c>
      <c r="G284" s="29" t="s">
        <v>20</v>
      </c>
      <c r="H284" s="30" t="s">
        <v>131</v>
      </c>
      <c r="I284" s="78"/>
      <c r="J284" s="20"/>
      <c r="K284" s="20"/>
      <c r="L284" s="20"/>
      <c r="M284" s="20"/>
      <c r="N284" s="69" t="s">
        <v>256</v>
      </c>
      <c r="O284" s="70">
        <v>0</v>
      </c>
      <c r="P284" s="70">
        <v>0</v>
      </c>
      <c r="Q284" s="70">
        <f t="shared" si="24"/>
        <v>0</v>
      </c>
      <c r="R284" s="70"/>
      <c r="S284" s="67"/>
      <c r="T284" s="2" t="str">
        <f t="shared" si="25"/>
        <v>Lê Trần Yến Nhi_10AS7</v>
      </c>
      <c r="U284" s="28">
        <f t="array" ref="U284">IFERROR(VLOOKUP($T284,'Nghi hoc T12'!$H$7:$I$160,2,0),0)</f>
        <v>0</v>
      </c>
      <c r="V284" s="28">
        <f>IFERROR(VLOOKUP($T284,No_HP!$B$2:$C$514,2,0),0)</f>
        <v>0</v>
      </c>
      <c r="W284" s="28">
        <f t="shared" si="26"/>
        <v>0</v>
      </c>
      <c r="X284" s="333">
        <f t="shared" si="27"/>
        <v>0</v>
      </c>
      <c r="Y284" s="333">
        <f t="shared" si="28"/>
        <v>0</v>
      </c>
    </row>
    <row r="285" spans="1:25" s="2" customFormat="1" ht="21.95" customHeight="1">
      <c r="A285" s="82">
        <v>17</v>
      </c>
      <c r="B285" s="91" t="str">
        <f t="shared" si="29"/>
        <v>14A.S</v>
      </c>
      <c r="C285" s="83" t="s">
        <v>366</v>
      </c>
      <c r="D285" s="81" t="s">
        <v>519</v>
      </c>
      <c r="E285" s="48">
        <v>100277</v>
      </c>
      <c r="F285" s="30" t="s">
        <v>1308</v>
      </c>
      <c r="G285" s="29" t="s">
        <v>20</v>
      </c>
      <c r="H285" s="30" t="s">
        <v>130</v>
      </c>
      <c r="I285" s="78"/>
      <c r="J285" s="20"/>
      <c r="K285" s="20"/>
      <c r="L285" s="20"/>
      <c r="M285" s="20"/>
      <c r="N285" s="69" t="s">
        <v>256</v>
      </c>
      <c r="O285" s="70">
        <v>0</v>
      </c>
      <c r="P285" s="70">
        <v>0</v>
      </c>
      <c r="Q285" s="70">
        <f t="shared" si="24"/>
        <v>0</v>
      </c>
      <c r="R285" s="70"/>
      <c r="S285" s="67"/>
      <c r="T285" s="2" t="str">
        <f t="shared" si="25"/>
        <v>Nguyễn Lê Uyên Nhi_10AS6</v>
      </c>
      <c r="U285" s="28">
        <f t="array" ref="U285">IFERROR(VLOOKUP($T285,'Nghi hoc T12'!$H$7:$I$160,2,0),0)</f>
        <v>0</v>
      </c>
      <c r="V285" s="28">
        <f>IFERROR(VLOOKUP($T285,No_HP!$B$2:$C$514,2,0),0)</f>
        <v>0</v>
      </c>
      <c r="W285" s="28">
        <f t="shared" si="26"/>
        <v>0</v>
      </c>
      <c r="X285" s="333">
        <f t="shared" si="27"/>
        <v>0</v>
      </c>
      <c r="Y285" s="333">
        <f t="shared" si="28"/>
        <v>0</v>
      </c>
    </row>
    <row r="286" spans="1:25" s="2" customFormat="1" ht="21.95" customHeight="1">
      <c r="A286" s="82">
        <v>18</v>
      </c>
      <c r="B286" s="91" t="str">
        <f t="shared" si="29"/>
        <v>14A.S</v>
      </c>
      <c r="C286" s="83" t="s">
        <v>366</v>
      </c>
      <c r="D286" s="81" t="s">
        <v>519</v>
      </c>
      <c r="E286" s="48">
        <v>100278</v>
      </c>
      <c r="F286" s="30" t="s">
        <v>242</v>
      </c>
      <c r="G286" s="29" t="s">
        <v>20</v>
      </c>
      <c r="H286" s="30" t="s">
        <v>1242</v>
      </c>
      <c r="I286" s="78"/>
      <c r="J286" s="20"/>
      <c r="K286" s="20"/>
      <c r="L286" s="20"/>
      <c r="M286" s="20"/>
      <c r="N286" s="69" t="s">
        <v>256</v>
      </c>
      <c r="O286" s="70">
        <v>0</v>
      </c>
      <c r="P286" s="70">
        <v>0</v>
      </c>
      <c r="Q286" s="70">
        <f t="shared" si="24"/>
        <v>0</v>
      </c>
      <c r="R286" s="70"/>
      <c r="S286" s="67"/>
      <c r="T286" s="2" t="str">
        <f t="shared" si="25"/>
        <v>Nguyễn Ngọc Bảo Nhi_10AS5</v>
      </c>
      <c r="U286" s="28">
        <f t="array" ref="U286">IFERROR(VLOOKUP($T286,'Nghi hoc T12'!$H$7:$I$160,2,0),0)</f>
        <v>0</v>
      </c>
      <c r="V286" s="28">
        <f>IFERROR(VLOOKUP($T286,No_HP!$B$2:$C$514,2,0),0)</f>
        <v>0</v>
      </c>
      <c r="W286" s="28">
        <f t="shared" si="26"/>
        <v>0</v>
      </c>
      <c r="X286" s="333">
        <f t="shared" si="27"/>
        <v>0</v>
      </c>
      <c r="Y286" s="333">
        <f t="shared" si="28"/>
        <v>0</v>
      </c>
    </row>
    <row r="287" spans="1:25" s="2" customFormat="1" ht="21.95" customHeight="1">
      <c r="A287" s="82">
        <v>19</v>
      </c>
      <c r="B287" s="91" t="str">
        <f t="shared" si="29"/>
        <v>14A.S</v>
      </c>
      <c r="C287" s="83" t="s">
        <v>366</v>
      </c>
      <c r="D287" s="81" t="s">
        <v>519</v>
      </c>
      <c r="E287" s="48">
        <v>100279</v>
      </c>
      <c r="F287" s="30" t="s">
        <v>428</v>
      </c>
      <c r="G287" s="29" t="s">
        <v>20</v>
      </c>
      <c r="H287" s="30" t="s">
        <v>131</v>
      </c>
      <c r="I287" s="78"/>
      <c r="J287" s="20"/>
      <c r="K287" s="20"/>
      <c r="L287" s="20"/>
      <c r="M287" s="20"/>
      <c r="N287" s="69" t="s">
        <v>256</v>
      </c>
      <c r="O287" s="70">
        <v>0</v>
      </c>
      <c r="P287" s="70">
        <v>0</v>
      </c>
      <c r="Q287" s="70">
        <f t="shared" si="24"/>
        <v>0</v>
      </c>
      <c r="R287" s="70"/>
      <c r="S287" s="67"/>
      <c r="T287" s="2" t="str">
        <f t="shared" si="25"/>
        <v>Nguyễn Yến Nhi_10AS7</v>
      </c>
      <c r="U287" s="28">
        <f t="array" ref="U287">IFERROR(VLOOKUP($T287,'Nghi hoc T12'!$H$7:$I$160,2,0),0)</f>
        <v>0</v>
      </c>
      <c r="V287" s="28">
        <f>IFERROR(VLOOKUP($T287,No_HP!$B$2:$C$514,2,0),0)</f>
        <v>0</v>
      </c>
      <c r="W287" s="28">
        <f t="shared" si="26"/>
        <v>0</v>
      </c>
      <c r="X287" s="333">
        <f t="shared" si="27"/>
        <v>0</v>
      </c>
      <c r="Y287" s="333">
        <f t="shared" si="28"/>
        <v>0</v>
      </c>
    </row>
    <row r="288" spans="1:25" s="2" customFormat="1" ht="21.95" customHeight="1">
      <c r="A288" s="82">
        <v>20</v>
      </c>
      <c r="B288" s="91" t="str">
        <f t="shared" si="29"/>
        <v>14A.S</v>
      </c>
      <c r="C288" s="83" t="s">
        <v>366</v>
      </c>
      <c r="D288" s="81" t="s">
        <v>519</v>
      </c>
      <c r="E288" s="48">
        <v>100280</v>
      </c>
      <c r="F288" s="30" t="s">
        <v>223</v>
      </c>
      <c r="G288" s="29" t="s">
        <v>88</v>
      </c>
      <c r="H288" s="30" t="s">
        <v>1242</v>
      </c>
      <c r="I288" s="78"/>
      <c r="J288" s="20"/>
      <c r="K288" s="20"/>
      <c r="L288" s="20"/>
      <c r="M288" s="20"/>
      <c r="N288" s="69" t="s">
        <v>256</v>
      </c>
      <c r="O288" s="70">
        <v>0</v>
      </c>
      <c r="P288" s="70">
        <v>0</v>
      </c>
      <c r="Q288" s="70">
        <f t="shared" si="24"/>
        <v>0</v>
      </c>
      <c r="R288" s="70"/>
      <c r="S288" s="67"/>
      <c r="T288" s="2" t="str">
        <f t="shared" si="25"/>
        <v>Nguyễn Thị Yến Nhung_10AS5</v>
      </c>
      <c r="U288" s="28">
        <f t="array" ref="U288">IFERROR(VLOOKUP($T288,'Nghi hoc T12'!$H$7:$I$160,2,0),0)</f>
        <v>0</v>
      </c>
      <c r="V288" s="28">
        <f>IFERROR(VLOOKUP($T288,No_HP!$B$2:$C$514,2,0),0)</f>
        <v>0</v>
      </c>
      <c r="W288" s="28">
        <f t="shared" si="26"/>
        <v>0</v>
      </c>
      <c r="X288" s="333">
        <f t="shared" si="27"/>
        <v>0</v>
      </c>
      <c r="Y288" s="333">
        <f t="shared" si="28"/>
        <v>0</v>
      </c>
    </row>
    <row r="289" spans="1:25" s="2" customFormat="1" ht="21.95" customHeight="1">
      <c r="A289" s="82">
        <v>21</v>
      </c>
      <c r="B289" s="91" t="str">
        <f t="shared" si="29"/>
        <v>14A.S</v>
      </c>
      <c r="C289" s="83" t="s">
        <v>366</v>
      </c>
      <c r="D289" s="81" t="s">
        <v>519</v>
      </c>
      <c r="E289" s="48">
        <v>100281</v>
      </c>
      <c r="F289" s="30" t="s">
        <v>1284</v>
      </c>
      <c r="G289" s="29" t="s">
        <v>21</v>
      </c>
      <c r="H289" s="30" t="s">
        <v>130</v>
      </c>
      <c r="I289" s="78"/>
      <c r="J289" s="20"/>
      <c r="K289" s="20"/>
      <c r="L289" s="20"/>
      <c r="M289" s="20"/>
      <c r="N289" s="69" t="s">
        <v>256</v>
      </c>
      <c r="O289" s="70">
        <v>0</v>
      </c>
      <c r="P289" s="70">
        <v>0</v>
      </c>
      <c r="Q289" s="70">
        <f t="shared" si="24"/>
        <v>0</v>
      </c>
      <c r="R289" s="70"/>
      <c r="S289" s="67"/>
      <c r="T289" s="2" t="str">
        <f t="shared" si="25"/>
        <v>Đinh Ngọc Như_10AS6</v>
      </c>
      <c r="U289" s="28">
        <f t="array" ref="U289">IFERROR(VLOOKUP($T289,'Nghi hoc T12'!$H$7:$I$160,2,0),0)</f>
        <v>0</v>
      </c>
      <c r="V289" s="28">
        <f>IFERROR(VLOOKUP($T289,No_HP!$B$2:$C$514,2,0),0)</f>
        <v>0</v>
      </c>
      <c r="W289" s="28">
        <f t="shared" si="26"/>
        <v>0</v>
      </c>
      <c r="X289" s="333">
        <f t="shared" si="27"/>
        <v>0</v>
      </c>
      <c r="Y289" s="333">
        <f t="shared" si="28"/>
        <v>0</v>
      </c>
    </row>
    <row r="290" spans="1:25" s="2" customFormat="1" ht="21.95" customHeight="1">
      <c r="A290" s="82">
        <v>22</v>
      </c>
      <c r="B290" s="91" t="str">
        <f t="shared" si="29"/>
        <v>14A.S</v>
      </c>
      <c r="C290" s="83" t="s">
        <v>366</v>
      </c>
      <c r="D290" s="81" t="s">
        <v>519</v>
      </c>
      <c r="E290" s="48">
        <v>100282</v>
      </c>
      <c r="F290" s="30" t="s">
        <v>1218</v>
      </c>
      <c r="G290" s="29" t="s">
        <v>21</v>
      </c>
      <c r="H290" s="30" t="s">
        <v>131</v>
      </c>
      <c r="I290" s="78"/>
      <c r="J290" s="20"/>
      <c r="K290" s="20"/>
      <c r="L290" s="20"/>
      <c r="M290" s="20"/>
      <c r="N290" s="69" t="s">
        <v>256</v>
      </c>
      <c r="O290" s="70">
        <v>0</v>
      </c>
      <c r="P290" s="70">
        <v>0</v>
      </c>
      <c r="Q290" s="70">
        <f t="shared" si="24"/>
        <v>0</v>
      </c>
      <c r="R290" s="70"/>
      <c r="S290" s="67"/>
      <c r="T290" s="2" t="str">
        <f t="shared" si="25"/>
        <v>Nguyễn Ngọc Tố Như_10AS7</v>
      </c>
      <c r="U290" s="28">
        <f t="array" ref="U290">IFERROR(VLOOKUP($T290,'Nghi hoc T12'!$H$7:$I$160,2,0),0)</f>
        <v>0</v>
      </c>
      <c r="V290" s="28">
        <f>IFERROR(VLOOKUP($T290,No_HP!$B$2:$C$514,2,0),0)</f>
        <v>0</v>
      </c>
      <c r="W290" s="28">
        <f t="shared" si="26"/>
        <v>0</v>
      </c>
      <c r="X290" s="333">
        <f t="shared" si="27"/>
        <v>0</v>
      </c>
      <c r="Y290" s="333">
        <f t="shared" si="28"/>
        <v>0</v>
      </c>
    </row>
    <row r="291" spans="1:25" s="2" customFormat="1" ht="21.95" customHeight="1">
      <c r="A291" s="82">
        <v>23</v>
      </c>
      <c r="B291" s="91" t="str">
        <f t="shared" si="29"/>
        <v>14A.S</v>
      </c>
      <c r="C291" s="83" t="s">
        <v>366</v>
      </c>
      <c r="D291" s="81" t="s">
        <v>519</v>
      </c>
      <c r="E291" s="48">
        <v>100283</v>
      </c>
      <c r="F291" s="30" t="s">
        <v>225</v>
      </c>
      <c r="G291" s="29" t="s">
        <v>21</v>
      </c>
      <c r="H291" s="30" t="s">
        <v>1242</v>
      </c>
      <c r="I291" s="78"/>
      <c r="J291" s="20"/>
      <c r="K291" s="20"/>
      <c r="L291" s="20"/>
      <c r="M291" s="20"/>
      <c r="N291" s="69" t="s">
        <v>256</v>
      </c>
      <c r="O291" s="70">
        <v>0</v>
      </c>
      <c r="P291" s="70">
        <v>0</v>
      </c>
      <c r="Q291" s="70">
        <f t="shared" si="24"/>
        <v>0</v>
      </c>
      <c r="R291" s="70"/>
      <c r="S291" s="67"/>
      <c r="T291" s="2" t="str">
        <f t="shared" si="25"/>
        <v>Trần Ngọc Như_10AS5</v>
      </c>
      <c r="U291" s="28">
        <f t="array" ref="U291">IFERROR(VLOOKUP($T291,'Nghi hoc T12'!$H$7:$I$160,2,0),0)</f>
        <v>0</v>
      </c>
      <c r="V291" s="28">
        <f>IFERROR(VLOOKUP($T291,No_HP!$B$2:$C$514,2,0),0)</f>
        <v>0</v>
      </c>
      <c r="W291" s="28">
        <f t="shared" si="26"/>
        <v>0</v>
      </c>
      <c r="X291" s="333">
        <f t="shared" si="27"/>
        <v>0</v>
      </c>
      <c r="Y291" s="333">
        <f t="shared" si="28"/>
        <v>0</v>
      </c>
    </row>
    <row r="292" spans="1:25" s="2" customFormat="1" ht="21.95" customHeight="1">
      <c r="A292" s="82">
        <v>24</v>
      </c>
      <c r="B292" s="91" t="str">
        <f t="shared" si="29"/>
        <v>14A.S</v>
      </c>
      <c r="C292" s="83" t="s">
        <v>366</v>
      </c>
      <c r="D292" s="81" t="s">
        <v>519</v>
      </c>
      <c r="E292" s="48">
        <v>100284</v>
      </c>
      <c r="F292" s="30" t="s">
        <v>1175</v>
      </c>
      <c r="G292" s="29" t="s">
        <v>181</v>
      </c>
      <c r="H292" s="30" t="s">
        <v>1242</v>
      </c>
      <c r="I292" s="78"/>
      <c r="J292" s="20"/>
      <c r="K292" s="20"/>
      <c r="L292" s="20"/>
      <c r="M292" s="20"/>
      <c r="N292" s="69" t="s">
        <v>256</v>
      </c>
      <c r="O292" s="70">
        <v>0</v>
      </c>
      <c r="P292" s="70">
        <v>0</v>
      </c>
      <c r="Q292" s="70">
        <f t="shared" si="24"/>
        <v>0</v>
      </c>
      <c r="R292" s="70"/>
      <c r="S292" s="67"/>
      <c r="T292" s="2" t="str">
        <f t="shared" si="25"/>
        <v>Bùi Thị Kim Oanh_10AS5</v>
      </c>
      <c r="U292" s="28">
        <f t="array" ref="U292">IFERROR(VLOOKUP($T292,'Nghi hoc T12'!$H$7:$I$160,2,0),0)</f>
        <v>0</v>
      </c>
      <c r="V292" s="28">
        <f>IFERROR(VLOOKUP($T292,No_HP!$B$2:$C$514,2,0),0)</f>
        <v>0</v>
      </c>
      <c r="W292" s="28">
        <f t="shared" si="26"/>
        <v>0</v>
      </c>
      <c r="X292" s="333">
        <f t="shared" si="27"/>
        <v>0</v>
      </c>
      <c r="Y292" s="333">
        <f t="shared" si="28"/>
        <v>0</v>
      </c>
    </row>
    <row r="293" spans="1:25" s="2" customFormat="1" ht="21.95" customHeight="1">
      <c r="A293" s="200">
        <v>1</v>
      </c>
      <c r="B293" s="91" t="str">
        <f t="shared" si="29"/>
        <v>2B.S</v>
      </c>
      <c r="C293" s="185" t="s">
        <v>366</v>
      </c>
      <c r="D293" s="186" t="s">
        <v>520</v>
      </c>
      <c r="E293" s="187">
        <v>100285</v>
      </c>
      <c r="F293" s="188" t="s">
        <v>223</v>
      </c>
      <c r="G293" s="189" t="s">
        <v>181</v>
      </c>
      <c r="H293" s="188" t="s">
        <v>130</v>
      </c>
      <c r="I293" s="190"/>
      <c r="J293" s="191"/>
      <c r="K293" s="191"/>
      <c r="L293" s="191"/>
      <c r="M293" s="191"/>
      <c r="N293" s="69" t="s">
        <v>256</v>
      </c>
      <c r="O293" s="70">
        <v>0</v>
      </c>
      <c r="P293" s="70">
        <v>0</v>
      </c>
      <c r="Q293" s="70">
        <f t="shared" si="24"/>
        <v>0</v>
      </c>
      <c r="R293" s="70"/>
      <c r="S293" s="67"/>
      <c r="T293" s="2" t="str">
        <f t="shared" si="25"/>
        <v>Nguyễn Thị Yến Oanh_10AS6</v>
      </c>
      <c r="U293" s="28">
        <f t="array" ref="U293">IFERROR(VLOOKUP($T293,'Nghi hoc T12'!$H$7:$I$160,2,0),0)</f>
        <v>0</v>
      </c>
      <c r="V293" s="28">
        <f>IFERROR(VLOOKUP($T293,No_HP!$B$2:$C$514,2,0),0)</f>
        <v>0</v>
      </c>
      <c r="W293" s="28">
        <f t="shared" si="26"/>
        <v>0</v>
      </c>
      <c r="X293" s="333">
        <f t="shared" si="27"/>
        <v>0</v>
      </c>
      <c r="Y293" s="333">
        <f t="shared" si="28"/>
        <v>0</v>
      </c>
    </row>
    <row r="294" spans="1:25" s="2" customFormat="1" ht="21.95" customHeight="1">
      <c r="A294" s="82">
        <v>2</v>
      </c>
      <c r="B294" s="91" t="str">
        <f t="shared" si="29"/>
        <v>2B.S</v>
      </c>
      <c r="C294" s="83" t="s">
        <v>366</v>
      </c>
      <c r="D294" s="81" t="s">
        <v>520</v>
      </c>
      <c r="E294" s="48">
        <v>100286</v>
      </c>
      <c r="F294" s="30" t="s">
        <v>1309</v>
      </c>
      <c r="G294" s="29" t="s">
        <v>271</v>
      </c>
      <c r="H294" s="30" t="s">
        <v>130</v>
      </c>
      <c r="I294" s="78"/>
      <c r="J294" s="20"/>
      <c r="K294" s="20"/>
      <c r="L294" s="20"/>
      <c r="M294" s="20"/>
      <c r="N294" s="69" t="s">
        <v>256</v>
      </c>
      <c r="O294" s="70">
        <v>0</v>
      </c>
      <c r="P294" s="70">
        <v>0</v>
      </c>
      <c r="Q294" s="70">
        <f t="shared" si="24"/>
        <v>0</v>
      </c>
      <c r="R294" s="70"/>
      <c r="S294" s="67"/>
      <c r="T294" s="2" t="str">
        <f t="shared" si="25"/>
        <v>Mạc Đăng Phi_10AS6</v>
      </c>
      <c r="U294" s="28">
        <f t="array" ref="U294">IFERROR(VLOOKUP($T294,'Nghi hoc T12'!$H$7:$I$160,2,0),0)</f>
        <v>0</v>
      </c>
      <c r="V294" s="28">
        <f>IFERROR(VLOOKUP($T294,No_HP!$B$2:$C$514,2,0),0)</f>
        <v>0</v>
      </c>
      <c r="W294" s="28">
        <f t="shared" si="26"/>
        <v>0</v>
      </c>
      <c r="X294" s="333">
        <f t="shared" si="27"/>
        <v>0</v>
      </c>
      <c r="Y294" s="333">
        <f t="shared" si="28"/>
        <v>0</v>
      </c>
    </row>
    <row r="295" spans="1:25" s="2" customFormat="1" ht="21.95" customHeight="1">
      <c r="A295" s="82">
        <v>3</v>
      </c>
      <c r="B295" s="91" t="str">
        <f t="shared" si="29"/>
        <v>2B.S</v>
      </c>
      <c r="C295" s="83" t="s">
        <v>366</v>
      </c>
      <c r="D295" s="81" t="s">
        <v>520</v>
      </c>
      <c r="E295" s="48">
        <v>100287</v>
      </c>
      <c r="F295" s="30" t="s">
        <v>176</v>
      </c>
      <c r="G295" s="29" t="s">
        <v>103</v>
      </c>
      <c r="H295" s="30" t="s">
        <v>131</v>
      </c>
      <c r="I295" s="78"/>
      <c r="J295" s="20"/>
      <c r="K295" s="20"/>
      <c r="L295" s="20"/>
      <c r="M295" s="20"/>
      <c r="N295" s="69" t="s">
        <v>256</v>
      </c>
      <c r="O295" s="70">
        <v>0</v>
      </c>
      <c r="P295" s="70">
        <v>0</v>
      </c>
      <c r="Q295" s="70">
        <f t="shared" si="24"/>
        <v>0</v>
      </c>
      <c r="R295" s="70"/>
      <c r="S295" s="67"/>
      <c r="T295" s="2" t="str">
        <f t="shared" si="25"/>
        <v>Trần Đức Phú_10AS7</v>
      </c>
      <c r="U295" s="28">
        <f t="array" ref="U295">IFERROR(VLOOKUP($T295,'Nghi hoc T12'!$H$7:$I$160,2,0),0)</f>
        <v>0</v>
      </c>
      <c r="V295" s="28">
        <f>IFERROR(VLOOKUP($T295,No_HP!$B$2:$C$514,2,0),0)</f>
        <v>0</v>
      </c>
      <c r="W295" s="28">
        <f t="shared" si="26"/>
        <v>0</v>
      </c>
      <c r="X295" s="333">
        <f t="shared" si="27"/>
        <v>0</v>
      </c>
      <c r="Y295" s="333">
        <f t="shared" si="28"/>
        <v>0</v>
      </c>
    </row>
    <row r="296" spans="1:25" s="2" customFormat="1" ht="21.95" customHeight="1">
      <c r="A296" s="82">
        <v>4</v>
      </c>
      <c r="B296" s="91" t="str">
        <f t="shared" si="29"/>
        <v>2B.S</v>
      </c>
      <c r="C296" s="83" t="s">
        <v>366</v>
      </c>
      <c r="D296" s="81" t="s">
        <v>520</v>
      </c>
      <c r="E296" s="48">
        <v>100288</v>
      </c>
      <c r="F296" s="30" t="s">
        <v>1144</v>
      </c>
      <c r="G296" s="29" t="s">
        <v>71</v>
      </c>
      <c r="H296" s="30" t="s">
        <v>1242</v>
      </c>
      <c r="I296" s="78"/>
      <c r="J296" s="20"/>
      <c r="K296" s="20"/>
      <c r="L296" s="20"/>
      <c r="M296" s="20"/>
      <c r="N296" s="69" t="s">
        <v>256</v>
      </c>
      <c r="O296" s="70">
        <v>0</v>
      </c>
      <c r="P296" s="70">
        <v>0</v>
      </c>
      <c r="Q296" s="70">
        <f t="shared" si="24"/>
        <v>0</v>
      </c>
      <c r="R296" s="70"/>
      <c r="S296" s="67"/>
      <c r="T296" s="2" t="str">
        <f t="shared" si="25"/>
        <v>Huỳnh Gia Phúc_10AS5</v>
      </c>
      <c r="U296" s="28">
        <f t="array" ref="U296">IFERROR(VLOOKUP($T296,'Nghi hoc T12'!$H$7:$I$160,2,0),0)</f>
        <v>0</v>
      </c>
      <c r="V296" s="28">
        <f>IFERROR(VLOOKUP($T296,No_HP!$B$2:$C$514,2,0),0)</f>
        <v>0</v>
      </c>
      <c r="W296" s="28">
        <f t="shared" si="26"/>
        <v>0</v>
      </c>
      <c r="X296" s="333">
        <f t="shared" si="27"/>
        <v>0</v>
      </c>
      <c r="Y296" s="333">
        <f t="shared" si="28"/>
        <v>0</v>
      </c>
    </row>
    <row r="297" spans="1:25" s="2" customFormat="1" ht="21.95" customHeight="1">
      <c r="A297" s="82">
        <v>5</v>
      </c>
      <c r="B297" s="91" t="str">
        <f t="shared" si="29"/>
        <v>2B.S</v>
      </c>
      <c r="C297" s="83" t="s">
        <v>366</v>
      </c>
      <c r="D297" s="81" t="s">
        <v>520</v>
      </c>
      <c r="E297" s="48">
        <v>100289</v>
      </c>
      <c r="F297" s="30" t="s">
        <v>1310</v>
      </c>
      <c r="G297" s="29" t="s">
        <v>71</v>
      </c>
      <c r="H297" s="30" t="s">
        <v>130</v>
      </c>
      <c r="I297" s="78"/>
      <c r="J297" s="20"/>
      <c r="K297" s="20"/>
      <c r="L297" s="20"/>
      <c r="M297" s="20"/>
      <c r="N297" s="69" t="s">
        <v>256</v>
      </c>
      <c r="O297" s="70">
        <v>0</v>
      </c>
      <c r="P297" s="70">
        <v>0</v>
      </c>
      <c r="Q297" s="70">
        <f t="shared" si="24"/>
        <v>0</v>
      </c>
      <c r="R297" s="70"/>
      <c r="S297" s="67"/>
      <c r="T297" s="2" t="str">
        <f t="shared" si="25"/>
        <v>Huỳnh Nguyễn Minh Phúc_10AS6</v>
      </c>
      <c r="U297" s="28">
        <f t="array" ref="U297">IFERROR(VLOOKUP($T297,'Nghi hoc T12'!$H$7:$I$160,2,0),0)</f>
        <v>0</v>
      </c>
      <c r="V297" s="28">
        <f>IFERROR(VLOOKUP($T297,No_HP!$B$2:$C$514,2,0),0)</f>
        <v>0</v>
      </c>
      <c r="W297" s="28">
        <f t="shared" si="26"/>
        <v>0</v>
      </c>
      <c r="X297" s="333">
        <f t="shared" si="27"/>
        <v>0</v>
      </c>
      <c r="Y297" s="333">
        <f t="shared" si="28"/>
        <v>0</v>
      </c>
    </row>
    <row r="298" spans="1:25" s="2" customFormat="1" ht="21.95" customHeight="1">
      <c r="A298" s="82">
        <v>6</v>
      </c>
      <c r="B298" s="91" t="str">
        <f t="shared" si="29"/>
        <v>2B.S</v>
      </c>
      <c r="C298" s="83" t="s">
        <v>366</v>
      </c>
      <c r="D298" s="81" t="s">
        <v>520</v>
      </c>
      <c r="E298" s="48">
        <v>100290</v>
      </c>
      <c r="F298" s="30" t="s">
        <v>156</v>
      </c>
      <c r="G298" s="29" t="s">
        <v>71</v>
      </c>
      <c r="H298" s="30" t="s">
        <v>131</v>
      </c>
      <c r="I298" s="78"/>
      <c r="J298" s="20"/>
      <c r="K298" s="20"/>
      <c r="L298" s="20"/>
      <c r="M298" s="20"/>
      <c r="N298" s="69" t="s">
        <v>256</v>
      </c>
      <c r="O298" s="70">
        <v>0</v>
      </c>
      <c r="P298" s="70">
        <v>0</v>
      </c>
      <c r="Q298" s="70">
        <f t="shared" si="24"/>
        <v>0</v>
      </c>
      <c r="R298" s="70"/>
      <c r="S298" s="67"/>
      <c r="T298" s="2" t="str">
        <f t="shared" si="25"/>
        <v>Trần Minh Phúc_10AS7</v>
      </c>
      <c r="U298" s="28">
        <f t="array" ref="U298">IFERROR(VLOOKUP($T298,'Nghi hoc T12'!$H$7:$I$160,2,0),0)</f>
        <v>0</v>
      </c>
      <c r="V298" s="28">
        <f>IFERROR(VLOOKUP($T298,No_HP!$B$2:$C$514,2,0),0)</f>
        <v>0</v>
      </c>
      <c r="W298" s="28">
        <f t="shared" si="26"/>
        <v>0</v>
      </c>
      <c r="X298" s="333">
        <f t="shared" si="27"/>
        <v>0</v>
      </c>
      <c r="Y298" s="333">
        <f t="shared" si="28"/>
        <v>0</v>
      </c>
    </row>
    <row r="299" spans="1:25" s="2" customFormat="1" ht="21.95" customHeight="1">
      <c r="A299" s="82">
        <v>7</v>
      </c>
      <c r="B299" s="91" t="str">
        <f t="shared" si="29"/>
        <v>2B.S</v>
      </c>
      <c r="C299" s="83" t="s">
        <v>366</v>
      </c>
      <c r="D299" s="81" t="s">
        <v>520</v>
      </c>
      <c r="E299" s="48">
        <v>100291</v>
      </c>
      <c r="F299" s="30" t="s">
        <v>484</v>
      </c>
      <c r="G299" s="29" t="s">
        <v>43</v>
      </c>
      <c r="H299" s="30" t="s">
        <v>1242</v>
      </c>
      <c r="I299" s="78"/>
      <c r="J299" s="20"/>
      <c r="K299" s="20"/>
      <c r="L299" s="20"/>
      <c r="M299" s="20"/>
      <c r="N299" s="69" t="s">
        <v>256</v>
      </c>
      <c r="O299" s="70">
        <v>0</v>
      </c>
      <c r="P299" s="70">
        <v>0</v>
      </c>
      <c r="Q299" s="70">
        <f t="shared" si="24"/>
        <v>0</v>
      </c>
      <c r="R299" s="70"/>
      <c r="S299" s="67"/>
      <c r="T299" s="2" t="str">
        <f t="shared" si="25"/>
        <v>Nguyễn Trần Hoàng Phương_10AS5</v>
      </c>
      <c r="U299" s="28">
        <f t="array" ref="U299">IFERROR(VLOOKUP($T299,'Nghi hoc T12'!$H$7:$I$160,2,0),0)</f>
        <v>0</v>
      </c>
      <c r="V299" s="28">
        <f>IFERROR(VLOOKUP($T299,No_HP!$B$2:$C$514,2,0),0)</f>
        <v>0</v>
      </c>
      <c r="W299" s="28">
        <f t="shared" si="26"/>
        <v>0</v>
      </c>
      <c r="X299" s="333">
        <f t="shared" si="27"/>
        <v>0</v>
      </c>
      <c r="Y299" s="333">
        <f t="shared" si="28"/>
        <v>0</v>
      </c>
    </row>
    <row r="300" spans="1:25" s="2" customFormat="1" ht="21.95" customHeight="1">
      <c r="A300" s="82">
        <v>8</v>
      </c>
      <c r="B300" s="91" t="str">
        <f t="shared" si="29"/>
        <v>2B.S</v>
      </c>
      <c r="C300" s="83" t="s">
        <v>366</v>
      </c>
      <c r="D300" s="81" t="s">
        <v>520</v>
      </c>
      <c r="E300" s="48">
        <v>100292</v>
      </c>
      <c r="F300" s="30" t="s">
        <v>1311</v>
      </c>
      <c r="G300" s="29" t="s">
        <v>57</v>
      </c>
      <c r="H300" s="30" t="s">
        <v>131</v>
      </c>
      <c r="I300" s="78"/>
      <c r="J300" s="20"/>
      <c r="K300" s="20"/>
      <c r="L300" s="20"/>
      <c r="M300" s="20"/>
      <c r="N300" s="69" t="s">
        <v>256</v>
      </c>
      <c r="O300" s="70">
        <v>0</v>
      </c>
      <c r="P300" s="70">
        <v>0</v>
      </c>
      <c r="Q300" s="70">
        <f t="shared" si="24"/>
        <v>0</v>
      </c>
      <c r="R300" s="70"/>
      <c r="S300" s="67"/>
      <c r="T300" s="2" t="str">
        <f t="shared" si="25"/>
        <v>Phan Nguyễn Minh Quân_10AS7</v>
      </c>
      <c r="U300" s="28">
        <f t="array" ref="U300">IFERROR(VLOOKUP($T300,'Nghi hoc T12'!$H$7:$I$160,2,0),0)</f>
        <v>0</v>
      </c>
      <c r="V300" s="28">
        <f>IFERROR(VLOOKUP($T300,No_HP!$B$2:$C$514,2,0),0)</f>
        <v>0</v>
      </c>
      <c r="W300" s="28">
        <f t="shared" si="26"/>
        <v>0</v>
      </c>
      <c r="X300" s="333">
        <f t="shared" si="27"/>
        <v>0</v>
      </c>
      <c r="Y300" s="333">
        <f t="shared" si="28"/>
        <v>0</v>
      </c>
    </row>
    <row r="301" spans="1:25" s="2" customFormat="1" ht="21.95" customHeight="1">
      <c r="A301" s="82">
        <v>9</v>
      </c>
      <c r="B301" s="91" t="str">
        <f t="shared" si="29"/>
        <v>2B.S</v>
      </c>
      <c r="C301" s="83" t="s">
        <v>366</v>
      </c>
      <c r="D301" s="81" t="s">
        <v>520</v>
      </c>
      <c r="E301" s="48">
        <v>100293</v>
      </c>
      <c r="F301" s="30" t="s">
        <v>1312</v>
      </c>
      <c r="G301" s="29" t="s">
        <v>22</v>
      </c>
      <c r="H301" s="30" t="s">
        <v>131</v>
      </c>
      <c r="I301" s="78"/>
      <c r="J301" s="20"/>
      <c r="K301" s="20"/>
      <c r="L301" s="20"/>
      <c r="M301" s="20"/>
      <c r="N301" s="69" t="s">
        <v>256</v>
      </c>
      <c r="O301" s="70">
        <v>0</v>
      </c>
      <c r="P301" s="70">
        <v>0</v>
      </c>
      <c r="Q301" s="70">
        <f t="shared" si="24"/>
        <v>0</v>
      </c>
      <c r="R301" s="70"/>
      <c r="S301" s="67"/>
      <c r="T301" s="2" t="str">
        <f t="shared" si="25"/>
        <v>Đào Ngọc Diễm Quỳnh_10AS7</v>
      </c>
      <c r="U301" s="28">
        <f t="array" ref="U301">IFERROR(VLOOKUP($T301,'Nghi hoc T12'!$H$7:$I$160,2,0),0)</f>
        <v>0</v>
      </c>
      <c r="V301" s="28">
        <f>IFERROR(VLOOKUP($T301,No_HP!$B$2:$C$514,2,0),0)</f>
        <v>0</v>
      </c>
      <c r="W301" s="28">
        <f t="shared" si="26"/>
        <v>0</v>
      </c>
      <c r="X301" s="333">
        <f t="shared" si="27"/>
        <v>0</v>
      </c>
      <c r="Y301" s="333">
        <f t="shared" si="28"/>
        <v>0</v>
      </c>
    </row>
    <row r="302" spans="1:25" s="2" customFormat="1" ht="21.95" customHeight="1">
      <c r="A302" s="82">
        <v>10</v>
      </c>
      <c r="B302" s="91" t="str">
        <f t="shared" si="29"/>
        <v>2B.S</v>
      </c>
      <c r="C302" s="83" t="s">
        <v>366</v>
      </c>
      <c r="D302" s="81" t="s">
        <v>520</v>
      </c>
      <c r="E302" s="48">
        <v>100294</v>
      </c>
      <c r="F302" s="30" t="s">
        <v>1287</v>
      </c>
      <c r="G302" s="29" t="s">
        <v>47</v>
      </c>
      <c r="H302" s="30" t="s">
        <v>1242</v>
      </c>
      <c r="I302" s="78"/>
      <c r="J302" s="20"/>
      <c r="K302" s="20"/>
      <c r="L302" s="20"/>
      <c r="M302" s="20"/>
      <c r="N302" s="69" t="s">
        <v>256</v>
      </c>
      <c r="O302" s="70">
        <v>0</v>
      </c>
      <c r="P302" s="70">
        <v>0</v>
      </c>
      <c r="Q302" s="70">
        <f t="shared" si="24"/>
        <v>0</v>
      </c>
      <c r="R302" s="70"/>
      <c r="S302" s="67"/>
      <c r="T302" s="2" t="str">
        <f t="shared" si="25"/>
        <v>Huỳnh Thanh Sang_10AS5</v>
      </c>
      <c r="U302" s="28">
        <f t="array" ref="U302">IFERROR(VLOOKUP($T302,'Nghi hoc T12'!$H$7:$I$160,2,0),0)</f>
        <v>0</v>
      </c>
      <c r="V302" s="28">
        <f>IFERROR(VLOOKUP($T302,No_HP!$B$2:$C$514,2,0),0)</f>
        <v>0</v>
      </c>
      <c r="W302" s="28">
        <f t="shared" si="26"/>
        <v>0</v>
      </c>
      <c r="X302" s="333">
        <f t="shared" si="27"/>
        <v>0</v>
      </c>
      <c r="Y302" s="333">
        <f t="shared" si="28"/>
        <v>0</v>
      </c>
    </row>
    <row r="303" spans="1:25" s="2" customFormat="1" ht="21.95" customHeight="1">
      <c r="A303" s="82">
        <v>11</v>
      </c>
      <c r="B303" s="91" t="str">
        <f t="shared" si="29"/>
        <v>2B.S</v>
      </c>
      <c r="C303" s="83" t="s">
        <v>366</v>
      </c>
      <c r="D303" s="81" t="s">
        <v>520</v>
      </c>
      <c r="E303" s="48">
        <v>100295</v>
      </c>
      <c r="F303" s="30" t="s">
        <v>151</v>
      </c>
      <c r="G303" s="29" t="s">
        <v>47</v>
      </c>
      <c r="H303" s="30" t="s">
        <v>130</v>
      </c>
      <c r="I303" s="78"/>
      <c r="J303" s="20"/>
      <c r="K303" s="20"/>
      <c r="L303" s="20"/>
      <c r="M303" s="20"/>
      <c r="N303" s="69" t="s">
        <v>256</v>
      </c>
      <c r="O303" s="70">
        <v>0</v>
      </c>
      <c r="P303" s="70">
        <v>0</v>
      </c>
      <c r="Q303" s="70">
        <f t="shared" si="24"/>
        <v>0</v>
      </c>
      <c r="R303" s="70"/>
      <c r="S303" s="67"/>
      <c r="T303" s="2" t="str">
        <f t="shared" si="25"/>
        <v>Nguyễn Hoàng Sang_10AS6</v>
      </c>
      <c r="U303" s="28">
        <f t="array" ref="U303">IFERROR(VLOOKUP($T303,'Nghi hoc T12'!$H$7:$I$160,2,0),0)</f>
        <v>0</v>
      </c>
      <c r="V303" s="28">
        <f>IFERROR(VLOOKUP($T303,No_HP!$B$2:$C$514,2,0),0)</f>
        <v>0</v>
      </c>
      <c r="W303" s="28">
        <f t="shared" si="26"/>
        <v>0</v>
      </c>
      <c r="X303" s="333">
        <f t="shared" si="27"/>
        <v>0</v>
      </c>
      <c r="Y303" s="333">
        <f t="shared" si="28"/>
        <v>0</v>
      </c>
    </row>
    <row r="304" spans="1:25" s="2" customFormat="1" ht="21.95" customHeight="1">
      <c r="A304" s="82">
        <v>12</v>
      </c>
      <c r="B304" s="91" t="str">
        <f t="shared" si="29"/>
        <v>2B.S</v>
      </c>
      <c r="C304" s="83" t="s">
        <v>366</v>
      </c>
      <c r="D304" s="81" t="s">
        <v>520</v>
      </c>
      <c r="E304" s="48">
        <v>100296</v>
      </c>
      <c r="F304" s="30" t="s">
        <v>1313</v>
      </c>
      <c r="G304" s="29" t="s">
        <v>25</v>
      </c>
      <c r="H304" s="30" t="s">
        <v>1242</v>
      </c>
      <c r="I304" s="78"/>
      <c r="J304" s="20"/>
      <c r="K304" s="20"/>
      <c r="L304" s="20"/>
      <c r="M304" s="20"/>
      <c r="N304" s="69" t="s">
        <v>256</v>
      </c>
      <c r="O304" s="70">
        <v>0</v>
      </c>
      <c r="P304" s="70">
        <v>0</v>
      </c>
      <c r="Q304" s="70">
        <f t="shared" si="24"/>
        <v>0</v>
      </c>
      <c r="R304" s="70"/>
      <c r="S304" s="67"/>
      <c r="T304" s="2" t="str">
        <f t="shared" si="25"/>
        <v>Lục Đình Thái_10AS5</v>
      </c>
      <c r="U304" s="28">
        <f t="array" ref="U304">IFERROR(VLOOKUP($T304,'Nghi hoc T12'!$H$7:$I$160,2,0),0)</f>
        <v>0</v>
      </c>
      <c r="V304" s="28">
        <f>IFERROR(VLOOKUP($T304,No_HP!$B$2:$C$514,2,0),0)</f>
        <v>0</v>
      </c>
      <c r="W304" s="28">
        <f t="shared" si="26"/>
        <v>0</v>
      </c>
      <c r="X304" s="333">
        <f t="shared" si="27"/>
        <v>0</v>
      </c>
      <c r="Y304" s="333">
        <f t="shared" si="28"/>
        <v>0</v>
      </c>
    </row>
    <row r="305" spans="1:25" s="2" customFormat="1" ht="21.95" customHeight="1">
      <c r="A305" s="82">
        <v>13</v>
      </c>
      <c r="B305" s="91" t="str">
        <f t="shared" si="29"/>
        <v>2B.S</v>
      </c>
      <c r="C305" s="83" t="s">
        <v>366</v>
      </c>
      <c r="D305" s="81" t="s">
        <v>520</v>
      </c>
      <c r="E305" s="48">
        <v>100297</v>
      </c>
      <c r="F305" s="30" t="s">
        <v>1314</v>
      </c>
      <c r="G305" s="29" t="s">
        <v>26</v>
      </c>
      <c r="H305" s="30" t="s">
        <v>1242</v>
      </c>
      <c r="I305" s="78"/>
      <c r="J305" s="20"/>
      <c r="K305" s="20"/>
      <c r="L305" s="20"/>
      <c r="M305" s="20"/>
      <c r="N305" s="69" t="s">
        <v>256</v>
      </c>
      <c r="O305" s="70">
        <v>0</v>
      </c>
      <c r="P305" s="70">
        <v>0</v>
      </c>
      <c r="Q305" s="70">
        <f t="shared" si="24"/>
        <v>0</v>
      </c>
      <c r="R305" s="70"/>
      <c r="S305" s="67"/>
      <c r="T305" s="2" t="str">
        <f t="shared" si="25"/>
        <v>Phạm Trần Phương Thanh_10AS5</v>
      </c>
      <c r="U305" s="28">
        <f t="array" ref="U305">IFERROR(VLOOKUP($T305,'Nghi hoc T12'!$H$7:$I$160,2,0),0)</f>
        <v>0</v>
      </c>
      <c r="V305" s="28">
        <f>IFERROR(VLOOKUP($T305,No_HP!$B$2:$C$514,2,0),0)</f>
        <v>0</v>
      </c>
      <c r="W305" s="28">
        <f t="shared" si="26"/>
        <v>0</v>
      </c>
      <c r="X305" s="333">
        <f t="shared" si="27"/>
        <v>0</v>
      </c>
      <c r="Y305" s="333">
        <f t="shared" si="28"/>
        <v>0</v>
      </c>
    </row>
    <row r="306" spans="1:25" s="2" customFormat="1" ht="21.95" customHeight="1">
      <c r="A306" s="82">
        <v>14</v>
      </c>
      <c r="B306" s="91" t="str">
        <f t="shared" si="29"/>
        <v>2B.S</v>
      </c>
      <c r="C306" s="83" t="s">
        <v>366</v>
      </c>
      <c r="D306" s="81" t="s">
        <v>520</v>
      </c>
      <c r="E306" s="48">
        <v>100298</v>
      </c>
      <c r="F306" s="30" t="s">
        <v>345</v>
      </c>
      <c r="G306" s="29" t="s">
        <v>27</v>
      </c>
      <c r="H306" s="30" t="s">
        <v>131</v>
      </c>
      <c r="I306" s="78"/>
      <c r="J306" s="20"/>
      <c r="K306" s="20"/>
      <c r="L306" s="20"/>
      <c r="M306" s="20"/>
      <c r="N306" s="69" t="s">
        <v>256</v>
      </c>
      <c r="O306" s="70">
        <v>0</v>
      </c>
      <c r="P306" s="70">
        <v>0</v>
      </c>
      <c r="Q306" s="70">
        <f t="shared" si="24"/>
        <v>0</v>
      </c>
      <c r="R306" s="70"/>
      <c r="S306" s="67"/>
      <c r="T306" s="2" t="str">
        <f t="shared" si="25"/>
        <v>Trần Nguyễn Minh Thành_10AS7</v>
      </c>
      <c r="U306" s="28">
        <f t="array" ref="U306">IFERROR(VLOOKUP($T306,'Nghi hoc T12'!$H$7:$I$160,2,0),0)</f>
        <v>0</v>
      </c>
      <c r="V306" s="28">
        <f>IFERROR(VLOOKUP($T306,No_HP!$B$2:$C$514,2,0),0)</f>
        <v>0</v>
      </c>
      <c r="W306" s="28">
        <f t="shared" si="26"/>
        <v>0</v>
      </c>
      <c r="X306" s="333">
        <f t="shared" si="27"/>
        <v>0</v>
      </c>
      <c r="Y306" s="333">
        <f t="shared" si="28"/>
        <v>0</v>
      </c>
    </row>
    <row r="307" spans="1:25" s="2" customFormat="1" ht="21.95" customHeight="1">
      <c r="A307" s="82">
        <v>15</v>
      </c>
      <c r="B307" s="91" t="str">
        <f t="shared" si="29"/>
        <v>2B.S</v>
      </c>
      <c r="C307" s="83" t="s">
        <v>366</v>
      </c>
      <c r="D307" s="81" t="s">
        <v>520</v>
      </c>
      <c r="E307" s="48">
        <v>100299</v>
      </c>
      <c r="F307" s="30" t="s">
        <v>226</v>
      </c>
      <c r="G307" s="29" t="s">
        <v>49</v>
      </c>
      <c r="H307" s="30" t="s">
        <v>130</v>
      </c>
      <c r="I307" s="78"/>
      <c r="J307" s="20"/>
      <c r="K307" s="20"/>
      <c r="L307" s="20"/>
      <c r="M307" s="20"/>
      <c r="N307" s="69" t="s">
        <v>256</v>
      </c>
      <c r="O307" s="70">
        <v>0</v>
      </c>
      <c r="P307" s="70">
        <v>0</v>
      </c>
      <c r="Q307" s="70">
        <f t="shared" si="24"/>
        <v>0</v>
      </c>
      <c r="R307" s="70"/>
      <c r="S307" s="67"/>
      <c r="T307" s="2" t="str">
        <f t="shared" si="25"/>
        <v>Nguyễn Thị Thanh Thảo_10AS6</v>
      </c>
      <c r="U307" s="28">
        <f t="array" ref="U307">IFERROR(VLOOKUP($T307,'Nghi hoc T12'!$H$7:$I$160,2,0),0)</f>
        <v>0</v>
      </c>
      <c r="V307" s="28">
        <f>IFERROR(VLOOKUP($T307,No_HP!$B$2:$C$514,2,0),0)</f>
        <v>0</v>
      </c>
      <c r="W307" s="28">
        <f t="shared" si="26"/>
        <v>0</v>
      </c>
      <c r="X307" s="333">
        <f t="shared" si="27"/>
        <v>0</v>
      </c>
      <c r="Y307" s="333">
        <f t="shared" si="28"/>
        <v>0</v>
      </c>
    </row>
    <row r="308" spans="1:25" s="2" customFormat="1" ht="21.95" customHeight="1">
      <c r="A308" s="82">
        <v>16</v>
      </c>
      <c r="B308" s="91" t="str">
        <f t="shared" si="29"/>
        <v>2B.S</v>
      </c>
      <c r="C308" s="83" t="s">
        <v>366</v>
      </c>
      <c r="D308" s="81" t="s">
        <v>520</v>
      </c>
      <c r="E308" s="48">
        <v>100300</v>
      </c>
      <c r="F308" s="30" t="s">
        <v>1315</v>
      </c>
      <c r="G308" s="29" t="s">
        <v>48</v>
      </c>
      <c r="H308" s="30" t="s">
        <v>131</v>
      </c>
      <c r="I308" s="78"/>
      <c r="J308" s="20"/>
      <c r="K308" s="20"/>
      <c r="L308" s="20"/>
      <c r="M308" s="20"/>
      <c r="N308" s="69" t="s">
        <v>256</v>
      </c>
      <c r="O308" s="70">
        <v>0</v>
      </c>
      <c r="P308" s="70">
        <v>0</v>
      </c>
      <c r="Q308" s="70">
        <f t="shared" si="24"/>
        <v>0</v>
      </c>
      <c r="R308" s="70"/>
      <c r="S308" s="67"/>
      <c r="T308" s="2" t="str">
        <f t="shared" si="25"/>
        <v>Nguyễn Viết Thắng_10AS7</v>
      </c>
      <c r="U308" s="28">
        <f t="array" ref="U308">IFERROR(VLOOKUP($T308,'Nghi hoc T12'!$H$7:$I$160,2,0),0)</f>
        <v>0</v>
      </c>
      <c r="V308" s="28">
        <f>IFERROR(VLOOKUP($T308,No_HP!$B$2:$C$514,2,0),0)</f>
        <v>0</v>
      </c>
      <c r="W308" s="28">
        <f t="shared" si="26"/>
        <v>0</v>
      </c>
      <c r="X308" s="333">
        <f t="shared" si="27"/>
        <v>0</v>
      </c>
      <c r="Y308" s="333">
        <f t="shared" si="28"/>
        <v>0</v>
      </c>
    </row>
    <row r="309" spans="1:25" s="2" customFormat="1" ht="21.95" customHeight="1">
      <c r="A309" s="82">
        <v>17</v>
      </c>
      <c r="B309" s="91" t="str">
        <f t="shared" si="29"/>
        <v>2B.S</v>
      </c>
      <c r="C309" s="83" t="s">
        <v>366</v>
      </c>
      <c r="D309" s="81" t="s">
        <v>520</v>
      </c>
      <c r="E309" s="48">
        <v>100301</v>
      </c>
      <c r="F309" s="30" t="s">
        <v>1316</v>
      </c>
      <c r="G309" s="29" t="s">
        <v>50</v>
      </c>
      <c r="H309" s="30" t="s">
        <v>1242</v>
      </c>
      <c r="I309" s="78"/>
      <c r="J309" s="20"/>
      <c r="K309" s="20"/>
      <c r="L309" s="20"/>
      <c r="M309" s="20"/>
      <c r="N309" s="69" t="s">
        <v>256</v>
      </c>
      <c r="O309" s="70">
        <v>0</v>
      </c>
      <c r="P309" s="70">
        <v>0</v>
      </c>
      <c r="Q309" s="70">
        <f t="shared" si="24"/>
        <v>0</v>
      </c>
      <c r="R309" s="70"/>
      <c r="S309" s="67"/>
      <c r="T309" s="2" t="str">
        <f t="shared" si="25"/>
        <v>Thạch Huy Thiện_10AS5</v>
      </c>
      <c r="U309" s="28">
        <f t="array" ref="U309">IFERROR(VLOOKUP($T309,'Nghi hoc T12'!$H$7:$I$160,2,0),0)</f>
        <v>0</v>
      </c>
      <c r="V309" s="28">
        <f>IFERROR(VLOOKUP($T309,No_HP!$B$2:$C$514,2,0),0)</f>
        <v>0</v>
      </c>
      <c r="W309" s="28">
        <f t="shared" si="26"/>
        <v>0</v>
      </c>
      <c r="X309" s="333">
        <f t="shared" si="27"/>
        <v>0</v>
      </c>
      <c r="Y309" s="333">
        <f t="shared" si="28"/>
        <v>0</v>
      </c>
    </row>
    <row r="310" spans="1:25" s="2" customFormat="1" ht="21.95" customHeight="1">
      <c r="A310" s="82">
        <v>18</v>
      </c>
      <c r="B310" s="91" t="str">
        <f t="shared" si="29"/>
        <v>2B.S</v>
      </c>
      <c r="C310" s="83" t="s">
        <v>366</v>
      </c>
      <c r="D310" s="81" t="s">
        <v>520</v>
      </c>
      <c r="E310" s="48">
        <v>100302</v>
      </c>
      <c r="F310" s="30" t="s">
        <v>1317</v>
      </c>
      <c r="G310" s="29" t="s">
        <v>58</v>
      </c>
      <c r="H310" s="30" t="s">
        <v>131</v>
      </c>
      <c r="I310" s="78"/>
      <c r="J310" s="20"/>
      <c r="K310" s="20"/>
      <c r="L310" s="20"/>
      <c r="M310" s="20"/>
      <c r="N310" s="69" t="s">
        <v>256</v>
      </c>
      <c r="O310" s="70">
        <v>0</v>
      </c>
      <c r="P310" s="70">
        <v>0</v>
      </c>
      <c r="Q310" s="70">
        <f t="shared" si="24"/>
        <v>0</v>
      </c>
      <c r="R310" s="70"/>
      <c r="S310" s="67"/>
      <c r="T310" s="2" t="str">
        <f t="shared" si="25"/>
        <v>Bùi Bá Thịnh_10AS7</v>
      </c>
      <c r="U310" s="28">
        <f t="array" ref="U310">IFERROR(VLOOKUP($T310,'Nghi hoc T12'!$H$7:$I$160,2,0),0)</f>
        <v>0</v>
      </c>
      <c r="V310" s="28">
        <f>IFERROR(VLOOKUP($T310,No_HP!$B$2:$C$514,2,0),0)</f>
        <v>0</v>
      </c>
      <c r="W310" s="28">
        <f t="shared" si="26"/>
        <v>0</v>
      </c>
      <c r="X310" s="333">
        <f t="shared" si="27"/>
        <v>0</v>
      </c>
      <c r="Y310" s="333">
        <f t="shared" si="28"/>
        <v>0</v>
      </c>
    </row>
    <row r="311" spans="1:25" s="2" customFormat="1" ht="21.95" customHeight="1">
      <c r="A311" s="82">
        <v>19</v>
      </c>
      <c r="B311" s="91" t="str">
        <f t="shared" si="29"/>
        <v>2B.S</v>
      </c>
      <c r="C311" s="83" t="s">
        <v>366</v>
      </c>
      <c r="D311" s="81" t="s">
        <v>520</v>
      </c>
      <c r="E311" s="48">
        <v>100303</v>
      </c>
      <c r="F311" s="30" t="s">
        <v>1318</v>
      </c>
      <c r="G311" s="29" t="s">
        <v>121</v>
      </c>
      <c r="H311" s="30" t="s">
        <v>131</v>
      </c>
      <c r="I311" s="78"/>
      <c r="J311" s="20"/>
      <c r="K311" s="20"/>
      <c r="L311" s="20"/>
      <c r="M311" s="20"/>
      <c r="N311" s="69" t="s">
        <v>256</v>
      </c>
      <c r="O311" s="70">
        <v>0</v>
      </c>
      <c r="P311" s="70">
        <v>0</v>
      </c>
      <c r="Q311" s="70">
        <f t="shared" si="24"/>
        <v>0</v>
      </c>
      <c r="R311" s="70"/>
      <c r="S311" s="67"/>
      <c r="T311" s="2" t="str">
        <f t="shared" si="25"/>
        <v>Hoàng Thị Hoài Thu_10AS7</v>
      </c>
      <c r="U311" s="28">
        <f t="array" ref="U311">IFERROR(VLOOKUP($T311,'Nghi hoc T12'!$H$7:$I$160,2,0),0)</f>
        <v>0</v>
      </c>
      <c r="V311" s="28">
        <f>IFERROR(VLOOKUP($T311,No_HP!$B$2:$C$514,2,0),0)</f>
        <v>0</v>
      </c>
      <c r="W311" s="28">
        <f t="shared" si="26"/>
        <v>0</v>
      </c>
      <c r="X311" s="333">
        <f t="shared" si="27"/>
        <v>0</v>
      </c>
      <c r="Y311" s="333">
        <f t="shared" si="28"/>
        <v>0</v>
      </c>
    </row>
    <row r="312" spans="1:25" s="2" customFormat="1" ht="21.95" customHeight="1">
      <c r="A312" s="82">
        <v>20</v>
      </c>
      <c r="B312" s="91" t="str">
        <f t="shared" si="29"/>
        <v>2B.S</v>
      </c>
      <c r="C312" s="83" t="s">
        <v>366</v>
      </c>
      <c r="D312" s="81" t="s">
        <v>520</v>
      </c>
      <c r="E312" s="48">
        <v>100304</v>
      </c>
      <c r="F312" s="30" t="s">
        <v>327</v>
      </c>
      <c r="G312" s="29" t="s">
        <v>162</v>
      </c>
      <c r="H312" s="30" t="s">
        <v>1242</v>
      </c>
      <c r="I312" s="78"/>
      <c r="J312" s="20"/>
      <c r="K312" s="20"/>
      <c r="L312" s="20"/>
      <c r="M312" s="20"/>
      <c r="N312" s="69" t="s">
        <v>256</v>
      </c>
      <c r="O312" s="70">
        <v>0</v>
      </c>
      <c r="P312" s="70">
        <v>0</v>
      </c>
      <c r="Q312" s="70">
        <f t="shared" si="24"/>
        <v>0</v>
      </c>
      <c r="R312" s="70"/>
      <c r="S312" s="67"/>
      <c r="T312" s="2" t="str">
        <f t="shared" si="25"/>
        <v>Nguyễn Phương Thùy_10AS5</v>
      </c>
      <c r="U312" s="28">
        <f t="array" ref="U312">IFERROR(VLOOKUP($T312,'Nghi hoc T12'!$H$7:$I$160,2,0),0)</f>
        <v>0</v>
      </c>
      <c r="V312" s="28">
        <f>IFERROR(VLOOKUP($T312,No_HP!$B$2:$C$514,2,0),0)</f>
        <v>0</v>
      </c>
      <c r="W312" s="28">
        <f t="shared" si="26"/>
        <v>0</v>
      </c>
      <c r="X312" s="333">
        <f t="shared" si="27"/>
        <v>0</v>
      </c>
      <c r="Y312" s="333">
        <f t="shared" si="28"/>
        <v>0</v>
      </c>
    </row>
    <row r="313" spans="1:25" s="2" customFormat="1" ht="21.95" customHeight="1">
      <c r="A313" s="82">
        <v>21</v>
      </c>
      <c r="B313" s="91" t="str">
        <f t="shared" si="29"/>
        <v>2B.S</v>
      </c>
      <c r="C313" s="83" t="s">
        <v>366</v>
      </c>
      <c r="D313" s="81" t="s">
        <v>520</v>
      </c>
      <c r="E313" s="48">
        <v>100305</v>
      </c>
      <c r="F313" s="30" t="s">
        <v>56</v>
      </c>
      <c r="G313" s="29" t="s">
        <v>238</v>
      </c>
      <c r="H313" s="30" t="s">
        <v>131</v>
      </c>
      <c r="I313" s="78"/>
      <c r="J313" s="20"/>
      <c r="K313" s="20"/>
      <c r="L313" s="20"/>
      <c r="M313" s="20"/>
      <c r="N313" s="69" t="s">
        <v>256</v>
      </c>
      <c r="O313" s="70">
        <v>0</v>
      </c>
      <c r="P313" s="70">
        <v>0</v>
      </c>
      <c r="Q313" s="70">
        <f t="shared" si="24"/>
        <v>0</v>
      </c>
      <c r="R313" s="70"/>
      <c r="S313" s="67"/>
      <c r="T313" s="2" t="str">
        <f t="shared" si="25"/>
        <v>Nguyễn Thị Thu Thủy_10AS7</v>
      </c>
      <c r="U313" s="28">
        <f t="array" ref="U313">IFERROR(VLOOKUP($T313,'Nghi hoc T12'!$H$7:$I$160,2,0),0)</f>
        <v>0</v>
      </c>
      <c r="V313" s="28">
        <f>IFERROR(VLOOKUP($T313,No_HP!$B$2:$C$514,2,0),0)</f>
        <v>0</v>
      </c>
      <c r="W313" s="28">
        <f t="shared" si="26"/>
        <v>0</v>
      </c>
      <c r="X313" s="333">
        <f t="shared" si="27"/>
        <v>0</v>
      </c>
      <c r="Y313" s="333">
        <f t="shared" si="28"/>
        <v>0</v>
      </c>
    </row>
    <row r="314" spans="1:25" s="2" customFormat="1" ht="21.95" customHeight="1">
      <c r="A314" s="82">
        <v>22</v>
      </c>
      <c r="B314" s="91" t="str">
        <f t="shared" si="29"/>
        <v>2B.S</v>
      </c>
      <c r="C314" s="83" t="s">
        <v>366</v>
      </c>
      <c r="D314" s="81" t="s">
        <v>520</v>
      </c>
      <c r="E314" s="48">
        <v>100306</v>
      </c>
      <c r="F314" s="30" t="s">
        <v>427</v>
      </c>
      <c r="G314" s="29" t="s">
        <v>28</v>
      </c>
      <c r="H314" s="30" t="s">
        <v>131</v>
      </c>
      <c r="I314" s="78"/>
      <c r="J314" s="20"/>
      <c r="K314" s="20"/>
      <c r="L314" s="20"/>
      <c r="M314" s="20"/>
      <c r="N314" s="69" t="s">
        <v>256</v>
      </c>
      <c r="O314" s="70">
        <v>0</v>
      </c>
      <c r="P314" s="70">
        <v>0</v>
      </c>
      <c r="Q314" s="70">
        <f t="shared" si="24"/>
        <v>0</v>
      </c>
      <c r="R314" s="70"/>
      <c r="S314" s="67"/>
      <c r="T314" s="2" t="str">
        <f t="shared" si="25"/>
        <v>Bùi Thị Anh Thư_10AS7</v>
      </c>
      <c r="U314" s="28">
        <f t="array" ref="U314">IFERROR(VLOOKUP($T314,'Nghi hoc T12'!$H$7:$I$160,2,0),0)</f>
        <v>0</v>
      </c>
      <c r="V314" s="28">
        <f>IFERROR(VLOOKUP($T314,No_HP!$B$2:$C$514,2,0),0)</f>
        <v>0</v>
      </c>
      <c r="W314" s="28">
        <f t="shared" si="26"/>
        <v>0</v>
      </c>
      <c r="X314" s="333">
        <f t="shared" si="27"/>
        <v>0</v>
      </c>
      <c r="Y314" s="333">
        <f t="shared" si="28"/>
        <v>0</v>
      </c>
    </row>
    <row r="315" spans="1:25" s="2" customFormat="1" ht="21.95" customHeight="1">
      <c r="A315" s="82">
        <v>23</v>
      </c>
      <c r="B315" s="91" t="str">
        <f t="shared" si="29"/>
        <v>2B.S</v>
      </c>
      <c r="C315" s="83" t="s">
        <v>366</v>
      </c>
      <c r="D315" s="81" t="s">
        <v>520</v>
      </c>
      <c r="E315" s="48">
        <v>100307</v>
      </c>
      <c r="F315" s="30" t="s">
        <v>1319</v>
      </c>
      <c r="G315" s="29" t="s">
        <v>28</v>
      </c>
      <c r="H315" s="30" t="s">
        <v>1242</v>
      </c>
      <c r="I315" s="78"/>
      <c r="J315" s="20"/>
      <c r="K315" s="20"/>
      <c r="L315" s="20"/>
      <c r="M315" s="20"/>
      <c r="N315" s="69" t="s">
        <v>256</v>
      </c>
      <c r="O315" s="70">
        <v>0</v>
      </c>
      <c r="P315" s="70">
        <v>0</v>
      </c>
      <c r="Q315" s="70">
        <f t="shared" si="24"/>
        <v>0</v>
      </c>
      <c r="R315" s="70"/>
      <c r="S315" s="67"/>
      <c r="T315" s="2" t="str">
        <f t="shared" si="25"/>
        <v>Lê Nguyễn Minh Thư_10AS5</v>
      </c>
      <c r="U315" s="28">
        <f t="array" ref="U315">IFERROR(VLOOKUP($T315,'Nghi hoc T12'!$H$7:$I$160,2,0),0)</f>
        <v>0</v>
      </c>
      <c r="V315" s="28">
        <f>IFERROR(VLOOKUP($T315,No_HP!$B$2:$C$514,2,0),0)</f>
        <v>0</v>
      </c>
      <c r="W315" s="28">
        <f t="shared" si="26"/>
        <v>0</v>
      </c>
      <c r="X315" s="333">
        <f t="shared" si="27"/>
        <v>0</v>
      </c>
      <c r="Y315" s="333">
        <f t="shared" si="28"/>
        <v>0</v>
      </c>
    </row>
    <row r="316" spans="1:25" s="2" customFormat="1" ht="21.95" customHeight="1">
      <c r="A316" s="82">
        <v>24</v>
      </c>
      <c r="B316" s="91" t="str">
        <f t="shared" si="29"/>
        <v>2B.S</v>
      </c>
      <c r="C316" s="83" t="s">
        <v>366</v>
      </c>
      <c r="D316" s="81" t="s">
        <v>520</v>
      </c>
      <c r="E316" s="48">
        <v>100308</v>
      </c>
      <c r="F316" s="30" t="s">
        <v>1320</v>
      </c>
      <c r="G316" s="29" t="s">
        <v>28</v>
      </c>
      <c r="H316" s="30" t="s">
        <v>1242</v>
      </c>
      <c r="I316" s="78"/>
      <c r="J316" s="20"/>
      <c r="K316" s="20"/>
      <c r="L316" s="20"/>
      <c r="M316" s="20"/>
      <c r="N316" s="69" t="s">
        <v>256</v>
      </c>
      <c r="O316" s="70">
        <v>0</v>
      </c>
      <c r="P316" s="70">
        <v>0</v>
      </c>
      <c r="Q316" s="70">
        <f t="shared" si="24"/>
        <v>0</v>
      </c>
      <c r="R316" s="70"/>
      <c r="S316" s="67"/>
      <c r="T316" s="2" t="str">
        <f t="shared" si="25"/>
        <v>Trần Thị Anh Thư_10AS5</v>
      </c>
      <c r="U316" s="28">
        <f t="array" ref="U316">IFERROR(VLOOKUP($T316,'Nghi hoc T12'!$H$7:$I$160,2,0),0)</f>
        <v>0</v>
      </c>
      <c r="V316" s="28">
        <f>IFERROR(VLOOKUP($T316,No_HP!$B$2:$C$514,2,0),0)</f>
        <v>0</v>
      </c>
      <c r="W316" s="28">
        <f t="shared" si="26"/>
        <v>0</v>
      </c>
      <c r="X316" s="333">
        <f t="shared" si="27"/>
        <v>0</v>
      </c>
      <c r="Y316" s="333">
        <f t="shared" si="28"/>
        <v>0</v>
      </c>
    </row>
    <row r="317" spans="1:25" s="2" customFormat="1" ht="21.95" customHeight="1">
      <c r="A317" s="200">
        <v>1</v>
      </c>
      <c r="B317" s="91" t="str">
        <f t="shared" si="29"/>
        <v>3B.S</v>
      </c>
      <c r="C317" s="185" t="s">
        <v>366</v>
      </c>
      <c r="D317" s="186" t="s">
        <v>521</v>
      </c>
      <c r="E317" s="187">
        <v>100309</v>
      </c>
      <c r="F317" s="188" t="s">
        <v>1321</v>
      </c>
      <c r="G317" s="189" t="s">
        <v>1322</v>
      </c>
      <c r="H317" s="188" t="s">
        <v>131</v>
      </c>
      <c r="I317" s="190"/>
      <c r="J317" s="191"/>
      <c r="K317" s="191"/>
      <c r="L317" s="191"/>
      <c r="M317" s="191"/>
      <c r="N317" s="69" t="s">
        <v>256</v>
      </c>
      <c r="O317" s="70">
        <v>0</v>
      </c>
      <c r="P317" s="70">
        <v>0</v>
      </c>
      <c r="Q317" s="70">
        <f t="shared" si="24"/>
        <v>0</v>
      </c>
      <c r="R317" s="70"/>
      <c r="S317" s="67"/>
      <c r="T317" s="2" t="str">
        <f t="shared" si="25"/>
        <v>Trần Nguyễn Duy Thức_10AS7</v>
      </c>
      <c r="U317" s="28">
        <f t="array" ref="U317">IFERROR(VLOOKUP($T317,'Nghi hoc T12'!$H$7:$I$160,2,0),0)</f>
        <v>0</v>
      </c>
      <c r="V317" s="28">
        <f>IFERROR(VLOOKUP($T317,No_HP!$B$2:$C$514,2,0),0)</f>
        <v>0</v>
      </c>
      <c r="W317" s="28">
        <f t="shared" si="26"/>
        <v>0</v>
      </c>
      <c r="X317" s="333">
        <f t="shared" si="27"/>
        <v>0</v>
      </c>
      <c r="Y317" s="333">
        <f t="shared" si="28"/>
        <v>0</v>
      </c>
    </row>
    <row r="318" spans="1:25" s="2" customFormat="1" ht="21.95" customHeight="1">
      <c r="A318" s="82">
        <v>2</v>
      </c>
      <c r="B318" s="91" t="str">
        <f t="shared" si="29"/>
        <v>3B.S</v>
      </c>
      <c r="C318" s="83" t="s">
        <v>366</v>
      </c>
      <c r="D318" s="81" t="s">
        <v>521</v>
      </c>
      <c r="E318" s="48">
        <v>100310</v>
      </c>
      <c r="F318" s="30" t="s">
        <v>242</v>
      </c>
      <c r="G318" s="29" t="s">
        <v>213</v>
      </c>
      <c r="H318" s="30" t="s">
        <v>130</v>
      </c>
      <c r="I318" s="78"/>
      <c r="J318" s="20"/>
      <c r="K318" s="20"/>
      <c r="L318" s="20"/>
      <c r="M318" s="20"/>
      <c r="N318" s="69" t="s">
        <v>256</v>
      </c>
      <c r="O318" s="70">
        <v>0</v>
      </c>
      <c r="P318" s="70">
        <v>0</v>
      </c>
      <c r="Q318" s="70">
        <f t="shared" si="24"/>
        <v>0</v>
      </c>
      <c r="R318" s="70"/>
      <c r="S318" s="67"/>
      <c r="T318" s="2" t="str">
        <f t="shared" si="25"/>
        <v>Nguyễn Ngọc Bảo Thy_10AS6</v>
      </c>
      <c r="U318" s="28">
        <f t="array" ref="U318">IFERROR(VLOOKUP($T318,'Nghi hoc T12'!$H$7:$I$160,2,0),0)</f>
        <v>0</v>
      </c>
      <c r="V318" s="28">
        <f>IFERROR(VLOOKUP($T318,No_HP!$B$2:$C$514,2,0),0)</f>
        <v>0</v>
      </c>
      <c r="W318" s="28">
        <f t="shared" si="26"/>
        <v>0</v>
      </c>
      <c r="X318" s="333">
        <f t="shared" si="27"/>
        <v>0</v>
      </c>
      <c r="Y318" s="333">
        <f t="shared" si="28"/>
        <v>0</v>
      </c>
    </row>
    <row r="319" spans="1:25" s="2" customFormat="1" ht="21.95" customHeight="1">
      <c r="A319" s="82">
        <v>3</v>
      </c>
      <c r="B319" s="91" t="str">
        <f t="shared" si="29"/>
        <v>3B.S</v>
      </c>
      <c r="C319" s="83" t="s">
        <v>366</v>
      </c>
      <c r="D319" s="81" t="s">
        <v>521</v>
      </c>
      <c r="E319" s="48">
        <v>100311</v>
      </c>
      <c r="F319" s="30" t="s">
        <v>226</v>
      </c>
      <c r="G319" s="29" t="s">
        <v>213</v>
      </c>
      <c r="H319" s="30" t="s">
        <v>1242</v>
      </c>
      <c r="I319" s="78"/>
      <c r="J319" s="20"/>
      <c r="K319" s="20"/>
      <c r="L319" s="20"/>
      <c r="M319" s="20"/>
      <c r="N319" s="69" t="s">
        <v>256</v>
      </c>
      <c r="O319" s="70">
        <v>0</v>
      </c>
      <c r="P319" s="70">
        <v>0</v>
      </c>
      <c r="Q319" s="70">
        <f t="shared" si="24"/>
        <v>0</v>
      </c>
      <c r="R319" s="70"/>
      <c r="S319" s="67"/>
      <c r="T319" s="2" t="str">
        <f t="shared" si="25"/>
        <v>Nguyễn Thị Thanh Thy_10AS5</v>
      </c>
      <c r="U319" s="28">
        <f t="array" ref="U319">IFERROR(VLOOKUP($T319,'Nghi hoc T12'!$H$7:$I$160,2,0),0)</f>
        <v>0</v>
      </c>
      <c r="V319" s="28">
        <f>IFERROR(VLOOKUP($T319,No_HP!$B$2:$C$514,2,0),0)</f>
        <v>0</v>
      </c>
      <c r="W319" s="28">
        <f t="shared" si="26"/>
        <v>0</v>
      </c>
      <c r="X319" s="333">
        <f t="shared" si="27"/>
        <v>0</v>
      </c>
      <c r="Y319" s="333">
        <f t="shared" si="28"/>
        <v>0</v>
      </c>
    </row>
    <row r="320" spans="1:25" s="2" customFormat="1" ht="21.95" customHeight="1">
      <c r="A320" s="82">
        <v>4</v>
      </c>
      <c r="B320" s="91" t="str">
        <f t="shared" si="29"/>
        <v>3B.S</v>
      </c>
      <c r="C320" s="83" t="s">
        <v>366</v>
      </c>
      <c r="D320" s="81" t="s">
        <v>521</v>
      </c>
      <c r="E320" s="48">
        <v>100312</v>
      </c>
      <c r="F320" s="30" t="s">
        <v>1323</v>
      </c>
      <c r="G320" s="29" t="s">
        <v>213</v>
      </c>
      <c r="H320" s="30" t="s">
        <v>130</v>
      </c>
      <c r="I320" s="78"/>
      <c r="J320" s="20"/>
      <c r="K320" s="20"/>
      <c r="L320" s="20"/>
      <c r="M320" s="20"/>
      <c r="N320" s="69" t="s">
        <v>256</v>
      </c>
      <c r="O320" s="70">
        <v>0</v>
      </c>
      <c r="P320" s="70">
        <v>0</v>
      </c>
      <c r="Q320" s="70">
        <f t="shared" si="24"/>
        <v>0</v>
      </c>
      <c r="R320" s="70"/>
      <c r="S320" s="67"/>
      <c r="T320" s="2" t="str">
        <f t="shared" si="25"/>
        <v>Vũ Thị Bảo Thy_10AS6</v>
      </c>
      <c r="U320" s="28">
        <f t="array" ref="U320">IFERROR(VLOOKUP($T320,'Nghi hoc T12'!$H$7:$I$160,2,0),0)</f>
        <v>0</v>
      </c>
      <c r="V320" s="28">
        <f>IFERROR(VLOOKUP($T320,No_HP!$B$2:$C$514,2,0),0)</f>
        <v>0</v>
      </c>
      <c r="W320" s="28">
        <f t="shared" si="26"/>
        <v>0</v>
      </c>
      <c r="X320" s="333">
        <f t="shared" si="27"/>
        <v>0</v>
      </c>
      <c r="Y320" s="333">
        <f t="shared" si="28"/>
        <v>0</v>
      </c>
    </row>
    <row r="321" spans="1:25" s="2" customFormat="1" ht="21.95" customHeight="1">
      <c r="A321" s="82">
        <v>5</v>
      </c>
      <c r="B321" s="91" t="str">
        <f t="shared" si="29"/>
        <v>3B.S</v>
      </c>
      <c r="C321" s="83" t="s">
        <v>366</v>
      </c>
      <c r="D321" s="81" t="s">
        <v>521</v>
      </c>
      <c r="E321" s="48">
        <v>100313</v>
      </c>
      <c r="F321" s="30" t="s">
        <v>1324</v>
      </c>
      <c r="G321" s="29" t="s">
        <v>80</v>
      </c>
      <c r="H321" s="30" t="s">
        <v>131</v>
      </c>
      <c r="I321" s="78"/>
      <c r="J321" s="20"/>
      <c r="K321" s="20"/>
      <c r="L321" s="20"/>
      <c r="M321" s="20"/>
      <c r="N321" s="69" t="s">
        <v>256</v>
      </c>
      <c r="O321" s="70">
        <v>0</v>
      </c>
      <c r="P321" s="70">
        <v>0</v>
      </c>
      <c r="Q321" s="70">
        <f t="shared" si="24"/>
        <v>0</v>
      </c>
      <c r="R321" s="70"/>
      <c r="S321" s="67"/>
      <c r="T321" s="2" t="str">
        <f t="shared" si="25"/>
        <v>Châu Hoàng Minh Tiên_10AS7</v>
      </c>
      <c r="U321" s="28">
        <f t="array" ref="U321">IFERROR(VLOOKUP($T321,'Nghi hoc T12'!$H$7:$I$160,2,0),0)</f>
        <v>0</v>
      </c>
      <c r="V321" s="28">
        <f>IFERROR(VLOOKUP($T321,No_HP!$B$2:$C$514,2,0),0)</f>
        <v>0</v>
      </c>
      <c r="W321" s="28">
        <f t="shared" si="26"/>
        <v>0</v>
      </c>
      <c r="X321" s="333">
        <f t="shared" si="27"/>
        <v>0</v>
      </c>
      <c r="Y321" s="333">
        <f t="shared" si="28"/>
        <v>0</v>
      </c>
    </row>
    <row r="322" spans="1:25" s="2" customFormat="1" ht="21.95" customHeight="1">
      <c r="A322" s="82">
        <v>6</v>
      </c>
      <c r="B322" s="91" t="str">
        <f t="shared" si="29"/>
        <v>3B.S</v>
      </c>
      <c r="C322" s="83" t="s">
        <v>366</v>
      </c>
      <c r="D322" s="81" t="s">
        <v>521</v>
      </c>
      <c r="E322" s="48">
        <v>100314</v>
      </c>
      <c r="F322" s="30" t="s">
        <v>1325</v>
      </c>
      <c r="G322" s="29" t="s">
        <v>80</v>
      </c>
      <c r="H322" s="30" t="s">
        <v>1242</v>
      </c>
      <c r="I322" s="78"/>
      <c r="J322" s="20"/>
      <c r="K322" s="20"/>
      <c r="L322" s="20"/>
      <c r="M322" s="20"/>
      <c r="N322" s="69" t="s">
        <v>256</v>
      </c>
      <c r="O322" s="70">
        <v>0</v>
      </c>
      <c r="P322" s="70">
        <v>0</v>
      </c>
      <c r="Q322" s="70">
        <f t="shared" si="24"/>
        <v>0</v>
      </c>
      <c r="R322" s="70"/>
      <c r="S322" s="67"/>
      <c r="T322" s="2" t="str">
        <f t="shared" si="25"/>
        <v>Dương Cẩm Tiên_10AS5</v>
      </c>
      <c r="U322" s="28">
        <f t="array" ref="U322">IFERROR(VLOOKUP($T322,'Nghi hoc T12'!$H$7:$I$160,2,0),0)</f>
        <v>0</v>
      </c>
      <c r="V322" s="28">
        <f>IFERROR(VLOOKUP($T322,No_HP!$B$2:$C$514,2,0),0)</f>
        <v>0</v>
      </c>
      <c r="W322" s="28">
        <f t="shared" si="26"/>
        <v>0</v>
      </c>
      <c r="X322" s="333">
        <f t="shared" si="27"/>
        <v>0</v>
      </c>
      <c r="Y322" s="333">
        <f t="shared" si="28"/>
        <v>0</v>
      </c>
    </row>
    <row r="323" spans="1:25" s="2" customFormat="1" ht="21.95" customHeight="1">
      <c r="A323" s="82">
        <v>7</v>
      </c>
      <c r="B323" s="91" t="str">
        <f t="shared" si="29"/>
        <v>3B.S</v>
      </c>
      <c r="C323" s="83" t="s">
        <v>366</v>
      </c>
      <c r="D323" s="81" t="s">
        <v>521</v>
      </c>
      <c r="E323" s="48">
        <v>100315</v>
      </c>
      <c r="F323" s="30" t="s">
        <v>1326</v>
      </c>
      <c r="G323" s="29" t="s">
        <v>215</v>
      </c>
      <c r="H323" s="30" t="s">
        <v>130</v>
      </c>
      <c r="I323" s="78"/>
      <c r="J323" s="20"/>
      <c r="K323" s="20"/>
      <c r="L323" s="20"/>
      <c r="M323" s="20"/>
      <c r="N323" s="69" t="s">
        <v>256</v>
      </c>
      <c r="O323" s="70">
        <v>0</v>
      </c>
      <c r="P323" s="70">
        <v>0</v>
      </c>
      <c r="Q323" s="70">
        <f t="shared" si="24"/>
        <v>0</v>
      </c>
      <c r="R323" s="70"/>
      <c r="S323" s="67"/>
      <c r="T323" s="2" t="str">
        <f t="shared" si="25"/>
        <v>Chu Nguyễn Tiến_10AS6</v>
      </c>
      <c r="U323" s="28">
        <f t="array" ref="U323">IFERROR(VLOOKUP($T323,'Nghi hoc T12'!$H$7:$I$160,2,0),0)</f>
        <v>0</v>
      </c>
      <c r="V323" s="28">
        <f>IFERROR(VLOOKUP($T323,No_HP!$B$2:$C$514,2,0),0)</f>
        <v>0</v>
      </c>
      <c r="W323" s="28">
        <f t="shared" si="26"/>
        <v>0</v>
      </c>
      <c r="X323" s="333">
        <f t="shared" si="27"/>
        <v>0</v>
      </c>
      <c r="Y323" s="333">
        <f t="shared" si="28"/>
        <v>0</v>
      </c>
    </row>
    <row r="324" spans="1:25" s="2" customFormat="1" ht="21.95" customHeight="1">
      <c r="A324" s="82">
        <v>8</v>
      </c>
      <c r="B324" s="91" t="str">
        <f t="shared" si="29"/>
        <v>3B.S</v>
      </c>
      <c r="C324" s="83" t="s">
        <v>366</v>
      </c>
      <c r="D324" s="81" t="s">
        <v>521</v>
      </c>
      <c r="E324" s="48">
        <v>100316</v>
      </c>
      <c r="F324" s="30" t="s">
        <v>1327</v>
      </c>
      <c r="G324" s="29" t="s">
        <v>215</v>
      </c>
      <c r="H324" s="30" t="s">
        <v>1242</v>
      </c>
      <c r="I324" s="78"/>
      <c r="J324" s="20"/>
      <c r="K324" s="20"/>
      <c r="L324" s="20"/>
      <c r="M324" s="20"/>
      <c r="N324" s="69" t="s">
        <v>256</v>
      </c>
      <c r="O324" s="70">
        <v>0</v>
      </c>
      <c r="P324" s="70">
        <v>0</v>
      </c>
      <c r="Q324" s="70">
        <f t="shared" si="24"/>
        <v>0</v>
      </c>
      <c r="R324" s="70"/>
      <c r="S324" s="67"/>
      <c r="T324" s="2" t="str">
        <f t="shared" si="25"/>
        <v>Ngân Nhật Tiến_10AS5</v>
      </c>
      <c r="U324" s="28">
        <f t="array" ref="U324">IFERROR(VLOOKUP($T324,'Nghi hoc T12'!$H$7:$I$160,2,0),0)</f>
        <v>0</v>
      </c>
      <c r="V324" s="28">
        <f>IFERROR(VLOOKUP($T324,No_HP!$B$2:$C$514,2,0),0)</f>
        <v>0</v>
      </c>
      <c r="W324" s="28">
        <f t="shared" si="26"/>
        <v>0</v>
      </c>
      <c r="X324" s="333">
        <f t="shared" si="27"/>
        <v>0</v>
      </c>
      <c r="Y324" s="333">
        <f t="shared" si="28"/>
        <v>0</v>
      </c>
    </row>
    <row r="325" spans="1:25" s="2" customFormat="1" ht="21.95" customHeight="1">
      <c r="A325" s="82">
        <v>9</v>
      </c>
      <c r="B325" s="91" t="str">
        <f t="shared" si="29"/>
        <v>3B.S</v>
      </c>
      <c r="C325" s="83" t="s">
        <v>366</v>
      </c>
      <c r="D325" s="81" t="s">
        <v>521</v>
      </c>
      <c r="E325" s="48">
        <v>100317</v>
      </c>
      <c r="F325" s="30" t="s">
        <v>1328</v>
      </c>
      <c r="G325" s="29" t="s">
        <v>106</v>
      </c>
      <c r="H325" s="30" t="s">
        <v>131</v>
      </c>
      <c r="I325" s="78"/>
      <c r="J325" s="20"/>
      <c r="K325" s="20"/>
      <c r="L325" s="20"/>
      <c r="M325" s="20"/>
      <c r="N325" s="69" t="s">
        <v>256</v>
      </c>
      <c r="O325" s="70">
        <v>0</v>
      </c>
      <c r="P325" s="70">
        <v>0</v>
      </c>
      <c r="Q325" s="70">
        <f t="shared" si="24"/>
        <v>0</v>
      </c>
      <c r="R325" s="70"/>
      <c r="S325" s="67"/>
      <c r="T325" s="2" t="str">
        <f t="shared" si="25"/>
        <v>Danh Nguyễn Phúc Toàn_10AS7</v>
      </c>
      <c r="U325" s="28">
        <f t="array" ref="U325">IFERROR(VLOOKUP($T325,'Nghi hoc T12'!$H$7:$I$160,2,0),0)</f>
        <v>0</v>
      </c>
      <c r="V325" s="28">
        <f>IFERROR(VLOOKUP($T325,No_HP!$B$2:$C$514,2,0),0)</f>
        <v>0</v>
      </c>
      <c r="W325" s="28">
        <f t="shared" si="26"/>
        <v>0</v>
      </c>
      <c r="X325" s="333">
        <f t="shared" si="27"/>
        <v>0</v>
      </c>
      <c r="Y325" s="333">
        <f t="shared" si="28"/>
        <v>0</v>
      </c>
    </row>
    <row r="326" spans="1:25" s="2" customFormat="1" ht="21.95" customHeight="1">
      <c r="A326" s="82">
        <v>10</v>
      </c>
      <c r="B326" s="91" t="str">
        <f t="shared" si="29"/>
        <v>3B.S</v>
      </c>
      <c r="C326" s="83" t="s">
        <v>366</v>
      </c>
      <c r="D326" s="81" t="s">
        <v>521</v>
      </c>
      <c r="E326" s="48">
        <v>100318</v>
      </c>
      <c r="F326" s="30" t="s">
        <v>1329</v>
      </c>
      <c r="G326" s="29" t="s">
        <v>29</v>
      </c>
      <c r="H326" s="30" t="s">
        <v>1242</v>
      </c>
      <c r="I326" s="78"/>
      <c r="J326" s="20"/>
      <c r="K326" s="20"/>
      <c r="L326" s="20"/>
      <c r="M326" s="20"/>
      <c r="N326" s="69" t="s">
        <v>256</v>
      </c>
      <c r="O326" s="70">
        <v>0</v>
      </c>
      <c r="P326" s="70">
        <v>0</v>
      </c>
      <c r="Q326" s="70">
        <f t="shared" si="24"/>
        <v>0</v>
      </c>
      <c r="R326" s="70"/>
      <c r="S326" s="67"/>
      <c r="T326" s="2" t="str">
        <f t="shared" si="25"/>
        <v>Đỗ Tú Trâm_10AS5</v>
      </c>
      <c r="U326" s="28">
        <f t="array" ref="U326">IFERROR(VLOOKUP($T326,'Nghi hoc T12'!$H$7:$I$160,2,0),0)</f>
        <v>0</v>
      </c>
      <c r="V326" s="28">
        <f>IFERROR(VLOOKUP($T326,No_HP!$B$2:$C$514,2,0),0)</f>
        <v>0</v>
      </c>
      <c r="W326" s="28">
        <f t="shared" si="26"/>
        <v>0</v>
      </c>
      <c r="X326" s="333">
        <f t="shared" si="27"/>
        <v>0</v>
      </c>
      <c r="Y326" s="333">
        <f t="shared" si="28"/>
        <v>0</v>
      </c>
    </row>
    <row r="327" spans="1:25" s="2" customFormat="1" ht="21.95" customHeight="1">
      <c r="A327" s="82">
        <v>11</v>
      </c>
      <c r="B327" s="91" t="str">
        <f t="shared" si="29"/>
        <v>3B.S</v>
      </c>
      <c r="C327" s="83" t="s">
        <v>366</v>
      </c>
      <c r="D327" s="81" t="s">
        <v>521</v>
      </c>
      <c r="E327" s="48">
        <v>100319</v>
      </c>
      <c r="F327" s="30" t="s">
        <v>223</v>
      </c>
      <c r="G327" s="29" t="s">
        <v>29</v>
      </c>
      <c r="H327" s="30" t="s">
        <v>130</v>
      </c>
      <c r="I327" s="78"/>
      <c r="J327" s="20"/>
      <c r="K327" s="20"/>
      <c r="L327" s="20"/>
      <c r="M327" s="20"/>
      <c r="N327" s="69" t="s">
        <v>256</v>
      </c>
      <c r="O327" s="70">
        <v>0</v>
      </c>
      <c r="P327" s="70">
        <v>0</v>
      </c>
      <c r="Q327" s="70">
        <f t="shared" si="24"/>
        <v>0</v>
      </c>
      <c r="R327" s="70"/>
      <c r="S327" s="67"/>
      <c r="T327" s="2" t="str">
        <f t="shared" si="25"/>
        <v>Nguyễn Thị Yến Trâm_10AS6</v>
      </c>
      <c r="U327" s="28">
        <f t="array" ref="U327">IFERROR(VLOOKUP($T327,'Nghi hoc T12'!$H$7:$I$160,2,0),0)</f>
        <v>0</v>
      </c>
      <c r="V327" s="28">
        <f>IFERROR(VLOOKUP($T327,No_HP!$B$2:$C$514,2,0),0)</f>
        <v>0</v>
      </c>
      <c r="W327" s="28">
        <f t="shared" si="26"/>
        <v>0</v>
      </c>
      <c r="X327" s="333">
        <f t="shared" si="27"/>
        <v>0</v>
      </c>
      <c r="Y327" s="333">
        <f t="shared" si="28"/>
        <v>0</v>
      </c>
    </row>
    <row r="328" spans="1:25" s="2" customFormat="1" ht="21.95" customHeight="1">
      <c r="A328" s="82">
        <v>12</v>
      </c>
      <c r="B328" s="91" t="str">
        <f t="shared" si="29"/>
        <v>3B.S</v>
      </c>
      <c r="C328" s="83" t="s">
        <v>366</v>
      </c>
      <c r="D328" s="81" t="s">
        <v>521</v>
      </c>
      <c r="E328" s="48">
        <v>100320</v>
      </c>
      <c r="F328" s="30" t="s">
        <v>1330</v>
      </c>
      <c r="G328" s="29" t="s">
        <v>29</v>
      </c>
      <c r="H328" s="30" t="s">
        <v>131</v>
      </c>
      <c r="I328" s="78"/>
      <c r="J328" s="20"/>
      <c r="K328" s="20"/>
      <c r="L328" s="20"/>
      <c r="M328" s="20"/>
      <c r="N328" s="69" t="s">
        <v>256</v>
      </c>
      <c r="O328" s="70">
        <v>0</v>
      </c>
      <c r="P328" s="70">
        <v>0</v>
      </c>
      <c r="Q328" s="70">
        <f t="shared" si="24"/>
        <v>0</v>
      </c>
      <c r="R328" s="70"/>
      <c r="S328" s="67"/>
      <c r="T328" s="2" t="str">
        <f t="shared" si="25"/>
        <v>Trịnh Thị Mỹ Trâm_10AS7</v>
      </c>
      <c r="U328" s="28">
        <f t="array" ref="U328">IFERROR(VLOOKUP($T328,'Nghi hoc T12'!$H$7:$I$160,2,0),0)</f>
        <v>0</v>
      </c>
      <c r="V328" s="28">
        <f>IFERROR(VLOOKUP($T328,No_HP!$B$2:$C$514,2,0),0)</f>
        <v>0</v>
      </c>
      <c r="W328" s="28">
        <f t="shared" si="26"/>
        <v>0</v>
      </c>
      <c r="X328" s="333">
        <f t="shared" si="27"/>
        <v>0</v>
      </c>
      <c r="Y328" s="333">
        <f t="shared" si="28"/>
        <v>0</v>
      </c>
    </row>
    <row r="329" spans="1:25" s="2" customFormat="1" ht="21.95" customHeight="1">
      <c r="A329" s="82">
        <v>13</v>
      </c>
      <c r="B329" s="91" t="str">
        <f t="shared" si="29"/>
        <v>3B.S</v>
      </c>
      <c r="C329" s="83" t="s">
        <v>366</v>
      </c>
      <c r="D329" s="81" t="s">
        <v>521</v>
      </c>
      <c r="E329" s="48">
        <v>100321</v>
      </c>
      <c r="F329" s="30" t="s">
        <v>1331</v>
      </c>
      <c r="G329" s="29" t="s">
        <v>98</v>
      </c>
      <c r="H329" s="30" t="s">
        <v>131</v>
      </c>
      <c r="I329" s="78"/>
      <c r="J329" s="20"/>
      <c r="K329" s="20"/>
      <c r="L329" s="20"/>
      <c r="M329" s="20"/>
      <c r="N329" s="69" t="s">
        <v>256</v>
      </c>
      <c r="O329" s="70">
        <v>0</v>
      </c>
      <c r="P329" s="70">
        <v>0</v>
      </c>
      <c r="Q329" s="70">
        <f t="shared" si="24"/>
        <v>0</v>
      </c>
      <c r="R329" s="70"/>
      <c r="S329" s="67"/>
      <c r="T329" s="2" t="str">
        <f t="shared" si="25"/>
        <v>Phạm Nguyễn Tuyết Trinh_10AS7</v>
      </c>
      <c r="U329" s="28">
        <f t="array" ref="U329">IFERROR(VLOOKUP($T329,'Nghi hoc T12'!$H$7:$I$160,2,0),0)</f>
        <v>0</v>
      </c>
      <c r="V329" s="28">
        <f>IFERROR(VLOOKUP($T329,No_HP!$B$2:$C$514,2,0),0)</f>
        <v>0</v>
      </c>
      <c r="W329" s="28">
        <f t="shared" si="26"/>
        <v>0</v>
      </c>
      <c r="X329" s="333">
        <f t="shared" si="27"/>
        <v>0</v>
      </c>
      <c r="Y329" s="333">
        <f t="shared" si="28"/>
        <v>0</v>
      </c>
    </row>
    <row r="330" spans="1:25" s="2" customFormat="1" ht="21.95" customHeight="1">
      <c r="A330" s="82">
        <v>14</v>
      </c>
      <c r="B330" s="91" t="str">
        <f t="shared" si="29"/>
        <v>3B.S</v>
      </c>
      <c r="C330" s="83" t="s">
        <v>366</v>
      </c>
      <c r="D330" s="81" t="s">
        <v>521</v>
      </c>
      <c r="E330" s="48">
        <v>100322</v>
      </c>
      <c r="F330" s="30" t="s">
        <v>136</v>
      </c>
      <c r="G330" s="29" t="s">
        <v>95</v>
      </c>
      <c r="H330" s="30" t="s">
        <v>131</v>
      </c>
      <c r="I330" s="78"/>
      <c r="J330" s="20"/>
      <c r="K330" s="20"/>
      <c r="L330" s="20"/>
      <c r="M330" s="20"/>
      <c r="N330" s="69" t="s">
        <v>256</v>
      </c>
      <c r="O330" s="70">
        <v>0</v>
      </c>
      <c r="P330" s="70">
        <v>0</v>
      </c>
      <c r="Q330" s="70">
        <f t="shared" ref="Q330:Q393" si="30">U330</f>
        <v>0</v>
      </c>
      <c r="R330" s="70"/>
      <c r="S330" s="67"/>
      <c r="T330" s="2" t="str">
        <f t="shared" ref="T330:T393" si="31">TRIM(F330&amp;" "&amp;G330&amp;"_"&amp;H330)</f>
        <v>Nguyễn Hoàng Minh Tuyết_10AS7</v>
      </c>
      <c r="U330" s="28">
        <f t="array" ref="U330">IFERROR(VLOOKUP($T330,'Nghi hoc T12'!$H$7:$I$160,2,0),0)</f>
        <v>0</v>
      </c>
      <c r="V330" s="28">
        <f>IFERROR(VLOOKUP($T330,No_HP!$B$2:$C$514,2,0),0)</f>
        <v>0</v>
      </c>
      <c r="W330" s="28">
        <f t="shared" ref="W330:W393" si="32">I330</f>
        <v>0</v>
      </c>
      <c r="X330" s="333">
        <f t="shared" ref="X330:X393" si="33">O330</f>
        <v>0</v>
      </c>
      <c r="Y330" s="333">
        <f t="shared" ref="Y330:Y393" si="34">P330</f>
        <v>0</v>
      </c>
    </row>
    <row r="331" spans="1:25" s="2" customFormat="1" ht="21.95" customHeight="1">
      <c r="A331" s="82">
        <v>15</v>
      </c>
      <c r="B331" s="91" t="str">
        <f t="shared" ref="B331:B394" si="35">RIGHT(D331,LEN(D331)-2)&amp;"."&amp;LEFT(N331,1)</f>
        <v>3B.S</v>
      </c>
      <c r="C331" s="83" t="s">
        <v>366</v>
      </c>
      <c r="D331" s="81" t="s">
        <v>521</v>
      </c>
      <c r="E331" s="48">
        <v>100323</v>
      </c>
      <c r="F331" s="30" t="s">
        <v>1332</v>
      </c>
      <c r="G331" s="29" t="s">
        <v>1333</v>
      </c>
      <c r="H331" s="30" t="s">
        <v>131</v>
      </c>
      <c r="I331" s="78"/>
      <c r="J331" s="20"/>
      <c r="K331" s="20"/>
      <c r="L331" s="20"/>
      <c r="M331" s="20"/>
      <c r="N331" s="69" t="s">
        <v>256</v>
      </c>
      <c r="O331" s="70">
        <v>0</v>
      </c>
      <c r="P331" s="70">
        <v>0</v>
      </c>
      <c r="Q331" s="70">
        <f t="shared" si="30"/>
        <v>0</v>
      </c>
      <c r="R331" s="70"/>
      <c r="S331" s="67"/>
      <c r="T331" s="2" t="str">
        <f t="shared" si="31"/>
        <v>Võ Bùi Thanh Vàng_10AS7</v>
      </c>
      <c r="U331" s="28">
        <f t="array" ref="U331">IFERROR(VLOOKUP($T331,'Nghi hoc T12'!$H$7:$I$160,2,0),0)</f>
        <v>0</v>
      </c>
      <c r="V331" s="28">
        <f>IFERROR(VLOOKUP($T331,No_HP!$B$2:$C$514,2,0),0)</f>
        <v>0</v>
      </c>
      <c r="W331" s="28">
        <f t="shared" si="32"/>
        <v>0</v>
      </c>
      <c r="X331" s="333">
        <f t="shared" si="33"/>
        <v>0</v>
      </c>
      <c r="Y331" s="333">
        <f t="shared" si="34"/>
        <v>0</v>
      </c>
    </row>
    <row r="332" spans="1:25" s="2" customFormat="1" ht="21.95" customHeight="1">
      <c r="A332" s="82">
        <v>16</v>
      </c>
      <c r="B332" s="91" t="str">
        <f t="shared" si="35"/>
        <v>3B.S</v>
      </c>
      <c r="C332" s="83" t="s">
        <v>366</v>
      </c>
      <c r="D332" s="81" t="s">
        <v>521</v>
      </c>
      <c r="E332" s="48">
        <v>100324</v>
      </c>
      <c r="F332" s="30" t="s">
        <v>1334</v>
      </c>
      <c r="G332" s="29" t="s">
        <v>33</v>
      </c>
      <c r="H332" s="30" t="s">
        <v>1242</v>
      </c>
      <c r="I332" s="78"/>
      <c r="J332" s="20"/>
      <c r="K332" s="20"/>
      <c r="L332" s="20"/>
      <c r="M332" s="20"/>
      <c r="N332" s="69" t="s">
        <v>256</v>
      </c>
      <c r="O332" s="70">
        <v>0</v>
      </c>
      <c r="P332" s="70">
        <v>0</v>
      </c>
      <c r="Q332" s="70">
        <f t="shared" si="30"/>
        <v>0</v>
      </c>
      <c r="R332" s="70"/>
      <c r="S332" s="67"/>
      <c r="T332" s="2" t="str">
        <f t="shared" si="31"/>
        <v>Phạm Hoàng Quốc Việt_10AS5</v>
      </c>
      <c r="U332" s="28">
        <f t="array" ref="U332">IFERROR(VLOOKUP($T332,'Nghi hoc T12'!$H$7:$I$160,2,0),0)</f>
        <v>0</v>
      </c>
      <c r="V332" s="28">
        <f>IFERROR(VLOOKUP($T332,No_HP!$B$2:$C$514,2,0),0)</f>
        <v>0</v>
      </c>
      <c r="W332" s="28">
        <f t="shared" si="32"/>
        <v>0</v>
      </c>
      <c r="X332" s="333">
        <f t="shared" si="33"/>
        <v>0</v>
      </c>
      <c r="Y332" s="333">
        <f t="shared" si="34"/>
        <v>0</v>
      </c>
    </row>
    <row r="333" spans="1:25" s="2" customFormat="1" ht="21.95" customHeight="1">
      <c r="A333" s="82">
        <v>17</v>
      </c>
      <c r="B333" s="91" t="str">
        <f t="shared" si="35"/>
        <v>3B.S</v>
      </c>
      <c r="C333" s="83" t="s">
        <v>366</v>
      </c>
      <c r="D333" s="81" t="s">
        <v>521</v>
      </c>
      <c r="E333" s="48">
        <v>100325</v>
      </c>
      <c r="F333" s="30" t="s">
        <v>1335</v>
      </c>
      <c r="G333" s="29" t="s">
        <v>61</v>
      </c>
      <c r="H333" s="30" t="s">
        <v>131</v>
      </c>
      <c r="I333" s="78"/>
      <c r="J333" s="20"/>
      <c r="K333" s="20"/>
      <c r="L333" s="20"/>
      <c r="M333" s="20"/>
      <c r="N333" s="69" t="s">
        <v>256</v>
      </c>
      <c r="O333" s="70">
        <v>0</v>
      </c>
      <c r="P333" s="70">
        <v>0</v>
      </c>
      <c r="Q333" s="70">
        <f t="shared" si="30"/>
        <v>0</v>
      </c>
      <c r="R333" s="70"/>
      <c r="S333" s="67"/>
      <c r="T333" s="2" t="str">
        <f t="shared" si="31"/>
        <v>Thiều Quang Vinh_10AS7</v>
      </c>
      <c r="U333" s="28">
        <f t="array" ref="U333">IFERROR(VLOOKUP($T333,'Nghi hoc T12'!$H$7:$I$160,2,0),0)</f>
        <v>0</v>
      </c>
      <c r="V333" s="28">
        <f>IFERROR(VLOOKUP($T333,No_HP!$B$2:$C$514,2,0),0)</f>
        <v>0</v>
      </c>
      <c r="W333" s="28">
        <f t="shared" si="32"/>
        <v>0</v>
      </c>
      <c r="X333" s="333">
        <f t="shared" si="33"/>
        <v>0</v>
      </c>
      <c r="Y333" s="333">
        <f t="shared" si="34"/>
        <v>0</v>
      </c>
    </row>
    <row r="334" spans="1:25" s="2" customFormat="1" ht="21.95" customHeight="1">
      <c r="A334" s="82">
        <v>18</v>
      </c>
      <c r="B334" s="91" t="str">
        <f t="shared" si="35"/>
        <v>3B.S</v>
      </c>
      <c r="C334" s="83" t="s">
        <v>366</v>
      </c>
      <c r="D334" s="81" t="s">
        <v>521</v>
      </c>
      <c r="E334" s="48">
        <v>100326</v>
      </c>
      <c r="F334" s="30" t="s">
        <v>454</v>
      </c>
      <c r="G334" s="29" t="s">
        <v>1336</v>
      </c>
      <c r="H334" s="30" t="s">
        <v>130</v>
      </c>
      <c r="I334" s="78"/>
      <c r="J334" s="20"/>
      <c r="K334" s="20"/>
      <c r="L334" s="20"/>
      <c r="M334" s="20"/>
      <c r="N334" s="69" t="s">
        <v>256</v>
      </c>
      <c r="O334" s="70">
        <v>0</v>
      </c>
      <c r="P334" s="70">
        <v>0</v>
      </c>
      <c r="Q334" s="70">
        <f t="shared" si="30"/>
        <v>0</v>
      </c>
      <c r="R334" s="70"/>
      <c r="S334" s="67"/>
      <c r="T334" s="2" t="str">
        <f t="shared" si="31"/>
        <v>Trần Thiện Võ_10AS6</v>
      </c>
      <c r="U334" s="28">
        <f t="array" ref="U334">IFERROR(VLOOKUP($T334,'Nghi hoc T12'!$H$7:$I$160,2,0),0)</f>
        <v>0</v>
      </c>
      <c r="V334" s="28">
        <f>IFERROR(VLOOKUP($T334,No_HP!$B$2:$C$514,2,0),0)</f>
        <v>0</v>
      </c>
      <c r="W334" s="28">
        <f t="shared" si="32"/>
        <v>0</v>
      </c>
      <c r="X334" s="333">
        <f t="shared" si="33"/>
        <v>0</v>
      </c>
      <c r="Y334" s="333">
        <f t="shared" si="34"/>
        <v>0</v>
      </c>
    </row>
    <row r="335" spans="1:25" s="2" customFormat="1" ht="21.95" customHeight="1">
      <c r="A335" s="82">
        <v>19</v>
      </c>
      <c r="B335" s="91" t="str">
        <f t="shared" si="35"/>
        <v>3B.S</v>
      </c>
      <c r="C335" s="83" t="s">
        <v>366</v>
      </c>
      <c r="D335" s="81" t="s">
        <v>521</v>
      </c>
      <c r="E335" s="48">
        <v>100327</v>
      </c>
      <c r="F335" s="30" t="s">
        <v>337</v>
      </c>
      <c r="G335" s="29" t="s">
        <v>99</v>
      </c>
      <c r="H335" s="30" t="s">
        <v>131</v>
      </c>
      <c r="I335" s="78"/>
      <c r="J335" s="20"/>
      <c r="K335" s="20"/>
      <c r="L335" s="20"/>
      <c r="M335" s="20"/>
      <c r="N335" s="69" t="s">
        <v>256</v>
      </c>
      <c r="O335" s="70">
        <v>0</v>
      </c>
      <c r="P335" s="70">
        <v>0</v>
      </c>
      <c r="Q335" s="70">
        <f t="shared" si="30"/>
        <v>0</v>
      </c>
      <c r="R335" s="70"/>
      <c r="S335" s="67"/>
      <c r="T335" s="2" t="str">
        <f t="shared" si="31"/>
        <v>Trần Anh Vũ_10AS7</v>
      </c>
      <c r="U335" s="28">
        <f t="array" ref="U335">IFERROR(VLOOKUP($T335,'Nghi hoc T12'!$H$7:$I$160,2,0),0)</f>
        <v>0</v>
      </c>
      <c r="V335" s="28">
        <f>IFERROR(VLOOKUP($T335,No_HP!$B$2:$C$514,2,0),0)</f>
        <v>0</v>
      </c>
      <c r="W335" s="28">
        <f t="shared" si="32"/>
        <v>0</v>
      </c>
      <c r="X335" s="333">
        <f t="shared" si="33"/>
        <v>0</v>
      </c>
      <c r="Y335" s="333">
        <f t="shared" si="34"/>
        <v>0</v>
      </c>
    </row>
    <row r="336" spans="1:25" s="2" customFormat="1" ht="21.95" customHeight="1">
      <c r="A336" s="82">
        <v>20</v>
      </c>
      <c r="B336" s="91" t="str">
        <f t="shared" si="35"/>
        <v>3B.S</v>
      </c>
      <c r="C336" s="83" t="s">
        <v>366</v>
      </c>
      <c r="D336" s="81" t="s">
        <v>521</v>
      </c>
      <c r="E336" s="48">
        <v>100328</v>
      </c>
      <c r="F336" s="30" t="s">
        <v>268</v>
      </c>
      <c r="G336" s="29" t="s">
        <v>1337</v>
      </c>
      <c r="H336" s="30" t="s">
        <v>1242</v>
      </c>
      <c r="I336" s="78"/>
      <c r="J336" s="20"/>
      <c r="K336" s="20"/>
      <c r="L336" s="20"/>
      <c r="M336" s="20"/>
      <c r="N336" s="69" t="s">
        <v>256</v>
      </c>
      <c r="O336" s="70">
        <v>0</v>
      </c>
      <c r="P336" s="70">
        <v>0</v>
      </c>
      <c r="Q336" s="70">
        <f t="shared" si="30"/>
        <v>0</v>
      </c>
      <c r="R336" s="70"/>
      <c r="S336" s="67"/>
      <c r="T336" s="2" t="str">
        <f t="shared" si="31"/>
        <v>Nguyễn Văn Vương_10AS5</v>
      </c>
      <c r="U336" s="28">
        <f t="array" ref="U336">IFERROR(VLOOKUP($T336,'Nghi hoc T12'!$H$7:$I$160,2,0),0)</f>
        <v>0</v>
      </c>
      <c r="V336" s="28">
        <f>IFERROR(VLOOKUP($T336,No_HP!$B$2:$C$514,2,0),0)</f>
        <v>0</v>
      </c>
      <c r="W336" s="28">
        <f t="shared" si="32"/>
        <v>0</v>
      </c>
      <c r="X336" s="333">
        <f t="shared" si="33"/>
        <v>0</v>
      </c>
      <c r="Y336" s="333">
        <f t="shared" si="34"/>
        <v>0</v>
      </c>
    </row>
    <row r="337" spans="1:25" s="2" customFormat="1" ht="21.95" customHeight="1">
      <c r="A337" s="82">
        <v>21</v>
      </c>
      <c r="B337" s="91" t="str">
        <f t="shared" si="35"/>
        <v>3B.S</v>
      </c>
      <c r="C337" s="83" t="s">
        <v>366</v>
      </c>
      <c r="D337" s="81" t="s">
        <v>521</v>
      </c>
      <c r="E337" s="48">
        <v>100329</v>
      </c>
      <c r="F337" s="30" t="s">
        <v>1338</v>
      </c>
      <c r="G337" s="29" t="s">
        <v>34</v>
      </c>
      <c r="H337" s="30" t="s">
        <v>1242</v>
      </c>
      <c r="I337" s="78"/>
      <c r="J337" s="20"/>
      <c r="K337" s="20"/>
      <c r="L337" s="20"/>
      <c r="M337" s="20"/>
      <c r="N337" s="69" t="s">
        <v>256</v>
      </c>
      <c r="O337" s="70">
        <v>0</v>
      </c>
      <c r="P337" s="70">
        <v>0</v>
      </c>
      <c r="Q337" s="70">
        <f t="shared" si="30"/>
        <v>0</v>
      </c>
      <c r="R337" s="70"/>
      <c r="S337" s="67"/>
      <c r="T337" s="2" t="str">
        <f t="shared" si="31"/>
        <v>Lê Nguyễn Tường Vy_10AS5</v>
      </c>
      <c r="U337" s="28">
        <f t="array" ref="U337">IFERROR(VLOOKUP($T337,'Nghi hoc T12'!$H$7:$I$160,2,0),0)</f>
        <v>0</v>
      </c>
      <c r="V337" s="28">
        <f>IFERROR(VLOOKUP($T337,No_HP!$B$2:$C$514,2,0),0)</f>
        <v>0</v>
      </c>
      <c r="W337" s="28">
        <f t="shared" si="32"/>
        <v>0</v>
      </c>
      <c r="X337" s="333">
        <f t="shared" si="33"/>
        <v>0</v>
      </c>
      <c r="Y337" s="333">
        <f t="shared" si="34"/>
        <v>0</v>
      </c>
    </row>
    <row r="338" spans="1:25" s="2" customFormat="1" ht="21.95" customHeight="1">
      <c r="A338" s="82">
        <v>22</v>
      </c>
      <c r="B338" s="91" t="str">
        <f t="shared" si="35"/>
        <v>3B.S</v>
      </c>
      <c r="C338" s="83" t="s">
        <v>366</v>
      </c>
      <c r="D338" s="81" t="s">
        <v>521</v>
      </c>
      <c r="E338" s="48">
        <v>100330</v>
      </c>
      <c r="F338" s="30" t="s">
        <v>483</v>
      </c>
      <c r="G338" s="29" t="s">
        <v>34</v>
      </c>
      <c r="H338" s="30" t="s">
        <v>131</v>
      </c>
      <c r="I338" s="78"/>
      <c r="J338" s="20"/>
      <c r="K338" s="20"/>
      <c r="L338" s="20"/>
      <c r="M338" s="20"/>
      <c r="N338" s="69" t="s">
        <v>256</v>
      </c>
      <c r="O338" s="70">
        <v>0</v>
      </c>
      <c r="P338" s="70">
        <v>0</v>
      </c>
      <c r="Q338" s="70">
        <f t="shared" si="30"/>
        <v>0</v>
      </c>
      <c r="R338" s="70"/>
      <c r="S338" s="67"/>
      <c r="T338" s="2" t="str">
        <f t="shared" si="31"/>
        <v>Nguyễn Triệu Vy_10AS7</v>
      </c>
      <c r="U338" s="28">
        <f t="array" ref="U338">IFERROR(VLOOKUP($T338,'Nghi hoc T12'!$H$7:$I$160,2,0),0)</f>
        <v>0</v>
      </c>
      <c r="V338" s="28">
        <f>IFERROR(VLOOKUP($T338,No_HP!$B$2:$C$514,2,0),0)</f>
        <v>0</v>
      </c>
      <c r="W338" s="28">
        <f t="shared" si="32"/>
        <v>0</v>
      </c>
      <c r="X338" s="333">
        <f t="shared" si="33"/>
        <v>0</v>
      </c>
      <c r="Y338" s="333">
        <f t="shared" si="34"/>
        <v>0</v>
      </c>
    </row>
    <row r="339" spans="1:25" s="2" customFormat="1" ht="21.95" customHeight="1">
      <c r="A339" s="82">
        <v>23</v>
      </c>
      <c r="B339" s="91" t="str">
        <f t="shared" si="35"/>
        <v>3B.S</v>
      </c>
      <c r="C339" s="83" t="s">
        <v>366</v>
      </c>
      <c r="D339" s="81" t="s">
        <v>521</v>
      </c>
      <c r="E339" s="48">
        <v>100331</v>
      </c>
      <c r="F339" s="30" t="s">
        <v>1339</v>
      </c>
      <c r="G339" s="29" t="s">
        <v>62</v>
      </c>
      <c r="H339" s="30" t="s">
        <v>130</v>
      </c>
      <c r="I339" s="78"/>
      <c r="J339" s="20"/>
      <c r="K339" s="20"/>
      <c r="L339" s="20"/>
      <c r="M339" s="20"/>
      <c r="N339" s="69" t="s">
        <v>256</v>
      </c>
      <c r="O339" s="70">
        <v>0</v>
      </c>
      <c r="P339" s="70">
        <v>0</v>
      </c>
      <c r="Q339" s="70">
        <f t="shared" si="30"/>
        <v>0</v>
      </c>
      <c r="R339" s="70"/>
      <c r="S339" s="67"/>
      <c r="T339" s="2" t="str">
        <f t="shared" si="31"/>
        <v>Nguyễn Phi Yến_10AS6</v>
      </c>
      <c r="U339" s="28">
        <f t="array" ref="U339">IFERROR(VLOOKUP($T339,'Nghi hoc T12'!$H$7:$I$160,2,0),0)</f>
        <v>0</v>
      </c>
      <c r="V339" s="28">
        <f>IFERROR(VLOOKUP($T339,No_HP!$B$2:$C$514,2,0),0)</f>
        <v>0</v>
      </c>
      <c r="W339" s="28">
        <f t="shared" si="32"/>
        <v>0</v>
      </c>
      <c r="X339" s="333">
        <f t="shared" si="33"/>
        <v>0</v>
      </c>
      <c r="Y339" s="333">
        <f t="shared" si="34"/>
        <v>0</v>
      </c>
    </row>
    <row r="340" spans="1:25" s="2" customFormat="1" ht="21.95" customHeight="1">
      <c r="A340" s="200">
        <v>1</v>
      </c>
      <c r="B340" s="91" t="str">
        <f t="shared" si="35"/>
        <v>7B.T</v>
      </c>
      <c r="C340" s="185" t="s">
        <v>366</v>
      </c>
      <c r="D340" s="186" t="s">
        <v>525</v>
      </c>
      <c r="E340" s="187">
        <v>100332</v>
      </c>
      <c r="F340" s="188" t="s">
        <v>1340</v>
      </c>
      <c r="G340" s="189" t="s">
        <v>1341</v>
      </c>
      <c r="H340" s="188" t="s">
        <v>115</v>
      </c>
      <c r="I340" s="190"/>
      <c r="J340" s="191"/>
      <c r="K340" s="191"/>
      <c r="L340" s="191"/>
      <c r="M340" s="191"/>
      <c r="N340" s="179" t="s">
        <v>502</v>
      </c>
      <c r="O340" s="70">
        <v>0</v>
      </c>
      <c r="P340" s="70">
        <v>0</v>
      </c>
      <c r="Q340" s="70">
        <f t="shared" si="30"/>
        <v>0</v>
      </c>
      <c r="R340" s="70"/>
      <c r="S340" s="67"/>
      <c r="T340" s="2" t="str">
        <f t="shared" si="31"/>
        <v>Kpuih Cưm A_10AT2</v>
      </c>
      <c r="U340" s="28">
        <f t="array" ref="U340">IFERROR(VLOOKUP($T340,'Nghi hoc T12'!$H$7:$I$160,2,0),0)</f>
        <v>0</v>
      </c>
      <c r="V340" s="28">
        <f>IFERROR(VLOOKUP($T340,No_HP!$B$2:$C$514,2,0),0)</f>
        <v>0</v>
      </c>
      <c r="W340" s="28">
        <f t="shared" si="32"/>
        <v>0</v>
      </c>
      <c r="X340" s="333">
        <f t="shared" si="33"/>
        <v>0</v>
      </c>
      <c r="Y340" s="333">
        <f t="shared" si="34"/>
        <v>0</v>
      </c>
    </row>
    <row r="341" spans="1:25" s="2" customFormat="1" ht="21.95" customHeight="1">
      <c r="A341" s="82">
        <v>2</v>
      </c>
      <c r="B341" s="91" t="str">
        <f t="shared" si="35"/>
        <v>7B.T</v>
      </c>
      <c r="C341" s="83" t="s">
        <v>366</v>
      </c>
      <c r="D341" s="81" t="s">
        <v>525</v>
      </c>
      <c r="E341" s="48">
        <v>100333</v>
      </c>
      <c r="F341" s="30" t="s">
        <v>228</v>
      </c>
      <c r="G341" s="29" t="s">
        <v>63</v>
      </c>
      <c r="H341" s="30" t="s">
        <v>114</v>
      </c>
      <c r="I341" s="78"/>
      <c r="J341" s="20"/>
      <c r="K341" s="20"/>
      <c r="L341" s="20"/>
      <c r="M341" s="20"/>
      <c r="N341" s="179" t="s">
        <v>502</v>
      </c>
      <c r="O341" s="70">
        <v>0</v>
      </c>
      <c r="P341" s="70">
        <v>0</v>
      </c>
      <c r="Q341" s="70">
        <f t="shared" si="30"/>
        <v>0</v>
      </c>
      <c r="R341" s="70"/>
      <c r="S341" s="67"/>
      <c r="T341" s="2" t="str">
        <f t="shared" si="31"/>
        <v>Nguyễn Trần Bảo An_10AT1</v>
      </c>
      <c r="U341" s="28">
        <f t="array" ref="U341">IFERROR(VLOOKUP($T341,'Nghi hoc T12'!$H$7:$I$160,2,0),0)</f>
        <v>0</v>
      </c>
      <c r="V341" s="28">
        <f>IFERROR(VLOOKUP($T341,No_HP!$B$2:$C$514,2,0),0)</f>
        <v>0</v>
      </c>
      <c r="W341" s="28">
        <f t="shared" si="32"/>
        <v>0</v>
      </c>
      <c r="X341" s="333">
        <f t="shared" si="33"/>
        <v>0</v>
      </c>
      <c r="Y341" s="333">
        <f t="shared" si="34"/>
        <v>0</v>
      </c>
    </row>
    <row r="342" spans="1:25" s="2" customFormat="1" ht="21.95" customHeight="1">
      <c r="A342" s="82">
        <v>3</v>
      </c>
      <c r="B342" s="91" t="str">
        <f t="shared" si="35"/>
        <v>7B.T</v>
      </c>
      <c r="C342" s="83" t="s">
        <v>366</v>
      </c>
      <c r="D342" s="81" t="s">
        <v>525</v>
      </c>
      <c r="E342" s="48">
        <v>100334</v>
      </c>
      <c r="F342" s="30" t="s">
        <v>1342</v>
      </c>
      <c r="G342" s="29" t="s">
        <v>5</v>
      </c>
      <c r="H342" s="30" t="s">
        <v>115</v>
      </c>
      <c r="I342" s="78"/>
      <c r="J342" s="20"/>
      <c r="K342" s="20"/>
      <c r="L342" s="20"/>
      <c r="M342" s="20"/>
      <c r="N342" s="179" t="s">
        <v>502</v>
      </c>
      <c r="O342" s="70">
        <v>0</v>
      </c>
      <c r="P342" s="70">
        <v>0</v>
      </c>
      <c r="Q342" s="70">
        <f t="shared" si="30"/>
        <v>0</v>
      </c>
      <c r="R342" s="70"/>
      <c r="S342" s="67"/>
      <c r="T342" s="2" t="str">
        <f t="shared" si="31"/>
        <v>Lê Nguyễn Quỳnh Anh_10AT2</v>
      </c>
      <c r="U342" s="28">
        <f t="array" ref="U342">IFERROR(VLOOKUP($T342,'Nghi hoc T12'!$H$7:$I$160,2,0),0)</f>
        <v>0</v>
      </c>
      <c r="V342" s="28">
        <f>IFERROR(VLOOKUP($T342,No_HP!$B$2:$C$514,2,0),0)</f>
        <v>0</v>
      </c>
      <c r="W342" s="28">
        <f t="shared" si="32"/>
        <v>0</v>
      </c>
      <c r="X342" s="333">
        <f t="shared" si="33"/>
        <v>0</v>
      </c>
      <c r="Y342" s="333">
        <f t="shared" si="34"/>
        <v>0</v>
      </c>
    </row>
    <row r="343" spans="1:25" s="2" customFormat="1" ht="21.95" customHeight="1">
      <c r="A343" s="82">
        <v>4</v>
      </c>
      <c r="B343" s="91" t="str">
        <f t="shared" si="35"/>
        <v>7B.T</v>
      </c>
      <c r="C343" s="83" t="s">
        <v>366</v>
      </c>
      <c r="D343" s="81" t="s">
        <v>525</v>
      </c>
      <c r="E343" s="48">
        <v>100335</v>
      </c>
      <c r="F343" s="30" t="s">
        <v>423</v>
      </c>
      <c r="G343" s="29" t="s">
        <v>5</v>
      </c>
      <c r="H343" s="30" t="s">
        <v>114</v>
      </c>
      <c r="I343" s="78"/>
      <c r="J343" s="20"/>
      <c r="K343" s="20"/>
      <c r="L343" s="20"/>
      <c r="M343" s="20"/>
      <c r="N343" s="179" t="s">
        <v>502</v>
      </c>
      <c r="O343" s="70">
        <v>0</v>
      </c>
      <c r="P343" s="70">
        <v>0</v>
      </c>
      <c r="Q343" s="70">
        <f t="shared" si="30"/>
        <v>0</v>
      </c>
      <c r="R343" s="70"/>
      <c r="S343" s="67"/>
      <c r="T343" s="2" t="str">
        <f t="shared" si="31"/>
        <v>Nguyễn Thị Vân Anh_10AT1</v>
      </c>
      <c r="U343" s="28">
        <f t="array" ref="U343">IFERROR(VLOOKUP($T343,'Nghi hoc T12'!$H$7:$I$160,2,0),0)</f>
        <v>0</v>
      </c>
      <c r="V343" s="28">
        <f>IFERROR(VLOOKUP($T343,No_HP!$B$2:$C$514,2,0),0)</f>
        <v>0</v>
      </c>
      <c r="W343" s="28">
        <f t="shared" si="32"/>
        <v>0</v>
      </c>
      <c r="X343" s="333">
        <f t="shared" si="33"/>
        <v>0</v>
      </c>
      <c r="Y343" s="333">
        <f t="shared" si="34"/>
        <v>0</v>
      </c>
    </row>
    <row r="344" spans="1:25" s="2" customFormat="1" ht="21.95" customHeight="1">
      <c r="A344" s="82">
        <v>5</v>
      </c>
      <c r="B344" s="91" t="str">
        <f t="shared" si="35"/>
        <v>7B.T</v>
      </c>
      <c r="C344" s="83" t="s">
        <v>366</v>
      </c>
      <c r="D344" s="81" t="s">
        <v>525</v>
      </c>
      <c r="E344" s="48">
        <v>100336</v>
      </c>
      <c r="F344" s="30" t="s">
        <v>1343</v>
      </c>
      <c r="G344" s="29" t="s">
        <v>5</v>
      </c>
      <c r="H344" s="30" t="s">
        <v>115</v>
      </c>
      <c r="I344" s="78"/>
      <c r="J344" s="20"/>
      <c r="K344" s="20"/>
      <c r="L344" s="20"/>
      <c r="M344" s="20"/>
      <c r="N344" s="179" t="s">
        <v>502</v>
      </c>
      <c r="O344" s="70">
        <v>0</v>
      </c>
      <c r="P344" s="70">
        <v>0</v>
      </c>
      <c r="Q344" s="70">
        <f t="shared" si="30"/>
        <v>0</v>
      </c>
      <c r="R344" s="70"/>
      <c r="S344" s="67"/>
      <c r="T344" s="2" t="str">
        <f t="shared" si="31"/>
        <v>Nguyễn Thọ Tuấn Anh_10AT2</v>
      </c>
      <c r="U344" s="28">
        <f t="array" ref="U344">IFERROR(VLOOKUP($T344,'Nghi hoc T12'!$H$7:$I$160,2,0),0)</f>
        <v>0</v>
      </c>
      <c r="V344" s="28">
        <f>IFERROR(VLOOKUP($T344,No_HP!$B$2:$C$514,2,0),0)</f>
        <v>0</v>
      </c>
      <c r="W344" s="28">
        <f t="shared" si="32"/>
        <v>0</v>
      </c>
      <c r="X344" s="333">
        <f t="shared" si="33"/>
        <v>0</v>
      </c>
      <c r="Y344" s="333">
        <f t="shared" si="34"/>
        <v>0</v>
      </c>
    </row>
    <row r="345" spans="1:25" s="2" customFormat="1" ht="21.95" customHeight="1">
      <c r="A345" s="82">
        <v>6</v>
      </c>
      <c r="B345" s="91" t="str">
        <f t="shared" si="35"/>
        <v>7B.T</v>
      </c>
      <c r="C345" s="83" t="s">
        <v>366</v>
      </c>
      <c r="D345" s="81" t="s">
        <v>525</v>
      </c>
      <c r="E345" s="48">
        <v>100337</v>
      </c>
      <c r="F345" s="30" t="s">
        <v>1344</v>
      </c>
      <c r="G345" s="29" t="s">
        <v>108</v>
      </c>
      <c r="H345" s="30" t="s">
        <v>115</v>
      </c>
      <c r="I345" s="78"/>
      <c r="J345" s="20"/>
      <c r="K345" s="20"/>
      <c r="L345" s="20"/>
      <c r="M345" s="20"/>
      <c r="N345" s="179" t="s">
        <v>502</v>
      </c>
      <c r="O345" s="70">
        <v>0</v>
      </c>
      <c r="P345" s="70">
        <v>0</v>
      </c>
      <c r="Q345" s="70">
        <f t="shared" si="30"/>
        <v>0</v>
      </c>
      <c r="R345" s="70"/>
      <c r="S345" s="67"/>
      <c r="T345" s="2" t="str">
        <f t="shared" si="31"/>
        <v>Nguyễn Trịnh Hoài Ân_10AT2</v>
      </c>
      <c r="U345" s="28">
        <f t="array" ref="U345">IFERROR(VLOOKUP($T345,'Nghi hoc T12'!$H$7:$I$160,2,0),0)</f>
        <v>0</v>
      </c>
      <c r="V345" s="28">
        <f>IFERROR(VLOOKUP($T345,No_HP!$B$2:$C$514,2,0),0)</f>
        <v>0</v>
      </c>
      <c r="W345" s="28">
        <f t="shared" si="32"/>
        <v>0</v>
      </c>
      <c r="X345" s="333">
        <f t="shared" si="33"/>
        <v>0</v>
      </c>
      <c r="Y345" s="333">
        <f t="shared" si="34"/>
        <v>0</v>
      </c>
    </row>
    <row r="346" spans="1:25" s="2" customFormat="1" ht="21.95" customHeight="1">
      <c r="A346" s="82">
        <v>7</v>
      </c>
      <c r="B346" s="91" t="str">
        <f t="shared" si="35"/>
        <v>7B.T</v>
      </c>
      <c r="C346" s="83" t="s">
        <v>366</v>
      </c>
      <c r="D346" s="81" t="s">
        <v>525</v>
      </c>
      <c r="E346" s="48">
        <v>100338</v>
      </c>
      <c r="F346" s="30" t="s">
        <v>1345</v>
      </c>
      <c r="G346" s="29" t="s">
        <v>83</v>
      </c>
      <c r="H346" s="30" t="s">
        <v>114</v>
      </c>
      <c r="I346" s="78"/>
      <c r="J346" s="20"/>
      <c r="K346" s="20"/>
      <c r="L346" s="20"/>
      <c r="M346" s="20"/>
      <c r="N346" s="179" t="s">
        <v>502</v>
      </c>
      <c r="O346" s="70">
        <v>0</v>
      </c>
      <c r="P346" s="70">
        <v>0</v>
      </c>
      <c r="Q346" s="70">
        <f t="shared" si="30"/>
        <v>0</v>
      </c>
      <c r="R346" s="70"/>
      <c r="S346" s="67"/>
      <c r="T346" s="2" t="str">
        <f t="shared" si="31"/>
        <v>Châu Gia Bảo_10AT1</v>
      </c>
      <c r="U346" s="28">
        <f t="array" ref="U346">IFERROR(VLOOKUP($T346,'Nghi hoc T12'!$H$7:$I$160,2,0),0)</f>
        <v>0</v>
      </c>
      <c r="V346" s="28">
        <f>IFERROR(VLOOKUP($T346,No_HP!$B$2:$C$514,2,0),0)</f>
        <v>0</v>
      </c>
      <c r="W346" s="28">
        <f t="shared" si="32"/>
        <v>0</v>
      </c>
      <c r="X346" s="333">
        <f t="shared" si="33"/>
        <v>0</v>
      </c>
      <c r="Y346" s="333">
        <f t="shared" si="34"/>
        <v>0</v>
      </c>
    </row>
    <row r="347" spans="1:25" s="2" customFormat="1" ht="21.95" customHeight="1">
      <c r="A347" s="82">
        <v>8</v>
      </c>
      <c r="B347" s="91" t="str">
        <f t="shared" si="35"/>
        <v>7B.T</v>
      </c>
      <c r="C347" s="83" t="s">
        <v>366</v>
      </c>
      <c r="D347" s="81" t="s">
        <v>525</v>
      </c>
      <c r="E347" s="48">
        <v>100339</v>
      </c>
      <c r="F347" s="30" t="s">
        <v>325</v>
      </c>
      <c r="G347" s="29" t="s">
        <v>83</v>
      </c>
      <c r="H347" s="30" t="s">
        <v>115</v>
      </c>
      <c r="I347" s="78"/>
      <c r="J347" s="20"/>
      <c r="K347" s="20"/>
      <c r="L347" s="20"/>
      <c r="M347" s="20"/>
      <c r="N347" s="179" t="s">
        <v>502</v>
      </c>
      <c r="O347" s="70">
        <v>0</v>
      </c>
      <c r="P347" s="70">
        <v>0</v>
      </c>
      <c r="Q347" s="70">
        <f t="shared" si="30"/>
        <v>0</v>
      </c>
      <c r="R347" s="70"/>
      <c r="S347" s="67"/>
      <c r="T347" s="2" t="str">
        <f t="shared" si="31"/>
        <v>Lê Nguyễn Gia Bảo_10AT2</v>
      </c>
      <c r="U347" s="28">
        <f t="array" ref="U347">IFERROR(VLOOKUP($T347,'Nghi hoc T12'!$H$7:$I$160,2,0),0)</f>
        <v>0</v>
      </c>
      <c r="V347" s="28">
        <f>IFERROR(VLOOKUP($T347,No_HP!$B$2:$C$514,2,0),0)</f>
        <v>0</v>
      </c>
      <c r="W347" s="28">
        <f t="shared" si="32"/>
        <v>0</v>
      </c>
      <c r="X347" s="333">
        <f t="shared" si="33"/>
        <v>0</v>
      </c>
      <c r="Y347" s="333">
        <f t="shared" si="34"/>
        <v>0</v>
      </c>
    </row>
    <row r="348" spans="1:25" s="2" customFormat="1" ht="21.95" customHeight="1">
      <c r="A348" s="82">
        <v>9</v>
      </c>
      <c r="B348" s="91" t="str">
        <f t="shared" si="35"/>
        <v>7B.T</v>
      </c>
      <c r="C348" s="83" t="s">
        <v>366</v>
      </c>
      <c r="D348" s="81" t="s">
        <v>525</v>
      </c>
      <c r="E348" s="48">
        <v>100340</v>
      </c>
      <c r="F348" s="30" t="s">
        <v>118</v>
      </c>
      <c r="G348" s="29" t="s">
        <v>83</v>
      </c>
      <c r="H348" s="30" t="s">
        <v>114</v>
      </c>
      <c r="I348" s="78"/>
      <c r="J348" s="20"/>
      <c r="K348" s="20"/>
      <c r="L348" s="20"/>
      <c r="M348" s="20"/>
      <c r="N348" s="179" t="s">
        <v>502</v>
      </c>
      <c r="O348" s="70">
        <v>0</v>
      </c>
      <c r="P348" s="70">
        <v>0</v>
      </c>
      <c r="Q348" s="70">
        <f t="shared" si="30"/>
        <v>0</v>
      </c>
      <c r="R348" s="70"/>
      <c r="S348" s="67"/>
      <c r="T348" s="2" t="str">
        <f t="shared" si="31"/>
        <v>Nguyễn Quốc Bảo_10AT1</v>
      </c>
      <c r="U348" s="28">
        <f t="array" ref="U348">IFERROR(VLOOKUP($T348,'Nghi hoc T12'!$H$7:$I$160,2,0),0)</f>
        <v>0</v>
      </c>
      <c r="V348" s="28">
        <f>IFERROR(VLOOKUP($T348,No_HP!$B$2:$C$514,2,0),0)</f>
        <v>0</v>
      </c>
      <c r="W348" s="28">
        <f t="shared" si="32"/>
        <v>0</v>
      </c>
      <c r="X348" s="333">
        <f t="shared" si="33"/>
        <v>0</v>
      </c>
      <c r="Y348" s="333">
        <f t="shared" si="34"/>
        <v>0</v>
      </c>
    </row>
    <row r="349" spans="1:25" s="2" customFormat="1" ht="21.95" customHeight="1">
      <c r="A349" s="82">
        <v>10</v>
      </c>
      <c r="B349" s="91" t="str">
        <f t="shared" si="35"/>
        <v>7B.T</v>
      </c>
      <c r="C349" s="83" t="s">
        <v>366</v>
      </c>
      <c r="D349" s="81" t="s">
        <v>525</v>
      </c>
      <c r="E349" s="48">
        <v>100341</v>
      </c>
      <c r="F349" s="30" t="s">
        <v>196</v>
      </c>
      <c r="G349" s="29" t="s">
        <v>83</v>
      </c>
      <c r="H349" s="30" t="s">
        <v>115</v>
      </c>
      <c r="I349" s="78"/>
      <c r="J349" s="20"/>
      <c r="K349" s="20"/>
      <c r="L349" s="20"/>
      <c r="M349" s="20"/>
      <c r="N349" s="179" t="s">
        <v>502</v>
      </c>
      <c r="O349" s="70">
        <v>0</v>
      </c>
      <c r="P349" s="70">
        <v>0</v>
      </c>
      <c r="Q349" s="70">
        <f t="shared" si="30"/>
        <v>0</v>
      </c>
      <c r="R349" s="70"/>
      <c r="S349" s="67"/>
      <c r="T349" s="2" t="str">
        <f t="shared" si="31"/>
        <v>Trần Gia Bảo_10AT2</v>
      </c>
      <c r="U349" s="28">
        <f t="array" ref="U349">IFERROR(VLOOKUP($T349,'Nghi hoc T12'!$H$7:$I$160,2,0),0)</f>
        <v>0</v>
      </c>
      <c r="V349" s="28">
        <f>IFERROR(VLOOKUP($T349,No_HP!$B$2:$C$514,2,0),0)</f>
        <v>0</v>
      </c>
      <c r="W349" s="28">
        <f t="shared" si="32"/>
        <v>0</v>
      </c>
      <c r="X349" s="333">
        <f t="shared" si="33"/>
        <v>0</v>
      </c>
      <c r="Y349" s="333">
        <f t="shared" si="34"/>
        <v>0</v>
      </c>
    </row>
    <row r="350" spans="1:25" s="2" customFormat="1" ht="21.95" customHeight="1">
      <c r="A350" s="82">
        <v>11</v>
      </c>
      <c r="B350" s="91" t="str">
        <f t="shared" si="35"/>
        <v>7B.T</v>
      </c>
      <c r="C350" s="83" t="s">
        <v>366</v>
      </c>
      <c r="D350" s="81" t="s">
        <v>525</v>
      </c>
      <c r="E350" s="48">
        <v>100342</v>
      </c>
      <c r="F350" s="30" t="s">
        <v>1346</v>
      </c>
      <c r="G350" s="29" t="s">
        <v>77</v>
      </c>
      <c r="H350" s="30" t="s">
        <v>114</v>
      </c>
      <c r="I350" s="78"/>
      <c r="J350" s="20"/>
      <c r="K350" s="20"/>
      <c r="L350" s="20"/>
      <c r="M350" s="20"/>
      <c r="N350" s="179" t="s">
        <v>502</v>
      </c>
      <c r="O350" s="70">
        <v>0</v>
      </c>
      <c r="P350" s="70">
        <v>0</v>
      </c>
      <c r="Q350" s="70">
        <f t="shared" si="30"/>
        <v>0</v>
      </c>
      <c r="R350" s="70"/>
      <c r="S350" s="67"/>
      <c r="T350" s="2" t="str">
        <f t="shared" si="31"/>
        <v>Trịnh Quốc Bình_10AT1</v>
      </c>
      <c r="U350" s="28">
        <f t="array" ref="U350">IFERROR(VLOOKUP($T350,'Nghi hoc T12'!$H$7:$I$160,2,0),0)</f>
        <v>0</v>
      </c>
      <c r="V350" s="28">
        <f>IFERROR(VLOOKUP($T350,No_HP!$B$2:$C$514,2,0),0)</f>
        <v>0</v>
      </c>
      <c r="W350" s="28">
        <f t="shared" si="32"/>
        <v>0</v>
      </c>
      <c r="X350" s="333">
        <f t="shared" si="33"/>
        <v>0</v>
      </c>
      <c r="Y350" s="333">
        <f t="shared" si="34"/>
        <v>0</v>
      </c>
    </row>
    <row r="351" spans="1:25" s="2" customFormat="1" ht="21.95" customHeight="1">
      <c r="A351" s="82">
        <v>12</v>
      </c>
      <c r="B351" s="91" t="str">
        <f t="shared" si="35"/>
        <v>7B.T</v>
      </c>
      <c r="C351" s="83" t="s">
        <v>366</v>
      </c>
      <c r="D351" s="81" t="s">
        <v>525</v>
      </c>
      <c r="E351" s="48">
        <v>100343</v>
      </c>
      <c r="F351" s="30" t="s">
        <v>148</v>
      </c>
      <c r="G351" s="29" t="s">
        <v>6</v>
      </c>
      <c r="H351" s="30" t="s">
        <v>114</v>
      </c>
      <c r="I351" s="78"/>
      <c r="J351" s="20"/>
      <c r="K351" s="20"/>
      <c r="L351" s="20"/>
      <c r="M351" s="20"/>
      <c r="N351" s="179" t="s">
        <v>502</v>
      </c>
      <c r="O351" s="70">
        <v>0</v>
      </c>
      <c r="P351" s="70">
        <v>0</v>
      </c>
      <c r="Q351" s="70">
        <f t="shared" si="30"/>
        <v>0</v>
      </c>
      <c r="R351" s="70"/>
      <c r="S351" s="67"/>
      <c r="T351" s="2" t="str">
        <f t="shared" si="31"/>
        <v>Nguyễn Anh Dũng_10AT1</v>
      </c>
      <c r="U351" s="28">
        <f t="array" ref="U351">IFERROR(VLOOKUP($T351,'Nghi hoc T12'!$H$7:$I$160,2,0),0)</f>
        <v>0</v>
      </c>
      <c r="V351" s="28">
        <f>IFERROR(VLOOKUP($T351,No_HP!$B$2:$C$514,2,0),0)</f>
        <v>0</v>
      </c>
      <c r="W351" s="28">
        <f t="shared" si="32"/>
        <v>0</v>
      </c>
      <c r="X351" s="333">
        <f t="shared" si="33"/>
        <v>0</v>
      </c>
      <c r="Y351" s="333">
        <f t="shared" si="34"/>
        <v>0</v>
      </c>
    </row>
    <row r="352" spans="1:25" s="2" customFormat="1" ht="21.95" customHeight="1">
      <c r="A352" s="82">
        <v>13</v>
      </c>
      <c r="B352" s="91" t="str">
        <f t="shared" si="35"/>
        <v>7B.T</v>
      </c>
      <c r="C352" s="83" t="s">
        <v>366</v>
      </c>
      <c r="D352" s="81" t="s">
        <v>525</v>
      </c>
      <c r="E352" s="48">
        <v>100344</v>
      </c>
      <c r="F352" s="30" t="s">
        <v>1347</v>
      </c>
      <c r="G352" s="29" t="s">
        <v>65</v>
      </c>
      <c r="H352" s="30" t="s">
        <v>114</v>
      </c>
      <c r="I352" s="78"/>
      <c r="J352" s="20"/>
      <c r="K352" s="20"/>
      <c r="L352" s="20"/>
      <c r="M352" s="20"/>
      <c r="N352" s="179" t="s">
        <v>502</v>
      </c>
      <c r="O352" s="70">
        <v>0</v>
      </c>
      <c r="P352" s="70">
        <v>0</v>
      </c>
      <c r="Q352" s="70">
        <f t="shared" si="30"/>
        <v>0</v>
      </c>
      <c r="R352" s="70"/>
      <c r="S352" s="67"/>
      <c r="T352" s="2" t="str">
        <f t="shared" si="31"/>
        <v>Vũ Quý Công Duy_10AT1</v>
      </c>
      <c r="U352" s="28">
        <f t="array" ref="U352">IFERROR(VLOOKUP($T352,'Nghi hoc T12'!$H$7:$I$160,2,0),0)</f>
        <v>0</v>
      </c>
      <c r="V352" s="28">
        <f>IFERROR(VLOOKUP($T352,No_HP!$B$2:$C$514,2,0),0)</f>
        <v>0</v>
      </c>
      <c r="W352" s="28">
        <f t="shared" si="32"/>
        <v>0</v>
      </c>
      <c r="X352" s="333">
        <f t="shared" si="33"/>
        <v>0</v>
      </c>
      <c r="Y352" s="333">
        <f t="shared" si="34"/>
        <v>0</v>
      </c>
    </row>
    <row r="353" spans="1:25" s="2" customFormat="1" ht="21.95" customHeight="1">
      <c r="A353" s="82">
        <v>14</v>
      </c>
      <c r="B353" s="91" t="str">
        <f t="shared" si="35"/>
        <v>7B.T</v>
      </c>
      <c r="C353" s="83" t="s">
        <v>366</v>
      </c>
      <c r="D353" s="81" t="s">
        <v>525</v>
      </c>
      <c r="E353" s="48">
        <v>100345</v>
      </c>
      <c r="F353" s="30" t="s">
        <v>1348</v>
      </c>
      <c r="G353" s="29" t="s">
        <v>53</v>
      </c>
      <c r="H353" s="30" t="s">
        <v>114</v>
      </c>
      <c r="I353" s="78"/>
      <c r="J353" s="20"/>
      <c r="K353" s="20"/>
      <c r="L353" s="20"/>
      <c r="M353" s="20"/>
      <c r="N353" s="179" t="s">
        <v>502</v>
      </c>
      <c r="O353" s="70">
        <v>0</v>
      </c>
      <c r="P353" s="70">
        <v>0</v>
      </c>
      <c r="Q353" s="70">
        <f t="shared" si="30"/>
        <v>0</v>
      </c>
      <c r="R353" s="70"/>
      <c r="S353" s="67"/>
      <c r="T353" s="2" t="str">
        <f t="shared" si="31"/>
        <v>Cao Hà Thùy Dương_10AT1</v>
      </c>
      <c r="U353" s="28">
        <f t="array" ref="U353">IFERROR(VLOOKUP($T353,'Nghi hoc T12'!$H$7:$I$160,2,0),0)</f>
        <v>0</v>
      </c>
      <c r="V353" s="28">
        <f>IFERROR(VLOOKUP($T353,No_HP!$B$2:$C$514,2,0),0)</f>
        <v>0</v>
      </c>
      <c r="W353" s="28">
        <f t="shared" si="32"/>
        <v>0</v>
      </c>
      <c r="X353" s="333">
        <f t="shared" si="33"/>
        <v>0</v>
      </c>
      <c r="Y353" s="333">
        <f t="shared" si="34"/>
        <v>0</v>
      </c>
    </row>
    <row r="354" spans="1:25" s="2" customFormat="1" ht="21.95" customHeight="1">
      <c r="A354" s="82">
        <v>15</v>
      </c>
      <c r="B354" s="91" t="str">
        <f t="shared" si="35"/>
        <v>7B.T</v>
      </c>
      <c r="C354" s="83" t="s">
        <v>366</v>
      </c>
      <c r="D354" s="81" t="s">
        <v>525</v>
      </c>
      <c r="E354" s="48">
        <v>100346</v>
      </c>
      <c r="F354" s="30" t="s">
        <v>1349</v>
      </c>
      <c r="G354" s="29" t="s">
        <v>323</v>
      </c>
      <c r="H354" s="30" t="s">
        <v>115</v>
      </c>
      <c r="I354" s="78"/>
      <c r="J354" s="20"/>
      <c r="K354" s="20"/>
      <c r="L354" s="20"/>
      <c r="M354" s="20"/>
      <c r="N354" s="179" t="s">
        <v>502</v>
      </c>
      <c r="O354" s="70">
        <v>0</v>
      </c>
      <c r="P354" s="70">
        <v>0</v>
      </c>
      <c r="Q354" s="70">
        <f t="shared" si="30"/>
        <v>0</v>
      </c>
      <c r="R354" s="70"/>
      <c r="S354" s="67"/>
      <c r="T354" s="2" t="str">
        <f t="shared" si="31"/>
        <v>Lưu Tuyết Đào_10AT2</v>
      </c>
      <c r="U354" s="28">
        <f t="array" ref="U354">IFERROR(VLOOKUP($T354,'Nghi hoc T12'!$H$7:$I$160,2,0),0)</f>
        <v>0</v>
      </c>
      <c r="V354" s="28">
        <f>IFERROR(VLOOKUP($T354,No_HP!$B$2:$C$514,2,0),0)</f>
        <v>0</v>
      </c>
      <c r="W354" s="28">
        <f t="shared" si="32"/>
        <v>0</v>
      </c>
      <c r="X354" s="333">
        <f t="shared" si="33"/>
        <v>0</v>
      </c>
      <c r="Y354" s="333">
        <f t="shared" si="34"/>
        <v>0</v>
      </c>
    </row>
    <row r="355" spans="1:25" s="2" customFormat="1" ht="21.95" customHeight="1">
      <c r="A355" s="82">
        <v>16</v>
      </c>
      <c r="B355" s="91" t="str">
        <f t="shared" si="35"/>
        <v>7B.T</v>
      </c>
      <c r="C355" s="83" t="s">
        <v>366</v>
      </c>
      <c r="D355" s="81" t="s">
        <v>525</v>
      </c>
      <c r="E355" s="48">
        <v>100347</v>
      </c>
      <c r="F355" s="30" t="s">
        <v>1350</v>
      </c>
      <c r="G355" s="29" t="s">
        <v>7</v>
      </c>
      <c r="H355" s="30" t="s">
        <v>114</v>
      </c>
      <c r="I355" s="78" t="s">
        <v>529</v>
      </c>
      <c r="J355" s="20"/>
      <c r="K355" s="20"/>
      <c r="L355" s="20"/>
      <c r="M355" s="20"/>
      <c r="N355" s="179" t="s">
        <v>502</v>
      </c>
      <c r="O355" s="70">
        <v>0</v>
      </c>
      <c r="P355" s="70">
        <v>0</v>
      </c>
      <c r="Q355" s="70" t="str">
        <f t="shared" si="30"/>
        <v>NgiH</v>
      </c>
      <c r="R355" s="70"/>
      <c r="S355" s="67"/>
      <c r="T355" s="2" t="str">
        <f t="shared" si="31"/>
        <v>Lê Châu Tuấn Đạt_10AT1</v>
      </c>
      <c r="U355" s="28" t="str">
        <f t="array" ref="U355">IFERROR(VLOOKUP($T355,'Nghi hoc T12'!$H$7:$I$160,2,0),0)</f>
        <v>NgiH</v>
      </c>
      <c r="V355" s="28">
        <f>IFERROR(VLOOKUP($T355,No_HP!$B$2:$C$514,2,0),0)</f>
        <v>0</v>
      </c>
      <c r="W355" s="28" t="str">
        <f t="shared" si="32"/>
        <v>Nghỉ học</v>
      </c>
      <c r="X355" s="333">
        <f t="shared" si="33"/>
        <v>0</v>
      </c>
      <c r="Y355" s="333">
        <f t="shared" si="34"/>
        <v>0</v>
      </c>
    </row>
    <row r="356" spans="1:25" s="2" customFormat="1" ht="21.95" customHeight="1">
      <c r="A356" s="82">
        <v>17</v>
      </c>
      <c r="B356" s="91" t="str">
        <f t="shared" si="35"/>
        <v>7B.T</v>
      </c>
      <c r="C356" s="83" t="s">
        <v>366</v>
      </c>
      <c r="D356" s="81" t="s">
        <v>525</v>
      </c>
      <c r="E356" s="48">
        <v>100348</v>
      </c>
      <c r="F356" s="30" t="s">
        <v>221</v>
      </c>
      <c r="G356" s="29" t="s">
        <v>7</v>
      </c>
      <c r="H356" s="30" t="s">
        <v>114</v>
      </c>
      <c r="I356" s="78"/>
      <c r="J356" s="20"/>
      <c r="K356" s="20"/>
      <c r="L356" s="20"/>
      <c r="M356" s="20"/>
      <c r="N356" s="179" t="s">
        <v>502</v>
      </c>
      <c r="O356" s="70">
        <v>0</v>
      </c>
      <c r="P356" s="70">
        <v>0</v>
      </c>
      <c r="Q356" s="70">
        <f t="shared" si="30"/>
        <v>0</v>
      </c>
      <c r="R356" s="70"/>
      <c r="S356" s="67"/>
      <c r="T356" s="2" t="str">
        <f t="shared" si="31"/>
        <v>Nguyễn Tiến Đạt_10AT1</v>
      </c>
      <c r="U356" s="28">
        <f t="array" ref="U356">IFERROR(VLOOKUP($T356,'Nghi hoc T12'!$H$7:$I$160,2,0),0)</f>
        <v>0</v>
      </c>
      <c r="V356" s="28">
        <f>IFERROR(VLOOKUP($T356,No_HP!$B$2:$C$514,2,0),0)</f>
        <v>0</v>
      </c>
      <c r="W356" s="28">
        <f t="shared" si="32"/>
        <v>0</v>
      </c>
      <c r="X356" s="333">
        <f t="shared" si="33"/>
        <v>0</v>
      </c>
      <c r="Y356" s="333">
        <f t="shared" si="34"/>
        <v>0</v>
      </c>
    </row>
    <row r="357" spans="1:25" s="2" customFormat="1" ht="21.95" customHeight="1">
      <c r="A357" s="82">
        <v>18</v>
      </c>
      <c r="B357" s="91" t="str">
        <f t="shared" si="35"/>
        <v>7B.T</v>
      </c>
      <c r="C357" s="83" t="s">
        <v>366</v>
      </c>
      <c r="D357" s="81" t="s">
        <v>525</v>
      </c>
      <c r="E357" s="48">
        <v>100349</v>
      </c>
      <c r="F357" s="30" t="s">
        <v>1351</v>
      </c>
      <c r="G357" s="29" t="s">
        <v>7</v>
      </c>
      <c r="H357" s="30" t="s">
        <v>115</v>
      </c>
      <c r="I357" s="78"/>
      <c r="J357" s="20"/>
      <c r="K357" s="20"/>
      <c r="L357" s="20"/>
      <c r="M357" s="20"/>
      <c r="N357" s="179" t="s">
        <v>502</v>
      </c>
      <c r="O357" s="70">
        <v>0</v>
      </c>
      <c r="P357" s="70">
        <v>0</v>
      </c>
      <c r="Q357" s="70">
        <f t="shared" si="30"/>
        <v>0</v>
      </c>
      <c r="R357" s="70"/>
      <c r="S357" s="67"/>
      <c r="T357" s="2" t="str">
        <f t="shared" si="31"/>
        <v>Vũ Tấn Đạt_10AT2</v>
      </c>
      <c r="U357" s="28">
        <f t="array" ref="U357">IFERROR(VLOOKUP($T357,'Nghi hoc T12'!$H$7:$I$160,2,0),0)</f>
        <v>0</v>
      </c>
      <c r="V357" s="28">
        <f>IFERROR(VLOOKUP($T357,No_HP!$B$2:$C$514,2,0),0)</f>
        <v>0</v>
      </c>
      <c r="W357" s="28">
        <f t="shared" si="32"/>
        <v>0</v>
      </c>
      <c r="X357" s="333">
        <f t="shared" si="33"/>
        <v>0</v>
      </c>
      <c r="Y357" s="333">
        <f t="shared" si="34"/>
        <v>0</v>
      </c>
    </row>
    <row r="358" spans="1:25" s="2" customFormat="1" ht="21.95" customHeight="1">
      <c r="A358" s="82">
        <v>19</v>
      </c>
      <c r="B358" s="91" t="str">
        <f t="shared" si="35"/>
        <v>7B.T</v>
      </c>
      <c r="C358" s="83" t="s">
        <v>366</v>
      </c>
      <c r="D358" s="81" t="s">
        <v>525</v>
      </c>
      <c r="E358" s="48">
        <v>100350</v>
      </c>
      <c r="F358" s="30" t="s">
        <v>268</v>
      </c>
      <c r="G358" s="29" t="s">
        <v>439</v>
      </c>
      <c r="H358" s="30" t="s">
        <v>114</v>
      </c>
      <c r="I358" s="78"/>
      <c r="J358" s="20"/>
      <c r="K358" s="20"/>
      <c r="L358" s="20"/>
      <c r="M358" s="20"/>
      <c r="N358" s="179" t="s">
        <v>502</v>
      </c>
      <c r="O358" s="70">
        <v>0</v>
      </c>
      <c r="P358" s="70">
        <v>0</v>
      </c>
      <c r="Q358" s="70">
        <f t="shared" si="30"/>
        <v>0</v>
      </c>
      <c r="R358" s="70"/>
      <c r="S358" s="67"/>
      <c r="T358" s="2" t="str">
        <f t="shared" si="31"/>
        <v>Nguyễn Văn Giang_10AT1</v>
      </c>
      <c r="U358" s="28">
        <f t="array" ref="U358">IFERROR(VLOOKUP($T358,'Nghi hoc T12'!$H$7:$I$160,2,0),0)</f>
        <v>0</v>
      </c>
      <c r="V358" s="28">
        <f>IFERROR(VLOOKUP($T358,No_HP!$B$2:$C$514,2,0),0)</f>
        <v>0</v>
      </c>
      <c r="W358" s="28">
        <f t="shared" si="32"/>
        <v>0</v>
      </c>
      <c r="X358" s="333">
        <f t="shared" si="33"/>
        <v>0</v>
      </c>
      <c r="Y358" s="333">
        <f t="shared" si="34"/>
        <v>0</v>
      </c>
    </row>
    <row r="359" spans="1:25" s="2" customFormat="1" ht="21.95" customHeight="1">
      <c r="A359" s="82">
        <v>20</v>
      </c>
      <c r="B359" s="91" t="str">
        <f t="shared" si="35"/>
        <v>7B.T</v>
      </c>
      <c r="C359" s="83" t="s">
        <v>366</v>
      </c>
      <c r="D359" s="81" t="s">
        <v>525</v>
      </c>
      <c r="E359" s="48">
        <v>100351</v>
      </c>
      <c r="F359" s="30" t="s">
        <v>1352</v>
      </c>
      <c r="G359" s="29" t="s">
        <v>1353</v>
      </c>
      <c r="H359" s="30" t="s">
        <v>115</v>
      </c>
      <c r="I359" s="78"/>
      <c r="J359" s="20"/>
      <c r="K359" s="20"/>
      <c r="L359" s="20"/>
      <c r="M359" s="20"/>
      <c r="N359" s="179" t="s">
        <v>502</v>
      </c>
      <c r="O359" s="70">
        <v>0</v>
      </c>
      <c r="P359" s="70">
        <v>0</v>
      </c>
      <c r="Q359" s="70">
        <f t="shared" si="30"/>
        <v>0</v>
      </c>
      <c r="R359" s="70"/>
      <c r="S359" s="67"/>
      <c r="T359" s="2" t="str">
        <f t="shared" si="31"/>
        <v>Kpuih H Ha_10AT2</v>
      </c>
      <c r="U359" s="28">
        <f t="array" ref="U359">IFERROR(VLOOKUP($T359,'Nghi hoc T12'!$H$7:$I$160,2,0),0)</f>
        <v>0</v>
      </c>
      <c r="V359" s="28">
        <f>IFERROR(VLOOKUP($T359,No_HP!$B$2:$C$514,2,0),0)</f>
        <v>0</v>
      </c>
      <c r="W359" s="28">
        <f t="shared" si="32"/>
        <v>0</v>
      </c>
      <c r="X359" s="333">
        <f t="shared" si="33"/>
        <v>0</v>
      </c>
      <c r="Y359" s="333">
        <f t="shared" si="34"/>
        <v>0</v>
      </c>
    </row>
    <row r="360" spans="1:25" s="2" customFormat="1" ht="21.95" customHeight="1">
      <c r="A360" s="82">
        <v>21</v>
      </c>
      <c r="B360" s="91" t="str">
        <f t="shared" si="35"/>
        <v>7B.T</v>
      </c>
      <c r="C360" s="83" t="s">
        <v>366</v>
      </c>
      <c r="D360" s="81" t="s">
        <v>525</v>
      </c>
      <c r="E360" s="48">
        <v>100352</v>
      </c>
      <c r="F360" s="30" t="s">
        <v>1354</v>
      </c>
      <c r="G360" s="29" t="s">
        <v>84</v>
      </c>
      <c r="H360" s="30" t="s">
        <v>114</v>
      </c>
      <c r="I360" s="78"/>
      <c r="J360" s="20"/>
      <c r="K360" s="20"/>
      <c r="L360" s="20"/>
      <c r="M360" s="20"/>
      <c r="N360" s="179" t="s">
        <v>502</v>
      </c>
      <c r="O360" s="70">
        <v>0</v>
      </c>
      <c r="P360" s="70">
        <v>0</v>
      </c>
      <c r="Q360" s="70">
        <f t="shared" si="30"/>
        <v>0</v>
      </c>
      <c r="R360" s="70"/>
      <c r="S360" s="67"/>
      <c r="T360" s="2" t="str">
        <f t="shared" si="31"/>
        <v>Chu Ngọc Hân_10AT1</v>
      </c>
      <c r="U360" s="28">
        <f t="array" ref="U360">IFERROR(VLOOKUP($T360,'Nghi hoc T12'!$H$7:$I$160,2,0),0)</f>
        <v>0</v>
      </c>
      <c r="V360" s="28">
        <f>IFERROR(VLOOKUP($T360,No_HP!$B$2:$C$514,2,0),0)</f>
        <v>0</v>
      </c>
      <c r="W360" s="28">
        <f t="shared" si="32"/>
        <v>0</v>
      </c>
      <c r="X360" s="333">
        <f t="shared" si="33"/>
        <v>0</v>
      </c>
      <c r="Y360" s="333">
        <f t="shared" si="34"/>
        <v>0</v>
      </c>
    </row>
    <row r="361" spans="1:25" s="2" customFormat="1" ht="21.95" customHeight="1">
      <c r="A361" s="82">
        <v>22</v>
      </c>
      <c r="B361" s="91" t="str">
        <f t="shared" si="35"/>
        <v>7B.T</v>
      </c>
      <c r="C361" s="83" t="s">
        <v>366</v>
      </c>
      <c r="D361" s="81" t="s">
        <v>525</v>
      </c>
      <c r="E361" s="48">
        <v>100353</v>
      </c>
      <c r="F361" s="30" t="s">
        <v>166</v>
      </c>
      <c r="G361" s="29" t="s">
        <v>84</v>
      </c>
      <c r="H361" s="30" t="s">
        <v>115</v>
      </c>
      <c r="I361" s="78"/>
      <c r="J361" s="20"/>
      <c r="K361" s="20"/>
      <c r="L361" s="20"/>
      <c r="M361" s="20"/>
      <c r="N361" s="179" t="s">
        <v>502</v>
      </c>
      <c r="O361" s="70">
        <v>0</v>
      </c>
      <c r="P361" s="70">
        <v>0</v>
      </c>
      <c r="Q361" s="70">
        <f t="shared" si="30"/>
        <v>0</v>
      </c>
      <c r="R361" s="70"/>
      <c r="S361" s="67"/>
      <c r="T361" s="2" t="str">
        <f t="shared" si="31"/>
        <v>Nguyễn Gia Hân_10AT2</v>
      </c>
      <c r="U361" s="28">
        <f t="array" ref="U361">IFERROR(VLOOKUP($T361,'Nghi hoc T12'!$H$7:$I$160,2,0),0)</f>
        <v>0</v>
      </c>
      <c r="V361" s="28">
        <f>IFERROR(VLOOKUP($T361,No_HP!$B$2:$C$514,2,0),0)</f>
        <v>0</v>
      </c>
      <c r="W361" s="28">
        <f t="shared" si="32"/>
        <v>0</v>
      </c>
      <c r="X361" s="333">
        <f t="shared" si="33"/>
        <v>0</v>
      </c>
      <c r="Y361" s="333">
        <f t="shared" si="34"/>
        <v>0</v>
      </c>
    </row>
    <row r="362" spans="1:25" s="2" customFormat="1" ht="21.95" customHeight="1">
      <c r="A362" s="82">
        <v>23</v>
      </c>
      <c r="B362" s="91" t="str">
        <f t="shared" si="35"/>
        <v>7B.T</v>
      </c>
      <c r="C362" s="83" t="s">
        <v>366</v>
      </c>
      <c r="D362" s="81" t="s">
        <v>525</v>
      </c>
      <c r="E362" s="48">
        <v>100354</v>
      </c>
      <c r="F362" s="30" t="s">
        <v>1355</v>
      </c>
      <c r="G362" s="29" t="s">
        <v>104</v>
      </c>
      <c r="H362" s="30" t="s">
        <v>115</v>
      </c>
      <c r="I362" s="78"/>
      <c r="J362" s="20"/>
      <c r="K362" s="20"/>
      <c r="L362" s="20"/>
      <c r="M362" s="20"/>
      <c r="N362" s="179" t="s">
        <v>502</v>
      </c>
      <c r="O362" s="70">
        <v>0</v>
      </c>
      <c r="P362" s="70">
        <v>0</v>
      </c>
      <c r="Q362" s="70">
        <f t="shared" si="30"/>
        <v>0</v>
      </c>
      <c r="R362" s="70"/>
      <c r="S362" s="67"/>
      <c r="T362" s="2" t="str">
        <f t="shared" si="31"/>
        <v>Lương Thái Hậu_10AT2</v>
      </c>
      <c r="U362" s="28">
        <f t="array" ref="U362">IFERROR(VLOOKUP($T362,'Nghi hoc T12'!$H$7:$I$160,2,0),0)</f>
        <v>0</v>
      </c>
      <c r="V362" s="28">
        <f>IFERROR(VLOOKUP($T362,No_HP!$B$2:$C$514,2,0),0)</f>
        <v>0</v>
      </c>
      <c r="W362" s="28">
        <f t="shared" si="32"/>
        <v>0</v>
      </c>
      <c r="X362" s="333">
        <f t="shared" si="33"/>
        <v>0</v>
      </c>
      <c r="Y362" s="333">
        <f t="shared" si="34"/>
        <v>0</v>
      </c>
    </row>
    <row r="363" spans="1:25" s="2" customFormat="1" ht="21.95" customHeight="1">
      <c r="A363" s="82">
        <v>24</v>
      </c>
      <c r="B363" s="91" t="str">
        <f t="shared" si="35"/>
        <v>7B.T</v>
      </c>
      <c r="C363" s="83" t="s">
        <v>366</v>
      </c>
      <c r="D363" s="81" t="s">
        <v>525</v>
      </c>
      <c r="E363" s="48">
        <v>100355</v>
      </c>
      <c r="F363" s="30" t="s">
        <v>1356</v>
      </c>
      <c r="G363" s="29" t="s">
        <v>1357</v>
      </c>
      <c r="H363" s="30" t="s">
        <v>114</v>
      </c>
      <c r="I363" s="78"/>
      <c r="J363" s="20"/>
      <c r="K363" s="20"/>
      <c r="L363" s="20"/>
      <c r="M363" s="20"/>
      <c r="N363" s="179" t="s">
        <v>502</v>
      </c>
      <c r="O363" s="70">
        <v>0</v>
      </c>
      <c r="P363" s="70">
        <v>0</v>
      </c>
      <c r="Q363" s="70">
        <f t="shared" si="30"/>
        <v>0</v>
      </c>
      <c r="R363" s="70"/>
      <c r="S363" s="67"/>
      <c r="T363" s="2" t="str">
        <f t="shared" si="31"/>
        <v>Trần Trấn Hiên_10AT1</v>
      </c>
      <c r="U363" s="28">
        <f t="array" ref="U363">IFERROR(VLOOKUP($T363,'Nghi hoc T12'!$H$7:$I$160,2,0),0)</f>
        <v>0</v>
      </c>
      <c r="V363" s="28">
        <f>IFERROR(VLOOKUP($T363,No_HP!$B$2:$C$514,2,0),0)</f>
        <v>0</v>
      </c>
      <c r="W363" s="28">
        <f t="shared" si="32"/>
        <v>0</v>
      </c>
      <c r="X363" s="333">
        <f t="shared" si="33"/>
        <v>0</v>
      </c>
      <c r="Y363" s="333">
        <f t="shared" si="34"/>
        <v>0</v>
      </c>
    </row>
    <row r="364" spans="1:25" s="2" customFormat="1" ht="21.95" customHeight="1">
      <c r="A364" s="82">
        <v>25</v>
      </c>
      <c r="B364" s="91" t="str">
        <f t="shared" si="35"/>
        <v>7B.T</v>
      </c>
      <c r="C364" s="83" t="s">
        <v>366</v>
      </c>
      <c r="D364" s="81" t="s">
        <v>525</v>
      </c>
      <c r="E364" s="48">
        <v>100356</v>
      </c>
      <c r="F364" s="30" t="s">
        <v>234</v>
      </c>
      <c r="G364" s="29" t="s">
        <v>9</v>
      </c>
      <c r="H364" s="30" t="s">
        <v>114</v>
      </c>
      <c r="I364" s="78"/>
      <c r="J364" s="20"/>
      <c r="K364" s="20"/>
      <c r="L364" s="20"/>
      <c r="M364" s="20"/>
      <c r="N364" s="179" t="s">
        <v>502</v>
      </c>
      <c r="O364" s="70">
        <v>0</v>
      </c>
      <c r="P364" s="70">
        <v>0</v>
      </c>
      <c r="Q364" s="70">
        <f t="shared" si="30"/>
        <v>0</v>
      </c>
      <c r="R364" s="70"/>
      <c r="S364" s="67"/>
      <c r="T364" s="2" t="str">
        <f t="shared" si="31"/>
        <v>Nguyễn Trọng Hiếu_10AT1</v>
      </c>
      <c r="U364" s="28">
        <f t="array" ref="U364">IFERROR(VLOOKUP($T364,'Nghi hoc T12'!$H$7:$I$160,2,0),0)</f>
        <v>0</v>
      </c>
      <c r="V364" s="28">
        <f>IFERROR(VLOOKUP($T364,No_HP!$B$2:$C$514,2,0),0)</f>
        <v>0</v>
      </c>
      <c r="W364" s="28">
        <f t="shared" si="32"/>
        <v>0</v>
      </c>
      <c r="X364" s="333">
        <f t="shared" si="33"/>
        <v>0</v>
      </c>
      <c r="Y364" s="333">
        <f t="shared" si="34"/>
        <v>0</v>
      </c>
    </row>
    <row r="365" spans="1:25" s="2" customFormat="1" ht="21.95" customHeight="1">
      <c r="A365" s="82">
        <v>26</v>
      </c>
      <c r="B365" s="91" t="str">
        <f t="shared" si="35"/>
        <v>7B.T</v>
      </c>
      <c r="C365" s="83" t="s">
        <v>366</v>
      </c>
      <c r="D365" s="81" t="s">
        <v>525</v>
      </c>
      <c r="E365" s="48">
        <v>100357</v>
      </c>
      <c r="F365" s="30" t="s">
        <v>1358</v>
      </c>
      <c r="G365" s="29" t="s">
        <v>11</v>
      </c>
      <c r="H365" s="30" t="s">
        <v>115</v>
      </c>
      <c r="I365" s="78"/>
      <c r="J365" s="20"/>
      <c r="K365" s="20"/>
      <c r="L365" s="20"/>
      <c r="M365" s="20"/>
      <c r="N365" s="179" t="s">
        <v>502</v>
      </c>
      <c r="O365" s="70">
        <v>0</v>
      </c>
      <c r="P365" s="70">
        <v>0</v>
      </c>
      <c r="Q365" s="70">
        <f t="shared" si="30"/>
        <v>0</v>
      </c>
      <c r="R365" s="70"/>
      <c r="S365" s="67"/>
      <c r="T365" s="2" t="str">
        <f t="shared" si="31"/>
        <v>Đặng Khải Huy_10AT2</v>
      </c>
      <c r="U365" s="28">
        <f t="array" ref="U365">IFERROR(VLOOKUP($T365,'Nghi hoc T12'!$H$7:$I$160,2,0),0)</f>
        <v>0</v>
      </c>
      <c r="V365" s="28">
        <f>IFERROR(VLOOKUP($T365,No_HP!$B$2:$C$514,2,0),0)</f>
        <v>0</v>
      </c>
      <c r="W365" s="28">
        <f t="shared" si="32"/>
        <v>0</v>
      </c>
      <c r="X365" s="333">
        <f t="shared" si="33"/>
        <v>0</v>
      </c>
      <c r="Y365" s="333">
        <f t="shared" si="34"/>
        <v>0</v>
      </c>
    </row>
    <row r="366" spans="1:25" s="2" customFormat="1" ht="21.95" customHeight="1">
      <c r="A366" s="82">
        <v>27</v>
      </c>
      <c r="B366" s="91" t="str">
        <f t="shared" si="35"/>
        <v>7B.T</v>
      </c>
      <c r="C366" s="83" t="s">
        <v>366</v>
      </c>
      <c r="D366" s="81" t="s">
        <v>525</v>
      </c>
      <c r="E366" s="48">
        <v>100358</v>
      </c>
      <c r="F366" s="30" t="s">
        <v>1359</v>
      </c>
      <c r="G366" s="29" t="s">
        <v>11</v>
      </c>
      <c r="H366" s="30" t="s">
        <v>115</v>
      </c>
      <c r="I366" s="78"/>
      <c r="J366" s="20"/>
      <c r="K366" s="20"/>
      <c r="L366" s="20"/>
      <c r="M366" s="20"/>
      <c r="N366" s="179" t="s">
        <v>502</v>
      </c>
      <c r="O366" s="70">
        <v>0</v>
      </c>
      <c r="P366" s="70">
        <v>0</v>
      </c>
      <c r="Q366" s="70">
        <f t="shared" si="30"/>
        <v>0</v>
      </c>
      <c r="R366" s="70"/>
      <c r="S366" s="67"/>
      <c r="T366" s="2" t="str">
        <f t="shared" si="31"/>
        <v>Trương Khắc Huy_10AT2</v>
      </c>
      <c r="U366" s="28">
        <f t="array" ref="U366">IFERROR(VLOOKUP($T366,'Nghi hoc T12'!$H$7:$I$160,2,0),0)</f>
        <v>0</v>
      </c>
      <c r="V366" s="28">
        <f>IFERROR(VLOOKUP($T366,No_HP!$B$2:$C$514,2,0),0)</f>
        <v>0</v>
      </c>
      <c r="W366" s="28">
        <f t="shared" si="32"/>
        <v>0</v>
      </c>
      <c r="X366" s="333">
        <f t="shared" si="33"/>
        <v>0</v>
      </c>
      <c r="Y366" s="333">
        <f t="shared" si="34"/>
        <v>0</v>
      </c>
    </row>
    <row r="367" spans="1:25" s="2" customFormat="1" ht="21.95" customHeight="1">
      <c r="A367" s="82">
        <v>28</v>
      </c>
      <c r="B367" s="91" t="str">
        <f t="shared" si="35"/>
        <v>7B.T</v>
      </c>
      <c r="C367" s="83" t="s">
        <v>366</v>
      </c>
      <c r="D367" s="81" t="s">
        <v>525</v>
      </c>
      <c r="E367" s="48">
        <v>100359</v>
      </c>
      <c r="F367" s="30" t="s">
        <v>1360</v>
      </c>
      <c r="G367" s="29" t="s">
        <v>11</v>
      </c>
      <c r="H367" s="30" t="s">
        <v>114</v>
      </c>
      <c r="I367" s="78"/>
      <c r="J367" s="20"/>
      <c r="K367" s="20"/>
      <c r="L367" s="20"/>
      <c r="M367" s="20"/>
      <c r="N367" s="179" t="s">
        <v>502</v>
      </c>
      <c r="O367" s="70">
        <v>0</v>
      </c>
      <c r="P367" s="70">
        <v>0</v>
      </c>
      <c r="Q367" s="70">
        <f t="shared" si="30"/>
        <v>0</v>
      </c>
      <c r="R367" s="70"/>
      <c r="S367" s="67"/>
      <c r="T367" s="2" t="str">
        <f t="shared" si="31"/>
        <v>Võ Nguyễn Hoàng Huy_10AT1</v>
      </c>
      <c r="U367" s="28">
        <f t="array" ref="U367">IFERROR(VLOOKUP($T367,'Nghi hoc T12'!$H$7:$I$160,2,0),0)</f>
        <v>0</v>
      </c>
      <c r="V367" s="28">
        <f>IFERROR(VLOOKUP($T367,No_HP!$B$2:$C$514,2,0),0)</f>
        <v>0</v>
      </c>
      <c r="W367" s="28">
        <f t="shared" si="32"/>
        <v>0</v>
      </c>
      <c r="X367" s="333">
        <f t="shared" si="33"/>
        <v>0</v>
      </c>
      <c r="Y367" s="333">
        <f t="shared" si="34"/>
        <v>0</v>
      </c>
    </row>
    <row r="368" spans="1:25" s="2" customFormat="1" ht="21.95" customHeight="1">
      <c r="A368" s="82">
        <v>29</v>
      </c>
      <c r="B368" s="91" t="str">
        <f t="shared" si="35"/>
        <v>7B.T</v>
      </c>
      <c r="C368" s="83" t="s">
        <v>366</v>
      </c>
      <c r="D368" s="81" t="s">
        <v>525</v>
      </c>
      <c r="E368" s="48">
        <v>100360</v>
      </c>
      <c r="F368" s="30" t="s">
        <v>1361</v>
      </c>
      <c r="G368" s="29" t="s">
        <v>67</v>
      </c>
      <c r="H368" s="30" t="s">
        <v>115</v>
      </c>
      <c r="I368" s="78"/>
      <c r="J368" s="20"/>
      <c r="K368" s="20"/>
      <c r="L368" s="20"/>
      <c r="M368" s="20"/>
      <c r="N368" s="179" t="s">
        <v>502</v>
      </c>
      <c r="O368" s="70">
        <v>0</v>
      </c>
      <c r="P368" s="70">
        <v>0</v>
      </c>
      <c r="Q368" s="70">
        <f t="shared" si="30"/>
        <v>0</v>
      </c>
      <c r="R368" s="70"/>
      <c r="S368" s="67"/>
      <c r="T368" s="2" t="str">
        <f t="shared" si="31"/>
        <v>Nguyễn Thị Mộng Huyền_10AT2</v>
      </c>
      <c r="U368" s="28">
        <f t="array" ref="U368">IFERROR(VLOOKUP($T368,'Nghi hoc T12'!$H$7:$I$160,2,0),0)</f>
        <v>0</v>
      </c>
      <c r="V368" s="28">
        <f>IFERROR(VLOOKUP($T368,No_HP!$B$2:$C$514,2,0),0)</f>
        <v>0</v>
      </c>
      <c r="W368" s="28">
        <f t="shared" si="32"/>
        <v>0</v>
      </c>
      <c r="X368" s="333">
        <f t="shared" si="33"/>
        <v>0</v>
      </c>
      <c r="Y368" s="333">
        <f t="shared" si="34"/>
        <v>0</v>
      </c>
    </row>
    <row r="369" spans="1:25" s="2" customFormat="1" ht="21.95" customHeight="1">
      <c r="A369" s="200">
        <v>1</v>
      </c>
      <c r="B369" s="91" t="str">
        <f t="shared" si="35"/>
        <v>8B.T</v>
      </c>
      <c r="C369" s="185" t="s">
        <v>366</v>
      </c>
      <c r="D369" s="186" t="s">
        <v>526</v>
      </c>
      <c r="E369" s="187">
        <v>100361</v>
      </c>
      <c r="F369" s="188" t="s">
        <v>1317</v>
      </c>
      <c r="G369" s="189" t="s">
        <v>91</v>
      </c>
      <c r="H369" s="188" t="s">
        <v>115</v>
      </c>
      <c r="I369" s="190"/>
      <c r="J369" s="191"/>
      <c r="K369" s="191"/>
      <c r="L369" s="191"/>
      <c r="M369" s="191"/>
      <c r="N369" s="179" t="s">
        <v>502</v>
      </c>
      <c r="O369" s="70">
        <v>0</v>
      </c>
      <c r="P369" s="70">
        <v>0</v>
      </c>
      <c r="Q369" s="70">
        <f t="shared" si="30"/>
        <v>0</v>
      </c>
      <c r="R369" s="70"/>
      <c r="S369" s="67"/>
      <c r="T369" s="2" t="str">
        <f t="shared" si="31"/>
        <v>Bùi Bá Hưng_10AT2</v>
      </c>
      <c r="U369" s="28">
        <f t="array" ref="U369">IFERROR(VLOOKUP($T369,'Nghi hoc T12'!$H$7:$I$160,2,0),0)</f>
        <v>0</v>
      </c>
      <c r="V369" s="28">
        <f>IFERROR(VLOOKUP($T369,No_HP!$B$2:$C$514,2,0),0)</f>
        <v>0</v>
      </c>
      <c r="W369" s="28">
        <f t="shared" si="32"/>
        <v>0</v>
      </c>
      <c r="X369" s="333">
        <f t="shared" si="33"/>
        <v>0</v>
      </c>
      <c r="Y369" s="333">
        <f t="shared" si="34"/>
        <v>0</v>
      </c>
    </row>
    <row r="370" spans="1:25" s="2" customFormat="1" ht="21.95" customHeight="1">
      <c r="A370" s="82">
        <v>2</v>
      </c>
      <c r="B370" s="91" t="str">
        <f t="shared" si="35"/>
        <v>8B.T</v>
      </c>
      <c r="C370" s="83" t="s">
        <v>366</v>
      </c>
      <c r="D370" s="81" t="s">
        <v>526</v>
      </c>
      <c r="E370" s="48">
        <v>100362</v>
      </c>
      <c r="F370" s="30" t="s">
        <v>1362</v>
      </c>
      <c r="G370" s="29" t="s">
        <v>91</v>
      </c>
      <c r="H370" s="30" t="s">
        <v>114</v>
      </c>
      <c r="I370" s="78"/>
      <c r="J370" s="20"/>
      <c r="K370" s="20"/>
      <c r="L370" s="20"/>
      <c r="M370" s="20"/>
      <c r="N370" s="179" t="s">
        <v>502</v>
      </c>
      <c r="O370" s="70">
        <v>0</v>
      </c>
      <c r="P370" s="70">
        <v>0</v>
      </c>
      <c r="Q370" s="70">
        <f t="shared" si="30"/>
        <v>0</v>
      </c>
      <c r="R370" s="70"/>
      <c r="S370" s="67"/>
      <c r="T370" s="2" t="str">
        <f t="shared" si="31"/>
        <v>Phan Lê Duy Hưng_10AT1</v>
      </c>
      <c r="U370" s="28">
        <f t="array" ref="U370">IFERROR(VLOOKUP($T370,'Nghi hoc T12'!$H$7:$I$160,2,0),0)</f>
        <v>0</v>
      </c>
      <c r="V370" s="28">
        <f>IFERROR(VLOOKUP($T370,No_HP!$B$2:$C$514,2,0),0)</f>
        <v>0</v>
      </c>
      <c r="W370" s="28">
        <f t="shared" si="32"/>
        <v>0</v>
      </c>
      <c r="X370" s="333">
        <f t="shared" si="33"/>
        <v>0</v>
      </c>
      <c r="Y370" s="333">
        <f t="shared" si="34"/>
        <v>0</v>
      </c>
    </row>
    <row r="371" spans="1:25" s="2" customFormat="1" ht="21.95" customHeight="1">
      <c r="A371" s="82">
        <v>3</v>
      </c>
      <c r="B371" s="91" t="str">
        <f t="shared" si="35"/>
        <v>8B.T</v>
      </c>
      <c r="C371" s="83" t="s">
        <v>366</v>
      </c>
      <c r="D371" s="81" t="s">
        <v>526</v>
      </c>
      <c r="E371" s="48">
        <v>100363</v>
      </c>
      <c r="F371" s="30" t="s">
        <v>1363</v>
      </c>
      <c r="G371" s="29" t="s">
        <v>79</v>
      </c>
      <c r="H371" s="30" t="s">
        <v>115</v>
      </c>
      <c r="I371" s="78"/>
      <c r="J371" s="20"/>
      <c r="K371" s="20"/>
      <c r="L371" s="20"/>
      <c r="M371" s="20"/>
      <c r="N371" s="179" t="s">
        <v>502</v>
      </c>
      <c r="O371" s="70">
        <v>0</v>
      </c>
      <c r="P371" s="70">
        <v>0</v>
      </c>
      <c r="Q371" s="70">
        <f t="shared" si="30"/>
        <v>0</v>
      </c>
      <c r="R371" s="70"/>
      <c r="S371" s="67"/>
      <c r="T371" s="2" t="str">
        <f t="shared" si="31"/>
        <v>Lưu Vũ Anh Khang_10AT2</v>
      </c>
      <c r="U371" s="28">
        <f t="array" ref="U371">IFERROR(VLOOKUP($T371,'Nghi hoc T12'!$H$7:$I$160,2,0),0)</f>
        <v>0</v>
      </c>
      <c r="V371" s="28">
        <f>IFERROR(VLOOKUP($T371,No_HP!$B$2:$C$514,2,0),0)</f>
        <v>0</v>
      </c>
      <c r="W371" s="28">
        <f t="shared" si="32"/>
        <v>0</v>
      </c>
      <c r="X371" s="333">
        <f t="shared" si="33"/>
        <v>0</v>
      </c>
      <c r="Y371" s="333">
        <f t="shared" si="34"/>
        <v>0</v>
      </c>
    </row>
    <row r="372" spans="1:25" s="2" customFormat="1" ht="21.95" customHeight="1">
      <c r="A372" s="82">
        <v>4</v>
      </c>
      <c r="B372" s="91" t="str">
        <f t="shared" si="35"/>
        <v>8B.T</v>
      </c>
      <c r="C372" s="83" t="s">
        <v>366</v>
      </c>
      <c r="D372" s="81" t="s">
        <v>526</v>
      </c>
      <c r="E372" s="48">
        <v>100364</v>
      </c>
      <c r="F372" s="30" t="s">
        <v>1364</v>
      </c>
      <c r="G372" s="29" t="s">
        <v>79</v>
      </c>
      <c r="H372" s="30" t="s">
        <v>114</v>
      </c>
      <c r="I372" s="78"/>
      <c r="J372" s="20"/>
      <c r="K372" s="20"/>
      <c r="L372" s="20"/>
      <c r="M372" s="20"/>
      <c r="N372" s="179" t="s">
        <v>502</v>
      </c>
      <c r="O372" s="70">
        <v>0</v>
      </c>
      <c r="P372" s="70">
        <v>0</v>
      </c>
      <c r="Q372" s="70">
        <f t="shared" si="30"/>
        <v>0</v>
      </c>
      <c r="R372" s="70"/>
      <c r="S372" s="67"/>
      <c r="T372" s="2" t="str">
        <f t="shared" si="31"/>
        <v>Mai Minh Khang_10AT1</v>
      </c>
      <c r="U372" s="28">
        <f t="array" ref="U372">IFERROR(VLOOKUP($T372,'Nghi hoc T12'!$H$7:$I$160,2,0),0)</f>
        <v>0</v>
      </c>
      <c r="V372" s="28">
        <f>IFERROR(VLOOKUP($T372,No_HP!$B$2:$C$514,2,0),0)</f>
        <v>0</v>
      </c>
      <c r="W372" s="28">
        <f t="shared" si="32"/>
        <v>0</v>
      </c>
      <c r="X372" s="333">
        <f t="shared" si="33"/>
        <v>0</v>
      </c>
      <c r="Y372" s="333">
        <f t="shared" si="34"/>
        <v>0</v>
      </c>
    </row>
    <row r="373" spans="1:25" s="2" customFormat="1" ht="21.95" customHeight="1">
      <c r="A373" s="82">
        <v>5</v>
      </c>
      <c r="B373" s="91" t="str">
        <f t="shared" si="35"/>
        <v>8B.T</v>
      </c>
      <c r="C373" s="83" t="s">
        <v>366</v>
      </c>
      <c r="D373" s="81" t="s">
        <v>526</v>
      </c>
      <c r="E373" s="48">
        <v>100365</v>
      </c>
      <c r="F373" s="30" t="s">
        <v>357</v>
      </c>
      <c r="G373" s="29" t="s">
        <v>79</v>
      </c>
      <c r="H373" s="30" t="s">
        <v>114</v>
      </c>
      <c r="I373" s="78"/>
      <c r="J373" s="20"/>
      <c r="K373" s="20"/>
      <c r="L373" s="20"/>
      <c r="M373" s="20"/>
      <c r="N373" s="179" t="s">
        <v>502</v>
      </c>
      <c r="O373" s="70">
        <v>0</v>
      </c>
      <c r="P373" s="70">
        <v>0</v>
      </c>
      <c r="Q373" s="70">
        <f t="shared" si="30"/>
        <v>0</v>
      </c>
      <c r="R373" s="70"/>
      <c r="S373" s="67"/>
      <c r="T373" s="2" t="str">
        <f t="shared" si="31"/>
        <v>Võ Văn Khang_10AT1</v>
      </c>
      <c r="U373" s="28">
        <f t="array" ref="U373">IFERROR(VLOOKUP($T373,'Nghi hoc T12'!$H$7:$I$160,2,0),0)</f>
        <v>0</v>
      </c>
      <c r="V373" s="28">
        <f>IFERROR(VLOOKUP($T373,No_HP!$B$2:$C$514,2,0),0)</f>
        <v>0</v>
      </c>
      <c r="W373" s="28">
        <f t="shared" si="32"/>
        <v>0</v>
      </c>
      <c r="X373" s="333">
        <f t="shared" si="33"/>
        <v>0</v>
      </c>
      <c r="Y373" s="333">
        <f t="shared" si="34"/>
        <v>0</v>
      </c>
    </row>
    <row r="374" spans="1:25" s="2" customFormat="1" ht="21.95" customHeight="1">
      <c r="A374" s="82">
        <v>6</v>
      </c>
      <c r="B374" s="91" t="str">
        <f t="shared" si="35"/>
        <v>8B.T</v>
      </c>
      <c r="C374" s="83" t="s">
        <v>366</v>
      </c>
      <c r="D374" s="81" t="s">
        <v>526</v>
      </c>
      <c r="E374" s="48">
        <v>100366</v>
      </c>
      <c r="F374" s="30" t="s">
        <v>118</v>
      </c>
      <c r="G374" s="29" t="s">
        <v>94</v>
      </c>
      <c r="H374" s="30" t="s">
        <v>115</v>
      </c>
      <c r="I374" s="78"/>
      <c r="J374" s="20"/>
      <c r="K374" s="20"/>
      <c r="L374" s="20"/>
      <c r="M374" s="20"/>
      <c r="N374" s="179" t="s">
        <v>502</v>
      </c>
      <c r="O374" s="70">
        <v>0</v>
      </c>
      <c r="P374" s="70">
        <v>0</v>
      </c>
      <c r="Q374" s="70">
        <f t="shared" si="30"/>
        <v>0</v>
      </c>
      <c r="R374" s="70"/>
      <c r="S374" s="67"/>
      <c r="T374" s="2" t="str">
        <f t="shared" si="31"/>
        <v>Nguyễn Quốc Khánh_10AT2</v>
      </c>
      <c r="U374" s="28">
        <f t="array" ref="U374">IFERROR(VLOOKUP($T374,'Nghi hoc T12'!$H$7:$I$160,2,0),0)</f>
        <v>0</v>
      </c>
      <c r="V374" s="28">
        <f>IFERROR(VLOOKUP($T374,No_HP!$B$2:$C$514,2,0),0)</f>
        <v>0</v>
      </c>
      <c r="W374" s="28">
        <f t="shared" si="32"/>
        <v>0</v>
      </c>
      <c r="X374" s="333">
        <f t="shared" si="33"/>
        <v>0</v>
      </c>
      <c r="Y374" s="333">
        <f t="shared" si="34"/>
        <v>0</v>
      </c>
    </row>
    <row r="375" spans="1:25" s="2" customFormat="1" ht="21.95" customHeight="1">
      <c r="A375" s="82">
        <v>7</v>
      </c>
      <c r="B375" s="91" t="str">
        <f t="shared" si="35"/>
        <v>8B.T</v>
      </c>
      <c r="C375" s="83" t="s">
        <v>366</v>
      </c>
      <c r="D375" s="81" t="s">
        <v>526</v>
      </c>
      <c r="E375" s="48">
        <v>100367</v>
      </c>
      <c r="F375" s="30" t="s">
        <v>208</v>
      </c>
      <c r="G375" s="29" t="s">
        <v>55</v>
      </c>
      <c r="H375" s="30" t="s">
        <v>115</v>
      </c>
      <c r="I375" s="78"/>
      <c r="J375" s="20"/>
      <c r="K375" s="20"/>
      <c r="L375" s="20"/>
      <c r="M375" s="20"/>
      <c r="N375" s="179" t="s">
        <v>502</v>
      </c>
      <c r="O375" s="70">
        <v>0</v>
      </c>
      <c r="P375" s="70">
        <v>0</v>
      </c>
      <c r="Q375" s="70">
        <f t="shared" si="30"/>
        <v>0</v>
      </c>
      <c r="R375" s="70"/>
      <c r="S375" s="67"/>
      <c r="T375" s="2" t="str">
        <f t="shared" si="31"/>
        <v>Nguyễn Đăng Khoa_10AT2</v>
      </c>
      <c r="U375" s="28">
        <f t="array" ref="U375">IFERROR(VLOOKUP($T375,'Nghi hoc T12'!$H$7:$I$160,2,0),0)</f>
        <v>0</v>
      </c>
      <c r="V375" s="28">
        <f>IFERROR(VLOOKUP($T375,No_HP!$B$2:$C$514,2,0),0)</f>
        <v>0</v>
      </c>
      <c r="W375" s="28">
        <f t="shared" si="32"/>
        <v>0</v>
      </c>
      <c r="X375" s="333">
        <f t="shared" si="33"/>
        <v>0</v>
      </c>
      <c r="Y375" s="333">
        <f t="shared" si="34"/>
        <v>0</v>
      </c>
    </row>
    <row r="376" spans="1:25" s="2" customFormat="1" ht="21.95" customHeight="1">
      <c r="A376" s="82">
        <v>8</v>
      </c>
      <c r="B376" s="91" t="str">
        <f t="shared" si="35"/>
        <v>8B.T</v>
      </c>
      <c r="C376" s="83" t="s">
        <v>366</v>
      </c>
      <c r="D376" s="81" t="s">
        <v>526</v>
      </c>
      <c r="E376" s="48">
        <v>100368</v>
      </c>
      <c r="F376" s="30" t="s">
        <v>1365</v>
      </c>
      <c r="G376" s="29" t="s">
        <v>86</v>
      </c>
      <c r="H376" s="30" t="s">
        <v>114</v>
      </c>
      <c r="I376" s="78"/>
      <c r="J376" s="20"/>
      <c r="K376" s="20"/>
      <c r="L376" s="20"/>
      <c r="M376" s="20"/>
      <c r="N376" s="179" t="s">
        <v>502</v>
      </c>
      <c r="O376" s="70">
        <v>0</v>
      </c>
      <c r="P376" s="70">
        <v>0</v>
      </c>
      <c r="Q376" s="70">
        <f t="shared" si="30"/>
        <v>0</v>
      </c>
      <c r="R376" s="70"/>
      <c r="S376" s="67"/>
      <c r="T376" s="2" t="str">
        <f t="shared" si="31"/>
        <v>Trần Thị Mỹ Kim_10AT1</v>
      </c>
      <c r="U376" s="28">
        <f t="array" ref="U376">IFERROR(VLOOKUP($T376,'Nghi hoc T12'!$H$7:$I$160,2,0),0)</f>
        <v>0</v>
      </c>
      <c r="V376" s="28">
        <f>IFERROR(VLOOKUP($T376,No_HP!$B$2:$C$514,2,0),0)</f>
        <v>0</v>
      </c>
      <c r="W376" s="28">
        <f t="shared" si="32"/>
        <v>0</v>
      </c>
      <c r="X376" s="333">
        <f t="shared" si="33"/>
        <v>0</v>
      </c>
      <c r="Y376" s="333">
        <f t="shared" si="34"/>
        <v>0</v>
      </c>
    </row>
    <row r="377" spans="1:25" s="2" customFormat="1" ht="21.95" customHeight="1">
      <c r="A377" s="82">
        <v>9</v>
      </c>
      <c r="B377" s="91" t="str">
        <f t="shared" si="35"/>
        <v>8B.T</v>
      </c>
      <c r="C377" s="83" t="s">
        <v>366</v>
      </c>
      <c r="D377" s="81" t="s">
        <v>526</v>
      </c>
      <c r="E377" s="48">
        <v>100369</v>
      </c>
      <c r="F377" s="30" t="s">
        <v>1366</v>
      </c>
      <c r="G377" s="29" t="s">
        <v>1367</v>
      </c>
      <c r="H377" s="30" t="s">
        <v>115</v>
      </c>
      <c r="I377" s="78"/>
      <c r="J377" s="20"/>
      <c r="K377" s="20"/>
      <c r="L377" s="20"/>
      <c r="M377" s="20"/>
      <c r="N377" s="179" t="s">
        <v>502</v>
      </c>
      <c r="O377" s="70">
        <v>0</v>
      </c>
      <c r="P377" s="70">
        <v>0</v>
      </c>
      <c r="Q377" s="70">
        <f t="shared" si="30"/>
        <v>0</v>
      </c>
      <c r="R377" s="70"/>
      <c r="S377" s="67"/>
      <c r="T377" s="2" t="str">
        <f t="shared" si="31"/>
        <v>Cao Hùng Liêm_10AT2</v>
      </c>
      <c r="U377" s="28">
        <f t="array" ref="U377">IFERROR(VLOOKUP($T377,'Nghi hoc T12'!$H$7:$I$160,2,0),0)</f>
        <v>0</v>
      </c>
      <c r="V377" s="28">
        <f>IFERROR(VLOOKUP($T377,No_HP!$B$2:$C$514,2,0),0)</f>
        <v>0</v>
      </c>
      <c r="W377" s="28">
        <f t="shared" si="32"/>
        <v>0</v>
      </c>
      <c r="X377" s="333">
        <f t="shared" si="33"/>
        <v>0</v>
      </c>
      <c r="Y377" s="333">
        <f t="shared" si="34"/>
        <v>0</v>
      </c>
    </row>
    <row r="378" spans="1:25" s="2" customFormat="1" ht="21.95" customHeight="1">
      <c r="A378" s="82">
        <v>10</v>
      </c>
      <c r="B378" s="91" t="str">
        <f t="shared" si="35"/>
        <v>8B.T</v>
      </c>
      <c r="C378" s="83" t="s">
        <v>366</v>
      </c>
      <c r="D378" s="81" t="s">
        <v>526</v>
      </c>
      <c r="E378" s="48">
        <v>100370</v>
      </c>
      <c r="F378" s="30" t="s">
        <v>1368</v>
      </c>
      <c r="G378" s="29" t="s">
        <v>38</v>
      </c>
      <c r="H378" s="30" t="s">
        <v>114</v>
      </c>
      <c r="I378" s="78"/>
      <c r="J378" s="20"/>
      <c r="K378" s="20"/>
      <c r="L378" s="20"/>
      <c r="M378" s="20"/>
      <c r="N378" s="179" t="s">
        <v>502</v>
      </c>
      <c r="O378" s="70">
        <v>0</v>
      </c>
      <c r="P378" s="70">
        <v>0</v>
      </c>
      <c r="Q378" s="70">
        <f t="shared" si="30"/>
        <v>0</v>
      </c>
      <c r="R378" s="70"/>
      <c r="S378" s="67"/>
      <c r="T378" s="2" t="str">
        <f t="shared" si="31"/>
        <v>Nguyễn Minh Ngọc Linh_10AT1</v>
      </c>
      <c r="U378" s="28">
        <f t="array" ref="U378">IFERROR(VLOOKUP($T378,'Nghi hoc T12'!$H$7:$I$160,2,0),0)</f>
        <v>0</v>
      </c>
      <c r="V378" s="28">
        <f>IFERROR(VLOOKUP($T378,No_HP!$B$2:$C$514,2,0),0)</f>
        <v>0</v>
      </c>
      <c r="W378" s="28">
        <f t="shared" si="32"/>
        <v>0</v>
      </c>
      <c r="X378" s="333">
        <f t="shared" si="33"/>
        <v>0</v>
      </c>
      <c r="Y378" s="333">
        <f t="shared" si="34"/>
        <v>0</v>
      </c>
    </row>
    <row r="379" spans="1:25" s="2" customFormat="1" ht="21.95" customHeight="1">
      <c r="A379" s="82">
        <v>11</v>
      </c>
      <c r="B379" s="91" t="str">
        <f t="shared" si="35"/>
        <v>8B.T</v>
      </c>
      <c r="C379" s="83" t="s">
        <v>366</v>
      </c>
      <c r="D379" s="81" t="s">
        <v>526</v>
      </c>
      <c r="E379" s="48">
        <v>100371</v>
      </c>
      <c r="F379" s="30" t="s">
        <v>349</v>
      </c>
      <c r="G379" s="29" t="s">
        <v>38</v>
      </c>
      <c r="H379" s="30" t="s">
        <v>115</v>
      </c>
      <c r="I379" s="78"/>
      <c r="J379" s="20"/>
      <c r="K379" s="20"/>
      <c r="L379" s="20"/>
      <c r="M379" s="20"/>
      <c r="N379" s="179" t="s">
        <v>502</v>
      </c>
      <c r="O379" s="70">
        <v>0</v>
      </c>
      <c r="P379" s="70">
        <v>0</v>
      </c>
      <c r="Q379" s="70">
        <f t="shared" si="30"/>
        <v>0</v>
      </c>
      <c r="R379" s="70"/>
      <c r="S379" s="67"/>
      <c r="T379" s="2" t="str">
        <f t="shared" si="31"/>
        <v>Phan Hoàng Linh_10AT2</v>
      </c>
      <c r="U379" s="28">
        <f t="array" ref="U379">IFERROR(VLOOKUP($T379,'Nghi hoc T12'!$H$7:$I$160,2,0),0)</f>
        <v>0</v>
      </c>
      <c r="V379" s="28">
        <f>IFERROR(VLOOKUP($T379,No_HP!$B$2:$C$514,2,0),0)</f>
        <v>0</v>
      </c>
      <c r="W379" s="28">
        <f t="shared" si="32"/>
        <v>0</v>
      </c>
      <c r="X379" s="333">
        <f t="shared" si="33"/>
        <v>0</v>
      </c>
      <c r="Y379" s="333">
        <f t="shared" si="34"/>
        <v>0</v>
      </c>
    </row>
    <row r="380" spans="1:25" s="2" customFormat="1" ht="21.95" customHeight="1">
      <c r="A380" s="82">
        <v>12</v>
      </c>
      <c r="B380" s="91" t="str">
        <f t="shared" si="35"/>
        <v>8B.T</v>
      </c>
      <c r="C380" s="83" t="s">
        <v>366</v>
      </c>
      <c r="D380" s="81" t="s">
        <v>526</v>
      </c>
      <c r="E380" s="48">
        <v>100372</v>
      </c>
      <c r="F380" s="30" t="s">
        <v>440</v>
      </c>
      <c r="G380" s="29" t="s">
        <v>14</v>
      </c>
      <c r="H380" s="30" t="s">
        <v>114</v>
      </c>
      <c r="I380" s="78"/>
      <c r="J380" s="20"/>
      <c r="K380" s="20"/>
      <c r="L380" s="20"/>
      <c r="M380" s="20"/>
      <c r="N380" s="179" t="s">
        <v>502</v>
      </c>
      <c r="O380" s="70">
        <v>0</v>
      </c>
      <c r="P380" s="70">
        <v>0</v>
      </c>
      <c r="Q380" s="70">
        <f t="shared" si="30"/>
        <v>0</v>
      </c>
      <c r="R380" s="70"/>
      <c r="S380" s="67"/>
      <c r="T380" s="2" t="str">
        <f t="shared" si="31"/>
        <v>Lê Nguyễn Thành Long_10AT1</v>
      </c>
      <c r="U380" s="28">
        <f t="array" ref="U380">IFERROR(VLOOKUP($T380,'Nghi hoc T12'!$H$7:$I$160,2,0),0)</f>
        <v>0</v>
      </c>
      <c r="V380" s="28">
        <f>IFERROR(VLOOKUP($T380,No_HP!$B$2:$C$514,2,0),0)</f>
        <v>0</v>
      </c>
      <c r="W380" s="28">
        <f t="shared" si="32"/>
        <v>0</v>
      </c>
      <c r="X380" s="333">
        <f t="shared" si="33"/>
        <v>0</v>
      </c>
      <c r="Y380" s="333">
        <f t="shared" si="34"/>
        <v>0</v>
      </c>
    </row>
    <row r="381" spans="1:25" s="2" customFormat="1" ht="21.95" customHeight="1">
      <c r="A381" s="82">
        <v>13</v>
      </c>
      <c r="B381" s="91" t="str">
        <f t="shared" si="35"/>
        <v>8B.T</v>
      </c>
      <c r="C381" s="83" t="s">
        <v>366</v>
      </c>
      <c r="D381" s="81" t="s">
        <v>526</v>
      </c>
      <c r="E381" s="48">
        <v>100373</v>
      </c>
      <c r="F381" s="30" t="s">
        <v>1369</v>
      </c>
      <c r="G381" s="29" t="s">
        <v>14</v>
      </c>
      <c r="H381" s="30" t="s">
        <v>114</v>
      </c>
      <c r="I381" s="78"/>
      <c r="J381" s="20"/>
      <c r="K381" s="20"/>
      <c r="L381" s="20"/>
      <c r="M381" s="20"/>
      <c r="N381" s="179" t="s">
        <v>502</v>
      </c>
      <c r="O381" s="70">
        <v>0</v>
      </c>
      <c r="P381" s="70">
        <v>0</v>
      </c>
      <c r="Q381" s="70">
        <f t="shared" si="30"/>
        <v>0</v>
      </c>
      <c r="R381" s="70"/>
      <c r="S381" s="67"/>
      <c r="T381" s="2" t="str">
        <f t="shared" si="31"/>
        <v>Mai Văn Long_10AT1</v>
      </c>
      <c r="U381" s="28">
        <f t="array" ref="U381">IFERROR(VLOOKUP($T381,'Nghi hoc T12'!$H$7:$I$160,2,0),0)</f>
        <v>0</v>
      </c>
      <c r="V381" s="28">
        <f>IFERROR(VLOOKUP($T381,No_HP!$B$2:$C$514,2,0),0)</f>
        <v>0</v>
      </c>
      <c r="W381" s="28">
        <f t="shared" si="32"/>
        <v>0</v>
      </c>
      <c r="X381" s="333">
        <f t="shared" si="33"/>
        <v>0</v>
      </c>
      <c r="Y381" s="333">
        <f t="shared" si="34"/>
        <v>0</v>
      </c>
    </row>
    <row r="382" spans="1:25" s="2" customFormat="1" ht="21.95" customHeight="1">
      <c r="A382" s="82">
        <v>14</v>
      </c>
      <c r="B382" s="91" t="str">
        <f t="shared" si="35"/>
        <v>8B.T</v>
      </c>
      <c r="C382" s="83" t="s">
        <v>366</v>
      </c>
      <c r="D382" s="81" t="s">
        <v>526</v>
      </c>
      <c r="E382" s="48">
        <v>100374</v>
      </c>
      <c r="F382" s="30" t="s">
        <v>1370</v>
      </c>
      <c r="G382" s="29" t="s">
        <v>152</v>
      </c>
      <c r="H382" s="30" t="s">
        <v>115</v>
      </c>
      <c r="I382" s="78"/>
      <c r="J382" s="20"/>
      <c r="K382" s="20"/>
      <c r="L382" s="20"/>
      <c r="M382" s="20"/>
      <c r="N382" s="179" t="s">
        <v>502</v>
      </c>
      <c r="O382" s="70">
        <v>0</v>
      </c>
      <c r="P382" s="70">
        <v>0</v>
      </c>
      <c r="Q382" s="70">
        <f t="shared" si="30"/>
        <v>0</v>
      </c>
      <c r="R382" s="70"/>
      <c r="S382" s="67"/>
      <c r="T382" s="2" t="str">
        <f t="shared" si="31"/>
        <v>Trần Vũ Lộc_10AT2</v>
      </c>
      <c r="U382" s="28">
        <f t="array" ref="U382">IFERROR(VLOOKUP($T382,'Nghi hoc T12'!$H$7:$I$160,2,0),0)</f>
        <v>0</v>
      </c>
      <c r="V382" s="28">
        <f>IFERROR(VLOOKUP($T382,No_HP!$B$2:$C$514,2,0),0)</f>
        <v>0</v>
      </c>
      <c r="W382" s="28">
        <f t="shared" si="32"/>
        <v>0</v>
      </c>
      <c r="X382" s="333">
        <f t="shared" si="33"/>
        <v>0</v>
      </c>
      <c r="Y382" s="333">
        <f t="shared" si="34"/>
        <v>0</v>
      </c>
    </row>
    <row r="383" spans="1:25" s="2" customFormat="1" ht="21.95" customHeight="1">
      <c r="A383" s="82">
        <v>15</v>
      </c>
      <c r="B383" s="91" t="str">
        <f t="shared" si="35"/>
        <v>8B.T</v>
      </c>
      <c r="C383" s="83" t="s">
        <v>366</v>
      </c>
      <c r="D383" s="81" t="s">
        <v>526</v>
      </c>
      <c r="E383" s="48">
        <v>100375</v>
      </c>
      <c r="F383" s="30" t="s">
        <v>246</v>
      </c>
      <c r="G383" s="29" t="s">
        <v>15</v>
      </c>
      <c r="H383" s="30" t="s">
        <v>115</v>
      </c>
      <c r="I383" s="78"/>
      <c r="J383" s="20"/>
      <c r="K383" s="20"/>
      <c r="L383" s="20"/>
      <c r="M383" s="20"/>
      <c r="N383" s="179" t="s">
        <v>502</v>
      </c>
      <c r="O383" s="70">
        <v>0</v>
      </c>
      <c r="P383" s="70">
        <v>0</v>
      </c>
      <c r="Q383" s="70">
        <f t="shared" si="30"/>
        <v>0</v>
      </c>
      <c r="R383" s="70"/>
      <c r="S383" s="67"/>
      <c r="T383" s="2" t="str">
        <f t="shared" si="31"/>
        <v>Nguyễn Thị Ngọc Mai_10AT2</v>
      </c>
      <c r="U383" s="28">
        <f t="array" ref="U383">IFERROR(VLOOKUP($T383,'Nghi hoc T12'!$H$7:$I$160,2,0),0)</f>
        <v>0</v>
      </c>
      <c r="V383" s="28">
        <f>IFERROR(VLOOKUP($T383,No_HP!$B$2:$C$514,2,0),0)</f>
        <v>0</v>
      </c>
      <c r="W383" s="28">
        <f t="shared" si="32"/>
        <v>0</v>
      </c>
      <c r="X383" s="333">
        <f t="shared" si="33"/>
        <v>0</v>
      </c>
      <c r="Y383" s="333">
        <f t="shared" si="34"/>
        <v>0</v>
      </c>
    </row>
    <row r="384" spans="1:25" s="2" customFormat="1" ht="21.95" customHeight="1">
      <c r="A384" s="82">
        <v>16</v>
      </c>
      <c r="B384" s="91" t="str">
        <f t="shared" si="35"/>
        <v>8B.T</v>
      </c>
      <c r="C384" s="83" t="s">
        <v>366</v>
      </c>
      <c r="D384" s="81" t="s">
        <v>526</v>
      </c>
      <c r="E384" s="48">
        <v>100376</v>
      </c>
      <c r="F384" s="30" t="s">
        <v>174</v>
      </c>
      <c r="G384" s="29" t="s">
        <v>1371</v>
      </c>
      <c r="H384" s="30" t="s">
        <v>114</v>
      </c>
      <c r="I384" s="78"/>
      <c r="J384" s="20"/>
      <c r="K384" s="20"/>
      <c r="L384" s="20"/>
      <c r="M384" s="20"/>
      <c r="N384" s="179" t="s">
        <v>502</v>
      </c>
      <c r="O384" s="70">
        <v>0</v>
      </c>
      <c r="P384" s="70">
        <v>0</v>
      </c>
      <c r="Q384" s="70">
        <f t="shared" si="30"/>
        <v>0</v>
      </c>
      <c r="R384" s="70"/>
      <c r="S384" s="67"/>
      <c r="T384" s="2" t="str">
        <f t="shared" si="31"/>
        <v>Lê Văn Mẫn_10AT1</v>
      </c>
      <c r="U384" s="28">
        <f t="array" ref="U384">IFERROR(VLOOKUP($T384,'Nghi hoc T12'!$H$7:$I$160,2,0),0)</f>
        <v>0</v>
      </c>
      <c r="V384" s="28">
        <f>IFERROR(VLOOKUP($T384,No_HP!$B$2:$C$514,2,0),0)</f>
        <v>0</v>
      </c>
      <c r="W384" s="28">
        <f t="shared" si="32"/>
        <v>0</v>
      </c>
      <c r="X384" s="333">
        <f t="shared" si="33"/>
        <v>0</v>
      </c>
      <c r="Y384" s="333">
        <f t="shared" si="34"/>
        <v>0</v>
      </c>
    </row>
    <row r="385" spans="1:25" s="2" customFormat="1" ht="21.95" customHeight="1">
      <c r="A385" s="82">
        <v>17</v>
      </c>
      <c r="B385" s="91" t="str">
        <f t="shared" si="35"/>
        <v>8B.T</v>
      </c>
      <c r="C385" s="83" t="s">
        <v>366</v>
      </c>
      <c r="D385" s="81" t="s">
        <v>526</v>
      </c>
      <c r="E385" s="48">
        <v>100377</v>
      </c>
      <c r="F385" s="30" t="s">
        <v>1372</v>
      </c>
      <c r="G385" s="29" t="s">
        <v>40</v>
      </c>
      <c r="H385" s="30" t="s">
        <v>115</v>
      </c>
      <c r="I385" s="78"/>
      <c r="J385" s="20"/>
      <c r="K385" s="20"/>
      <c r="L385" s="20"/>
      <c r="M385" s="20"/>
      <c r="N385" s="179" t="s">
        <v>502</v>
      </c>
      <c r="O385" s="70">
        <v>0</v>
      </c>
      <c r="P385" s="70">
        <v>0</v>
      </c>
      <c r="Q385" s="70">
        <f t="shared" si="30"/>
        <v>0</v>
      </c>
      <c r="R385" s="70"/>
      <c r="S385" s="67"/>
      <c r="T385" s="2" t="str">
        <f t="shared" si="31"/>
        <v>Ngô Nguyễn Hà My_10AT2</v>
      </c>
      <c r="U385" s="28">
        <f t="array" ref="U385">IFERROR(VLOOKUP($T385,'Nghi hoc T12'!$H$7:$I$160,2,0),0)</f>
        <v>0</v>
      </c>
      <c r="V385" s="28">
        <f>IFERROR(VLOOKUP($T385,No_HP!$B$2:$C$514,2,0),0)</f>
        <v>0</v>
      </c>
      <c r="W385" s="28">
        <f t="shared" si="32"/>
        <v>0</v>
      </c>
      <c r="X385" s="333">
        <f t="shared" si="33"/>
        <v>0</v>
      </c>
      <c r="Y385" s="333">
        <f t="shared" si="34"/>
        <v>0</v>
      </c>
    </row>
    <row r="386" spans="1:25" s="2" customFormat="1" ht="21.95" customHeight="1">
      <c r="A386" s="82">
        <v>18</v>
      </c>
      <c r="B386" s="91" t="str">
        <f t="shared" si="35"/>
        <v>8B.T</v>
      </c>
      <c r="C386" s="83" t="s">
        <v>366</v>
      </c>
      <c r="D386" s="81" t="s">
        <v>526</v>
      </c>
      <c r="E386" s="48">
        <v>100378</v>
      </c>
      <c r="F386" s="30" t="s">
        <v>1373</v>
      </c>
      <c r="G386" s="29" t="s">
        <v>339</v>
      </c>
      <c r="H386" s="30" t="s">
        <v>114</v>
      </c>
      <c r="I386" s="78"/>
      <c r="J386" s="20"/>
      <c r="K386" s="20"/>
      <c r="L386" s="20"/>
      <c r="M386" s="20"/>
      <c r="N386" s="179" t="s">
        <v>502</v>
      </c>
      <c r="O386" s="70">
        <v>0</v>
      </c>
      <c r="P386" s="70">
        <v>0</v>
      </c>
      <c r="Q386" s="70">
        <f t="shared" si="30"/>
        <v>0</v>
      </c>
      <c r="R386" s="70"/>
      <c r="S386" s="67"/>
      <c r="T386" s="2" t="str">
        <f t="shared" si="31"/>
        <v>Chu Thị Bích Mỹ_10AT1</v>
      </c>
      <c r="U386" s="28">
        <f t="array" ref="U386">IFERROR(VLOOKUP($T386,'Nghi hoc T12'!$H$7:$I$160,2,0),0)</f>
        <v>0</v>
      </c>
      <c r="V386" s="28">
        <f>IFERROR(VLOOKUP($T386,No_HP!$B$2:$C$514,2,0),0)</f>
        <v>0</v>
      </c>
      <c r="W386" s="28">
        <f t="shared" si="32"/>
        <v>0</v>
      </c>
      <c r="X386" s="333">
        <f t="shared" si="33"/>
        <v>0</v>
      </c>
      <c r="Y386" s="333">
        <f t="shared" si="34"/>
        <v>0</v>
      </c>
    </row>
    <row r="387" spans="1:25" s="2" customFormat="1" ht="21.95" customHeight="1">
      <c r="A387" s="82">
        <v>19</v>
      </c>
      <c r="B387" s="91" t="str">
        <f t="shared" si="35"/>
        <v>8B.T</v>
      </c>
      <c r="C387" s="83" t="s">
        <v>366</v>
      </c>
      <c r="D387" s="81" t="s">
        <v>526</v>
      </c>
      <c r="E387" s="48">
        <v>100379</v>
      </c>
      <c r="F387" s="30" t="s">
        <v>1374</v>
      </c>
      <c r="G387" s="29" t="s">
        <v>17</v>
      </c>
      <c r="H387" s="30" t="s">
        <v>115</v>
      </c>
      <c r="I387" s="78"/>
      <c r="J387" s="20"/>
      <c r="K387" s="20"/>
      <c r="L387" s="20"/>
      <c r="M387" s="20"/>
      <c r="N387" s="179" t="s">
        <v>502</v>
      </c>
      <c r="O387" s="70">
        <v>0</v>
      </c>
      <c r="P387" s="70">
        <v>0</v>
      </c>
      <c r="Q387" s="70">
        <f t="shared" si="30"/>
        <v>0</v>
      </c>
      <c r="R387" s="70"/>
      <c r="S387" s="67"/>
      <c r="T387" s="2" t="str">
        <f t="shared" si="31"/>
        <v>Diệp Văn Nhật Nam_10AT2</v>
      </c>
      <c r="U387" s="28">
        <f t="array" ref="U387">IFERROR(VLOOKUP($T387,'Nghi hoc T12'!$H$7:$I$160,2,0),0)</f>
        <v>0</v>
      </c>
      <c r="V387" s="28">
        <f>IFERROR(VLOOKUP($T387,No_HP!$B$2:$C$514,2,0),0)</f>
        <v>0</v>
      </c>
      <c r="W387" s="28">
        <f t="shared" si="32"/>
        <v>0</v>
      </c>
      <c r="X387" s="333">
        <f t="shared" si="33"/>
        <v>0</v>
      </c>
      <c r="Y387" s="333">
        <f t="shared" si="34"/>
        <v>0</v>
      </c>
    </row>
    <row r="388" spans="1:25" s="2" customFormat="1" ht="21.95" customHeight="1">
      <c r="A388" s="82">
        <v>20</v>
      </c>
      <c r="B388" s="91" t="str">
        <f t="shared" si="35"/>
        <v>8B.T</v>
      </c>
      <c r="C388" s="83" t="s">
        <v>366</v>
      </c>
      <c r="D388" s="81" t="s">
        <v>526</v>
      </c>
      <c r="E388" s="48">
        <v>100380</v>
      </c>
      <c r="F388" s="30" t="s">
        <v>470</v>
      </c>
      <c r="G388" s="29" t="s">
        <v>18</v>
      </c>
      <c r="H388" s="30" t="s">
        <v>115</v>
      </c>
      <c r="I388" s="78"/>
      <c r="J388" s="20"/>
      <c r="K388" s="20"/>
      <c r="L388" s="20"/>
      <c r="M388" s="20"/>
      <c r="N388" s="179" t="s">
        <v>502</v>
      </c>
      <c r="O388" s="70">
        <v>0</v>
      </c>
      <c r="P388" s="70">
        <v>0</v>
      </c>
      <c r="Q388" s="70">
        <f t="shared" si="30"/>
        <v>0</v>
      </c>
      <c r="R388" s="70"/>
      <c r="S388" s="67"/>
      <c r="T388" s="2" t="str">
        <f t="shared" si="31"/>
        <v>Hồ Thị Kim Ngân_10AT2</v>
      </c>
      <c r="U388" s="28">
        <f t="array" ref="U388">IFERROR(VLOOKUP($T388,'Nghi hoc T12'!$H$7:$I$160,2,0),0)</f>
        <v>0</v>
      </c>
      <c r="V388" s="28">
        <f>IFERROR(VLOOKUP($T388,No_HP!$B$2:$C$514,2,0),0)</f>
        <v>0</v>
      </c>
      <c r="W388" s="28">
        <f t="shared" si="32"/>
        <v>0</v>
      </c>
      <c r="X388" s="333">
        <f t="shared" si="33"/>
        <v>0</v>
      </c>
      <c r="Y388" s="333">
        <f t="shared" si="34"/>
        <v>0</v>
      </c>
    </row>
    <row r="389" spans="1:25" s="2" customFormat="1" ht="21.95" customHeight="1">
      <c r="A389" s="82">
        <v>21</v>
      </c>
      <c r="B389" s="91" t="str">
        <f t="shared" si="35"/>
        <v>8B.T</v>
      </c>
      <c r="C389" s="83" t="s">
        <v>366</v>
      </c>
      <c r="D389" s="81" t="s">
        <v>526</v>
      </c>
      <c r="E389" s="48">
        <v>100381</v>
      </c>
      <c r="F389" s="30" t="s">
        <v>1375</v>
      </c>
      <c r="G389" s="29" t="s">
        <v>18</v>
      </c>
      <c r="H389" s="30" t="s">
        <v>115</v>
      </c>
      <c r="I389" s="78"/>
      <c r="J389" s="20"/>
      <c r="K389" s="20"/>
      <c r="L389" s="20"/>
      <c r="M389" s="20"/>
      <c r="N389" s="179" t="s">
        <v>502</v>
      </c>
      <c r="O389" s="70">
        <v>0</v>
      </c>
      <c r="P389" s="70">
        <v>0</v>
      </c>
      <c r="Q389" s="70">
        <f t="shared" si="30"/>
        <v>0</v>
      </c>
      <c r="R389" s="70"/>
      <c r="S389" s="67"/>
      <c r="T389" s="2" t="str">
        <f t="shared" si="31"/>
        <v>Nguyễn Thị Diễm Ngân_10AT2</v>
      </c>
      <c r="U389" s="28">
        <f t="array" ref="U389">IFERROR(VLOOKUP($T389,'Nghi hoc T12'!$H$7:$I$160,2,0),0)</f>
        <v>0</v>
      </c>
      <c r="V389" s="28">
        <f>IFERROR(VLOOKUP($T389,No_HP!$B$2:$C$514,2,0),0)</f>
        <v>0</v>
      </c>
      <c r="W389" s="28">
        <f t="shared" si="32"/>
        <v>0</v>
      </c>
      <c r="X389" s="333">
        <f t="shared" si="33"/>
        <v>0</v>
      </c>
      <c r="Y389" s="333">
        <f t="shared" si="34"/>
        <v>0</v>
      </c>
    </row>
    <row r="390" spans="1:25" s="2" customFormat="1" ht="21.95" customHeight="1">
      <c r="A390" s="82">
        <v>22</v>
      </c>
      <c r="B390" s="91" t="str">
        <f t="shared" si="35"/>
        <v>8B.T</v>
      </c>
      <c r="C390" s="83" t="s">
        <v>366</v>
      </c>
      <c r="D390" s="81" t="s">
        <v>526</v>
      </c>
      <c r="E390" s="48">
        <v>100382</v>
      </c>
      <c r="F390" s="30" t="s">
        <v>249</v>
      </c>
      <c r="G390" s="29" t="s">
        <v>18</v>
      </c>
      <c r="H390" s="30" t="s">
        <v>114</v>
      </c>
      <c r="I390" s="78"/>
      <c r="J390" s="20"/>
      <c r="K390" s="20"/>
      <c r="L390" s="20"/>
      <c r="M390" s="20"/>
      <c r="N390" s="179" t="s">
        <v>502</v>
      </c>
      <c r="O390" s="70">
        <v>0</v>
      </c>
      <c r="P390" s="70">
        <v>0</v>
      </c>
      <c r="Q390" s="70">
        <f t="shared" si="30"/>
        <v>0</v>
      </c>
      <c r="R390" s="70"/>
      <c r="S390" s="67"/>
      <c r="T390" s="2" t="str">
        <f t="shared" si="31"/>
        <v>Nguyễn Thiên Ngân_10AT1</v>
      </c>
      <c r="U390" s="28">
        <f t="array" ref="U390">IFERROR(VLOOKUP($T390,'Nghi hoc T12'!$H$7:$I$160,2,0),0)</f>
        <v>0</v>
      </c>
      <c r="V390" s="28">
        <f>IFERROR(VLOOKUP($T390,No_HP!$B$2:$C$514,2,0),0)</f>
        <v>0</v>
      </c>
      <c r="W390" s="28">
        <f t="shared" si="32"/>
        <v>0</v>
      </c>
      <c r="X390" s="333">
        <f t="shared" si="33"/>
        <v>0</v>
      </c>
      <c r="Y390" s="333">
        <f t="shared" si="34"/>
        <v>0</v>
      </c>
    </row>
    <row r="391" spans="1:25" s="2" customFormat="1" ht="21.95" customHeight="1">
      <c r="A391" s="82">
        <v>23</v>
      </c>
      <c r="B391" s="91" t="str">
        <f t="shared" si="35"/>
        <v>8B.T</v>
      </c>
      <c r="C391" s="83" t="s">
        <v>366</v>
      </c>
      <c r="D391" s="81" t="s">
        <v>526</v>
      </c>
      <c r="E391" s="48">
        <v>100383</v>
      </c>
      <c r="F391" s="30" t="s">
        <v>1376</v>
      </c>
      <c r="G391" s="29" t="s">
        <v>96</v>
      </c>
      <c r="H391" s="30" t="s">
        <v>114</v>
      </c>
      <c r="I391" s="78"/>
      <c r="J391" s="20"/>
      <c r="K391" s="20"/>
      <c r="L391" s="20"/>
      <c r="M391" s="20"/>
      <c r="N391" s="179" t="s">
        <v>502</v>
      </c>
      <c r="O391" s="70">
        <v>0</v>
      </c>
      <c r="P391" s="70">
        <v>0</v>
      </c>
      <c r="Q391" s="70">
        <f t="shared" si="30"/>
        <v>0</v>
      </c>
      <c r="R391" s="70"/>
      <c r="S391" s="67"/>
      <c r="T391" s="2" t="str">
        <f t="shared" si="31"/>
        <v>Nguyễn Hiếu Nghĩa_10AT1</v>
      </c>
      <c r="U391" s="28">
        <f t="array" ref="U391">IFERROR(VLOOKUP($T391,'Nghi hoc T12'!$H$7:$I$160,2,0),0)</f>
        <v>0</v>
      </c>
      <c r="V391" s="28">
        <f>IFERROR(VLOOKUP($T391,No_HP!$B$2:$C$514,2,0),0)</f>
        <v>0</v>
      </c>
      <c r="W391" s="28">
        <f t="shared" si="32"/>
        <v>0</v>
      </c>
      <c r="X391" s="333">
        <f t="shared" si="33"/>
        <v>0</v>
      </c>
      <c r="Y391" s="333">
        <f t="shared" si="34"/>
        <v>0</v>
      </c>
    </row>
    <row r="392" spans="1:25" s="2" customFormat="1" ht="21.95" customHeight="1">
      <c r="A392" s="82">
        <v>24</v>
      </c>
      <c r="B392" s="91" t="str">
        <f t="shared" si="35"/>
        <v>8B.T</v>
      </c>
      <c r="C392" s="83" t="s">
        <v>366</v>
      </c>
      <c r="D392" s="81" t="s">
        <v>526</v>
      </c>
      <c r="E392" s="48">
        <v>100384</v>
      </c>
      <c r="F392" s="30" t="s">
        <v>1377</v>
      </c>
      <c r="G392" s="29" t="s">
        <v>19</v>
      </c>
      <c r="H392" s="30" t="s">
        <v>114</v>
      </c>
      <c r="I392" s="78"/>
      <c r="J392" s="20"/>
      <c r="K392" s="20"/>
      <c r="L392" s="20"/>
      <c r="M392" s="20"/>
      <c r="N392" s="179" t="s">
        <v>502</v>
      </c>
      <c r="O392" s="70">
        <v>0</v>
      </c>
      <c r="P392" s="70">
        <v>0</v>
      </c>
      <c r="Q392" s="70">
        <f t="shared" si="30"/>
        <v>0</v>
      </c>
      <c r="R392" s="70"/>
      <c r="S392" s="67"/>
      <c r="T392" s="2" t="str">
        <f t="shared" si="31"/>
        <v>Đinh Thị Hồng Ngọc_10AT1</v>
      </c>
      <c r="U392" s="28">
        <f t="array" ref="U392">IFERROR(VLOOKUP($T392,'Nghi hoc T12'!$H$7:$I$160,2,0),0)</f>
        <v>0</v>
      </c>
      <c r="V392" s="28">
        <f>IFERROR(VLOOKUP($T392,No_HP!$B$2:$C$514,2,0),0)</f>
        <v>0</v>
      </c>
      <c r="W392" s="28">
        <f t="shared" si="32"/>
        <v>0</v>
      </c>
      <c r="X392" s="333">
        <f t="shared" si="33"/>
        <v>0</v>
      </c>
      <c r="Y392" s="333">
        <f t="shared" si="34"/>
        <v>0</v>
      </c>
    </row>
    <row r="393" spans="1:25" s="2" customFormat="1" ht="21.95" customHeight="1">
      <c r="A393" s="82">
        <v>25</v>
      </c>
      <c r="B393" s="91" t="str">
        <f t="shared" si="35"/>
        <v>8B.T</v>
      </c>
      <c r="C393" s="83" t="s">
        <v>366</v>
      </c>
      <c r="D393" s="81" t="s">
        <v>526</v>
      </c>
      <c r="E393" s="48">
        <v>100385</v>
      </c>
      <c r="F393" s="30" t="s">
        <v>1378</v>
      </c>
      <c r="G393" s="29" t="s">
        <v>19</v>
      </c>
      <c r="H393" s="30" t="s">
        <v>114</v>
      </c>
      <c r="I393" s="78"/>
      <c r="J393" s="20"/>
      <c r="K393" s="20"/>
      <c r="L393" s="20"/>
      <c r="M393" s="20"/>
      <c r="N393" s="179" t="s">
        <v>502</v>
      </c>
      <c r="O393" s="70">
        <v>0</v>
      </c>
      <c r="P393" s="70">
        <v>0</v>
      </c>
      <c r="Q393" s="70">
        <f t="shared" si="30"/>
        <v>0</v>
      </c>
      <c r="R393" s="70"/>
      <c r="S393" s="67"/>
      <c r="T393" s="2" t="str">
        <f t="shared" si="31"/>
        <v>Hoàng Bảo Ngọc_10AT1</v>
      </c>
      <c r="U393" s="28">
        <f t="array" ref="U393">IFERROR(VLOOKUP($T393,'Nghi hoc T12'!$H$7:$I$160,2,0),0)</f>
        <v>0</v>
      </c>
      <c r="V393" s="28">
        <f>IFERROR(VLOOKUP($T393,No_HP!$B$2:$C$514,2,0),0)</f>
        <v>0</v>
      </c>
      <c r="W393" s="28">
        <f t="shared" si="32"/>
        <v>0</v>
      </c>
      <c r="X393" s="333">
        <f t="shared" si="33"/>
        <v>0</v>
      </c>
      <c r="Y393" s="333">
        <f t="shared" si="34"/>
        <v>0</v>
      </c>
    </row>
    <row r="394" spans="1:25" s="2" customFormat="1" ht="21.95" customHeight="1">
      <c r="A394" s="82">
        <v>26</v>
      </c>
      <c r="B394" s="91" t="str">
        <f t="shared" si="35"/>
        <v>8B.T</v>
      </c>
      <c r="C394" s="83" t="s">
        <v>366</v>
      </c>
      <c r="D394" s="81" t="s">
        <v>526</v>
      </c>
      <c r="E394" s="48">
        <v>100386</v>
      </c>
      <c r="F394" s="30" t="s">
        <v>1379</v>
      </c>
      <c r="G394" s="29" t="s">
        <v>19</v>
      </c>
      <c r="H394" s="30" t="s">
        <v>115</v>
      </c>
      <c r="I394" s="78"/>
      <c r="J394" s="20"/>
      <c r="K394" s="20"/>
      <c r="L394" s="20"/>
      <c r="M394" s="20"/>
      <c r="N394" s="179" t="s">
        <v>502</v>
      </c>
      <c r="O394" s="70">
        <v>0</v>
      </c>
      <c r="P394" s="70">
        <v>0</v>
      </c>
      <c r="Q394" s="70">
        <f t="shared" ref="Q394:Q457" si="36">U394</f>
        <v>0</v>
      </c>
      <c r="R394" s="70"/>
      <c r="S394" s="67"/>
      <c r="T394" s="2" t="str">
        <f t="shared" ref="T394:T457" si="37">TRIM(F394&amp;" "&amp;G394&amp;"_"&amp;H394)</f>
        <v>Nguyễn Trần Bích Ngọc_10AT2</v>
      </c>
      <c r="U394" s="28">
        <f t="array" ref="U394">IFERROR(VLOOKUP($T394,'Nghi hoc T12'!$H$7:$I$160,2,0),0)</f>
        <v>0</v>
      </c>
      <c r="V394" s="28">
        <f>IFERROR(VLOOKUP($T394,No_HP!$B$2:$C$514,2,0),0)</f>
        <v>0</v>
      </c>
      <c r="W394" s="28">
        <f t="shared" ref="W394:W457" si="38">I394</f>
        <v>0</v>
      </c>
      <c r="X394" s="333">
        <f t="shared" ref="X394:X457" si="39">O394</f>
        <v>0</v>
      </c>
      <c r="Y394" s="333">
        <f t="shared" ref="Y394:Y457" si="40">P394</f>
        <v>0</v>
      </c>
    </row>
    <row r="395" spans="1:25" s="2" customFormat="1" ht="21.95" customHeight="1">
      <c r="A395" s="82">
        <v>27</v>
      </c>
      <c r="B395" s="91" t="str">
        <f t="shared" ref="B395:B458" si="41">RIGHT(D395,LEN(D395)-2)&amp;"."&amp;LEFT(N395,1)</f>
        <v>8B.T</v>
      </c>
      <c r="C395" s="83" t="s">
        <v>366</v>
      </c>
      <c r="D395" s="81" t="s">
        <v>526</v>
      </c>
      <c r="E395" s="48">
        <v>100387</v>
      </c>
      <c r="F395" s="30" t="s">
        <v>1380</v>
      </c>
      <c r="G395" s="29" t="s">
        <v>87</v>
      </c>
      <c r="H395" s="30" t="s">
        <v>115</v>
      </c>
      <c r="I395" s="78"/>
      <c r="J395" s="20"/>
      <c r="K395" s="20"/>
      <c r="L395" s="20"/>
      <c r="M395" s="20"/>
      <c r="N395" s="179" t="s">
        <v>502</v>
      </c>
      <c r="O395" s="70">
        <v>0</v>
      </c>
      <c r="P395" s="70">
        <v>0</v>
      </c>
      <c r="Q395" s="70">
        <f t="shared" si="36"/>
        <v>0</v>
      </c>
      <c r="R395" s="70"/>
      <c r="S395" s="67"/>
      <c r="T395" s="2" t="str">
        <f t="shared" si="37"/>
        <v>Huỳnh Nguyễn Khôi Nguyên_10AT2</v>
      </c>
      <c r="U395" s="28">
        <f t="array" ref="U395">IFERROR(VLOOKUP($T395,'Nghi hoc T12'!$H$7:$I$160,2,0),0)</f>
        <v>0</v>
      </c>
      <c r="V395" s="28">
        <f>IFERROR(VLOOKUP($T395,No_HP!$B$2:$C$514,2,0),0)</f>
        <v>0</v>
      </c>
      <c r="W395" s="28">
        <f t="shared" si="38"/>
        <v>0</v>
      </c>
      <c r="X395" s="333">
        <f t="shared" si="39"/>
        <v>0</v>
      </c>
      <c r="Y395" s="333">
        <f t="shared" si="40"/>
        <v>0</v>
      </c>
    </row>
    <row r="396" spans="1:25" s="2" customFormat="1" ht="21.95" customHeight="1">
      <c r="A396" s="82">
        <v>28</v>
      </c>
      <c r="B396" s="91" t="str">
        <f t="shared" si="41"/>
        <v>8B.T</v>
      </c>
      <c r="C396" s="83" t="s">
        <v>366</v>
      </c>
      <c r="D396" s="81" t="s">
        <v>526</v>
      </c>
      <c r="E396" s="48">
        <v>100388</v>
      </c>
      <c r="F396" s="30" t="s">
        <v>1381</v>
      </c>
      <c r="G396" s="29" t="s">
        <v>102</v>
      </c>
      <c r="H396" s="30" t="s">
        <v>114</v>
      </c>
      <c r="I396" s="78"/>
      <c r="J396" s="20"/>
      <c r="K396" s="20"/>
      <c r="L396" s="20"/>
      <c r="M396" s="20"/>
      <c r="N396" s="179" t="s">
        <v>502</v>
      </c>
      <c r="O396" s="70">
        <v>0</v>
      </c>
      <c r="P396" s="70">
        <v>0</v>
      </c>
      <c r="Q396" s="70">
        <f t="shared" si="36"/>
        <v>0</v>
      </c>
      <c r="R396" s="70"/>
      <c r="S396" s="67"/>
      <c r="T396" s="2" t="str">
        <f t="shared" si="37"/>
        <v>Phạm Hoàng Minh Nhân_10AT1</v>
      </c>
      <c r="U396" s="28">
        <f t="array" ref="U396">IFERROR(VLOOKUP($T396,'Nghi hoc T12'!$H$7:$I$160,2,0),0)</f>
        <v>0</v>
      </c>
      <c r="V396" s="28">
        <f>IFERROR(VLOOKUP($T396,No_HP!$B$2:$C$514,2,0),0)</f>
        <v>0</v>
      </c>
      <c r="W396" s="28">
        <f t="shared" si="38"/>
        <v>0</v>
      </c>
      <c r="X396" s="333">
        <f t="shared" si="39"/>
        <v>0</v>
      </c>
      <c r="Y396" s="333">
        <f t="shared" si="40"/>
        <v>0</v>
      </c>
    </row>
    <row r="397" spans="1:25" s="2" customFormat="1" ht="21.95" customHeight="1">
      <c r="A397" s="82">
        <v>29</v>
      </c>
      <c r="B397" s="91" t="str">
        <f t="shared" si="41"/>
        <v>8B.T</v>
      </c>
      <c r="C397" s="83" t="s">
        <v>366</v>
      </c>
      <c r="D397" s="81" t="s">
        <v>526</v>
      </c>
      <c r="E397" s="48">
        <v>100389</v>
      </c>
      <c r="F397" s="30" t="s">
        <v>1382</v>
      </c>
      <c r="G397" s="29" t="s">
        <v>20</v>
      </c>
      <c r="H397" s="30" t="s">
        <v>115</v>
      </c>
      <c r="I397" s="78"/>
      <c r="J397" s="20"/>
      <c r="K397" s="20"/>
      <c r="L397" s="20"/>
      <c r="M397" s="20"/>
      <c r="N397" s="179" t="s">
        <v>502</v>
      </c>
      <c r="O397" s="70">
        <v>0</v>
      </c>
      <c r="P397" s="70">
        <v>0</v>
      </c>
      <c r="Q397" s="70">
        <f t="shared" si="36"/>
        <v>0</v>
      </c>
      <c r="R397" s="70"/>
      <c r="S397" s="67"/>
      <c r="T397" s="2" t="str">
        <f t="shared" si="37"/>
        <v>Cao Ngọc Băng Nhi_10AT2</v>
      </c>
      <c r="U397" s="28">
        <f t="array" ref="U397">IFERROR(VLOOKUP($T397,'Nghi hoc T12'!$H$7:$I$160,2,0),0)</f>
        <v>0</v>
      </c>
      <c r="V397" s="28">
        <f>IFERROR(VLOOKUP($T397,No_HP!$B$2:$C$514,2,0),0)</f>
        <v>0</v>
      </c>
      <c r="W397" s="28">
        <f t="shared" si="38"/>
        <v>0</v>
      </c>
      <c r="X397" s="333">
        <f t="shared" si="39"/>
        <v>0</v>
      </c>
      <c r="Y397" s="333">
        <f t="shared" si="40"/>
        <v>0</v>
      </c>
    </row>
    <row r="398" spans="1:25" s="2" customFormat="1" ht="21.95" customHeight="1">
      <c r="A398" s="200">
        <v>1</v>
      </c>
      <c r="B398" s="91" t="str">
        <f t="shared" si="41"/>
        <v>9B.T</v>
      </c>
      <c r="C398" s="185" t="s">
        <v>366</v>
      </c>
      <c r="D398" s="186" t="s">
        <v>527</v>
      </c>
      <c r="E398" s="187">
        <v>100390</v>
      </c>
      <c r="F398" s="188" t="s">
        <v>1383</v>
      </c>
      <c r="G398" s="189" t="s">
        <v>20</v>
      </c>
      <c r="H398" s="188" t="s">
        <v>115</v>
      </c>
      <c r="I398" s="190"/>
      <c r="J398" s="191"/>
      <c r="K398" s="191"/>
      <c r="L398" s="191"/>
      <c r="M398" s="191"/>
      <c r="N398" s="179" t="s">
        <v>502</v>
      </c>
      <c r="O398" s="70">
        <v>0</v>
      </c>
      <c r="P398" s="70">
        <v>0</v>
      </c>
      <c r="Q398" s="70">
        <f t="shared" si="36"/>
        <v>0</v>
      </c>
      <c r="R398" s="70"/>
      <c r="S398" s="67"/>
      <c r="T398" s="2" t="str">
        <f t="shared" si="37"/>
        <v>Đào Ngọc Yến Nhi_10AT2</v>
      </c>
      <c r="U398" s="28">
        <f t="array" ref="U398">IFERROR(VLOOKUP($T398,'Nghi hoc T12'!$H$7:$I$160,2,0),0)</f>
        <v>0</v>
      </c>
      <c r="V398" s="28">
        <f>IFERROR(VLOOKUP($T398,No_HP!$B$2:$C$514,2,0),0)</f>
        <v>0</v>
      </c>
      <c r="W398" s="28">
        <f t="shared" si="38"/>
        <v>0</v>
      </c>
      <c r="X398" s="333">
        <f t="shared" si="39"/>
        <v>0</v>
      </c>
      <c r="Y398" s="333">
        <f t="shared" si="40"/>
        <v>0</v>
      </c>
    </row>
    <row r="399" spans="1:25" s="2" customFormat="1" ht="21.95" customHeight="1">
      <c r="A399" s="82">
        <v>2</v>
      </c>
      <c r="B399" s="91" t="str">
        <f t="shared" si="41"/>
        <v>9B.T</v>
      </c>
      <c r="C399" s="83" t="s">
        <v>366</v>
      </c>
      <c r="D399" s="81" t="s">
        <v>527</v>
      </c>
      <c r="E399" s="48">
        <v>100391</v>
      </c>
      <c r="F399" s="30" t="s">
        <v>1375</v>
      </c>
      <c r="G399" s="29" t="s">
        <v>21</v>
      </c>
      <c r="H399" s="30" t="s">
        <v>115</v>
      </c>
      <c r="I399" s="78"/>
      <c r="J399" s="20"/>
      <c r="K399" s="20"/>
      <c r="L399" s="20"/>
      <c r="M399" s="20"/>
      <c r="N399" s="179" t="s">
        <v>502</v>
      </c>
      <c r="O399" s="70">
        <v>0</v>
      </c>
      <c r="P399" s="70">
        <v>0</v>
      </c>
      <c r="Q399" s="70">
        <f t="shared" si="36"/>
        <v>0</v>
      </c>
      <c r="R399" s="70"/>
      <c r="S399" s="67"/>
      <c r="T399" s="2" t="str">
        <f t="shared" si="37"/>
        <v>Nguyễn Thị Diễm Như_10AT2</v>
      </c>
      <c r="U399" s="28">
        <f t="array" ref="U399">IFERROR(VLOOKUP($T399,'Nghi hoc T12'!$H$7:$I$160,2,0),0)</f>
        <v>0</v>
      </c>
      <c r="V399" s="28">
        <f>IFERROR(VLOOKUP($T399,No_HP!$B$2:$C$514,2,0),0)</f>
        <v>0</v>
      </c>
      <c r="W399" s="28">
        <f t="shared" si="38"/>
        <v>0</v>
      </c>
      <c r="X399" s="333">
        <f t="shared" si="39"/>
        <v>0</v>
      </c>
      <c r="Y399" s="333">
        <f t="shared" si="40"/>
        <v>0</v>
      </c>
    </row>
    <row r="400" spans="1:25" s="2" customFormat="1" ht="21.95" customHeight="1">
      <c r="A400" s="82">
        <v>3</v>
      </c>
      <c r="B400" s="91" t="str">
        <f t="shared" si="41"/>
        <v>9B.T</v>
      </c>
      <c r="C400" s="83" t="s">
        <v>366</v>
      </c>
      <c r="D400" s="81" t="s">
        <v>527</v>
      </c>
      <c r="E400" s="48">
        <v>100392</v>
      </c>
      <c r="F400" s="30" t="s">
        <v>1384</v>
      </c>
      <c r="G400" s="29" t="s">
        <v>21</v>
      </c>
      <c r="H400" s="30" t="s">
        <v>114</v>
      </c>
      <c r="I400" s="78"/>
      <c r="J400" s="20"/>
      <c r="K400" s="20"/>
      <c r="L400" s="20"/>
      <c r="M400" s="20"/>
      <c r="N400" s="179" t="s">
        <v>502</v>
      </c>
      <c r="O400" s="70">
        <v>0</v>
      </c>
      <c r="P400" s="70">
        <v>0</v>
      </c>
      <c r="Q400" s="70">
        <f t="shared" si="36"/>
        <v>0</v>
      </c>
      <c r="R400" s="70"/>
      <c r="S400" s="67"/>
      <c r="T400" s="2" t="str">
        <f t="shared" si="37"/>
        <v>Văn Ngọc Phương Như_10AT1</v>
      </c>
      <c r="U400" s="28">
        <f t="array" ref="U400">IFERROR(VLOOKUP($T400,'Nghi hoc T12'!$H$7:$I$160,2,0),0)</f>
        <v>0</v>
      </c>
      <c r="V400" s="28">
        <f>IFERROR(VLOOKUP($T400,No_HP!$B$2:$C$514,2,0),0)</f>
        <v>0</v>
      </c>
      <c r="W400" s="28">
        <f t="shared" si="38"/>
        <v>0</v>
      </c>
      <c r="X400" s="333">
        <f t="shared" si="39"/>
        <v>0</v>
      </c>
      <c r="Y400" s="333">
        <f t="shared" si="40"/>
        <v>0</v>
      </c>
    </row>
    <row r="401" spans="1:25" s="2" customFormat="1" ht="21.95" customHeight="1">
      <c r="A401" s="82">
        <v>4</v>
      </c>
      <c r="B401" s="91" t="str">
        <f t="shared" si="41"/>
        <v>9B.T</v>
      </c>
      <c r="C401" s="83" t="s">
        <v>366</v>
      </c>
      <c r="D401" s="81" t="s">
        <v>527</v>
      </c>
      <c r="E401" s="48">
        <v>100393</v>
      </c>
      <c r="F401" s="30" t="s">
        <v>315</v>
      </c>
      <c r="G401" s="29" t="s">
        <v>42</v>
      </c>
      <c r="H401" s="30" t="s">
        <v>115</v>
      </c>
      <c r="I401" s="78"/>
      <c r="J401" s="20"/>
      <c r="K401" s="20"/>
      <c r="L401" s="20"/>
      <c r="M401" s="20"/>
      <c r="N401" s="179" t="s">
        <v>502</v>
      </c>
      <c r="O401" s="70">
        <v>0</v>
      </c>
      <c r="P401" s="70">
        <v>0</v>
      </c>
      <c r="Q401" s="70">
        <f t="shared" si="36"/>
        <v>0</v>
      </c>
      <c r="R401" s="70"/>
      <c r="S401" s="67"/>
      <c r="T401" s="2" t="str">
        <f t="shared" si="37"/>
        <v>Nguyễn Tuấn Phát_10AT2</v>
      </c>
      <c r="U401" s="28">
        <f t="array" ref="U401">IFERROR(VLOOKUP($T401,'Nghi hoc T12'!$H$7:$I$160,2,0),0)</f>
        <v>0</v>
      </c>
      <c r="V401" s="28">
        <f>IFERROR(VLOOKUP($T401,No_HP!$B$2:$C$514,2,0),0)</f>
        <v>0</v>
      </c>
      <c r="W401" s="28">
        <f t="shared" si="38"/>
        <v>0</v>
      </c>
      <c r="X401" s="333">
        <f t="shared" si="39"/>
        <v>0</v>
      </c>
      <c r="Y401" s="333">
        <f t="shared" si="40"/>
        <v>0</v>
      </c>
    </row>
    <row r="402" spans="1:25" s="2" customFormat="1" ht="21.95" customHeight="1">
      <c r="A402" s="82">
        <v>5</v>
      </c>
      <c r="B402" s="91" t="str">
        <f t="shared" si="41"/>
        <v>9B.T</v>
      </c>
      <c r="C402" s="83" t="s">
        <v>366</v>
      </c>
      <c r="D402" s="81" t="s">
        <v>527</v>
      </c>
      <c r="E402" s="48">
        <v>100394</v>
      </c>
      <c r="F402" s="30" t="s">
        <v>1385</v>
      </c>
      <c r="G402" s="29" t="s">
        <v>42</v>
      </c>
      <c r="H402" s="30" t="s">
        <v>114</v>
      </c>
      <c r="I402" s="78"/>
      <c r="J402" s="20"/>
      <c r="K402" s="20"/>
      <c r="L402" s="20"/>
      <c r="M402" s="20"/>
      <c r="N402" s="179" t="s">
        <v>502</v>
      </c>
      <c r="O402" s="70">
        <v>0</v>
      </c>
      <c r="P402" s="70">
        <v>0</v>
      </c>
      <c r="Q402" s="70">
        <f t="shared" si="36"/>
        <v>0</v>
      </c>
      <c r="R402" s="70"/>
      <c r="S402" s="67"/>
      <c r="T402" s="2" t="str">
        <f t="shared" si="37"/>
        <v>Trần Phạm Hữu Phát_10AT1</v>
      </c>
      <c r="U402" s="28">
        <f t="array" ref="U402">IFERROR(VLOOKUP($T402,'Nghi hoc T12'!$H$7:$I$160,2,0),0)</f>
        <v>0</v>
      </c>
      <c r="V402" s="28">
        <f>IFERROR(VLOOKUP($T402,No_HP!$B$2:$C$514,2,0),0)</f>
        <v>0</v>
      </c>
      <c r="W402" s="28">
        <f t="shared" si="38"/>
        <v>0</v>
      </c>
      <c r="X402" s="333">
        <f t="shared" si="39"/>
        <v>0</v>
      </c>
      <c r="Y402" s="333">
        <f t="shared" si="40"/>
        <v>0</v>
      </c>
    </row>
    <row r="403" spans="1:25" s="2" customFormat="1" ht="21.95" customHeight="1">
      <c r="A403" s="82">
        <v>6</v>
      </c>
      <c r="B403" s="91" t="str">
        <f t="shared" si="41"/>
        <v>9B.T</v>
      </c>
      <c r="C403" s="83" t="s">
        <v>366</v>
      </c>
      <c r="D403" s="81" t="s">
        <v>527</v>
      </c>
      <c r="E403" s="48">
        <v>100395</v>
      </c>
      <c r="F403" s="30" t="s">
        <v>348</v>
      </c>
      <c r="G403" s="29" t="s">
        <v>103</v>
      </c>
      <c r="H403" s="30" t="s">
        <v>115</v>
      </c>
      <c r="I403" s="78"/>
      <c r="J403" s="20"/>
      <c r="K403" s="20"/>
      <c r="L403" s="20"/>
      <c r="M403" s="20"/>
      <c r="N403" s="179" t="s">
        <v>502</v>
      </c>
      <c r="O403" s="70">
        <v>0</v>
      </c>
      <c r="P403" s="70">
        <v>0</v>
      </c>
      <c r="Q403" s="70">
        <f t="shared" si="36"/>
        <v>0</v>
      </c>
      <c r="R403" s="70"/>
      <c r="S403" s="67"/>
      <c r="T403" s="2" t="str">
        <f t="shared" si="37"/>
        <v>Đỗ Hoàng Phú_10AT2</v>
      </c>
      <c r="U403" s="28">
        <f t="array" ref="U403">IFERROR(VLOOKUP($T403,'Nghi hoc T12'!$H$7:$I$160,2,0),0)</f>
        <v>0</v>
      </c>
      <c r="V403" s="28">
        <f>IFERROR(VLOOKUP($T403,No_HP!$B$2:$C$514,2,0),0)</f>
        <v>0</v>
      </c>
      <c r="W403" s="28">
        <f t="shared" si="38"/>
        <v>0</v>
      </c>
      <c r="X403" s="333">
        <f t="shared" si="39"/>
        <v>0</v>
      </c>
      <c r="Y403" s="333">
        <f t="shared" si="40"/>
        <v>0</v>
      </c>
    </row>
    <row r="404" spans="1:25" s="2" customFormat="1" ht="21.95" customHeight="1">
      <c r="A404" s="82">
        <v>7</v>
      </c>
      <c r="B404" s="91" t="str">
        <f t="shared" si="41"/>
        <v>9B.T</v>
      </c>
      <c r="C404" s="83" t="s">
        <v>366</v>
      </c>
      <c r="D404" s="81" t="s">
        <v>527</v>
      </c>
      <c r="E404" s="48">
        <v>100396</v>
      </c>
      <c r="F404" s="30" t="s">
        <v>1386</v>
      </c>
      <c r="G404" s="29" t="s">
        <v>103</v>
      </c>
      <c r="H404" s="30" t="s">
        <v>114</v>
      </c>
      <c r="I404" s="78"/>
      <c r="J404" s="20"/>
      <c r="K404" s="20"/>
      <c r="L404" s="20"/>
      <c r="M404" s="20"/>
      <c r="N404" s="179" t="s">
        <v>502</v>
      </c>
      <c r="O404" s="70">
        <v>0</v>
      </c>
      <c r="P404" s="70">
        <v>0</v>
      </c>
      <c r="Q404" s="70">
        <f t="shared" si="36"/>
        <v>0</v>
      </c>
      <c r="R404" s="70"/>
      <c r="S404" s="67"/>
      <c r="T404" s="2" t="str">
        <f t="shared" si="37"/>
        <v>Nguyễn Hồng Phú_10AT1</v>
      </c>
      <c r="U404" s="28">
        <f t="array" ref="U404">IFERROR(VLOOKUP($T404,'Nghi hoc T12'!$H$7:$I$160,2,0),0)</f>
        <v>0</v>
      </c>
      <c r="V404" s="28">
        <f>IFERROR(VLOOKUP($T404,No_HP!$B$2:$C$514,2,0),0)</f>
        <v>0</v>
      </c>
      <c r="W404" s="28">
        <f t="shared" si="38"/>
        <v>0</v>
      </c>
      <c r="X404" s="333">
        <f t="shared" si="39"/>
        <v>0</v>
      </c>
      <c r="Y404" s="333">
        <f t="shared" si="40"/>
        <v>0</v>
      </c>
    </row>
    <row r="405" spans="1:25" s="2" customFormat="1" ht="21.95" customHeight="1">
      <c r="A405" s="82">
        <v>8</v>
      </c>
      <c r="B405" s="91" t="str">
        <f t="shared" si="41"/>
        <v>9B.T</v>
      </c>
      <c r="C405" s="83" t="s">
        <v>366</v>
      </c>
      <c r="D405" s="81" t="s">
        <v>527</v>
      </c>
      <c r="E405" s="48">
        <v>100397</v>
      </c>
      <c r="F405" s="30" t="s">
        <v>490</v>
      </c>
      <c r="G405" s="29" t="s">
        <v>71</v>
      </c>
      <c r="H405" s="30" t="s">
        <v>114</v>
      </c>
      <c r="I405" s="78"/>
      <c r="J405" s="20"/>
      <c r="K405" s="20"/>
      <c r="L405" s="20"/>
      <c r="M405" s="20"/>
      <c r="N405" s="179" t="s">
        <v>502</v>
      </c>
      <c r="O405" s="70">
        <v>0</v>
      </c>
      <c r="P405" s="70">
        <v>0</v>
      </c>
      <c r="Q405" s="70">
        <f t="shared" si="36"/>
        <v>0</v>
      </c>
      <c r="R405" s="70"/>
      <c r="S405" s="67"/>
      <c r="T405" s="2" t="str">
        <f t="shared" si="37"/>
        <v>Bùi Văn Phúc_10AT1</v>
      </c>
      <c r="U405" s="28">
        <f t="array" ref="U405">IFERROR(VLOOKUP($T405,'Nghi hoc T12'!$H$7:$I$160,2,0),0)</f>
        <v>0</v>
      </c>
      <c r="V405" s="28">
        <f>IFERROR(VLOOKUP($T405,No_HP!$B$2:$C$514,2,0),0)</f>
        <v>0</v>
      </c>
      <c r="W405" s="28">
        <f t="shared" si="38"/>
        <v>0</v>
      </c>
      <c r="X405" s="333">
        <f t="shared" si="39"/>
        <v>0</v>
      </c>
      <c r="Y405" s="333">
        <f t="shared" si="40"/>
        <v>0</v>
      </c>
    </row>
    <row r="406" spans="1:25" s="2" customFormat="1" ht="21.95" customHeight="1">
      <c r="A406" s="82">
        <v>9</v>
      </c>
      <c r="B406" s="91" t="str">
        <f t="shared" si="41"/>
        <v>9B.T</v>
      </c>
      <c r="C406" s="83" t="s">
        <v>366</v>
      </c>
      <c r="D406" s="81" t="s">
        <v>527</v>
      </c>
      <c r="E406" s="48">
        <v>100398</v>
      </c>
      <c r="F406" s="30" t="s">
        <v>315</v>
      </c>
      <c r="G406" s="29" t="s">
        <v>93</v>
      </c>
      <c r="H406" s="30" t="s">
        <v>115</v>
      </c>
      <c r="I406" s="78"/>
      <c r="J406" s="20"/>
      <c r="K406" s="20"/>
      <c r="L406" s="20"/>
      <c r="M406" s="20"/>
      <c r="N406" s="179" t="s">
        <v>502</v>
      </c>
      <c r="O406" s="70">
        <v>0</v>
      </c>
      <c r="P406" s="70">
        <v>0</v>
      </c>
      <c r="Q406" s="70">
        <f t="shared" si="36"/>
        <v>0</v>
      </c>
      <c r="R406" s="70"/>
      <c r="S406" s="67"/>
      <c r="T406" s="2" t="str">
        <f t="shared" si="37"/>
        <v>Nguyễn Tuấn Tài_10AT2</v>
      </c>
      <c r="U406" s="28">
        <f t="array" ref="U406">IFERROR(VLOOKUP($T406,'Nghi hoc T12'!$H$7:$I$160,2,0),0)</f>
        <v>0</v>
      </c>
      <c r="V406" s="28">
        <f>IFERROR(VLOOKUP($T406,No_HP!$B$2:$C$514,2,0),0)</f>
        <v>0</v>
      </c>
      <c r="W406" s="28">
        <f t="shared" si="38"/>
        <v>0</v>
      </c>
      <c r="X406" s="333">
        <f t="shared" si="39"/>
        <v>0</v>
      </c>
      <c r="Y406" s="333">
        <f t="shared" si="40"/>
        <v>0</v>
      </c>
    </row>
    <row r="407" spans="1:25" s="2" customFormat="1" ht="21.95" customHeight="1">
      <c r="A407" s="82">
        <v>10</v>
      </c>
      <c r="B407" s="91" t="str">
        <f t="shared" si="41"/>
        <v>9B.T</v>
      </c>
      <c r="C407" s="83" t="s">
        <v>366</v>
      </c>
      <c r="D407" s="81" t="s">
        <v>527</v>
      </c>
      <c r="E407" s="48">
        <v>100399</v>
      </c>
      <c r="F407" s="30" t="s">
        <v>185</v>
      </c>
      <c r="G407" s="29" t="s">
        <v>24</v>
      </c>
      <c r="H407" s="30" t="s">
        <v>114</v>
      </c>
      <c r="I407" s="78"/>
      <c r="J407" s="20"/>
      <c r="K407" s="20"/>
      <c r="L407" s="20"/>
      <c r="M407" s="20"/>
      <c r="N407" s="179" t="s">
        <v>502</v>
      </c>
      <c r="O407" s="70">
        <v>0</v>
      </c>
      <c r="P407" s="70">
        <v>0</v>
      </c>
      <c r="Q407" s="70">
        <f t="shared" si="36"/>
        <v>0</v>
      </c>
      <c r="R407" s="70"/>
      <c r="S407" s="67"/>
      <c r="T407" s="2" t="str">
        <f t="shared" si="37"/>
        <v>Phạm Thị Thanh Tâm_10AT1</v>
      </c>
      <c r="U407" s="28">
        <f t="array" ref="U407">IFERROR(VLOOKUP($T407,'Nghi hoc T12'!$H$7:$I$160,2,0),0)</f>
        <v>0</v>
      </c>
      <c r="V407" s="28">
        <f>IFERROR(VLOOKUP($T407,No_HP!$B$2:$C$514,2,0),0)</f>
        <v>0</v>
      </c>
      <c r="W407" s="28">
        <f t="shared" si="38"/>
        <v>0</v>
      </c>
      <c r="X407" s="333">
        <f t="shared" si="39"/>
        <v>0</v>
      </c>
      <c r="Y407" s="333">
        <f t="shared" si="40"/>
        <v>0</v>
      </c>
    </row>
    <row r="408" spans="1:25" s="2" customFormat="1" ht="21.95" customHeight="1">
      <c r="A408" s="82">
        <v>11</v>
      </c>
      <c r="B408" s="91" t="str">
        <f t="shared" si="41"/>
        <v>9B.T</v>
      </c>
      <c r="C408" s="83" t="s">
        <v>366</v>
      </c>
      <c r="D408" s="81" t="s">
        <v>527</v>
      </c>
      <c r="E408" s="48">
        <v>100400</v>
      </c>
      <c r="F408" s="30" t="s">
        <v>1387</v>
      </c>
      <c r="G408" s="29" t="s">
        <v>97</v>
      </c>
      <c r="H408" s="30" t="s">
        <v>115</v>
      </c>
      <c r="I408" s="78"/>
      <c r="J408" s="20"/>
      <c r="K408" s="20"/>
      <c r="L408" s="20"/>
      <c r="M408" s="20"/>
      <c r="N408" s="179" t="s">
        <v>502</v>
      </c>
      <c r="O408" s="70">
        <v>0</v>
      </c>
      <c r="P408" s="70">
        <v>0</v>
      </c>
      <c r="Q408" s="70">
        <f t="shared" si="36"/>
        <v>0</v>
      </c>
      <c r="R408" s="70"/>
      <c r="S408" s="67"/>
      <c r="T408" s="2" t="str">
        <f t="shared" si="37"/>
        <v>Nguyễn Xuân Nhật Tân_10AT2</v>
      </c>
      <c r="U408" s="28">
        <f t="array" ref="U408">IFERROR(VLOOKUP($T408,'Nghi hoc T12'!$H$7:$I$160,2,0),0)</f>
        <v>0</v>
      </c>
      <c r="V408" s="28">
        <f>IFERROR(VLOOKUP($T408,No_HP!$B$2:$C$514,2,0),0)</f>
        <v>0</v>
      </c>
      <c r="W408" s="28">
        <f t="shared" si="38"/>
        <v>0</v>
      </c>
      <c r="X408" s="333">
        <f t="shared" si="39"/>
        <v>0</v>
      </c>
      <c r="Y408" s="333">
        <f t="shared" si="40"/>
        <v>0</v>
      </c>
    </row>
    <row r="409" spans="1:25" s="2" customFormat="1" ht="21.95" customHeight="1">
      <c r="A409" s="82">
        <v>12</v>
      </c>
      <c r="B409" s="91" t="str">
        <f t="shared" si="41"/>
        <v>9B.T</v>
      </c>
      <c r="C409" s="83" t="s">
        <v>366</v>
      </c>
      <c r="D409" s="81" t="s">
        <v>527</v>
      </c>
      <c r="E409" s="48">
        <v>100401</v>
      </c>
      <c r="F409" s="30" t="s">
        <v>167</v>
      </c>
      <c r="G409" s="29" t="s">
        <v>27</v>
      </c>
      <c r="H409" s="30" t="s">
        <v>114</v>
      </c>
      <c r="I409" s="78"/>
      <c r="J409" s="20"/>
      <c r="K409" s="20"/>
      <c r="L409" s="20"/>
      <c r="M409" s="20"/>
      <c r="N409" s="179" t="s">
        <v>502</v>
      </c>
      <c r="O409" s="70">
        <v>0</v>
      </c>
      <c r="P409" s="70">
        <v>0</v>
      </c>
      <c r="Q409" s="70">
        <f t="shared" si="36"/>
        <v>0</v>
      </c>
      <c r="R409" s="70"/>
      <c r="S409" s="67"/>
      <c r="T409" s="2" t="str">
        <f t="shared" si="37"/>
        <v>Trần Thanh Thành_10AT1</v>
      </c>
      <c r="U409" s="28">
        <f t="array" ref="U409">IFERROR(VLOOKUP($T409,'Nghi hoc T12'!$H$7:$I$160,2,0),0)</f>
        <v>0</v>
      </c>
      <c r="V409" s="28">
        <f>IFERROR(VLOOKUP($T409,No_HP!$B$2:$C$514,2,0),0)</f>
        <v>0</v>
      </c>
      <c r="W409" s="28">
        <f t="shared" si="38"/>
        <v>0</v>
      </c>
      <c r="X409" s="333">
        <f t="shared" si="39"/>
        <v>0</v>
      </c>
      <c r="Y409" s="333">
        <f t="shared" si="40"/>
        <v>0</v>
      </c>
    </row>
    <row r="410" spans="1:25" s="2" customFormat="1" ht="21.95" customHeight="1">
      <c r="A410" s="82">
        <v>13</v>
      </c>
      <c r="B410" s="91" t="str">
        <f t="shared" si="41"/>
        <v>9B.T</v>
      </c>
      <c r="C410" s="83" t="s">
        <v>366</v>
      </c>
      <c r="D410" s="81" t="s">
        <v>527</v>
      </c>
      <c r="E410" s="48">
        <v>100402</v>
      </c>
      <c r="F410" s="30" t="s">
        <v>183</v>
      </c>
      <c r="G410" s="29" t="s">
        <v>450</v>
      </c>
      <c r="H410" s="30" t="s">
        <v>114</v>
      </c>
      <c r="I410" s="78"/>
      <c r="J410" s="20"/>
      <c r="K410" s="20"/>
      <c r="L410" s="20"/>
      <c r="M410" s="20"/>
      <c r="N410" s="179" t="s">
        <v>502</v>
      </c>
      <c r="O410" s="70">
        <v>0</v>
      </c>
      <c r="P410" s="70">
        <v>0</v>
      </c>
      <c r="Q410" s="70">
        <f t="shared" si="36"/>
        <v>0</v>
      </c>
      <c r="R410" s="70"/>
      <c r="S410" s="67"/>
      <c r="T410" s="2" t="str">
        <f t="shared" si="37"/>
        <v>Nguyễn Thanh Thoại_10AT1</v>
      </c>
      <c r="U410" s="28">
        <f t="array" ref="U410">IFERROR(VLOOKUP($T410,'Nghi hoc T12'!$H$7:$I$160,2,0),0)</f>
        <v>0</v>
      </c>
      <c r="V410" s="28">
        <f>IFERROR(VLOOKUP($T410,No_HP!$B$2:$C$514,2,0),0)</f>
        <v>0</v>
      </c>
      <c r="W410" s="28">
        <f t="shared" si="38"/>
        <v>0</v>
      </c>
      <c r="X410" s="333">
        <f t="shared" si="39"/>
        <v>0</v>
      </c>
      <c r="Y410" s="333">
        <f t="shared" si="40"/>
        <v>0</v>
      </c>
    </row>
    <row r="411" spans="1:25" s="2" customFormat="1" ht="21.95" customHeight="1">
      <c r="A411" s="82">
        <v>14</v>
      </c>
      <c r="B411" s="91" t="str">
        <f t="shared" si="41"/>
        <v>9B.T</v>
      </c>
      <c r="C411" s="83" t="s">
        <v>366</v>
      </c>
      <c r="D411" s="81" t="s">
        <v>527</v>
      </c>
      <c r="E411" s="48">
        <v>100403</v>
      </c>
      <c r="F411" s="30" t="s">
        <v>444</v>
      </c>
      <c r="G411" s="29" t="s">
        <v>162</v>
      </c>
      <c r="H411" s="30" t="s">
        <v>114</v>
      </c>
      <c r="I411" s="78"/>
      <c r="J411" s="20"/>
      <c r="K411" s="20"/>
      <c r="L411" s="20"/>
      <c r="M411" s="20"/>
      <c r="N411" s="179" t="s">
        <v>502</v>
      </c>
      <c r="O411" s="70">
        <v>0</v>
      </c>
      <c r="P411" s="70">
        <v>0</v>
      </c>
      <c r="Q411" s="70">
        <f t="shared" si="36"/>
        <v>0</v>
      </c>
      <c r="R411" s="70"/>
      <c r="S411" s="67"/>
      <c r="T411" s="2" t="str">
        <f t="shared" si="37"/>
        <v>Trần Thị Ngọc Thùy_10AT1</v>
      </c>
      <c r="U411" s="28">
        <f t="array" ref="U411">IFERROR(VLOOKUP($T411,'Nghi hoc T12'!$H$7:$I$160,2,0),0)</f>
        <v>0</v>
      </c>
      <c r="V411" s="28">
        <f>IFERROR(VLOOKUP($T411,No_HP!$B$2:$C$514,2,0),0)</f>
        <v>0</v>
      </c>
      <c r="W411" s="28">
        <f t="shared" si="38"/>
        <v>0</v>
      </c>
      <c r="X411" s="333">
        <f t="shared" si="39"/>
        <v>0</v>
      </c>
      <c r="Y411" s="333">
        <f t="shared" si="40"/>
        <v>0</v>
      </c>
    </row>
    <row r="412" spans="1:25" s="2" customFormat="1" ht="21.95" customHeight="1">
      <c r="A412" s="82">
        <v>15</v>
      </c>
      <c r="B412" s="91" t="str">
        <f t="shared" si="41"/>
        <v>9B.T</v>
      </c>
      <c r="C412" s="83" t="s">
        <v>366</v>
      </c>
      <c r="D412" s="81" t="s">
        <v>527</v>
      </c>
      <c r="E412" s="48">
        <v>100404</v>
      </c>
      <c r="F412" s="30" t="s">
        <v>1388</v>
      </c>
      <c r="G412" s="29" t="s">
        <v>28</v>
      </c>
      <c r="H412" s="30" t="s">
        <v>114</v>
      </c>
      <c r="I412" s="78"/>
      <c r="J412" s="20"/>
      <c r="K412" s="20"/>
      <c r="L412" s="20"/>
      <c r="M412" s="20"/>
      <c r="N412" s="179" t="s">
        <v>502</v>
      </c>
      <c r="O412" s="70">
        <v>0</v>
      </c>
      <c r="P412" s="70">
        <v>0</v>
      </c>
      <c r="Q412" s="70">
        <f t="shared" si="36"/>
        <v>0</v>
      </c>
      <c r="R412" s="70"/>
      <c r="S412" s="67"/>
      <c r="T412" s="2" t="str">
        <f t="shared" si="37"/>
        <v>Nguyễn Thị Anh Thư_10AT1</v>
      </c>
      <c r="U412" s="28">
        <f t="array" ref="U412">IFERROR(VLOOKUP($T412,'Nghi hoc T12'!$H$7:$I$160,2,0),0)</f>
        <v>0</v>
      </c>
      <c r="V412" s="28">
        <f>IFERROR(VLOOKUP($T412,No_HP!$B$2:$C$514,2,0),0)</f>
        <v>0</v>
      </c>
      <c r="W412" s="28">
        <f t="shared" si="38"/>
        <v>0</v>
      </c>
      <c r="X412" s="333">
        <f t="shared" si="39"/>
        <v>0</v>
      </c>
      <c r="Y412" s="333">
        <f t="shared" si="40"/>
        <v>0</v>
      </c>
    </row>
    <row r="413" spans="1:25" s="2" customFormat="1" ht="21.95" customHeight="1">
      <c r="A413" s="82">
        <v>16</v>
      </c>
      <c r="B413" s="91" t="str">
        <f t="shared" si="41"/>
        <v>9B.T</v>
      </c>
      <c r="C413" s="83" t="s">
        <v>366</v>
      </c>
      <c r="D413" s="81" t="s">
        <v>527</v>
      </c>
      <c r="E413" s="48">
        <v>100405</v>
      </c>
      <c r="F413" s="30" t="s">
        <v>1389</v>
      </c>
      <c r="G413" s="29" t="s">
        <v>80</v>
      </c>
      <c r="H413" s="30" t="s">
        <v>114</v>
      </c>
      <c r="I413" s="78"/>
      <c r="J413" s="20"/>
      <c r="K413" s="20"/>
      <c r="L413" s="20"/>
      <c r="M413" s="20"/>
      <c r="N413" s="179" t="s">
        <v>502</v>
      </c>
      <c r="O413" s="70">
        <v>0</v>
      </c>
      <c r="P413" s="70">
        <v>0</v>
      </c>
      <c r="Q413" s="70">
        <f t="shared" si="36"/>
        <v>0</v>
      </c>
      <c r="R413" s="70"/>
      <c r="S413" s="67"/>
      <c r="T413" s="2" t="str">
        <f t="shared" si="37"/>
        <v>Trần Nguyễn Thuỷ Tiên_10AT1</v>
      </c>
      <c r="U413" s="28">
        <f t="array" ref="U413">IFERROR(VLOOKUP($T413,'Nghi hoc T12'!$H$7:$I$160,2,0),0)</f>
        <v>0</v>
      </c>
      <c r="V413" s="28">
        <f>IFERROR(VLOOKUP($T413,No_HP!$B$2:$C$514,2,0),0)</f>
        <v>0</v>
      </c>
      <c r="W413" s="28">
        <f t="shared" si="38"/>
        <v>0</v>
      </c>
      <c r="X413" s="333">
        <f t="shared" si="39"/>
        <v>0</v>
      </c>
      <c r="Y413" s="333">
        <f t="shared" si="40"/>
        <v>0</v>
      </c>
    </row>
    <row r="414" spans="1:25" s="2" customFormat="1" ht="21.95" customHeight="1">
      <c r="A414" s="82">
        <v>17</v>
      </c>
      <c r="B414" s="91" t="str">
        <f t="shared" si="41"/>
        <v>9B.T</v>
      </c>
      <c r="C414" s="83" t="s">
        <v>366</v>
      </c>
      <c r="D414" s="81" t="s">
        <v>527</v>
      </c>
      <c r="E414" s="48">
        <v>100406</v>
      </c>
      <c r="F414" s="30" t="s">
        <v>1390</v>
      </c>
      <c r="G414" s="29" t="s">
        <v>72</v>
      </c>
      <c r="H414" s="30" t="s">
        <v>114</v>
      </c>
      <c r="I414" s="78"/>
      <c r="J414" s="20"/>
      <c r="K414" s="20"/>
      <c r="L414" s="20"/>
      <c r="M414" s="20"/>
      <c r="N414" s="179" t="s">
        <v>502</v>
      </c>
      <c r="O414" s="70">
        <v>0</v>
      </c>
      <c r="P414" s="70">
        <v>0</v>
      </c>
      <c r="Q414" s="70">
        <f t="shared" si="36"/>
        <v>0</v>
      </c>
      <c r="R414" s="70"/>
      <c r="S414" s="67"/>
      <c r="T414" s="2" t="str">
        <f t="shared" si="37"/>
        <v>Bùi Viết Tín_10AT1</v>
      </c>
      <c r="U414" s="28">
        <f t="array" ref="U414">IFERROR(VLOOKUP($T414,'Nghi hoc T12'!$H$7:$I$160,2,0),0)</f>
        <v>0</v>
      </c>
      <c r="V414" s="28">
        <f>IFERROR(VLOOKUP($T414,No_HP!$B$2:$C$514,2,0),0)</f>
        <v>0</v>
      </c>
      <c r="W414" s="28">
        <f t="shared" si="38"/>
        <v>0</v>
      </c>
      <c r="X414" s="333">
        <f t="shared" si="39"/>
        <v>0</v>
      </c>
      <c r="Y414" s="333">
        <f t="shared" si="40"/>
        <v>0</v>
      </c>
    </row>
    <row r="415" spans="1:25" s="2" customFormat="1" ht="21.95" customHeight="1">
      <c r="A415" s="82">
        <v>18</v>
      </c>
      <c r="B415" s="91" t="str">
        <f t="shared" si="41"/>
        <v>9B.T</v>
      </c>
      <c r="C415" s="83" t="s">
        <v>366</v>
      </c>
      <c r="D415" s="81" t="s">
        <v>527</v>
      </c>
      <c r="E415" s="48">
        <v>100407</v>
      </c>
      <c r="F415" s="30" t="s">
        <v>1391</v>
      </c>
      <c r="G415" s="29" t="s">
        <v>30</v>
      </c>
      <c r="H415" s="30" t="s">
        <v>115</v>
      </c>
      <c r="I415" s="78"/>
      <c r="J415" s="20"/>
      <c r="K415" s="20"/>
      <c r="L415" s="20"/>
      <c r="M415" s="20"/>
      <c r="N415" s="179" t="s">
        <v>502</v>
      </c>
      <c r="O415" s="70">
        <v>0</v>
      </c>
      <c r="P415" s="70">
        <v>0</v>
      </c>
      <c r="Q415" s="70">
        <f t="shared" si="36"/>
        <v>0</v>
      </c>
      <c r="R415" s="70"/>
      <c r="S415" s="67"/>
      <c r="T415" s="2" t="str">
        <f t="shared" si="37"/>
        <v>Dương Ngọc Kim Trang_10AT2</v>
      </c>
      <c r="U415" s="28">
        <f t="array" ref="U415">IFERROR(VLOOKUP($T415,'Nghi hoc T12'!$H$7:$I$160,2,0),0)</f>
        <v>0</v>
      </c>
      <c r="V415" s="28">
        <f>IFERROR(VLOOKUP($T415,No_HP!$B$2:$C$514,2,0),0)</f>
        <v>0</v>
      </c>
      <c r="W415" s="28">
        <f t="shared" si="38"/>
        <v>0</v>
      </c>
      <c r="X415" s="333">
        <f t="shared" si="39"/>
        <v>0</v>
      </c>
      <c r="Y415" s="333">
        <f t="shared" si="40"/>
        <v>0</v>
      </c>
    </row>
    <row r="416" spans="1:25" s="2" customFormat="1" ht="21.95" customHeight="1">
      <c r="A416" s="82">
        <v>19</v>
      </c>
      <c r="B416" s="91" t="str">
        <f t="shared" si="41"/>
        <v>9B.T</v>
      </c>
      <c r="C416" s="83" t="s">
        <v>366</v>
      </c>
      <c r="D416" s="81" t="s">
        <v>527</v>
      </c>
      <c r="E416" s="48">
        <v>100408</v>
      </c>
      <c r="F416" s="30" t="s">
        <v>1392</v>
      </c>
      <c r="G416" s="29" t="s">
        <v>32</v>
      </c>
      <c r="H416" s="30" t="s">
        <v>115</v>
      </c>
      <c r="I416" s="78"/>
      <c r="J416" s="20"/>
      <c r="K416" s="20"/>
      <c r="L416" s="20"/>
      <c r="M416" s="20"/>
      <c r="N416" s="179" t="s">
        <v>502</v>
      </c>
      <c r="O416" s="70">
        <v>0</v>
      </c>
      <c r="P416" s="70">
        <v>0</v>
      </c>
      <c r="Q416" s="70">
        <f t="shared" si="36"/>
        <v>0</v>
      </c>
      <c r="R416" s="70"/>
      <c r="S416" s="67"/>
      <c r="T416" s="2" t="str">
        <f t="shared" si="37"/>
        <v>Phạm Chí Trung_10AT2</v>
      </c>
      <c r="U416" s="28">
        <f t="array" ref="U416">IFERROR(VLOOKUP($T416,'Nghi hoc T12'!$H$7:$I$160,2,0),0)</f>
        <v>0</v>
      </c>
      <c r="V416" s="28">
        <f>IFERROR(VLOOKUP($T416,No_HP!$B$2:$C$514,2,0),0)</f>
        <v>0</v>
      </c>
      <c r="W416" s="28">
        <f t="shared" si="38"/>
        <v>0</v>
      </c>
      <c r="X416" s="333">
        <f t="shared" si="39"/>
        <v>0</v>
      </c>
      <c r="Y416" s="333">
        <f t="shared" si="40"/>
        <v>0</v>
      </c>
    </row>
    <row r="417" spans="1:25" s="2" customFormat="1" ht="21.95" customHeight="1">
      <c r="A417" s="82">
        <v>20</v>
      </c>
      <c r="B417" s="91" t="str">
        <f t="shared" si="41"/>
        <v>9B.T</v>
      </c>
      <c r="C417" s="83" t="s">
        <v>366</v>
      </c>
      <c r="D417" s="81" t="s">
        <v>527</v>
      </c>
      <c r="E417" s="48">
        <v>100409</v>
      </c>
      <c r="F417" s="30" t="s">
        <v>208</v>
      </c>
      <c r="G417" s="29" t="s">
        <v>164</v>
      </c>
      <c r="H417" s="30" t="s">
        <v>114</v>
      </c>
      <c r="I417" s="78"/>
      <c r="J417" s="20"/>
      <c r="K417" s="20"/>
      <c r="L417" s="20"/>
      <c r="M417" s="20"/>
      <c r="N417" s="179" t="s">
        <v>502</v>
      </c>
      <c r="O417" s="70">
        <v>0</v>
      </c>
      <c r="P417" s="70">
        <v>0</v>
      </c>
      <c r="Q417" s="70">
        <f t="shared" si="36"/>
        <v>0</v>
      </c>
      <c r="R417" s="70"/>
      <c r="S417" s="67"/>
      <c r="T417" s="2" t="str">
        <f t="shared" si="37"/>
        <v>Nguyễn Đăng Trường_10AT1</v>
      </c>
      <c r="U417" s="28">
        <f t="array" ref="U417">IFERROR(VLOOKUP($T417,'Nghi hoc T12'!$H$7:$I$160,2,0),0)</f>
        <v>0</v>
      </c>
      <c r="V417" s="28">
        <f>IFERROR(VLOOKUP($T417,No_HP!$B$2:$C$514,2,0),0)</f>
        <v>0</v>
      </c>
      <c r="W417" s="28">
        <f t="shared" si="38"/>
        <v>0</v>
      </c>
      <c r="X417" s="333">
        <f t="shared" si="39"/>
        <v>0</v>
      </c>
      <c r="Y417" s="333">
        <f t="shared" si="40"/>
        <v>0</v>
      </c>
    </row>
    <row r="418" spans="1:25" s="2" customFormat="1" ht="21.95" customHeight="1">
      <c r="A418" s="82">
        <v>21</v>
      </c>
      <c r="B418" s="91" t="str">
        <f t="shared" si="41"/>
        <v>9B.T</v>
      </c>
      <c r="C418" s="83" t="s">
        <v>366</v>
      </c>
      <c r="D418" s="81" t="s">
        <v>527</v>
      </c>
      <c r="E418" s="48">
        <v>100410</v>
      </c>
      <c r="F418" s="30" t="s">
        <v>183</v>
      </c>
      <c r="G418" s="29" t="s">
        <v>164</v>
      </c>
      <c r="H418" s="30" t="s">
        <v>115</v>
      </c>
      <c r="I418" s="78"/>
      <c r="J418" s="20"/>
      <c r="K418" s="20"/>
      <c r="L418" s="20"/>
      <c r="M418" s="20"/>
      <c r="N418" s="179" t="s">
        <v>502</v>
      </c>
      <c r="O418" s="70">
        <v>0</v>
      </c>
      <c r="P418" s="70">
        <v>0</v>
      </c>
      <c r="Q418" s="70">
        <f t="shared" si="36"/>
        <v>0</v>
      </c>
      <c r="R418" s="70"/>
      <c r="S418" s="67"/>
      <c r="T418" s="2" t="str">
        <f t="shared" si="37"/>
        <v>Nguyễn Thanh Trường_10AT2</v>
      </c>
      <c r="U418" s="28">
        <f t="array" ref="U418">IFERROR(VLOOKUP($T418,'Nghi hoc T12'!$H$7:$I$160,2,0),0)</f>
        <v>0</v>
      </c>
      <c r="V418" s="28">
        <f>IFERROR(VLOOKUP($T418,No_HP!$B$2:$C$514,2,0),0)</f>
        <v>0</v>
      </c>
      <c r="W418" s="28">
        <f t="shared" si="38"/>
        <v>0</v>
      </c>
      <c r="X418" s="333">
        <f t="shared" si="39"/>
        <v>0</v>
      </c>
      <c r="Y418" s="333">
        <f t="shared" si="40"/>
        <v>0</v>
      </c>
    </row>
    <row r="419" spans="1:25" s="2" customFormat="1" ht="21.95" customHeight="1">
      <c r="A419" s="82">
        <v>22</v>
      </c>
      <c r="B419" s="91" t="str">
        <f t="shared" si="41"/>
        <v>9B.T</v>
      </c>
      <c r="C419" s="83" t="s">
        <v>366</v>
      </c>
      <c r="D419" s="81" t="s">
        <v>527</v>
      </c>
      <c r="E419" s="48">
        <v>100411</v>
      </c>
      <c r="F419" s="30" t="s">
        <v>263</v>
      </c>
      <c r="G419" s="29" t="s">
        <v>188</v>
      </c>
      <c r="H419" s="30" t="s">
        <v>115</v>
      </c>
      <c r="I419" s="78"/>
      <c r="J419" s="20"/>
      <c r="K419" s="20"/>
      <c r="L419" s="20"/>
      <c r="M419" s="20"/>
      <c r="N419" s="179" t="s">
        <v>502</v>
      </c>
      <c r="O419" s="70">
        <v>0</v>
      </c>
      <c r="P419" s="70">
        <v>0</v>
      </c>
      <c r="Q419" s="70">
        <f t="shared" si="36"/>
        <v>0</v>
      </c>
      <c r="R419" s="70"/>
      <c r="S419" s="67"/>
      <c r="T419" s="2" t="str">
        <f t="shared" si="37"/>
        <v>Lê Thị Thanh Uyên_10AT2</v>
      </c>
      <c r="U419" s="28">
        <f t="array" ref="U419">IFERROR(VLOOKUP($T419,'Nghi hoc T12'!$H$7:$I$160,2,0),0)</f>
        <v>0</v>
      </c>
      <c r="V419" s="28">
        <f>IFERROR(VLOOKUP($T419,No_HP!$B$2:$C$514,2,0),0)</f>
        <v>0</v>
      </c>
      <c r="W419" s="28">
        <f t="shared" si="38"/>
        <v>0</v>
      </c>
      <c r="X419" s="333">
        <f t="shared" si="39"/>
        <v>0</v>
      </c>
      <c r="Y419" s="333">
        <f t="shared" si="40"/>
        <v>0</v>
      </c>
    </row>
    <row r="420" spans="1:25" s="2" customFormat="1" ht="21.95" customHeight="1">
      <c r="A420" s="82">
        <v>23</v>
      </c>
      <c r="B420" s="91" t="str">
        <f t="shared" si="41"/>
        <v>9B.T</v>
      </c>
      <c r="C420" s="83" t="s">
        <v>366</v>
      </c>
      <c r="D420" s="81" t="s">
        <v>527</v>
      </c>
      <c r="E420" s="48">
        <v>100412</v>
      </c>
      <c r="F420" s="30" t="s">
        <v>227</v>
      </c>
      <c r="G420" s="29" t="s">
        <v>188</v>
      </c>
      <c r="H420" s="30" t="s">
        <v>114</v>
      </c>
      <c r="I420" s="78"/>
      <c r="J420" s="20"/>
      <c r="K420" s="20"/>
      <c r="L420" s="20"/>
      <c r="M420" s="20"/>
      <c r="N420" s="179" t="s">
        <v>502</v>
      </c>
      <c r="O420" s="70">
        <v>0</v>
      </c>
      <c r="P420" s="70">
        <v>0</v>
      </c>
      <c r="Q420" s="70">
        <f t="shared" si="36"/>
        <v>0</v>
      </c>
      <c r="R420" s="70"/>
      <c r="S420" s="67"/>
      <c r="T420" s="2" t="str">
        <f t="shared" si="37"/>
        <v>Nguyễn Thị Uyên_10AT1</v>
      </c>
      <c r="U420" s="28">
        <f t="array" ref="U420">IFERROR(VLOOKUP($T420,'Nghi hoc T12'!$H$7:$I$160,2,0),0)</f>
        <v>0</v>
      </c>
      <c r="V420" s="28">
        <f>IFERROR(VLOOKUP($T420,No_HP!$B$2:$C$514,2,0),0)</f>
        <v>0</v>
      </c>
      <c r="W420" s="28">
        <f t="shared" si="38"/>
        <v>0</v>
      </c>
      <c r="X420" s="333">
        <f t="shared" si="39"/>
        <v>0</v>
      </c>
      <c r="Y420" s="333">
        <f t="shared" si="40"/>
        <v>0</v>
      </c>
    </row>
    <row r="421" spans="1:25" s="2" customFormat="1" ht="21.95" customHeight="1">
      <c r="A421" s="82">
        <v>24</v>
      </c>
      <c r="B421" s="91" t="str">
        <f t="shared" si="41"/>
        <v>9B.T</v>
      </c>
      <c r="C421" s="83" t="s">
        <v>366</v>
      </c>
      <c r="D421" s="81" t="s">
        <v>527</v>
      </c>
      <c r="E421" s="48">
        <v>100413</v>
      </c>
      <c r="F421" s="30" t="s">
        <v>340</v>
      </c>
      <c r="G421" s="29" t="s">
        <v>60</v>
      </c>
      <c r="H421" s="30" t="s">
        <v>114</v>
      </c>
      <c r="I421" s="78"/>
      <c r="J421" s="20"/>
      <c r="K421" s="20"/>
      <c r="L421" s="20"/>
      <c r="M421" s="20"/>
      <c r="N421" s="179" t="s">
        <v>502</v>
      </c>
      <c r="O421" s="70">
        <v>0</v>
      </c>
      <c r="P421" s="70">
        <v>0</v>
      </c>
      <c r="Q421" s="70">
        <f t="shared" si="36"/>
        <v>0</v>
      </c>
      <c r="R421" s="70"/>
      <c r="S421" s="67"/>
      <c r="T421" s="2" t="str">
        <f t="shared" si="37"/>
        <v>Hồ Thị Thanh Vân_10AT1</v>
      </c>
      <c r="U421" s="28">
        <f t="array" ref="U421">IFERROR(VLOOKUP($T421,'Nghi hoc T12'!$H$7:$I$160,2,0),0)</f>
        <v>0</v>
      </c>
      <c r="V421" s="28">
        <f>IFERROR(VLOOKUP($T421,No_HP!$B$2:$C$514,2,0),0)</f>
        <v>0</v>
      </c>
      <c r="W421" s="28">
        <f t="shared" si="38"/>
        <v>0</v>
      </c>
      <c r="X421" s="333">
        <f t="shared" si="39"/>
        <v>0</v>
      </c>
      <c r="Y421" s="333">
        <f t="shared" si="40"/>
        <v>0</v>
      </c>
    </row>
    <row r="422" spans="1:25" s="2" customFormat="1" ht="21.95" customHeight="1">
      <c r="A422" s="82">
        <v>25</v>
      </c>
      <c r="B422" s="91" t="str">
        <f t="shared" si="41"/>
        <v>9B.T</v>
      </c>
      <c r="C422" s="83" t="s">
        <v>366</v>
      </c>
      <c r="D422" s="81" t="s">
        <v>527</v>
      </c>
      <c r="E422" s="48">
        <v>100414</v>
      </c>
      <c r="F422" s="30" t="s">
        <v>1393</v>
      </c>
      <c r="G422" s="29" t="s">
        <v>60</v>
      </c>
      <c r="H422" s="30" t="s">
        <v>115</v>
      </c>
      <c r="I422" s="78"/>
      <c r="J422" s="20"/>
      <c r="K422" s="20"/>
      <c r="L422" s="20"/>
      <c r="M422" s="20"/>
      <c r="N422" s="179" t="s">
        <v>502</v>
      </c>
      <c r="O422" s="70">
        <v>0</v>
      </c>
      <c r="P422" s="70">
        <v>0</v>
      </c>
      <c r="Q422" s="70">
        <f t="shared" si="36"/>
        <v>0</v>
      </c>
      <c r="R422" s="70"/>
      <c r="S422" s="67"/>
      <c r="T422" s="2" t="str">
        <f t="shared" si="37"/>
        <v>Phạm Thị Hồng Vân_10AT2</v>
      </c>
      <c r="U422" s="28">
        <f t="array" ref="U422">IFERROR(VLOOKUP($T422,'Nghi hoc T12'!$H$7:$I$160,2,0),0)</f>
        <v>0</v>
      </c>
      <c r="V422" s="28">
        <f>IFERROR(VLOOKUP($T422,No_HP!$B$2:$C$514,2,0),0)</f>
        <v>0</v>
      </c>
      <c r="W422" s="28">
        <f t="shared" si="38"/>
        <v>0</v>
      </c>
      <c r="X422" s="333">
        <f t="shared" si="39"/>
        <v>0</v>
      </c>
      <c r="Y422" s="333">
        <f t="shared" si="40"/>
        <v>0</v>
      </c>
    </row>
    <row r="423" spans="1:25" s="2" customFormat="1" ht="21.95" customHeight="1">
      <c r="A423" s="82">
        <v>26</v>
      </c>
      <c r="B423" s="91" t="str">
        <f t="shared" si="41"/>
        <v>9B.T</v>
      </c>
      <c r="C423" s="83" t="s">
        <v>366</v>
      </c>
      <c r="D423" s="81" t="s">
        <v>527</v>
      </c>
      <c r="E423" s="48">
        <v>100415</v>
      </c>
      <c r="F423" s="30" t="s">
        <v>1201</v>
      </c>
      <c r="G423" s="29" t="s">
        <v>61</v>
      </c>
      <c r="H423" s="30" t="s">
        <v>115</v>
      </c>
      <c r="I423" s="78"/>
      <c r="J423" s="20"/>
      <c r="K423" s="20"/>
      <c r="L423" s="20"/>
      <c r="M423" s="20"/>
      <c r="N423" s="179" t="s">
        <v>502</v>
      </c>
      <c r="O423" s="70">
        <v>0</v>
      </c>
      <c r="P423" s="70">
        <v>0</v>
      </c>
      <c r="Q423" s="70">
        <f t="shared" si="36"/>
        <v>0</v>
      </c>
      <c r="R423" s="70"/>
      <c r="S423" s="67"/>
      <c r="T423" s="2" t="str">
        <f t="shared" si="37"/>
        <v>Nguyễn Công Vinh_10AT2</v>
      </c>
      <c r="U423" s="28">
        <f t="array" ref="U423">IFERROR(VLOOKUP($T423,'Nghi hoc T12'!$H$7:$I$160,2,0),0)</f>
        <v>0</v>
      </c>
      <c r="V423" s="28">
        <f>IFERROR(VLOOKUP($T423,No_HP!$B$2:$C$514,2,0),0)</f>
        <v>0</v>
      </c>
      <c r="W423" s="28">
        <f t="shared" si="38"/>
        <v>0</v>
      </c>
      <c r="X423" s="333">
        <f t="shared" si="39"/>
        <v>0</v>
      </c>
      <c r="Y423" s="333">
        <f t="shared" si="40"/>
        <v>0</v>
      </c>
    </row>
    <row r="424" spans="1:25" s="2" customFormat="1" ht="21.95" customHeight="1">
      <c r="A424" s="82">
        <v>27</v>
      </c>
      <c r="B424" s="91" t="str">
        <f t="shared" si="41"/>
        <v>9B.T</v>
      </c>
      <c r="C424" s="83" t="s">
        <v>366</v>
      </c>
      <c r="D424" s="81" t="s">
        <v>527</v>
      </c>
      <c r="E424" s="48">
        <v>100416</v>
      </c>
      <c r="F424" s="30" t="s">
        <v>1394</v>
      </c>
      <c r="G424" s="29" t="s">
        <v>34</v>
      </c>
      <c r="H424" s="30" t="s">
        <v>115</v>
      </c>
      <c r="I424" s="78"/>
      <c r="J424" s="20"/>
      <c r="K424" s="20"/>
      <c r="L424" s="20"/>
      <c r="M424" s="20"/>
      <c r="N424" s="179" t="s">
        <v>502</v>
      </c>
      <c r="O424" s="70">
        <v>0</v>
      </c>
      <c r="P424" s="70">
        <v>0</v>
      </c>
      <c r="Q424" s="70">
        <f t="shared" si="36"/>
        <v>0</v>
      </c>
      <c r="R424" s="70"/>
      <c r="S424" s="67"/>
      <c r="T424" s="2" t="str">
        <f t="shared" si="37"/>
        <v>Huỳnh Tường Vy_10AT2</v>
      </c>
      <c r="U424" s="28">
        <f t="array" ref="U424">IFERROR(VLOOKUP($T424,'Nghi hoc T12'!$H$7:$I$160,2,0),0)</f>
        <v>0</v>
      </c>
      <c r="V424" s="28">
        <f>IFERROR(VLOOKUP($T424,No_HP!$B$2:$C$514,2,0),0)</f>
        <v>0</v>
      </c>
      <c r="W424" s="28">
        <f t="shared" si="38"/>
        <v>0</v>
      </c>
      <c r="X424" s="333">
        <f t="shared" si="39"/>
        <v>0</v>
      </c>
      <c r="Y424" s="333">
        <f t="shared" si="40"/>
        <v>0</v>
      </c>
    </row>
    <row r="425" spans="1:25" s="2" customFormat="1" ht="21.95" customHeight="1">
      <c r="A425" s="82">
        <v>28</v>
      </c>
      <c r="B425" s="91" t="str">
        <f t="shared" si="41"/>
        <v>9B.T</v>
      </c>
      <c r="C425" s="83" t="s">
        <v>366</v>
      </c>
      <c r="D425" s="81" t="s">
        <v>527</v>
      </c>
      <c r="E425" s="48">
        <v>100417</v>
      </c>
      <c r="F425" s="30" t="s">
        <v>1395</v>
      </c>
      <c r="G425" s="29" t="s">
        <v>34</v>
      </c>
      <c r="H425" s="30" t="s">
        <v>114</v>
      </c>
      <c r="I425" s="78"/>
      <c r="J425" s="20"/>
      <c r="K425" s="20"/>
      <c r="L425" s="20"/>
      <c r="M425" s="20"/>
      <c r="N425" s="179" t="s">
        <v>502</v>
      </c>
      <c r="O425" s="70">
        <v>0</v>
      </c>
      <c r="P425" s="70">
        <v>0</v>
      </c>
      <c r="Q425" s="70">
        <f t="shared" si="36"/>
        <v>0</v>
      </c>
      <c r="R425" s="70"/>
      <c r="S425" s="67"/>
      <c r="T425" s="2" t="str">
        <f t="shared" si="37"/>
        <v>Lê Phúc Thảo Vy_10AT1</v>
      </c>
      <c r="U425" s="28">
        <f t="array" ref="U425">IFERROR(VLOOKUP($T425,'Nghi hoc T12'!$H$7:$I$160,2,0),0)</f>
        <v>0</v>
      </c>
      <c r="V425" s="28">
        <f>IFERROR(VLOOKUP($T425,No_HP!$B$2:$C$514,2,0),0)</f>
        <v>0</v>
      </c>
      <c r="W425" s="28">
        <f t="shared" si="38"/>
        <v>0</v>
      </c>
      <c r="X425" s="333">
        <f t="shared" si="39"/>
        <v>0</v>
      </c>
      <c r="Y425" s="333">
        <f t="shared" si="40"/>
        <v>0</v>
      </c>
    </row>
    <row r="426" spans="1:25" s="2" customFormat="1" ht="21.95" customHeight="1">
      <c r="A426" s="82">
        <v>29</v>
      </c>
      <c r="B426" s="91" t="str">
        <f t="shared" si="41"/>
        <v>9B.T</v>
      </c>
      <c r="C426" s="83" t="s">
        <v>366</v>
      </c>
      <c r="D426" s="81" t="s">
        <v>527</v>
      </c>
      <c r="E426" s="48">
        <v>100418</v>
      </c>
      <c r="F426" s="30" t="s">
        <v>1396</v>
      </c>
      <c r="G426" s="29" t="s">
        <v>62</v>
      </c>
      <c r="H426" s="30" t="s">
        <v>114</v>
      </c>
      <c r="I426" s="78"/>
      <c r="J426" s="20"/>
      <c r="K426" s="20"/>
      <c r="L426" s="20"/>
      <c r="M426" s="20"/>
      <c r="N426" s="179" t="s">
        <v>502</v>
      </c>
      <c r="O426" s="70">
        <v>0</v>
      </c>
      <c r="P426" s="70">
        <v>0</v>
      </c>
      <c r="Q426" s="70">
        <f t="shared" si="36"/>
        <v>0</v>
      </c>
      <c r="R426" s="70"/>
      <c r="S426" s="67"/>
      <c r="T426" s="2" t="str">
        <f t="shared" si="37"/>
        <v>Lâm Thị Hải Yến_10AT1</v>
      </c>
      <c r="U426" s="28">
        <f t="array" ref="U426">IFERROR(VLOOKUP($T426,'Nghi hoc T12'!$H$7:$I$160,2,0),0)</f>
        <v>0</v>
      </c>
      <c r="V426" s="28">
        <f>IFERROR(VLOOKUP($T426,No_HP!$B$2:$C$514,2,0),0)</f>
        <v>0</v>
      </c>
      <c r="W426" s="28">
        <f t="shared" si="38"/>
        <v>0</v>
      </c>
      <c r="X426" s="333">
        <f t="shared" si="39"/>
        <v>0</v>
      </c>
      <c r="Y426" s="333">
        <f t="shared" si="40"/>
        <v>0</v>
      </c>
    </row>
    <row r="427" spans="1:25" s="195" customFormat="1" ht="21.95" customHeight="1">
      <c r="A427" s="200">
        <v>1</v>
      </c>
      <c r="B427" s="91" t="str">
        <f t="shared" si="41"/>
        <v>4B.S</v>
      </c>
      <c r="C427" s="185" t="s">
        <v>366</v>
      </c>
      <c r="D427" s="186" t="s">
        <v>522</v>
      </c>
      <c r="E427" s="187">
        <v>100419</v>
      </c>
      <c r="F427" s="188" t="s">
        <v>1397</v>
      </c>
      <c r="G427" s="189" t="s">
        <v>5</v>
      </c>
      <c r="H427" s="188" t="s">
        <v>1398</v>
      </c>
      <c r="I427" s="190"/>
      <c r="J427" s="191"/>
      <c r="K427" s="191"/>
      <c r="L427" s="191"/>
      <c r="M427" s="191"/>
      <c r="N427" s="192" t="s">
        <v>256</v>
      </c>
      <c r="O427" s="193">
        <v>0</v>
      </c>
      <c r="P427" s="193">
        <v>0</v>
      </c>
      <c r="Q427" s="70">
        <f t="shared" si="36"/>
        <v>0</v>
      </c>
      <c r="R427" s="193"/>
      <c r="S427" s="194"/>
      <c r="T427" s="2" t="str">
        <f t="shared" si="37"/>
        <v>Đỗ Thị Lan Anh_11AS1</v>
      </c>
      <c r="U427" s="28">
        <f t="array" ref="U427">IFERROR(VLOOKUP($T427,'Nghi hoc T12'!$H$7:$I$160,2,0),0)</f>
        <v>0</v>
      </c>
      <c r="V427" s="196">
        <f>IFERROR(VLOOKUP($T427,No_HP!$B$2:$C$514,2,0),0)</f>
        <v>0</v>
      </c>
      <c r="W427" s="28">
        <f t="shared" si="38"/>
        <v>0</v>
      </c>
      <c r="X427" s="333">
        <f t="shared" si="39"/>
        <v>0</v>
      </c>
      <c r="Y427" s="333">
        <f t="shared" si="40"/>
        <v>0</v>
      </c>
    </row>
    <row r="428" spans="1:25" s="2" customFormat="1" ht="21.95" customHeight="1">
      <c r="A428" s="82">
        <v>2</v>
      </c>
      <c r="B428" s="91" t="str">
        <f t="shared" si="41"/>
        <v>4B.S</v>
      </c>
      <c r="C428" s="83" t="s">
        <v>366</v>
      </c>
      <c r="D428" s="81" t="s">
        <v>522</v>
      </c>
      <c r="E428" s="48">
        <v>100420</v>
      </c>
      <c r="F428" s="30" t="s">
        <v>177</v>
      </c>
      <c r="G428" s="29" t="s">
        <v>5</v>
      </c>
      <c r="H428" s="30" t="s">
        <v>1399</v>
      </c>
      <c r="I428" s="78"/>
      <c r="J428" s="20"/>
      <c r="K428" s="20"/>
      <c r="L428" s="20"/>
      <c r="M428" s="20"/>
      <c r="N428" s="69" t="s">
        <v>256</v>
      </c>
      <c r="O428" s="70">
        <v>0</v>
      </c>
      <c r="P428" s="70">
        <v>0</v>
      </c>
      <c r="Q428" s="70">
        <f t="shared" si="36"/>
        <v>0</v>
      </c>
      <c r="R428" s="70"/>
      <c r="S428" s="67"/>
      <c r="T428" s="2" t="str">
        <f t="shared" si="37"/>
        <v>Hoàng Thị Ngọc Anh_11AS2</v>
      </c>
      <c r="U428" s="28">
        <f t="array" ref="U428">IFERROR(VLOOKUP($T428,'Nghi hoc T12'!$H$7:$I$160,2,0),0)</f>
        <v>0</v>
      </c>
      <c r="V428" s="28">
        <f>IFERROR(VLOOKUP($T428,No_HP!$B$2:$C$514,2,0),0)</f>
        <v>0</v>
      </c>
      <c r="W428" s="28">
        <f t="shared" si="38"/>
        <v>0</v>
      </c>
      <c r="X428" s="333">
        <f t="shared" si="39"/>
        <v>0</v>
      </c>
      <c r="Y428" s="333">
        <f t="shared" si="40"/>
        <v>0</v>
      </c>
    </row>
    <row r="429" spans="1:25" s="2" customFormat="1" ht="21.95" customHeight="1">
      <c r="A429" s="82">
        <v>3</v>
      </c>
      <c r="B429" s="91" t="str">
        <f t="shared" si="41"/>
        <v>4B.S</v>
      </c>
      <c r="C429" s="83" t="s">
        <v>366</v>
      </c>
      <c r="D429" s="81" t="s">
        <v>522</v>
      </c>
      <c r="E429" s="48">
        <v>100421</v>
      </c>
      <c r="F429" s="30" t="s">
        <v>1400</v>
      </c>
      <c r="G429" s="29" t="s">
        <v>5</v>
      </c>
      <c r="H429" s="30" t="s">
        <v>1398</v>
      </c>
      <c r="I429" s="78"/>
      <c r="J429" s="20"/>
      <c r="K429" s="20"/>
      <c r="L429" s="20"/>
      <c r="M429" s="20"/>
      <c r="N429" s="69" t="s">
        <v>256</v>
      </c>
      <c r="O429" s="70">
        <v>0</v>
      </c>
      <c r="P429" s="70">
        <v>0</v>
      </c>
      <c r="Q429" s="70">
        <f t="shared" si="36"/>
        <v>0</v>
      </c>
      <c r="R429" s="70"/>
      <c r="S429" s="67"/>
      <c r="T429" s="2" t="str">
        <f t="shared" si="37"/>
        <v>Huỳnh Phạm Trúc Anh_11AS1</v>
      </c>
      <c r="U429" s="28">
        <f t="array" ref="U429">IFERROR(VLOOKUP($T429,'Nghi hoc T12'!$H$7:$I$160,2,0),0)</f>
        <v>0</v>
      </c>
      <c r="V429" s="28">
        <f>IFERROR(VLOOKUP($T429,No_HP!$B$2:$C$514,2,0),0)</f>
        <v>0</v>
      </c>
      <c r="W429" s="28">
        <f t="shared" si="38"/>
        <v>0</v>
      </c>
      <c r="X429" s="333">
        <f t="shared" si="39"/>
        <v>0</v>
      </c>
      <c r="Y429" s="333">
        <f t="shared" si="40"/>
        <v>0</v>
      </c>
    </row>
    <row r="430" spans="1:25" s="2" customFormat="1" ht="21.95" customHeight="1">
      <c r="A430" s="82">
        <v>4</v>
      </c>
      <c r="B430" s="91" t="str">
        <f t="shared" si="41"/>
        <v>4B.S</v>
      </c>
      <c r="C430" s="83" t="s">
        <v>366</v>
      </c>
      <c r="D430" s="81" t="s">
        <v>522</v>
      </c>
      <c r="E430" s="48">
        <v>100422</v>
      </c>
      <c r="F430" s="30" t="s">
        <v>1401</v>
      </c>
      <c r="G430" s="29" t="s">
        <v>5</v>
      </c>
      <c r="H430" s="30" t="s">
        <v>1402</v>
      </c>
      <c r="I430" s="78"/>
      <c r="J430" s="20"/>
      <c r="K430" s="20"/>
      <c r="L430" s="20"/>
      <c r="M430" s="20"/>
      <c r="N430" s="69" t="s">
        <v>256</v>
      </c>
      <c r="O430" s="70">
        <v>0</v>
      </c>
      <c r="P430" s="70">
        <v>0</v>
      </c>
      <c r="Q430" s="70">
        <f t="shared" si="36"/>
        <v>0</v>
      </c>
      <c r="R430" s="70"/>
      <c r="S430" s="67"/>
      <c r="T430" s="2" t="str">
        <f t="shared" si="37"/>
        <v>Lê Ngọc Quỳnh Anh_11AS3</v>
      </c>
      <c r="U430" s="28">
        <f t="array" ref="U430">IFERROR(VLOOKUP($T430,'Nghi hoc T12'!$H$7:$I$160,2,0),0)</f>
        <v>0</v>
      </c>
      <c r="V430" s="28">
        <f>IFERROR(VLOOKUP($T430,No_HP!$B$2:$C$514,2,0),0)</f>
        <v>0</v>
      </c>
      <c r="W430" s="28">
        <f t="shared" si="38"/>
        <v>0</v>
      </c>
      <c r="X430" s="333">
        <f t="shared" si="39"/>
        <v>0</v>
      </c>
      <c r="Y430" s="333">
        <f t="shared" si="40"/>
        <v>0</v>
      </c>
    </row>
    <row r="431" spans="1:25" s="2" customFormat="1" ht="21.95" customHeight="1">
      <c r="A431" s="82">
        <v>5</v>
      </c>
      <c r="B431" s="91" t="str">
        <f t="shared" si="41"/>
        <v>4B.S</v>
      </c>
      <c r="C431" s="83" t="s">
        <v>366</v>
      </c>
      <c r="D431" s="81" t="s">
        <v>522</v>
      </c>
      <c r="E431" s="48">
        <v>100423</v>
      </c>
      <c r="F431" s="30" t="s">
        <v>1403</v>
      </c>
      <c r="G431" s="29" t="s">
        <v>5</v>
      </c>
      <c r="H431" s="30" t="s">
        <v>1398</v>
      </c>
      <c r="I431" s="78"/>
      <c r="J431" s="20"/>
      <c r="K431" s="20"/>
      <c r="L431" s="20"/>
      <c r="M431" s="20"/>
      <c r="N431" s="69" t="s">
        <v>256</v>
      </c>
      <c r="O431" s="70">
        <v>0</v>
      </c>
      <c r="P431" s="70">
        <v>0</v>
      </c>
      <c r="Q431" s="70">
        <f t="shared" si="36"/>
        <v>0</v>
      </c>
      <c r="R431" s="70"/>
      <c r="S431" s="67"/>
      <c r="T431" s="2" t="str">
        <f t="shared" si="37"/>
        <v>Lư Hoàng Anh_11AS1</v>
      </c>
      <c r="U431" s="28">
        <f t="array" ref="U431">IFERROR(VLOOKUP($T431,'Nghi hoc T12'!$H$7:$I$160,2,0),0)</f>
        <v>0</v>
      </c>
      <c r="V431" s="28">
        <f>IFERROR(VLOOKUP($T431,No_HP!$B$2:$C$514,2,0),0)</f>
        <v>0</v>
      </c>
      <c r="W431" s="28">
        <f t="shared" si="38"/>
        <v>0</v>
      </c>
      <c r="X431" s="333">
        <f t="shared" si="39"/>
        <v>0</v>
      </c>
      <c r="Y431" s="333">
        <f t="shared" si="40"/>
        <v>0</v>
      </c>
    </row>
    <row r="432" spans="1:25" s="2" customFormat="1" ht="21.95" customHeight="1">
      <c r="A432" s="82">
        <v>6</v>
      </c>
      <c r="B432" s="91" t="str">
        <f t="shared" si="41"/>
        <v>4B.S</v>
      </c>
      <c r="C432" s="83" t="s">
        <v>366</v>
      </c>
      <c r="D432" s="81" t="s">
        <v>522</v>
      </c>
      <c r="E432" s="48">
        <v>100424</v>
      </c>
      <c r="F432" s="30" t="s">
        <v>1404</v>
      </c>
      <c r="G432" s="29" t="s">
        <v>5</v>
      </c>
      <c r="H432" s="30" t="s">
        <v>1399</v>
      </c>
      <c r="I432" s="78"/>
      <c r="J432" s="20"/>
      <c r="K432" s="20"/>
      <c r="L432" s="20"/>
      <c r="M432" s="20"/>
      <c r="N432" s="69" t="s">
        <v>256</v>
      </c>
      <c r="O432" s="70">
        <v>0</v>
      </c>
      <c r="P432" s="70">
        <v>0</v>
      </c>
      <c r="Q432" s="70">
        <f t="shared" si="36"/>
        <v>0</v>
      </c>
      <c r="R432" s="70"/>
      <c r="S432" s="67"/>
      <c r="T432" s="2" t="str">
        <f t="shared" si="37"/>
        <v>Lương Hồng Anh_11AS2</v>
      </c>
      <c r="U432" s="28">
        <f t="array" ref="U432">IFERROR(VLOOKUP($T432,'Nghi hoc T12'!$H$7:$I$160,2,0),0)</f>
        <v>0</v>
      </c>
      <c r="V432" s="28">
        <f>IFERROR(VLOOKUP($T432,No_HP!$B$2:$C$514,2,0),0)</f>
        <v>0</v>
      </c>
      <c r="W432" s="28">
        <f t="shared" si="38"/>
        <v>0</v>
      </c>
      <c r="X432" s="333">
        <f t="shared" si="39"/>
        <v>0</v>
      </c>
      <c r="Y432" s="333">
        <f t="shared" si="40"/>
        <v>0</v>
      </c>
    </row>
    <row r="433" spans="1:25" s="2" customFormat="1" ht="21.95" customHeight="1">
      <c r="A433" s="82">
        <v>7</v>
      </c>
      <c r="B433" s="91" t="str">
        <f t="shared" si="41"/>
        <v>4B.S</v>
      </c>
      <c r="C433" s="83" t="s">
        <v>366</v>
      </c>
      <c r="D433" s="81" t="s">
        <v>522</v>
      </c>
      <c r="E433" s="48">
        <v>100425</v>
      </c>
      <c r="F433" s="30" t="s">
        <v>1405</v>
      </c>
      <c r="G433" s="29" t="s">
        <v>5</v>
      </c>
      <c r="H433" s="30" t="s">
        <v>1402</v>
      </c>
      <c r="I433" s="78"/>
      <c r="J433" s="20"/>
      <c r="K433" s="20"/>
      <c r="L433" s="20"/>
      <c r="M433" s="20"/>
      <c r="N433" s="69" t="s">
        <v>256</v>
      </c>
      <c r="O433" s="70">
        <v>0</v>
      </c>
      <c r="P433" s="70">
        <v>0</v>
      </c>
      <c r="Q433" s="70">
        <f t="shared" si="36"/>
        <v>0</v>
      </c>
      <c r="R433" s="70"/>
      <c r="S433" s="67"/>
      <c r="T433" s="2" t="str">
        <f t="shared" si="37"/>
        <v>Nguyễn Lâm Anh_11AS3</v>
      </c>
      <c r="U433" s="28">
        <f t="array" ref="U433">IFERROR(VLOOKUP($T433,'Nghi hoc T12'!$H$7:$I$160,2,0),0)</f>
        <v>0</v>
      </c>
      <c r="V433" s="28">
        <f>IFERROR(VLOOKUP($T433,No_HP!$B$2:$C$514,2,0),0)</f>
        <v>0</v>
      </c>
      <c r="W433" s="28">
        <f t="shared" si="38"/>
        <v>0</v>
      </c>
      <c r="X433" s="333">
        <f t="shared" si="39"/>
        <v>0</v>
      </c>
      <c r="Y433" s="333">
        <f t="shared" si="40"/>
        <v>0</v>
      </c>
    </row>
    <row r="434" spans="1:25" s="2" customFormat="1" ht="21.95" customHeight="1">
      <c r="A434" s="82">
        <v>8</v>
      </c>
      <c r="B434" s="91" t="str">
        <f t="shared" si="41"/>
        <v>4B.S</v>
      </c>
      <c r="C434" s="83" t="s">
        <v>366</v>
      </c>
      <c r="D434" s="81" t="s">
        <v>522</v>
      </c>
      <c r="E434" s="48">
        <v>100426</v>
      </c>
      <c r="F434" s="30" t="s">
        <v>327</v>
      </c>
      <c r="G434" s="29" t="s">
        <v>5</v>
      </c>
      <c r="H434" s="30" t="s">
        <v>1398</v>
      </c>
      <c r="I434" s="78"/>
      <c r="J434" s="20"/>
      <c r="K434" s="20"/>
      <c r="L434" s="20"/>
      <c r="M434" s="20"/>
      <c r="N434" s="69" t="s">
        <v>256</v>
      </c>
      <c r="O434" s="70">
        <v>0</v>
      </c>
      <c r="P434" s="70">
        <v>0</v>
      </c>
      <c r="Q434" s="70">
        <f t="shared" si="36"/>
        <v>0</v>
      </c>
      <c r="R434" s="70"/>
      <c r="S434" s="67"/>
      <c r="T434" s="2" t="str">
        <f t="shared" si="37"/>
        <v>Nguyễn Phương Anh_11AS1</v>
      </c>
      <c r="U434" s="28">
        <f t="array" ref="U434">IFERROR(VLOOKUP($T434,'Nghi hoc T12'!$H$7:$I$160,2,0),0)</f>
        <v>0</v>
      </c>
      <c r="V434" s="28">
        <f>IFERROR(VLOOKUP($T434,No_HP!$B$2:$C$514,2,0),0)</f>
        <v>0</v>
      </c>
      <c r="W434" s="28">
        <f t="shared" si="38"/>
        <v>0</v>
      </c>
      <c r="X434" s="333">
        <f t="shared" si="39"/>
        <v>0</v>
      </c>
      <c r="Y434" s="333">
        <f t="shared" si="40"/>
        <v>0</v>
      </c>
    </row>
    <row r="435" spans="1:25" s="2" customFormat="1" ht="21.95" customHeight="1">
      <c r="A435" s="82">
        <v>9</v>
      </c>
      <c r="B435" s="91" t="str">
        <f t="shared" si="41"/>
        <v>4B.S</v>
      </c>
      <c r="C435" s="83" t="s">
        <v>366</v>
      </c>
      <c r="D435" s="81" t="s">
        <v>522</v>
      </c>
      <c r="E435" s="48">
        <v>100427</v>
      </c>
      <c r="F435" s="30" t="s">
        <v>231</v>
      </c>
      <c r="G435" s="29" t="s">
        <v>5</v>
      </c>
      <c r="H435" s="30" t="s">
        <v>1399</v>
      </c>
      <c r="I435" s="78"/>
      <c r="J435" s="20"/>
      <c r="K435" s="20"/>
      <c r="L435" s="20"/>
      <c r="M435" s="20"/>
      <c r="N435" s="69" t="s">
        <v>256</v>
      </c>
      <c r="O435" s="70">
        <v>0</v>
      </c>
      <c r="P435" s="70">
        <v>0</v>
      </c>
      <c r="Q435" s="70">
        <f t="shared" si="36"/>
        <v>0</v>
      </c>
      <c r="R435" s="70"/>
      <c r="S435" s="67"/>
      <c r="T435" s="2" t="str">
        <f t="shared" si="37"/>
        <v>Nguyễn Thị Phương Anh_11AS2</v>
      </c>
      <c r="U435" s="28">
        <f t="array" ref="U435">IFERROR(VLOOKUP($T435,'Nghi hoc T12'!$H$7:$I$160,2,0),0)</f>
        <v>0</v>
      </c>
      <c r="V435" s="28">
        <f>IFERROR(VLOOKUP($T435,No_HP!$B$2:$C$514,2,0),0)</f>
        <v>0</v>
      </c>
      <c r="W435" s="28">
        <f t="shared" si="38"/>
        <v>0</v>
      </c>
      <c r="X435" s="333">
        <f t="shared" si="39"/>
        <v>0</v>
      </c>
      <c r="Y435" s="333">
        <f t="shared" si="40"/>
        <v>0</v>
      </c>
    </row>
    <row r="436" spans="1:25" s="2" customFormat="1" ht="21.95" customHeight="1">
      <c r="A436" s="82">
        <v>10</v>
      </c>
      <c r="B436" s="91" t="str">
        <f t="shared" si="41"/>
        <v>4B.S</v>
      </c>
      <c r="C436" s="83" t="s">
        <v>366</v>
      </c>
      <c r="D436" s="81" t="s">
        <v>522</v>
      </c>
      <c r="E436" s="48">
        <v>100428</v>
      </c>
      <c r="F436" s="30" t="s">
        <v>1406</v>
      </c>
      <c r="G436" s="29" t="s">
        <v>5</v>
      </c>
      <c r="H436" s="30" t="s">
        <v>1398</v>
      </c>
      <c r="I436" s="78"/>
      <c r="J436" s="20"/>
      <c r="K436" s="20"/>
      <c r="L436" s="20"/>
      <c r="M436" s="20"/>
      <c r="N436" s="69" t="s">
        <v>256</v>
      </c>
      <c r="O436" s="70">
        <v>0</v>
      </c>
      <c r="P436" s="70">
        <v>0</v>
      </c>
      <c r="Q436" s="70">
        <f t="shared" si="36"/>
        <v>0</v>
      </c>
      <c r="R436" s="70"/>
      <c r="S436" s="67"/>
      <c r="T436" s="2" t="str">
        <f t="shared" si="37"/>
        <v>Nguyễn Vũ Hoài Anh_11AS1</v>
      </c>
      <c r="U436" s="28">
        <f t="array" ref="U436">IFERROR(VLOOKUP($T436,'Nghi hoc T12'!$H$7:$I$160,2,0),0)</f>
        <v>0</v>
      </c>
      <c r="V436" s="28">
        <f>IFERROR(VLOOKUP($T436,No_HP!$B$2:$C$514,2,0),0)</f>
        <v>0</v>
      </c>
      <c r="W436" s="28">
        <f t="shared" si="38"/>
        <v>0</v>
      </c>
      <c r="X436" s="333">
        <f t="shared" si="39"/>
        <v>0</v>
      </c>
      <c r="Y436" s="333">
        <f t="shared" si="40"/>
        <v>0</v>
      </c>
    </row>
    <row r="437" spans="1:25" s="2" customFormat="1" ht="21.95" customHeight="1">
      <c r="A437" s="82">
        <v>11</v>
      </c>
      <c r="B437" s="91" t="str">
        <f t="shared" si="41"/>
        <v>4B.S</v>
      </c>
      <c r="C437" s="83" t="s">
        <v>366</v>
      </c>
      <c r="D437" s="81" t="s">
        <v>522</v>
      </c>
      <c r="E437" s="48">
        <v>100429</v>
      </c>
      <c r="F437" s="30" t="s">
        <v>1407</v>
      </c>
      <c r="G437" s="29" t="s">
        <v>5</v>
      </c>
      <c r="H437" s="30" t="s">
        <v>1402</v>
      </c>
      <c r="I437" s="78"/>
      <c r="J437" s="20"/>
      <c r="K437" s="20"/>
      <c r="L437" s="20"/>
      <c r="M437" s="20"/>
      <c r="N437" s="69" t="s">
        <v>256</v>
      </c>
      <c r="O437" s="70">
        <v>0</v>
      </c>
      <c r="P437" s="70">
        <v>0</v>
      </c>
      <c r="Q437" s="70">
        <f t="shared" si="36"/>
        <v>0</v>
      </c>
      <c r="R437" s="70"/>
      <c r="S437" s="67"/>
      <c r="T437" s="2" t="str">
        <f t="shared" si="37"/>
        <v>Nguyễn Vũ Quỳnh Anh_11AS3</v>
      </c>
      <c r="U437" s="28">
        <f t="array" ref="U437">IFERROR(VLOOKUP($T437,'Nghi hoc T12'!$H$7:$I$160,2,0),0)</f>
        <v>0</v>
      </c>
      <c r="V437" s="28">
        <f>IFERROR(VLOOKUP($T437,No_HP!$B$2:$C$514,2,0),0)</f>
        <v>0</v>
      </c>
      <c r="W437" s="28">
        <f t="shared" si="38"/>
        <v>0</v>
      </c>
      <c r="X437" s="333">
        <f t="shared" si="39"/>
        <v>0</v>
      </c>
      <c r="Y437" s="333">
        <f t="shared" si="40"/>
        <v>0</v>
      </c>
    </row>
    <row r="438" spans="1:25" s="2" customFormat="1" ht="21.95" customHeight="1">
      <c r="A438" s="82">
        <v>12</v>
      </c>
      <c r="B438" s="91" t="str">
        <f t="shared" si="41"/>
        <v>4B.S</v>
      </c>
      <c r="C438" s="83" t="s">
        <v>366</v>
      </c>
      <c r="D438" s="81" t="s">
        <v>522</v>
      </c>
      <c r="E438" s="48">
        <v>100430</v>
      </c>
      <c r="F438" s="30" t="s">
        <v>1408</v>
      </c>
      <c r="G438" s="29" t="s">
        <v>5</v>
      </c>
      <c r="H438" s="30" t="s">
        <v>1399</v>
      </c>
      <c r="I438" s="78"/>
      <c r="J438" s="20"/>
      <c r="K438" s="20"/>
      <c r="L438" s="20"/>
      <c r="M438" s="20"/>
      <c r="N438" s="69" t="s">
        <v>256</v>
      </c>
      <c r="O438" s="70">
        <v>0</v>
      </c>
      <c r="P438" s="70">
        <v>0</v>
      </c>
      <c r="Q438" s="70">
        <f t="shared" si="36"/>
        <v>0</v>
      </c>
      <c r="R438" s="70"/>
      <c r="S438" s="67"/>
      <c r="T438" s="2" t="str">
        <f t="shared" si="37"/>
        <v>Phạm Nguyễn Thiên Anh_11AS2</v>
      </c>
      <c r="U438" s="28">
        <f t="array" ref="U438">IFERROR(VLOOKUP($T438,'Nghi hoc T12'!$H$7:$I$160,2,0),0)</f>
        <v>0</v>
      </c>
      <c r="V438" s="28">
        <f>IFERROR(VLOOKUP($T438,No_HP!$B$2:$C$514,2,0),0)</f>
        <v>0</v>
      </c>
      <c r="W438" s="28">
        <f t="shared" si="38"/>
        <v>0</v>
      </c>
      <c r="X438" s="333">
        <f t="shared" si="39"/>
        <v>0</v>
      </c>
      <c r="Y438" s="333">
        <f t="shared" si="40"/>
        <v>0</v>
      </c>
    </row>
    <row r="439" spans="1:25" s="2" customFormat="1" ht="21.95" customHeight="1">
      <c r="A439" s="82">
        <v>13</v>
      </c>
      <c r="B439" s="91" t="str">
        <f t="shared" si="41"/>
        <v>4B.S</v>
      </c>
      <c r="C439" s="83" t="s">
        <v>366</v>
      </c>
      <c r="D439" s="81" t="s">
        <v>522</v>
      </c>
      <c r="E439" s="48">
        <v>100431</v>
      </c>
      <c r="F439" s="30" t="s">
        <v>1409</v>
      </c>
      <c r="G439" s="29" t="s">
        <v>76</v>
      </c>
      <c r="H439" s="30" t="s">
        <v>1398</v>
      </c>
      <c r="I439" s="78"/>
      <c r="J439" s="20"/>
      <c r="K439" s="20"/>
      <c r="L439" s="20"/>
      <c r="M439" s="20"/>
      <c r="N439" s="69" t="s">
        <v>256</v>
      </c>
      <c r="O439" s="70">
        <v>0</v>
      </c>
      <c r="P439" s="70">
        <v>0</v>
      </c>
      <c r="Q439" s="70">
        <f t="shared" si="36"/>
        <v>0</v>
      </c>
      <c r="R439" s="70"/>
      <c r="S439" s="67"/>
      <c r="T439" s="2" t="str">
        <f t="shared" si="37"/>
        <v>Đặng Thị Ngọc Ánh_11AS1</v>
      </c>
      <c r="U439" s="28">
        <f t="array" ref="U439">IFERROR(VLOOKUP($T439,'Nghi hoc T12'!$H$7:$I$160,2,0),0)</f>
        <v>0</v>
      </c>
      <c r="V439" s="28">
        <f>IFERROR(VLOOKUP($T439,No_HP!$B$2:$C$514,2,0),0)</f>
        <v>0</v>
      </c>
      <c r="W439" s="28">
        <f t="shared" si="38"/>
        <v>0</v>
      </c>
      <c r="X439" s="333">
        <f t="shared" si="39"/>
        <v>0</v>
      </c>
      <c r="Y439" s="333">
        <f t="shared" si="40"/>
        <v>0</v>
      </c>
    </row>
    <row r="440" spans="1:25" s="2" customFormat="1" ht="21.95" customHeight="1">
      <c r="A440" s="82">
        <v>14</v>
      </c>
      <c r="B440" s="91" t="str">
        <f t="shared" si="41"/>
        <v>4B.S</v>
      </c>
      <c r="C440" s="83" t="s">
        <v>366</v>
      </c>
      <c r="D440" s="81" t="s">
        <v>522</v>
      </c>
      <c r="E440" s="48">
        <v>100432</v>
      </c>
      <c r="F440" s="30" t="s">
        <v>41</v>
      </c>
      <c r="G440" s="29" t="s">
        <v>76</v>
      </c>
      <c r="H440" s="30" t="s">
        <v>1399</v>
      </c>
      <c r="I440" s="78"/>
      <c r="J440" s="20"/>
      <c r="K440" s="20"/>
      <c r="L440" s="20"/>
      <c r="M440" s="20"/>
      <c r="N440" s="69" t="s">
        <v>256</v>
      </c>
      <c r="O440" s="70">
        <v>0</v>
      </c>
      <c r="P440" s="70">
        <v>0</v>
      </c>
      <c r="Q440" s="70">
        <f t="shared" si="36"/>
        <v>0</v>
      </c>
      <c r="R440" s="70"/>
      <c r="S440" s="67"/>
      <c r="T440" s="2" t="str">
        <f t="shared" si="37"/>
        <v>Nguyễn Thị Hồng Ánh_11AS2</v>
      </c>
      <c r="U440" s="28">
        <f t="array" ref="U440">IFERROR(VLOOKUP($T440,'Nghi hoc T12'!$H$7:$I$160,2,0),0)</f>
        <v>0</v>
      </c>
      <c r="V440" s="28">
        <f>IFERROR(VLOOKUP($T440,No_HP!$B$2:$C$514,2,0),0)</f>
        <v>0</v>
      </c>
      <c r="W440" s="28">
        <f t="shared" si="38"/>
        <v>0</v>
      </c>
      <c r="X440" s="333">
        <f t="shared" si="39"/>
        <v>0</v>
      </c>
      <c r="Y440" s="333">
        <f t="shared" si="40"/>
        <v>0</v>
      </c>
    </row>
    <row r="441" spans="1:25" s="2" customFormat="1" ht="21.95" customHeight="1">
      <c r="A441" s="82">
        <v>15</v>
      </c>
      <c r="B441" s="91" t="str">
        <f t="shared" si="41"/>
        <v>4B.S</v>
      </c>
      <c r="C441" s="83" t="s">
        <v>366</v>
      </c>
      <c r="D441" s="81" t="s">
        <v>522</v>
      </c>
      <c r="E441" s="48">
        <v>100433</v>
      </c>
      <c r="F441" s="30" t="s">
        <v>469</v>
      </c>
      <c r="G441" s="29" t="s">
        <v>83</v>
      </c>
      <c r="H441" s="30" t="s">
        <v>1399</v>
      </c>
      <c r="I441" s="78"/>
      <c r="J441" s="20"/>
      <c r="K441" s="20"/>
      <c r="L441" s="20"/>
      <c r="M441" s="20"/>
      <c r="N441" s="69" t="s">
        <v>256</v>
      </c>
      <c r="O441" s="70">
        <v>0</v>
      </c>
      <c r="P441" s="70">
        <v>0</v>
      </c>
      <c r="Q441" s="70">
        <f t="shared" si="36"/>
        <v>0</v>
      </c>
      <c r="R441" s="70"/>
      <c r="S441" s="67"/>
      <c r="T441" s="2" t="str">
        <f t="shared" si="37"/>
        <v>Bùi Gia Bảo_11AS2</v>
      </c>
      <c r="U441" s="28">
        <f t="array" ref="U441">IFERROR(VLOOKUP($T441,'Nghi hoc T12'!$H$7:$I$160,2,0),0)</f>
        <v>0</v>
      </c>
      <c r="V441" s="28">
        <f>IFERROR(VLOOKUP($T441,No_HP!$B$2:$C$514,2,0),0)</f>
        <v>0</v>
      </c>
      <c r="W441" s="28">
        <f t="shared" si="38"/>
        <v>0</v>
      </c>
      <c r="X441" s="333">
        <f t="shared" si="39"/>
        <v>0</v>
      </c>
      <c r="Y441" s="333">
        <f t="shared" si="40"/>
        <v>0</v>
      </c>
    </row>
    <row r="442" spans="1:25" s="2" customFormat="1" ht="21.95" customHeight="1">
      <c r="A442" s="82">
        <v>16</v>
      </c>
      <c r="B442" s="91" t="str">
        <f t="shared" si="41"/>
        <v>4B.S</v>
      </c>
      <c r="C442" s="83" t="s">
        <v>366</v>
      </c>
      <c r="D442" s="81" t="s">
        <v>522</v>
      </c>
      <c r="E442" s="48">
        <v>100434</v>
      </c>
      <c r="F442" s="30" t="s">
        <v>160</v>
      </c>
      <c r="G442" s="29" t="s">
        <v>83</v>
      </c>
      <c r="H442" s="30" t="s">
        <v>1402</v>
      </c>
      <c r="I442" s="78"/>
      <c r="J442" s="20"/>
      <c r="K442" s="20"/>
      <c r="L442" s="20"/>
      <c r="M442" s="20"/>
      <c r="N442" s="69" t="s">
        <v>256</v>
      </c>
      <c r="O442" s="70">
        <v>0</v>
      </c>
      <c r="P442" s="70">
        <v>0</v>
      </c>
      <c r="Q442" s="70">
        <f t="shared" si="36"/>
        <v>0</v>
      </c>
      <c r="R442" s="70"/>
      <c r="S442" s="67"/>
      <c r="T442" s="2" t="str">
        <f t="shared" si="37"/>
        <v>Nguyễn Thành Bảo_11AS3</v>
      </c>
      <c r="U442" s="28">
        <f t="array" ref="U442">IFERROR(VLOOKUP($T442,'Nghi hoc T12'!$H$7:$I$160,2,0),0)</f>
        <v>0</v>
      </c>
      <c r="V442" s="28">
        <f>IFERROR(VLOOKUP($T442,No_HP!$B$2:$C$514,2,0),0)</f>
        <v>0</v>
      </c>
      <c r="W442" s="28">
        <f t="shared" si="38"/>
        <v>0</v>
      </c>
      <c r="X442" s="333">
        <f t="shared" si="39"/>
        <v>0</v>
      </c>
      <c r="Y442" s="333">
        <f t="shared" si="40"/>
        <v>0</v>
      </c>
    </row>
    <row r="443" spans="1:25" s="2" customFormat="1" ht="21.95" customHeight="1">
      <c r="A443" s="82">
        <v>17</v>
      </c>
      <c r="B443" s="91" t="str">
        <f t="shared" si="41"/>
        <v>4B.S</v>
      </c>
      <c r="C443" s="83" t="s">
        <v>366</v>
      </c>
      <c r="D443" s="81" t="s">
        <v>522</v>
      </c>
      <c r="E443" s="48">
        <v>100435</v>
      </c>
      <c r="F443" s="30" t="s">
        <v>1410</v>
      </c>
      <c r="G443" s="29" t="s">
        <v>83</v>
      </c>
      <c r="H443" s="30" t="s">
        <v>1398</v>
      </c>
      <c r="I443" s="78"/>
      <c r="J443" s="20"/>
      <c r="K443" s="20"/>
      <c r="L443" s="20"/>
      <c r="M443" s="20"/>
      <c r="N443" s="69" t="s">
        <v>256</v>
      </c>
      <c r="O443" s="70">
        <v>0</v>
      </c>
      <c r="P443" s="70">
        <v>0</v>
      </c>
      <c r="Q443" s="70">
        <f t="shared" si="36"/>
        <v>0</v>
      </c>
      <c r="R443" s="70"/>
      <c r="S443" s="67"/>
      <c r="T443" s="2" t="str">
        <f t="shared" si="37"/>
        <v>Trần Lê Thế Bảo_11AS1</v>
      </c>
      <c r="U443" s="28">
        <f t="array" ref="U443">IFERROR(VLOOKUP($T443,'Nghi hoc T12'!$H$7:$I$160,2,0),0)</f>
        <v>0</v>
      </c>
      <c r="V443" s="28">
        <f>IFERROR(VLOOKUP($T443,No_HP!$B$2:$C$514,2,0),0)</f>
        <v>0</v>
      </c>
      <c r="W443" s="28">
        <f t="shared" si="38"/>
        <v>0</v>
      </c>
      <c r="X443" s="333">
        <f t="shared" si="39"/>
        <v>0</v>
      </c>
      <c r="Y443" s="333">
        <f t="shared" si="40"/>
        <v>0</v>
      </c>
    </row>
    <row r="444" spans="1:25" s="2" customFormat="1" ht="21.95" customHeight="1">
      <c r="A444" s="82">
        <v>18</v>
      </c>
      <c r="B444" s="91" t="str">
        <f t="shared" si="41"/>
        <v>4B.S</v>
      </c>
      <c r="C444" s="83" t="s">
        <v>366</v>
      </c>
      <c r="D444" s="81" t="s">
        <v>522</v>
      </c>
      <c r="E444" s="48">
        <v>100436</v>
      </c>
      <c r="F444" s="30" t="s">
        <v>1411</v>
      </c>
      <c r="G444" s="29" t="s">
        <v>1183</v>
      </c>
      <c r="H444" s="30" t="s">
        <v>1402</v>
      </c>
      <c r="I444" s="78"/>
      <c r="J444" s="20"/>
      <c r="K444" s="20"/>
      <c r="L444" s="20"/>
      <c r="M444" s="20"/>
      <c r="N444" s="69" t="s">
        <v>256</v>
      </c>
      <c r="O444" s="70">
        <v>0</v>
      </c>
      <c r="P444" s="70">
        <v>0</v>
      </c>
      <c r="Q444" s="70">
        <f t="shared" si="36"/>
        <v>0</v>
      </c>
      <c r="R444" s="70"/>
      <c r="S444" s="67"/>
      <c r="T444" s="2" t="str">
        <f t="shared" si="37"/>
        <v>Nguyễn Phạm Khánh Băng_11AS3</v>
      </c>
      <c r="U444" s="28">
        <f t="array" ref="U444">IFERROR(VLOOKUP($T444,'Nghi hoc T12'!$H$7:$I$160,2,0),0)</f>
        <v>0</v>
      </c>
      <c r="V444" s="28">
        <f>IFERROR(VLOOKUP($T444,No_HP!$B$2:$C$514,2,0),0)</f>
        <v>0</v>
      </c>
      <c r="W444" s="28">
        <f t="shared" si="38"/>
        <v>0</v>
      </c>
      <c r="X444" s="333">
        <f t="shared" si="39"/>
        <v>0</v>
      </c>
      <c r="Y444" s="333">
        <f t="shared" si="40"/>
        <v>0</v>
      </c>
    </row>
    <row r="445" spans="1:25" s="2" customFormat="1" ht="21.95" customHeight="1">
      <c r="A445" s="82">
        <v>19</v>
      </c>
      <c r="B445" s="91" t="str">
        <f t="shared" si="41"/>
        <v>4B.S</v>
      </c>
      <c r="C445" s="83" t="s">
        <v>366</v>
      </c>
      <c r="D445" s="81" t="s">
        <v>522</v>
      </c>
      <c r="E445" s="48">
        <v>100437</v>
      </c>
      <c r="F445" s="30" t="s">
        <v>1412</v>
      </c>
      <c r="G445" s="29" t="s">
        <v>261</v>
      </c>
      <c r="H445" s="30" t="s">
        <v>1398</v>
      </c>
      <c r="I445" s="78"/>
      <c r="J445" s="20"/>
      <c r="K445" s="20"/>
      <c r="L445" s="20"/>
      <c r="M445" s="20"/>
      <c r="N445" s="69" t="s">
        <v>256</v>
      </c>
      <c r="O445" s="70">
        <v>0</v>
      </c>
      <c r="P445" s="70">
        <v>0</v>
      </c>
      <c r="Q445" s="70">
        <f t="shared" si="36"/>
        <v>0</v>
      </c>
      <c r="R445" s="70"/>
      <c r="S445" s="67"/>
      <c r="T445" s="2" t="str">
        <f t="shared" si="37"/>
        <v>Lê Quế Chi_11AS1</v>
      </c>
      <c r="U445" s="28">
        <f t="array" ref="U445">IFERROR(VLOOKUP($T445,'Nghi hoc T12'!$H$7:$I$160,2,0),0)</f>
        <v>0</v>
      </c>
      <c r="V445" s="28">
        <f>IFERROR(VLOOKUP($T445,No_HP!$B$2:$C$514,2,0),0)</f>
        <v>0</v>
      </c>
      <c r="W445" s="28">
        <f t="shared" si="38"/>
        <v>0</v>
      </c>
      <c r="X445" s="333">
        <f t="shared" si="39"/>
        <v>0</v>
      </c>
      <c r="Y445" s="333">
        <f t="shared" si="40"/>
        <v>0</v>
      </c>
    </row>
    <row r="446" spans="1:25" s="2" customFormat="1" ht="21.95" customHeight="1">
      <c r="A446" s="82">
        <v>20</v>
      </c>
      <c r="B446" s="91" t="str">
        <f t="shared" si="41"/>
        <v>4B.S</v>
      </c>
      <c r="C446" s="83" t="s">
        <v>366</v>
      </c>
      <c r="D446" s="81" t="s">
        <v>522</v>
      </c>
      <c r="E446" s="48">
        <v>100438</v>
      </c>
      <c r="F446" s="30" t="s">
        <v>1413</v>
      </c>
      <c r="G446" s="29" t="s">
        <v>35</v>
      </c>
      <c r="H446" s="30" t="s">
        <v>1399</v>
      </c>
      <c r="I446" s="78"/>
      <c r="J446" s="20"/>
      <c r="K446" s="20"/>
      <c r="L446" s="20"/>
      <c r="M446" s="20"/>
      <c r="N446" s="69" t="s">
        <v>256</v>
      </c>
      <c r="O446" s="70">
        <v>0</v>
      </c>
      <c r="P446" s="70">
        <v>0</v>
      </c>
      <c r="Q446" s="70">
        <f t="shared" si="36"/>
        <v>0</v>
      </c>
      <c r="R446" s="70"/>
      <c r="S446" s="67"/>
      <c r="T446" s="2" t="str">
        <f t="shared" si="37"/>
        <v>Lưu Quốc Cường_11AS2</v>
      </c>
      <c r="U446" s="28">
        <f t="array" ref="U446">IFERROR(VLOOKUP($T446,'Nghi hoc T12'!$H$7:$I$160,2,0),0)</f>
        <v>0</v>
      </c>
      <c r="V446" s="28">
        <f>IFERROR(VLOOKUP($T446,No_HP!$B$2:$C$514,2,0),0)</f>
        <v>0</v>
      </c>
      <c r="W446" s="28">
        <f t="shared" si="38"/>
        <v>0</v>
      </c>
      <c r="X446" s="333">
        <f t="shared" si="39"/>
        <v>0</v>
      </c>
      <c r="Y446" s="333">
        <f t="shared" si="40"/>
        <v>0</v>
      </c>
    </row>
    <row r="447" spans="1:25" s="2" customFormat="1" ht="21.95" customHeight="1">
      <c r="A447" s="82">
        <v>21</v>
      </c>
      <c r="B447" s="91" t="str">
        <f t="shared" si="41"/>
        <v>4B.S</v>
      </c>
      <c r="C447" s="83" t="s">
        <v>366</v>
      </c>
      <c r="D447" s="81" t="s">
        <v>522</v>
      </c>
      <c r="E447" s="48">
        <v>100439</v>
      </c>
      <c r="F447" s="30" t="s">
        <v>1414</v>
      </c>
      <c r="G447" s="29" t="s">
        <v>140</v>
      </c>
      <c r="H447" s="30" t="s">
        <v>1399</v>
      </c>
      <c r="I447" s="78"/>
      <c r="J447" s="20"/>
      <c r="K447" s="20"/>
      <c r="L447" s="20"/>
      <c r="M447" s="20"/>
      <c r="N447" s="69" t="s">
        <v>256</v>
      </c>
      <c r="O447" s="70">
        <v>0</v>
      </c>
      <c r="P447" s="70">
        <v>0</v>
      </c>
      <c r="Q447" s="70">
        <f t="shared" si="36"/>
        <v>0</v>
      </c>
      <c r="R447" s="70"/>
      <c r="S447" s="67"/>
      <c r="T447" s="2" t="str">
        <f t="shared" si="37"/>
        <v>Phạm Thị Ngọc Dung_11AS2</v>
      </c>
      <c r="U447" s="28">
        <f t="array" ref="U447">IFERROR(VLOOKUP($T447,'Nghi hoc T12'!$H$7:$I$160,2,0),0)</f>
        <v>0</v>
      </c>
      <c r="V447" s="28">
        <f>IFERROR(VLOOKUP($T447,No_HP!$B$2:$C$514,2,0),0)</f>
        <v>0</v>
      </c>
      <c r="W447" s="28">
        <f t="shared" si="38"/>
        <v>0</v>
      </c>
      <c r="X447" s="333">
        <f t="shared" si="39"/>
        <v>0</v>
      </c>
      <c r="Y447" s="333">
        <f t="shared" si="40"/>
        <v>0</v>
      </c>
    </row>
    <row r="448" spans="1:25" s="2" customFormat="1" ht="21.95" customHeight="1">
      <c r="A448" s="82">
        <v>22</v>
      </c>
      <c r="B448" s="91" t="str">
        <f t="shared" si="41"/>
        <v>4B.S</v>
      </c>
      <c r="C448" s="83" t="s">
        <v>366</v>
      </c>
      <c r="D448" s="81" t="s">
        <v>522</v>
      </c>
      <c r="E448" s="48">
        <v>100440</v>
      </c>
      <c r="F448" s="30" t="s">
        <v>1415</v>
      </c>
      <c r="G448" s="29" t="s">
        <v>6</v>
      </c>
      <c r="H448" s="30" t="s">
        <v>1402</v>
      </c>
      <c r="I448" s="78"/>
      <c r="J448" s="20"/>
      <c r="K448" s="20"/>
      <c r="L448" s="20"/>
      <c r="M448" s="20"/>
      <c r="N448" s="69" t="s">
        <v>256</v>
      </c>
      <c r="O448" s="70">
        <v>0</v>
      </c>
      <c r="P448" s="70">
        <v>0</v>
      </c>
      <c r="Q448" s="70">
        <f t="shared" si="36"/>
        <v>0</v>
      </c>
      <c r="R448" s="70"/>
      <c r="S448" s="67"/>
      <c r="T448" s="2" t="str">
        <f t="shared" si="37"/>
        <v>Lê Phan Quang Dũng_11AS3</v>
      </c>
      <c r="U448" s="28">
        <f t="array" ref="U448">IFERROR(VLOOKUP($T448,'Nghi hoc T12'!$H$7:$I$160,2,0),0)</f>
        <v>0</v>
      </c>
      <c r="V448" s="28">
        <f>IFERROR(VLOOKUP($T448,No_HP!$B$2:$C$514,2,0),0)</f>
        <v>0</v>
      </c>
      <c r="W448" s="28">
        <f t="shared" si="38"/>
        <v>0</v>
      </c>
      <c r="X448" s="333">
        <f t="shared" si="39"/>
        <v>0</v>
      </c>
      <c r="Y448" s="333">
        <f t="shared" si="40"/>
        <v>0</v>
      </c>
    </row>
    <row r="449" spans="1:25" s="2" customFormat="1" ht="21.95" customHeight="1">
      <c r="A449" s="82">
        <v>23</v>
      </c>
      <c r="B449" s="91" t="str">
        <f t="shared" si="41"/>
        <v>4B.S</v>
      </c>
      <c r="C449" s="83" t="s">
        <v>366</v>
      </c>
      <c r="D449" s="81" t="s">
        <v>522</v>
      </c>
      <c r="E449" s="48">
        <v>100441</v>
      </c>
      <c r="F449" s="30" t="s">
        <v>1416</v>
      </c>
      <c r="G449" s="29" t="s">
        <v>6</v>
      </c>
      <c r="H449" s="30" t="s">
        <v>1398</v>
      </c>
      <c r="I449" s="78"/>
      <c r="J449" s="20"/>
      <c r="K449" s="20"/>
      <c r="L449" s="20"/>
      <c r="M449" s="20"/>
      <c r="N449" s="69" t="s">
        <v>256</v>
      </c>
      <c r="O449" s="70">
        <v>0</v>
      </c>
      <c r="P449" s="70">
        <v>0</v>
      </c>
      <c r="Q449" s="70">
        <f t="shared" si="36"/>
        <v>0</v>
      </c>
      <c r="R449" s="70"/>
      <c r="S449" s="67"/>
      <c r="T449" s="2" t="str">
        <f t="shared" si="37"/>
        <v>Nguyễn Cảnh Dũng_11AS1</v>
      </c>
      <c r="U449" s="28">
        <f t="array" ref="U449">IFERROR(VLOOKUP($T449,'Nghi hoc T12'!$H$7:$I$160,2,0),0)</f>
        <v>0</v>
      </c>
      <c r="V449" s="28">
        <f>IFERROR(VLOOKUP($T449,No_HP!$B$2:$C$514,2,0),0)</f>
        <v>0</v>
      </c>
      <c r="W449" s="28">
        <f t="shared" si="38"/>
        <v>0</v>
      </c>
      <c r="X449" s="333">
        <f t="shared" si="39"/>
        <v>0</v>
      </c>
      <c r="Y449" s="333">
        <f t="shared" si="40"/>
        <v>0</v>
      </c>
    </row>
    <row r="450" spans="1:25" s="2" customFormat="1" ht="21.95" customHeight="1">
      <c r="A450" s="82">
        <v>24</v>
      </c>
      <c r="B450" s="91" t="str">
        <f t="shared" si="41"/>
        <v>4B.S</v>
      </c>
      <c r="C450" s="83" t="s">
        <v>366</v>
      </c>
      <c r="D450" s="81" t="s">
        <v>522</v>
      </c>
      <c r="E450" s="48">
        <v>100442</v>
      </c>
      <c r="F450" s="30" t="s">
        <v>1417</v>
      </c>
      <c r="G450" s="29" t="s">
        <v>65</v>
      </c>
      <c r="H450" s="30" t="s">
        <v>1399</v>
      </c>
      <c r="I450" s="78"/>
      <c r="J450" s="20"/>
      <c r="K450" s="20"/>
      <c r="L450" s="20"/>
      <c r="M450" s="20"/>
      <c r="N450" s="69" t="s">
        <v>256</v>
      </c>
      <c r="O450" s="70">
        <v>0</v>
      </c>
      <c r="P450" s="70">
        <v>0</v>
      </c>
      <c r="Q450" s="70">
        <f t="shared" si="36"/>
        <v>0</v>
      </c>
      <c r="R450" s="70"/>
      <c r="S450" s="67"/>
      <c r="T450" s="2" t="str">
        <f t="shared" si="37"/>
        <v>Phan Đức Duy_11AS2</v>
      </c>
      <c r="U450" s="28">
        <f t="array" ref="U450">IFERROR(VLOOKUP($T450,'Nghi hoc T12'!$H$7:$I$160,2,0),0)</f>
        <v>0</v>
      </c>
      <c r="V450" s="28">
        <f>IFERROR(VLOOKUP($T450,No_HP!$B$2:$C$514,2,0),0)</f>
        <v>0</v>
      </c>
      <c r="W450" s="28">
        <f t="shared" si="38"/>
        <v>0</v>
      </c>
      <c r="X450" s="333">
        <f t="shared" si="39"/>
        <v>0</v>
      </c>
      <c r="Y450" s="333">
        <f t="shared" si="40"/>
        <v>0</v>
      </c>
    </row>
    <row r="451" spans="1:25" s="2" customFormat="1" ht="21.95" customHeight="1">
      <c r="A451" s="82">
        <v>25</v>
      </c>
      <c r="B451" s="91" t="str">
        <f t="shared" si="41"/>
        <v>4B.S</v>
      </c>
      <c r="C451" s="83" t="s">
        <v>366</v>
      </c>
      <c r="D451" s="81" t="s">
        <v>522</v>
      </c>
      <c r="E451" s="48">
        <v>100443</v>
      </c>
      <c r="F451" s="30" t="s">
        <v>354</v>
      </c>
      <c r="G451" s="29" t="s">
        <v>65</v>
      </c>
      <c r="H451" s="30" t="s">
        <v>1398</v>
      </c>
      <c r="I451" s="78"/>
      <c r="J451" s="20"/>
      <c r="K451" s="20"/>
      <c r="L451" s="20"/>
      <c r="M451" s="20"/>
      <c r="N451" s="69" t="s">
        <v>256</v>
      </c>
      <c r="O451" s="70">
        <v>0</v>
      </c>
      <c r="P451" s="70">
        <v>0</v>
      </c>
      <c r="Q451" s="70">
        <f t="shared" si="36"/>
        <v>0</v>
      </c>
      <c r="R451" s="70"/>
      <c r="S451" s="67"/>
      <c r="T451" s="2" t="str">
        <f t="shared" si="37"/>
        <v>Trần Hoàng Duy_11AS1</v>
      </c>
      <c r="U451" s="28">
        <f t="array" ref="U451">IFERROR(VLOOKUP($T451,'Nghi hoc T12'!$H$7:$I$160,2,0),0)</f>
        <v>0</v>
      </c>
      <c r="V451" s="28">
        <f>IFERROR(VLOOKUP($T451,No_HP!$B$2:$C$514,2,0),0)</f>
        <v>0</v>
      </c>
      <c r="W451" s="28">
        <f t="shared" si="38"/>
        <v>0</v>
      </c>
      <c r="X451" s="333">
        <f t="shared" si="39"/>
        <v>0</v>
      </c>
      <c r="Y451" s="333">
        <f t="shared" si="40"/>
        <v>0</v>
      </c>
    </row>
    <row r="452" spans="1:25" s="2" customFormat="1" ht="21.95" customHeight="1">
      <c r="A452" s="82">
        <v>26</v>
      </c>
      <c r="B452" s="91" t="str">
        <f t="shared" si="41"/>
        <v>4B.S</v>
      </c>
      <c r="C452" s="83" t="s">
        <v>366</v>
      </c>
      <c r="D452" s="81" t="s">
        <v>522</v>
      </c>
      <c r="E452" s="48">
        <v>100444</v>
      </c>
      <c r="F452" s="30" t="s">
        <v>1418</v>
      </c>
      <c r="G452" s="29" t="s">
        <v>66</v>
      </c>
      <c r="H452" s="30" t="s">
        <v>1399</v>
      </c>
      <c r="I452" s="78"/>
      <c r="J452" s="20"/>
      <c r="K452" s="20"/>
      <c r="L452" s="20"/>
      <c r="M452" s="20"/>
      <c r="N452" s="69" t="s">
        <v>256</v>
      </c>
      <c r="O452" s="70">
        <v>0</v>
      </c>
      <c r="P452" s="70">
        <v>0</v>
      </c>
      <c r="Q452" s="70">
        <f t="shared" si="36"/>
        <v>0</v>
      </c>
      <c r="R452" s="70"/>
      <c r="S452" s="67"/>
      <c r="T452" s="2" t="str">
        <f t="shared" si="37"/>
        <v>Mai Ngọc Thuỳ Duyên_11AS2</v>
      </c>
      <c r="U452" s="28">
        <f t="array" ref="U452">IFERROR(VLOOKUP($T452,'Nghi hoc T12'!$H$7:$I$160,2,0),0)</f>
        <v>0</v>
      </c>
      <c r="V452" s="28">
        <f>IFERROR(VLOOKUP($T452,No_HP!$B$2:$C$514,2,0),0)</f>
        <v>0</v>
      </c>
      <c r="W452" s="28">
        <f t="shared" si="38"/>
        <v>0</v>
      </c>
      <c r="X452" s="333">
        <f t="shared" si="39"/>
        <v>0</v>
      </c>
      <c r="Y452" s="333">
        <f t="shared" si="40"/>
        <v>0</v>
      </c>
    </row>
    <row r="453" spans="1:25" s="2" customFormat="1" ht="21.95" customHeight="1">
      <c r="A453" s="82">
        <v>27</v>
      </c>
      <c r="B453" s="91" t="str">
        <f t="shared" si="41"/>
        <v>4B.S</v>
      </c>
      <c r="C453" s="83" t="s">
        <v>366</v>
      </c>
      <c r="D453" s="81" t="s">
        <v>522</v>
      </c>
      <c r="E453" s="48">
        <v>100445</v>
      </c>
      <c r="F453" s="30" t="s">
        <v>1419</v>
      </c>
      <c r="G453" s="29" t="s">
        <v>66</v>
      </c>
      <c r="H453" s="30" t="s">
        <v>1402</v>
      </c>
      <c r="I453" s="78"/>
      <c r="J453" s="20"/>
      <c r="K453" s="20"/>
      <c r="L453" s="20"/>
      <c r="M453" s="20"/>
      <c r="N453" s="69" t="s">
        <v>256</v>
      </c>
      <c r="O453" s="70">
        <v>0</v>
      </c>
      <c r="P453" s="70">
        <v>0</v>
      </c>
      <c r="Q453" s="70">
        <f t="shared" si="36"/>
        <v>0</v>
      </c>
      <c r="R453" s="70"/>
      <c r="S453" s="67"/>
      <c r="T453" s="2" t="str">
        <f t="shared" si="37"/>
        <v>Phạm Trần Mỹ Duyên_11AS3</v>
      </c>
      <c r="U453" s="28">
        <f t="array" ref="U453">IFERROR(VLOOKUP($T453,'Nghi hoc T12'!$H$7:$I$160,2,0),0)</f>
        <v>0</v>
      </c>
      <c r="V453" s="28">
        <f>IFERROR(VLOOKUP($T453,No_HP!$B$2:$C$514,2,0),0)</f>
        <v>0</v>
      </c>
      <c r="W453" s="28">
        <f t="shared" si="38"/>
        <v>0</v>
      </c>
      <c r="X453" s="333">
        <f t="shared" si="39"/>
        <v>0</v>
      </c>
      <c r="Y453" s="333">
        <f t="shared" si="40"/>
        <v>0</v>
      </c>
    </row>
    <row r="454" spans="1:25" s="2" customFormat="1" ht="21.95" customHeight="1">
      <c r="A454" s="82">
        <v>28</v>
      </c>
      <c r="B454" s="91" t="str">
        <f t="shared" si="41"/>
        <v>4B.S</v>
      </c>
      <c r="C454" s="83" t="s">
        <v>366</v>
      </c>
      <c r="D454" s="81" t="s">
        <v>522</v>
      </c>
      <c r="E454" s="48">
        <v>100446</v>
      </c>
      <c r="F454" s="30" t="s">
        <v>186</v>
      </c>
      <c r="G454" s="29" t="s">
        <v>119</v>
      </c>
      <c r="H454" s="30" t="s">
        <v>1402</v>
      </c>
      <c r="I454" s="78"/>
      <c r="J454" s="20"/>
      <c r="K454" s="20"/>
      <c r="L454" s="20"/>
      <c r="M454" s="20"/>
      <c r="N454" s="69" t="s">
        <v>256</v>
      </c>
      <c r="O454" s="70">
        <v>0</v>
      </c>
      <c r="P454" s="70">
        <v>0</v>
      </c>
      <c r="Q454" s="70">
        <f t="shared" si="36"/>
        <v>0</v>
      </c>
      <c r="R454" s="70"/>
      <c r="S454" s="67"/>
      <c r="T454" s="2" t="str">
        <f t="shared" si="37"/>
        <v>Nguyễn Minh Đăng_11AS3</v>
      </c>
      <c r="U454" s="28">
        <f t="array" ref="U454">IFERROR(VLOOKUP($T454,'Nghi hoc T12'!$H$7:$I$160,2,0),0)</f>
        <v>0</v>
      </c>
      <c r="V454" s="28">
        <f>IFERROR(VLOOKUP($T454,No_HP!$B$2:$C$514,2,0),0)</f>
        <v>0</v>
      </c>
      <c r="W454" s="28">
        <f t="shared" si="38"/>
        <v>0</v>
      </c>
      <c r="X454" s="333">
        <f t="shared" si="39"/>
        <v>0</v>
      </c>
      <c r="Y454" s="333">
        <f t="shared" si="40"/>
        <v>0</v>
      </c>
    </row>
    <row r="455" spans="1:25" s="2" customFormat="1" ht="21.95" customHeight="1">
      <c r="A455" s="82">
        <v>29</v>
      </c>
      <c r="B455" s="91" t="str">
        <f t="shared" si="41"/>
        <v>4B.S</v>
      </c>
      <c r="C455" s="83" t="s">
        <v>366</v>
      </c>
      <c r="D455" s="81" t="s">
        <v>522</v>
      </c>
      <c r="E455" s="48">
        <v>100447</v>
      </c>
      <c r="F455" s="30" t="s">
        <v>480</v>
      </c>
      <c r="G455" s="29" t="s">
        <v>119</v>
      </c>
      <c r="H455" s="30" t="s">
        <v>1398</v>
      </c>
      <c r="I455" s="78"/>
      <c r="J455" s="20"/>
      <c r="K455" s="20"/>
      <c r="L455" s="20"/>
      <c r="M455" s="20"/>
      <c r="N455" s="69" t="s">
        <v>256</v>
      </c>
      <c r="O455" s="70">
        <v>0</v>
      </c>
      <c r="P455" s="70">
        <v>0</v>
      </c>
      <c r="Q455" s="70">
        <f t="shared" si="36"/>
        <v>0</v>
      </c>
      <c r="R455" s="70"/>
      <c r="S455" s="67"/>
      <c r="T455" s="2" t="str">
        <f t="shared" si="37"/>
        <v>Phạm Khánh Đăng_11AS1</v>
      </c>
      <c r="U455" s="28">
        <f t="array" ref="U455">IFERROR(VLOOKUP($T455,'Nghi hoc T12'!$H$7:$I$160,2,0),0)</f>
        <v>0</v>
      </c>
      <c r="V455" s="28">
        <f>IFERROR(VLOOKUP($T455,No_HP!$B$2:$C$514,2,0),0)</f>
        <v>0</v>
      </c>
      <c r="W455" s="28">
        <f t="shared" si="38"/>
        <v>0</v>
      </c>
      <c r="X455" s="333">
        <f t="shared" si="39"/>
        <v>0</v>
      </c>
      <c r="Y455" s="333">
        <f t="shared" si="40"/>
        <v>0</v>
      </c>
    </row>
    <row r="456" spans="1:25" s="2" customFormat="1" ht="21.95" customHeight="1">
      <c r="A456" s="200">
        <v>1</v>
      </c>
      <c r="B456" s="91" t="str">
        <f t="shared" si="41"/>
        <v>5B.S</v>
      </c>
      <c r="C456" s="185" t="s">
        <v>366</v>
      </c>
      <c r="D456" s="186" t="s">
        <v>523</v>
      </c>
      <c r="E456" s="187">
        <v>100448</v>
      </c>
      <c r="F456" s="188" t="s">
        <v>182</v>
      </c>
      <c r="G456" s="189" t="s">
        <v>36</v>
      </c>
      <c r="H456" s="188" t="s">
        <v>1399</v>
      </c>
      <c r="I456" s="190"/>
      <c r="J456" s="191"/>
      <c r="K456" s="191"/>
      <c r="L456" s="191"/>
      <c r="M456" s="191"/>
      <c r="N456" s="69" t="s">
        <v>256</v>
      </c>
      <c r="O456" s="70">
        <v>0</v>
      </c>
      <c r="P456" s="70">
        <v>0</v>
      </c>
      <c r="Q456" s="70">
        <f t="shared" si="36"/>
        <v>0</v>
      </c>
      <c r="R456" s="70"/>
      <c r="S456" s="67"/>
      <c r="T456" s="2" t="str">
        <f t="shared" si="37"/>
        <v>Lê Thanh Đức_11AS2</v>
      </c>
      <c r="U456" s="28">
        <f t="array" ref="U456">IFERROR(VLOOKUP($T456,'Nghi hoc T12'!$H$7:$I$160,2,0),0)</f>
        <v>0</v>
      </c>
      <c r="V456" s="28">
        <f>IFERROR(VLOOKUP($T456,No_HP!$B$2:$C$514,2,0),0)</f>
        <v>0</v>
      </c>
      <c r="W456" s="28">
        <f t="shared" si="38"/>
        <v>0</v>
      </c>
      <c r="X456" s="333">
        <f t="shared" si="39"/>
        <v>0</v>
      </c>
      <c r="Y456" s="333">
        <f t="shared" si="40"/>
        <v>0</v>
      </c>
    </row>
    <row r="457" spans="1:25" s="2" customFormat="1" ht="21.95" customHeight="1">
      <c r="A457" s="82">
        <v>2</v>
      </c>
      <c r="B457" s="91" t="str">
        <f t="shared" si="41"/>
        <v>5B.S</v>
      </c>
      <c r="C457" s="83" t="s">
        <v>366</v>
      </c>
      <c r="D457" s="81" t="s">
        <v>523</v>
      </c>
      <c r="E457" s="48">
        <v>100449</v>
      </c>
      <c r="F457" s="30" t="s">
        <v>151</v>
      </c>
      <c r="G457" s="29" t="s">
        <v>439</v>
      </c>
      <c r="H457" s="30" t="s">
        <v>1402</v>
      </c>
      <c r="I457" s="78"/>
      <c r="J457" s="20"/>
      <c r="K457" s="20"/>
      <c r="L457" s="20"/>
      <c r="M457" s="20"/>
      <c r="N457" s="69" t="s">
        <v>256</v>
      </c>
      <c r="O457" s="70">
        <v>0</v>
      </c>
      <c r="P457" s="70">
        <v>0</v>
      </c>
      <c r="Q457" s="70">
        <f t="shared" si="36"/>
        <v>0</v>
      </c>
      <c r="R457" s="70"/>
      <c r="S457" s="67"/>
      <c r="T457" s="2" t="str">
        <f t="shared" si="37"/>
        <v>Nguyễn Hoàng Giang_11AS3</v>
      </c>
      <c r="U457" s="28">
        <f t="array" ref="U457">IFERROR(VLOOKUP($T457,'Nghi hoc T12'!$H$7:$I$160,2,0),0)</f>
        <v>0</v>
      </c>
      <c r="V457" s="28">
        <f>IFERROR(VLOOKUP($T457,No_HP!$B$2:$C$514,2,0),0)</f>
        <v>0</v>
      </c>
      <c r="W457" s="28">
        <f t="shared" si="38"/>
        <v>0</v>
      </c>
      <c r="X457" s="333">
        <f t="shared" si="39"/>
        <v>0</v>
      </c>
      <c r="Y457" s="333">
        <f t="shared" si="40"/>
        <v>0</v>
      </c>
    </row>
    <row r="458" spans="1:25" s="2" customFormat="1" ht="21.95" customHeight="1">
      <c r="A458" s="82">
        <v>3</v>
      </c>
      <c r="B458" s="91" t="str">
        <f t="shared" si="41"/>
        <v>5B.S</v>
      </c>
      <c r="C458" s="83" t="s">
        <v>366</v>
      </c>
      <c r="D458" s="81" t="s">
        <v>523</v>
      </c>
      <c r="E458" s="48">
        <v>100450</v>
      </c>
      <c r="F458" s="30" t="s">
        <v>1420</v>
      </c>
      <c r="G458" s="29" t="s">
        <v>171</v>
      </c>
      <c r="H458" s="30" t="s">
        <v>1399</v>
      </c>
      <c r="I458" s="78"/>
      <c r="J458" s="20"/>
      <c r="K458" s="20"/>
      <c r="L458" s="20"/>
      <c r="M458" s="20"/>
      <c r="N458" s="69" t="s">
        <v>256</v>
      </c>
      <c r="O458" s="70">
        <v>0</v>
      </c>
      <c r="P458" s="70">
        <v>0</v>
      </c>
      <c r="Q458" s="70">
        <f t="shared" ref="Q458:Q521" si="42">U458</f>
        <v>0</v>
      </c>
      <c r="R458" s="70"/>
      <c r="S458" s="67"/>
      <c r="T458" s="2" t="str">
        <f t="shared" ref="T458:T521" si="43">TRIM(F458&amp;" "&amp;G458&amp;"_"&amp;H458)</f>
        <v>Hoàng Diên Hải_11AS2</v>
      </c>
      <c r="U458" s="28">
        <f t="array" ref="U458">IFERROR(VLOOKUP($T458,'Nghi hoc T12'!$H$7:$I$160,2,0),0)</f>
        <v>0</v>
      </c>
      <c r="V458" s="28">
        <f>IFERROR(VLOOKUP($T458,No_HP!$B$2:$C$514,2,0),0)</f>
        <v>0</v>
      </c>
      <c r="W458" s="28">
        <f t="shared" ref="W458:W521" si="44">I458</f>
        <v>0</v>
      </c>
      <c r="X458" s="333">
        <f t="shared" ref="X458:X521" si="45">O458</f>
        <v>0</v>
      </c>
      <c r="Y458" s="333">
        <f t="shared" ref="Y458:Y521" si="46">P458</f>
        <v>0</v>
      </c>
    </row>
    <row r="459" spans="1:25" s="2" customFormat="1" ht="21.95" customHeight="1">
      <c r="A459" s="82">
        <v>4</v>
      </c>
      <c r="B459" s="91" t="str">
        <f t="shared" ref="B459:B522" si="47">RIGHT(D459,LEN(D459)-2)&amp;"."&amp;LEFT(N459,1)</f>
        <v>5B.S</v>
      </c>
      <c r="C459" s="83" t="s">
        <v>366</v>
      </c>
      <c r="D459" s="81" t="s">
        <v>523</v>
      </c>
      <c r="E459" s="48">
        <v>100451</v>
      </c>
      <c r="F459" s="30" t="s">
        <v>1421</v>
      </c>
      <c r="G459" s="29" t="s">
        <v>171</v>
      </c>
      <c r="H459" s="30" t="s">
        <v>1402</v>
      </c>
      <c r="I459" s="78"/>
      <c r="J459" s="20"/>
      <c r="K459" s="20"/>
      <c r="L459" s="20"/>
      <c r="M459" s="20"/>
      <c r="N459" s="69" t="s">
        <v>256</v>
      </c>
      <c r="O459" s="70">
        <v>0</v>
      </c>
      <c r="P459" s="70">
        <v>0</v>
      </c>
      <c r="Q459" s="70">
        <f t="shared" si="42"/>
        <v>0</v>
      </c>
      <c r="R459" s="70"/>
      <c r="S459" s="67"/>
      <c r="T459" s="2" t="str">
        <f t="shared" si="43"/>
        <v>Phạm Nguyễn Hoàng Hải_11AS3</v>
      </c>
      <c r="U459" s="28">
        <f t="array" ref="U459">IFERROR(VLOOKUP($T459,'Nghi hoc T12'!$H$7:$I$160,2,0),0)</f>
        <v>0</v>
      </c>
      <c r="V459" s="28">
        <f>IFERROR(VLOOKUP($T459,No_HP!$B$2:$C$514,2,0),0)</f>
        <v>0</v>
      </c>
      <c r="W459" s="28">
        <f t="shared" si="44"/>
        <v>0</v>
      </c>
      <c r="X459" s="333">
        <f t="shared" si="45"/>
        <v>0</v>
      </c>
      <c r="Y459" s="333">
        <f t="shared" si="46"/>
        <v>0</v>
      </c>
    </row>
    <row r="460" spans="1:25" s="2" customFormat="1" ht="21.95" customHeight="1">
      <c r="A460" s="82">
        <v>5</v>
      </c>
      <c r="B460" s="91" t="str">
        <f t="shared" si="47"/>
        <v>5B.S</v>
      </c>
      <c r="C460" s="83" t="s">
        <v>366</v>
      </c>
      <c r="D460" s="81" t="s">
        <v>523</v>
      </c>
      <c r="E460" s="48">
        <v>100452</v>
      </c>
      <c r="F460" s="30" t="s">
        <v>1422</v>
      </c>
      <c r="G460" s="29" t="s">
        <v>78</v>
      </c>
      <c r="H460" s="30" t="s">
        <v>1398</v>
      </c>
      <c r="I460" s="78"/>
      <c r="J460" s="20"/>
      <c r="K460" s="20"/>
      <c r="L460" s="20"/>
      <c r="M460" s="20"/>
      <c r="N460" s="69" t="s">
        <v>256</v>
      </c>
      <c r="O460" s="70">
        <v>0</v>
      </c>
      <c r="P460" s="70">
        <v>0</v>
      </c>
      <c r="Q460" s="70">
        <f t="shared" si="42"/>
        <v>0</v>
      </c>
      <c r="R460" s="70"/>
      <c r="S460" s="67"/>
      <c r="T460" s="2" t="str">
        <f t="shared" si="43"/>
        <v>Đoàn Thế Quốc Hào_11AS1</v>
      </c>
      <c r="U460" s="28">
        <f t="array" ref="U460">IFERROR(VLOOKUP($T460,'Nghi hoc T12'!$H$7:$I$160,2,0),0)</f>
        <v>0</v>
      </c>
      <c r="V460" s="28">
        <f>IFERROR(VLOOKUP($T460,No_HP!$B$2:$C$514,2,0),0)</f>
        <v>0</v>
      </c>
      <c r="W460" s="28">
        <f t="shared" si="44"/>
        <v>0</v>
      </c>
      <c r="X460" s="333">
        <f t="shared" si="45"/>
        <v>0</v>
      </c>
      <c r="Y460" s="333">
        <f t="shared" si="46"/>
        <v>0</v>
      </c>
    </row>
    <row r="461" spans="1:25" s="2" customFormat="1" ht="21.95" customHeight="1">
      <c r="A461" s="82">
        <v>6</v>
      </c>
      <c r="B461" s="91" t="str">
        <f t="shared" si="47"/>
        <v>5B.S</v>
      </c>
      <c r="C461" s="83" t="s">
        <v>366</v>
      </c>
      <c r="D461" s="81" t="s">
        <v>523</v>
      </c>
      <c r="E461" s="48">
        <v>100453</v>
      </c>
      <c r="F461" s="30" t="s">
        <v>227</v>
      </c>
      <c r="G461" s="29" t="s">
        <v>173</v>
      </c>
      <c r="H461" s="30" t="s">
        <v>1398</v>
      </c>
      <c r="I461" s="78"/>
      <c r="J461" s="20"/>
      <c r="K461" s="20"/>
      <c r="L461" s="20"/>
      <c r="M461" s="20"/>
      <c r="N461" s="69" t="s">
        <v>256</v>
      </c>
      <c r="O461" s="70">
        <v>0</v>
      </c>
      <c r="P461" s="70">
        <v>0</v>
      </c>
      <c r="Q461" s="70">
        <f t="shared" si="42"/>
        <v>0</v>
      </c>
      <c r="R461" s="70"/>
      <c r="S461" s="67"/>
      <c r="T461" s="2" t="str">
        <f t="shared" si="43"/>
        <v>Nguyễn Thị Hằng_11AS1</v>
      </c>
      <c r="U461" s="28">
        <f t="array" ref="U461">IFERROR(VLOOKUP($T461,'Nghi hoc T12'!$H$7:$I$160,2,0),0)</f>
        <v>0</v>
      </c>
      <c r="V461" s="28">
        <f>IFERROR(VLOOKUP($T461,No_HP!$B$2:$C$514,2,0),0)</f>
        <v>0</v>
      </c>
      <c r="W461" s="28">
        <f t="shared" si="44"/>
        <v>0</v>
      </c>
      <c r="X461" s="333">
        <f t="shared" si="45"/>
        <v>0</v>
      </c>
      <c r="Y461" s="333">
        <f t="shared" si="46"/>
        <v>0</v>
      </c>
    </row>
    <row r="462" spans="1:25" s="2" customFormat="1" ht="21.95" customHeight="1">
      <c r="A462" s="82">
        <v>7</v>
      </c>
      <c r="B462" s="91" t="str">
        <f t="shared" si="47"/>
        <v>5B.S</v>
      </c>
      <c r="C462" s="83" t="s">
        <v>366</v>
      </c>
      <c r="D462" s="81" t="s">
        <v>523</v>
      </c>
      <c r="E462" s="48">
        <v>100454</v>
      </c>
      <c r="F462" s="30" t="s">
        <v>1423</v>
      </c>
      <c r="G462" s="29" t="s">
        <v>173</v>
      </c>
      <c r="H462" s="30" t="s">
        <v>1402</v>
      </c>
      <c r="I462" s="78"/>
      <c r="J462" s="20"/>
      <c r="K462" s="20"/>
      <c r="L462" s="20"/>
      <c r="M462" s="20"/>
      <c r="N462" s="69" t="s">
        <v>256</v>
      </c>
      <c r="O462" s="70">
        <v>0</v>
      </c>
      <c r="P462" s="70">
        <v>0</v>
      </c>
      <c r="Q462" s="70">
        <f t="shared" si="42"/>
        <v>0</v>
      </c>
      <c r="R462" s="70"/>
      <c r="S462" s="67"/>
      <c r="T462" s="2" t="str">
        <f t="shared" si="43"/>
        <v>Nguyễn Thị Thúy Hằng_11AS3</v>
      </c>
      <c r="U462" s="28">
        <f t="array" ref="U462">IFERROR(VLOOKUP($T462,'Nghi hoc T12'!$H$7:$I$160,2,0),0)</f>
        <v>0</v>
      </c>
      <c r="V462" s="28">
        <f>IFERROR(VLOOKUP($T462,No_HP!$B$2:$C$514,2,0),0)</f>
        <v>0</v>
      </c>
      <c r="W462" s="28">
        <f t="shared" si="44"/>
        <v>0</v>
      </c>
      <c r="X462" s="333">
        <f t="shared" si="45"/>
        <v>0</v>
      </c>
      <c r="Y462" s="333">
        <f t="shared" si="46"/>
        <v>0</v>
      </c>
    </row>
    <row r="463" spans="1:25" s="2" customFormat="1" ht="21.95" customHeight="1">
      <c r="A463" s="82">
        <v>8</v>
      </c>
      <c r="B463" s="91" t="str">
        <f t="shared" si="47"/>
        <v>5B.S</v>
      </c>
      <c r="C463" s="83" t="s">
        <v>366</v>
      </c>
      <c r="D463" s="81" t="s">
        <v>523</v>
      </c>
      <c r="E463" s="48">
        <v>100455</v>
      </c>
      <c r="F463" s="30" t="s">
        <v>56</v>
      </c>
      <c r="G463" s="29" t="s">
        <v>8</v>
      </c>
      <c r="H463" s="30" t="s">
        <v>1398</v>
      </c>
      <c r="I463" s="78"/>
      <c r="J463" s="20"/>
      <c r="K463" s="20"/>
      <c r="L463" s="20"/>
      <c r="M463" s="20"/>
      <c r="N463" s="69" t="s">
        <v>256</v>
      </c>
      <c r="O463" s="70">
        <v>0</v>
      </c>
      <c r="P463" s="70">
        <v>0</v>
      </c>
      <c r="Q463" s="70">
        <f t="shared" si="42"/>
        <v>0</v>
      </c>
      <c r="R463" s="70"/>
      <c r="S463" s="67"/>
      <c r="T463" s="2" t="str">
        <f t="shared" si="43"/>
        <v>Nguyễn Thị Thu Hiền_11AS1</v>
      </c>
      <c r="U463" s="28">
        <f t="array" ref="U463">IFERROR(VLOOKUP($T463,'Nghi hoc T12'!$H$7:$I$160,2,0),0)</f>
        <v>0</v>
      </c>
      <c r="V463" s="28">
        <f>IFERROR(VLOOKUP($T463,No_HP!$B$2:$C$514,2,0),0)</f>
        <v>0</v>
      </c>
      <c r="W463" s="28">
        <f t="shared" si="44"/>
        <v>0</v>
      </c>
      <c r="X463" s="333">
        <f t="shared" si="45"/>
        <v>0</v>
      </c>
      <c r="Y463" s="333">
        <f t="shared" si="46"/>
        <v>0</v>
      </c>
    </row>
    <row r="464" spans="1:25" s="2" customFormat="1" ht="21.95" customHeight="1">
      <c r="A464" s="82">
        <v>9</v>
      </c>
      <c r="B464" s="91" t="str">
        <f t="shared" si="47"/>
        <v>5B.S</v>
      </c>
      <c r="C464" s="83" t="s">
        <v>366</v>
      </c>
      <c r="D464" s="81" t="s">
        <v>523</v>
      </c>
      <c r="E464" s="48">
        <v>100456</v>
      </c>
      <c r="F464" s="30" t="s">
        <v>1424</v>
      </c>
      <c r="G464" s="29" t="s">
        <v>9</v>
      </c>
      <c r="H464" s="30" t="s">
        <v>1399</v>
      </c>
      <c r="I464" s="78"/>
      <c r="J464" s="20"/>
      <c r="K464" s="20"/>
      <c r="L464" s="20"/>
      <c r="M464" s="20"/>
      <c r="N464" s="69" t="s">
        <v>256</v>
      </c>
      <c r="O464" s="70">
        <v>0</v>
      </c>
      <c r="P464" s="70">
        <v>0</v>
      </c>
      <c r="Q464" s="70">
        <f t="shared" si="42"/>
        <v>0</v>
      </c>
      <c r="R464" s="70"/>
      <c r="S464" s="67"/>
      <c r="T464" s="2" t="str">
        <f t="shared" si="43"/>
        <v>Dương Thành Hiếu_11AS2</v>
      </c>
      <c r="U464" s="28">
        <f t="array" ref="U464">IFERROR(VLOOKUP($T464,'Nghi hoc T12'!$H$7:$I$160,2,0),0)</f>
        <v>0</v>
      </c>
      <c r="V464" s="28">
        <f>IFERROR(VLOOKUP($T464,No_HP!$B$2:$C$514,2,0),0)</f>
        <v>0</v>
      </c>
      <c r="W464" s="28">
        <f t="shared" si="44"/>
        <v>0</v>
      </c>
      <c r="X464" s="333">
        <f t="shared" si="45"/>
        <v>0</v>
      </c>
      <c r="Y464" s="333">
        <f t="shared" si="46"/>
        <v>0</v>
      </c>
    </row>
    <row r="465" spans="1:25" s="2" customFormat="1" ht="21.95" customHeight="1">
      <c r="A465" s="82">
        <v>10</v>
      </c>
      <c r="B465" s="91" t="str">
        <f t="shared" si="47"/>
        <v>5B.S</v>
      </c>
      <c r="C465" s="83" t="s">
        <v>366</v>
      </c>
      <c r="D465" s="81" t="s">
        <v>523</v>
      </c>
      <c r="E465" s="48">
        <v>100457</v>
      </c>
      <c r="F465" s="30" t="s">
        <v>1425</v>
      </c>
      <c r="G465" s="29" t="s">
        <v>1128</v>
      </c>
      <c r="H465" s="30" t="s">
        <v>1399</v>
      </c>
      <c r="I465" s="78"/>
      <c r="J465" s="20"/>
      <c r="K465" s="20"/>
      <c r="L465" s="20"/>
      <c r="M465" s="20"/>
      <c r="N465" s="69" t="s">
        <v>256</v>
      </c>
      <c r="O465" s="70">
        <v>0</v>
      </c>
      <c r="P465" s="70">
        <v>0</v>
      </c>
      <c r="Q465" s="70">
        <f t="shared" si="42"/>
        <v>0</v>
      </c>
      <c r="R465" s="70"/>
      <c r="S465" s="67"/>
      <c r="T465" s="2" t="str">
        <f t="shared" si="43"/>
        <v>Trần Thị Hồng Hoa_11AS2</v>
      </c>
      <c r="U465" s="28">
        <f t="array" ref="U465">IFERROR(VLOOKUP($T465,'Nghi hoc T12'!$H$7:$I$160,2,0),0)</f>
        <v>0</v>
      </c>
      <c r="V465" s="28">
        <f>IFERROR(VLOOKUP($T465,No_HP!$B$2:$C$514,2,0),0)</f>
        <v>0</v>
      </c>
      <c r="W465" s="28">
        <f t="shared" si="44"/>
        <v>0</v>
      </c>
      <c r="X465" s="333">
        <f t="shared" si="45"/>
        <v>0</v>
      </c>
      <c r="Y465" s="333">
        <f t="shared" si="46"/>
        <v>0</v>
      </c>
    </row>
    <row r="466" spans="1:25" s="2" customFormat="1" ht="21.95" customHeight="1">
      <c r="A466" s="82">
        <v>11</v>
      </c>
      <c r="B466" s="91" t="str">
        <f t="shared" si="47"/>
        <v>5B.S</v>
      </c>
      <c r="C466" s="83" t="s">
        <v>366</v>
      </c>
      <c r="D466" s="81" t="s">
        <v>523</v>
      </c>
      <c r="E466" s="48">
        <v>100458</v>
      </c>
      <c r="F466" s="30" t="s">
        <v>331</v>
      </c>
      <c r="G466" s="29" t="s">
        <v>353</v>
      </c>
      <c r="H466" s="30" t="s">
        <v>1398</v>
      </c>
      <c r="I466" s="78"/>
      <c r="J466" s="20"/>
      <c r="K466" s="20"/>
      <c r="L466" s="20"/>
      <c r="M466" s="20"/>
      <c r="N466" s="69" t="s">
        <v>256</v>
      </c>
      <c r="O466" s="70">
        <v>0</v>
      </c>
      <c r="P466" s="70">
        <v>0</v>
      </c>
      <c r="Q466" s="70">
        <f t="shared" si="42"/>
        <v>0</v>
      </c>
      <c r="R466" s="70"/>
      <c r="S466" s="67"/>
      <c r="T466" s="2" t="str">
        <f t="shared" si="43"/>
        <v>Lê Đức Hóa_11AS1</v>
      </c>
      <c r="U466" s="28">
        <f t="array" ref="U466">IFERROR(VLOOKUP($T466,'Nghi hoc T12'!$H$7:$I$160,2,0),0)</f>
        <v>0</v>
      </c>
      <c r="V466" s="28">
        <f>IFERROR(VLOOKUP($T466,No_HP!$B$2:$C$514,2,0),0)</f>
        <v>0</v>
      </c>
      <c r="W466" s="28">
        <f t="shared" si="44"/>
        <v>0</v>
      </c>
      <c r="X466" s="333">
        <f t="shared" si="45"/>
        <v>0</v>
      </c>
      <c r="Y466" s="333">
        <f t="shared" si="46"/>
        <v>0</v>
      </c>
    </row>
    <row r="467" spans="1:25" s="2" customFormat="1" ht="21.95" customHeight="1">
      <c r="A467" s="82">
        <v>12</v>
      </c>
      <c r="B467" s="91" t="str">
        <f t="shared" si="47"/>
        <v>5B.S</v>
      </c>
      <c r="C467" s="83" t="s">
        <v>366</v>
      </c>
      <c r="D467" s="81" t="s">
        <v>523</v>
      </c>
      <c r="E467" s="48">
        <v>100459</v>
      </c>
      <c r="F467" s="30" t="s">
        <v>1426</v>
      </c>
      <c r="G467" s="29" t="s">
        <v>11</v>
      </c>
      <c r="H467" s="30" t="s">
        <v>1402</v>
      </c>
      <c r="I467" s="78"/>
      <c r="J467" s="20"/>
      <c r="K467" s="20"/>
      <c r="L467" s="20"/>
      <c r="M467" s="20"/>
      <c r="N467" s="69" t="s">
        <v>256</v>
      </c>
      <c r="O467" s="70">
        <v>0</v>
      </c>
      <c r="P467" s="70">
        <v>0</v>
      </c>
      <c r="Q467" s="70">
        <f t="shared" si="42"/>
        <v>0</v>
      </c>
      <c r="R467" s="70"/>
      <c r="S467" s="67"/>
      <c r="T467" s="2" t="str">
        <f t="shared" si="43"/>
        <v>Mai Quang Huy_11AS3</v>
      </c>
      <c r="U467" s="28">
        <f t="array" ref="U467">IFERROR(VLOOKUP($T467,'Nghi hoc T12'!$H$7:$I$160,2,0),0)</f>
        <v>0</v>
      </c>
      <c r="V467" s="28">
        <f>IFERROR(VLOOKUP($T467,No_HP!$B$2:$C$514,2,0),0)</f>
        <v>0</v>
      </c>
      <c r="W467" s="28">
        <f t="shared" si="44"/>
        <v>0</v>
      </c>
      <c r="X467" s="333">
        <f t="shared" si="45"/>
        <v>0</v>
      </c>
      <c r="Y467" s="333">
        <f t="shared" si="46"/>
        <v>0</v>
      </c>
    </row>
    <row r="468" spans="1:25" s="2" customFormat="1" ht="21.95" customHeight="1">
      <c r="A468" s="82">
        <v>13</v>
      </c>
      <c r="B468" s="91" t="str">
        <f t="shared" si="47"/>
        <v>5B.S</v>
      </c>
      <c r="C468" s="83" t="s">
        <v>366</v>
      </c>
      <c r="D468" s="81" t="s">
        <v>523</v>
      </c>
      <c r="E468" s="48">
        <v>100460</v>
      </c>
      <c r="F468" s="30" t="s">
        <v>1427</v>
      </c>
      <c r="G468" s="29" t="s">
        <v>67</v>
      </c>
      <c r="H468" s="30" t="s">
        <v>1402</v>
      </c>
      <c r="I468" s="78"/>
      <c r="J468" s="20"/>
      <c r="K468" s="20"/>
      <c r="L468" s="20"/>
      <c r="M468" s="20"/>
      <c r="N468" s="69" t="s">
        <v>256</v>
      </c>
      <c r="O468" s="70">
        <v>0</v>
      </c>
      <c r="P468" s="70">
        <v>0</v>
      </c>
      <c r="Q468" s="70">
        <f t="shared" si="42"/>
        <v>0</v>
      </c>
      <c r="R468" s="70"/>
      <c r="S468" s="67"/>
      <c r="T468" s="2" t="str">
        <f t="shared" si="43"/>
        <v>Hồ Ngọc Khánh Huyền_11AS3</v>
      </c>
      <c r="U468" s="28">
        <f t="array" ref="U468">IFERROR(VLOOKUP($T468,'Nghi hoc T12'!$H$7:$I$160,2,0),0)</f>
        <v>0</v>
      </c>
      <c r="V468" s="28">
        <f>IFERROR(VLOOKUP($T468,No_HP!$B$2:$C$514,2,0),0)</f>
        <v>0</v>
      </c>
      <c r="W468" s="28">
        <f t="shared" si="44"/>
        <v>0</v>
      </c>
      <c r="X468" s="333">
        <f t="shared" si="45"/>
        <v>0</v>
      </c>
      <c r="Y468" s="333">
        <f t="shared" si="46"/>
        <v>0</v>
      </c>
    </row>
    <row r="469" spans="1:25" s="2" customFormat="1" ht="21.95" customHeight="1">
      <c r="A469" s="82">
        <v>14</v>
      </c>
      <c r="B469" s="91" t="str">
        <f t="shared" si="47"/>
        <v>5B.S</v>
      </c>
      <c r="C469" s="83" t="s">
        <v>366</v>
      </c>
      <c r="D469" s="81" t="s">
        <v>523</v>
      </c>
      <c r="E469" s="48">
        <v>100461</v>
      </c>
      <c r="F469" s="30" t="s">
        <v>467</v>
      </c>
      <c r="G469" s="29" t="s">
        <v>67</v>
      </c>
      <c r="H469" s="30" t="s">
        <v>1398</v>
      </c>
      <c r="I469" s="78"/>
      <c r="J469" s="20"/>
      <c r="K469" s="20"/>
      <c r="L469" s="20"/>
      <c r="M469" s="20"/>
      <c r="N469" s="69" t="s">
        <v>256</v>
      </c>
      <c r="O469" s="70">
        <v>0</v>
      </c>
      <c r="P469" s="70">
        <v>0</v>
      </c>
      <c r="Q469" s="70">
        <f t="shared" si="42"/>
        <v>0</v>
      </c>
      <c r="R469" s="70"/>
      <c r="S469" s="67"/>
      <c r="T469" s="2" t="str">
        <f t="shared" si="43"/>
        <v>Trần Thu Huyền_11AS1</v>
      </c>
      <c r="U469" s="28">
        <f t="array" ref="U469">IFERROR(VLOOKUP($T469,'Nghi hoc T12'!$H$7:$I$160,2,0),0)</f>
        <v>0</v>
      </c>
      <c r="V469" s="28">
        <f>IFERROR(VLOOKUP($T469,No_HP!$B$2:$C$514,2,0),0)</f>
        <v>0</v>
      </c>
      <c r="W469" s="28">
        <f t="shared" si="44"/>
        <v>0</v>
      </c>
      <c r="X469" s="333">
        <f t="shared" si="45"/>
        <v>0</v>
      </c>
      <c r="Y469" s="333">
        <f t="shared" si="46"/>
        <v>0</v>
      </c>
    </row>
    <row r="470" spans="1:25" s="2" customFormat="1" ht="21.95" customHeight="1">
      <c r="A470" s="82">
        <v>15</v>
      </c>
      <c r="B470" s="91" t="str">
        <f t="shared" si="47"/>
        <v>5B.S</v>
      </c>
      <c r="C470" s="83" t="s">
        <v>366</v>
      </c>
      <c r="D470" s="81" t="s">
        <v>523</v>
      </c>
      <c r="E470" s="48">
        <v>100462</v>
      </c>
      <c r="F470" s="30" t="s">
        <v>1428</v>
      </c>
      <c r="G470" s="29" t="s">
        <v>91</v>
      </c>
      <c r="H470" s="30" t="s">
        <v>1398</v>
      </c>
      <c r="I470" s="78"/>
      <c r="J470" s="20"/>
      <c r="K470" s="20"/>
      <c r="L470" s="20"/>
      <c r="M470" s="20"/>
      <c r="N470" s="69" t="s">
        <v>256</v>
      </c>
      <c r="O470" s="70">
        <v>0</v>
      </c>
      <c r="P470" s="70">
        <v>0</v>
      </c>
      <c r="Q470" s="70">
        <f t="shared" si="42"/>
        <v>0</v>
      </c>
      <c r="R470" s="70"/>
      <c r="S470" s="67"/>
      <c r="T470" s="2" t="str">
        <f t="shared" si="43"/>
        <v>Đỗ Tấn Hưng_11AS1</v>
      </c>
      <c r="U470" s="28">
        <f t="array" ref="U470">IFERROR(VLOOKUP($T470,'Nghi hoc T12'!$H$7:$I$160,2,0),0)</f>
        <v>0</v>
      </c>
      <c r="V470" s="28">
        <f>IFERROR(VLOOKUP($T470,No_HP!$B$2:$C$514,2,0),0)</f>
        <v>0</v>
      </c>
      <c r="W470" s="28">
        <f t="shared" si="44"/>
        <v>0</v>
      </c>
      <c r="X470" s="333">
        <f t="shared" si="45"/>
        <v>0</v>
      </c>
      <c r="Y470" s="333">
        <f t="shared" si="46"/>
        <v>0</v>
      </c>
    </row>
    <row r="471" spans="1:25" s="2" customFormat="1" ht="21.95" customHeight="1">
      <c r="A471" s="82">
        <v>16</v>
      </c>
      <c r="B471" s="91" t="str">
        <f t="shared" si="47"/>
        <v>5B.S</v>
      </c>
      <c r="C471" s="83" t="s">
        <v>366</v>
      </c>
      <c r="D471" s="81" t="s">
        <v>523</v>
      </c>
      <c r="E471" s="48">
        <v>100463</v>
      </c>
      <c r="F471" s="30" t="s">
        <v>1429</v>
      </c>
      <c r="G471" s="29" t="s">
        <v>91</v>
      </c>
      <c r="H471" s="30" t="s">
        <v>1399</v>
      </c>
      <c r="I471" s="78"/>
      <c r="J471" s="20"/>
      <c r="K471" s="20"/>
      <c r="L471" s="20"/>
      <c r="M471" s="20"/>
      <c r="N471" s="69" t="s">
        <v>256</v>
      </c>
      <c r="O471" s="70">
        <v>0</v>
      </c>
      <c r="P471" s="70">
        <v>0</v>
      </c>
      <c r="Q471" s="70">
        <f t="shared" si="42"/>
        <v>0</v>
      </c>
      <c r="R471" s="70"/>
      <c r="S471" s="67"/>
      <c r="T471" s="2" t="str">
        <f t="shared" si="43"/>
        <v>Đoàn Dương Tấn Hưng_11AS2</v>
      </c>
      <c r="U471" s="28">
        <f t="array" ref="U471">IFERROR(VLOOKUP($T471,'Nghi hoc T12'!$H$7:$I$160,2,0),0)</f>
        <v>0</v>
      </c>
      <c r="V471" s="28">
        <f>IFERROR(VLOOKUP($T471,No_HP!$B$2:$C$514,2,0),0)</f>
        <v>0</v>
      </c>
      <c r="W471" s="28">
        <f t="shared" si="44"/>
        <v>0</v>
      </c>
      <c r="X471" s="333">
        <f t="shared" si="45"/>
        <v>0</v>
      </c>
      <c r="Y471" s="333">
        <f t="shared" si="46"/>
        <v>0</v>
      </c>
    </row>
    <row r="472" spans="1:25" s="2" customFormat="1" ht="21.95" customHeight="1">
      <c r="A472" s="82">
        <v>17</v>
      </c>
      <c r="B472" s="91" t="str">
        <f t="shared" si="47"/>
        <v>5B.S</v>
      </c>
      <c r="C472" s="83" t="s">
        <v>366</v>
      </c>
      <c r="D472" s="81" t="s">
        <v>523</v>
      </c>
      <c r="E472" s="48">
        <v>100464</v>
      </c>
      <c r="F472" s="30" t="s">
        <v>1430</v>
      </c>
      <c r="G472" s="29" t="s">
        <v>91</v>
      </c>
      <c r="H472" s="30" t="s">
        <v>1402</v>
      </c>
      <c r="I472" s="78"/>
      <c r="J472" s="20"/>
      <c r="K472" s="20"/>
      <c r="L472" s="20"/>
      <c r="M472" s="20"/>
      <c r="N472" s="69" t="s">
        <v>256</v>
      </c>
      <c r="O472" s="70">
        <v>0</v>
      </c>
      <c r="P472" s="70">
        <v>0</v>
      </c>
      <c r="Q472" s="70">
        <f t="shared" si="42"/>
        <v>0</v>
      </c>
      <c r="R472" s="70"/>
      <c r="S472" s="67"/>
      <c r="T472" s="2" t="str">
        <f t="shared" si="43"/>
        <v>Lâm Chánh Hưng_11AS3</v>
      </c>
      <c r="U472" s="28">
        <f t="array" ref="U472">IFERROR(VLOOKUP($T472,'Nghi hoc T12'!$H$7:$I$160,2,0),0)</f>
        <v>0</v>
      </c>
      <c r="V472" s="28">
        <f>IFERROR(VLOOKUP($T472,No_HP!$B$2:$C$514,2,0),0)</f>
        <v>0</v>
      </c>
      <c r="W472" s="28">
        <f t="shared" si="44"/>
        <v>0</v>
      </c>
      <c r="X472" s="333">
        <f t="shared" si="45"/>
        <v>0</v>
      </c>
      <c r="Y472" s="333">
        <f t="shared" si="46"/>
        <v>0</v>
      </c>
    </row>
    <row r="473" spans="1:25" s="2" customFormat="1" ht="21.95" customHeight="1">
      <c r="A473" s="82">
        <v>18</v>
      </c>
      <c r="B473" s="91" t="str">
        <f t="shared" si="47"/>
        <v>5B.S</v>
      </c>
      <c r="C473" s="83" t="s">
        <v>366</v>
      </c>
      <c r="D473" s="81" t="s">
        <v>523</v>
      </c>
      <c r="E473" s="48">
        <v>100465</v>
      </c>
      <c r="F473" s="30" t="s">
        <v>442</v>
      </c>
      <c r="G473" s="29" t="s">
        <v>79</v>
      </c>
      <c r="H473" s="30" t="s">
        <v>1399</v>
      </c>
      <c r="I473" s="78"/>
      <c r="J473" s="20"/>
      <c r="K473" s="20"/>
      <c r="L473" s="20"/>
      <c r="M473" s="20"/>
      <c r="N473" s="69" t="s">
        <v>256</v>
      </c>
      <c r="O473" s="70">
        <v>0</v>
      </c>
      <c r="P473" s="70">
        <v>0</v>
      </c>
      <c r="Q473" s="70">
        <f t="shared" si="42"/>
        <v>0</v>
      </c>
      <c r="R473" s="70"/>
      <c r="S473" s="67"/>
      <c r="T473" s="2" t="str">
        <f t="shared" si="43"/>
        <v>Huỳnh Duy Khang_11AS2</v>
      </c>
      <c r="U473" s="28">
        <f t="array" ref="U473">IFERROR(VLOOKUP($T473,'Nghi hoc T12'!$H$7:$I$160,2,0),0)</f>
        <v>0</v>
      </c>
      <c r="V473" s="28">
        <f>IFERROR(VLOOKUP($T473,No_HP!$B$2:$C$514,2,0),0)</f>
        <v>0</v>
      </c>
      <c r="W473" s="28">
        <f t="shared" si="44"/>
        <v>0</v>
      </c>
      <c r="X473" s="333">
        <f t="shared" si="45"/>
        <v>0</v>
      </c>
      <c r="Y473" s="333">
        <f t="shared" si="46"/>
        <v>0</v>
      </c>
    </row>
    <row r="474" spans="1:25" s="2" customFormat="1" ht="21.95" customHeight="1">
      <c r="A474" s="82">
        <v>19</v>
      </c>
      <c r="B474" s="91" t="str">
        <f t="shared" si="47"/>
        <v>5B.S</v>
      </c>
      <c r="C474" s="83" t="s">
        <v>366</v>
      </c>
      <c r="D474" s="81" t="s">
        <v>523</v>
      </c>
      <c r="E474" s="48">
        <v>100466</v>
      </c>
      <c r="F474" s="30" t="s">
        <v>1431</v>
      </c>
      <c r="G474" s="29" t="s">
        <v>79</v>
      </c>
      <c r="H474" s="30" t="s">
        <v>1402</v>
      </c>
      <c r="I474" s="78"/>
      <c r="J474" s="20"/>
      <c r="K474" s="20"/>
      <c r="L474" s="20"/>
      <c r="M474" s="20"/>
      <c r="N474" s="69" t="s">
        <v>256</v>
      </c>
      <c r="O474" s="70">
        <v>0</v>
      </c>
      <c r="P474" s="70">
        <v>0</v>
      </c>
      <c r="Q474" s="70">
        <f t="shared" si="42"/>
        <v>0</v>
      </c>
      <c r="R474" s="70"/>
      <c r="S474" s="67"/>
      <c r="T474" s="2" t="str">
        <f t="shared" si="43"/>
        <v>Thạch Duy Khang_11AS3</v>
      </c>
      <c r="U474" s="28">
        <f t="array" ref="U474">IFERROR(VLOOKUP($T474,'Nghi hoc T12'!$H$7:$I$160,2,0),0)</f>
        <v>0</v>
      </c>
      <c r="V474" s="28">
        <f>IFERROR(VLOOKUP($T474,No_HP!$B$2:$C$514,2,0),0)</f>
        <v>0</v>
      </c>
      <c r="W474" s="28">
        <f t="shared" si="44"/>
        <v>0</v>
      </c>
      <c r="X474" s="333">
        <f t="shared" si="45"/>
        <v>0</v>
      </c>
      <c r="Y474" s="333">
        <f t="shared" si="46"/>
        <v>0</v>
      </c>
    </row>
    <row r="475" spans="1:25" s="2" customFormat="1" ht="21.95" customHeight="1">
      <c r="A475" s="82">
        <v>20</v>
      </c>
      <c r="B475" s="91" t="str">
        <f t="shared" si="47"/>
        <v>5B.S</v>
      </c>
      <c r="C475" s="83" t="s">
        <v>366</v>
      </c>
      <c r="D475" s="81" t="s">
        <v>523</v>
      </c>
      <c r="E475" s="48">
        <v>100467</v>
      </c>
      <c r="F475" s="30" t="s">
        <v>1432</v>
      </c>
      <c r="G475" s="29" t="s">
        <v>55</v>
      </c>
      <c r="H475" s="30" t="s">
        <v>1398</v>
      </c>
      <c r="I475" s="78"/>
      <c r="J475" s="20"/>
      <c r="K475" s="20"/>
      <c r="L475" s="20"/>
      <c r="M475" s="20"/>
      <c r="N475" s="69" t="s">
        <v>256</v>
      </c>
      <c r="O475" s="70">
        <v>0</v>
      </c>
      <c r="P475" s="70">
        <v>0</v>
      </c>
      <c r="Q475" s="70">
        <f t="shared" si="42"/>
        <v>0</v>
      </c>
      <c r="R475" s="70"/>
      <c r="S475" s="67"/>
      <c r="T475" s="2" t="str">
        <f t="shared" si="43"/>
        <v>Đoàn Anh Khoa_11AS1</v>
      </c>
      <c r="U475" s="28">
        <f t="array" ref="U475">IFERROR(VLOOKUP($T475,'Nghi hoc T12'!$H$7:$I$160,2,0),0)</f>
        <v>0</v>
      </c>
      <c r="V475" s="28">
        <f>IFERROR(VLOOKUP($T475,No_HP!$B$2:$C$514,2,0),0)</f>
        <v>0</v>
      </c>
      <c r="W475" s="28">
        <f t="shared" si="44"/>
        <v>0</v>
      </c>
      <c r="X475" s="333">
        <f t="shared" si="45"/>
        <v>0</v>
      </c>
      <c r="Y475" s="333">
        <f t="shared" si="46"/>
        <v>0</v>
      </c>
    </row>
    <row r="476" spans="1:25" s="2" customFormat="1" ht="21.95" customHeight="1">
      <c r="A476" s="82">
        <v>21</v>
      </c>
      <c r="B476" s="91" t="str">
        <f t="shared" si="47"/>
        <v>5B.S</v>
      </c>
      <c r="C476" s="83" t="s">
        <v>366</v>
      </c>
      <c r="D476" s="81" t="s">
        <v>523</v>
      </c>
      <c r="E476" s="48">
        <v>100468</v>
      </c>
      <c r="F476" s="30" t="s">
        <v>1309</v>
      </c>
      <c r="G476" s="29" t="s">
        <v>55</v>
      </c>
      <c r="H476" s="30" t="s">
        <v>1399</v>
      </c>
      <c r="I476" s="78"/>
      <c r="J476" s="20"/>
      <c r="K476" s="20"/>
      <c r="L476" s="20"/>
      <c r="M476" s="20"/>
      <c r="N476" s="69" t="s">
        <v>256</v>
      </c>
      <c r="O476" s="70">
        <v>0</v>
      </c>
      <c r="P476" s="70">
        <v>0</v>
      </c>
      <c r="Q476" s="70">
        <f t="shared" si="42"/>
        <v>0</v>
      </c>
      <c r="R476" s="70"/>
      <c r="S476" s="67"/>
      <c r="T476" s="2" t="str">
        <f t="shared" si="43"/>
        <v>Mạc Đăng Khoa_11AS2</v>
      </c>
      <c r="U476" s="28">
        <f t="array" ref="U476">IFERROR(VLOOKUP($T476,'Nghi hoc T12'!$H$7:$I$160,2,0),0)</f>
        <v>0</v>
      </c>
      <c r="V476" s="28">
        <f>IFERROR(VLOOKUP($T476,No_HP!$B$2:$C$514,2,0),0)</f>
        <v>0</v>
      </c>
      <c r="W476" s="28">
        <f t="shared" si="44"/>
        <v>0</v>
      </c>
      <c r="X476" s="333">
        <f t="shared" si="45"/>
        <v>0</v>
      </c>
      <c r="Y476" s="333">
        <f t="shared" si="46"/>
        <v>0</v>
      </c>
    </row>
    <row r="477" spans="1:25" s="2" customFormat="1" ht="21.95" customHeight="1">
      <c r="A477" s="82">
        <v>22</v>
      </c>
      <c r="B477" s="91" t="str">
        <f t="shared" si="47"/>
        <v>5B.S</v>
      </c>
      <c r="C477" s="83" t="s">
        <v>366</v>
      </c>
      <c r="D477" s="81" t="s">
        <v>523</v>
      </c>
      <c r="E477" s="48">
        <v>100469</v>
      </c>
      <c r="F477" s="30" t="s">
        <v>160</v>
      </c>
      <c r="G477" s="29" t="s">
        <v>68</v>
      </c>
      <c r="H477" s="30" t="s">
        <v>1402</v>
      </c>
      <c r="I477" s="78"/>
      <c r="J477" s="20"/>
      <c r="K477" s="20"/>
      <c r="L477" s="20"/>
      <c r="M477" s="20"/>
      <c r="N477" s="69" t="s">
        <v>256</v>
      </c>
      <c r="O477" s="70">
        <v>0</v>
      </c>
      <c r="P477" s="70">
        <v>0</v>
      </c>
      <c r="Q477" s="70">
        <f t="shared" si="42"/>
        <v>0</v>
      </c>
      <c r="R477" s="70"/>
      <c r="S477" s="67"/>
      <c r="T477" s="2" t="str">
        <f t="shared" si="43"/>
        <v>Nguyễn Thành Kiệt_11AS3</v>
      </c>
      <c r="U477" s="28">
        <f t="array" ref="U477">IFERROR(VLOOKUP($T477,'Nghi hoc T12'!$H$7:$I$160,2,0),0)</f>
        <v>0</v>
      </c>
      <c r="V477" s="28">
        <f>IFERROR(VLOOKUP($T477,No_HP!$B$2:$C$514,2,0),0)</f>
        <v>0</v>
      </c>
      <c r="W477" s="28">
        <f t="shared" si="44"/>
        <v>0</v>
      </c>
      <c r="X477" s="333">
        <f t="shared" si="45"/>
        <v>0</v>
      </c>
      <c r="Y477" s="333">
        <f t="shared" si="46"/>
        <v>0</v>
      </c>
    </row>
    <row r="478" spans="1:25" s="2" customFormat="1" ht="21.95" customHeight="1">
      <c r="A478" s="82">
        <v>23</v>
      </c>
      <c r="B478" s="91" t="str">
        <f t="shared" si="47"/>
        <v>5B.S</v>
      </c>
      <c r="C478" s="83" t="s">
        <v>366</v>
      </c>
      <c r="D478" s="81" t="s">
        <v>523</v>
      </c>
      <c r="E478" s="48">
        <v>100470</v>
      </c>
      <c r="F478" s="30" t="s">
        <v>1433</v>
      </c>
      <c r="G478" s="29" t="s">
        <v>311</v>
      </c>
      <c r="H478" s="30" t="s">
        <v>1399</v>
      </c>
      <c r="I478" s="78"/>
      <c r="J478" s="20"/>
      <c r="K478" s="20"/>
      <c r="L478" s="20"/>
      <c r="M478" s="20"/>
      <c r="N478" s="69" t="s">
        <v>256</v>
      </c>
      <c r="O478" s="70">
        <v>0</v>
      </c>
      <c r="P478" s="70">
        <v>0</v>
      </c>
      <c r="Q478" s="70">
        <f t="shared" si="42"/>
        <v>0</v>
      </c>
      <c r="R478" s="70"/>
      <c r="S478" s="67"/>
      <c r="T478" s="2" t="str">
        <f t="shared" si="43"/>
        <v>Nguyễn Nguyên Nhã Kỳ_11AS2</v>
      </c>
      <c r="U478" s="28">
        <f t="array" ref="U478">IFERROR(VLOOKUP($T478,'Nghi hoc T12'!$H$7:$I$160,2,0),0)</f>
        <v>0</v>
      </c>
      <c r="V478" s="28">
        <f>IFERROR(VLOOKUP($T478,No_HP!$B$2:$C$514,2,0),0)</f>
        <v>0</v>
      </c>
      <c r="W478" s="28">
        <f t="shared" si="44"/>
        <v>0</v>
      </c>
      <c r="X478" s="333">
        <f t="shared" si="45"/>
        <v>0</v>
      </c>
      <c r="Y478" s="333">
        <f t="shared" si="46"/>
        <v>0</v>
      </c>
    </row>
    <row r="479" spans="1:25" s="2" customFormat="1" ht="21.95" customHeight="1">
      <c r="A479" s="82">
        <v>24</v>
      </c>
      <c r="B479" s="91" t="str">
        <f t="shared" si="47"/>
        <v>5B.S</v>
      </c>
      <c r="C479" s="83" t="s">
        <v>366</v>
      </c>
      <c r="D479" s="81" t="s">
        <v>523</v>
      </c>
      <c r="E479" s="48">
        <v>100471</v>
      </c>
      <c r="F479" s="30" t="s">
        <v>1434</v>
      </c>
      <c r="G479" s="29" t="s">
        <v>92</v>
      </c>
      <c r="H479" s="30" t="s">
        <v>1399</v>
      </c>
      <c r="I479" s="78"/>
      <c r="J479" s="20"/>
      <c r="K479" s="20"/>
      <c r="L479" s="20"/>
      <c r="M479" s="20"/>
      <c r="N479" s="69" t="s">
        <v>256</v>
      </c>
      <c r="O479" s="70">
        <v>0</v>
      </c>
      <c r="P479" s="70">
        <v>0</v>
      </c>
      <c r="Q479" s="70">
        <f t="shared" si="42"/>
        <v>0</v>
      </c>
      <c r="R479" s="70"/>
      <c r="S479" s="67"/>
      <c r="T479" s="2" t="str">
        <f t="shared" si="43"/>
        <v>Nguyễn Đỗ Tùng Lâm_11AS2</v>
      </c>
      <c r="U479" s="28">
        <f t="array" ref="U479">IFERROR(VLOOKUP($T479,'Nghi hoc T12'!$H$7:$I$160,2,0),0)</f>
        <v>0</v>
      </c>
      <c r="V479" s="28">
        <f>IFERROR(VLOOKUP($T479,No_HP!$B$2:$C$514,2,0),0)</f>
        <v>0</v>
      </c>
      <c r="W479" s="28">
        <f t="shared" si="44"/>
        <v>0</v>
      </c>
      <c r="X479" s="333">
        <f t="shared" si="45"/>
        <v>0</v>
      </c>
      <c r="Y479" s="333">
        <f t="shared" si="46"/>
        <v>0</v>
      </c>
    </row>
    <row r="480" spans="1:25" s="2" customFormat="1" ht="21.95" customHeight="1">
      <c r="A480" s="82">
        <v>25</v>
      </c>
      <c r="B480" s="91" t="str">
        <f t="shared" si="47"/>
        <v>5B.S</v>
      </c>
      <c r="C480" s="83" t="s">
        <v>366</v>
      </c>
      <c r="D480" s="81" t="s">
        <v>523</v>
      </c>
      <c r="E480" s="48">
        <v>100472</v>
      </c>
      <c r="F480" s="30" t="s">
        <v>1435</v>
      </c>
      <c r="G480" s="29" t="s">
        <v>479</v>
      </c>
      <c r="H480" s="30" t="s">
        <v>1402</v>
      </c>
      <c r="I480" s="78"/>
      <c r="J480" s="20"/>
      <c r="K480" s="20"/>
      <c r="L480" s="20"/>
      <c r="M480" s="20"/>
      <c r="N480" s="69" t="s">
        <v>256</v>
      </c>
      <c r="O480" s="70">
        <v>0</v>
      </c>
      <c r="P480" s="70">
        <v>0</v>
      </c>
      <c r="Q480" s="70">
        <f t="shared" si="42"/>
        <v>0</v>
      </c>
      <c r="R480" s="70"/>
      <c r="S480" s="67"/>
      <c r="T480" s="2" t="str">
        <f t="shared" si="43"/>
        <v>Nguyễn Thị Nguyệt Lệ_11AS3</v>
      </c>
      <c r="U480" s="28">
        <f t="array" ref="U480">IFERROR(VLOOKUP($T480,'Nghi hoc T12'!$H$7:$I$160,2,0),0)</f>
        <v>0</v>
      </c>
      <c r="V480" s="28">
        <f>IFERROR(VLOOKUP($T480,No_HP!$B$2:$C$514,2,0),0)</f>
        <v>0</v>
      </c>
      <c r="W480" s="28">
        <f t="shared" si="44"/>
        <v>0</v>
      </c>
      <c r="X480" s="333">
        <f t="shared" si="45"/>
        <v>0</v>
      </c>
      <c r="Y480" s="333">
        <f t="shared" si="46"/>
        <v>0</v>
      </c>
    </row>
    <row r="481" spans="1:25" s="2" customFormat="1" ht="21.95" customHeight="1">
      <c r="A481" s="82">
        <v>26</v>
      </c>
      <c r="B481" s="91" t="str">
        <f t="shared" si="47"/>
        <v>5B.S</v>
      </c>
      <c r="C481" s="83" t="s">
        <v>366</v>
      </c>
      <c r="D481" s="81" t="s">
        <v>523</v>
      </c>
      <c r="E481" s="48">
        <v>100473</v>
      </c>
      <c r="F481" s="30" t="s">
        <v>338</v>
      </c>
      <c r="G481" s="29" t="s">
        <v>351</v>
      </c>
      <c r="H481" s="30" t="s">
        <v>1402</v>
      </c>
      <c r="I481" s="78"/>
      <c r="J481" s="20"/>
      <c r="K481" s="20"/>
      <c r="L481" s="20"/>
      <c r="M481" s="20"/>
      <c r="N481" s="69" t="s">
        <v>256</v>
      </c>
      <c r="O481" s="70">
        <v>0</v>
      </c>
      <c r="P481" s="70">
        <v>0</v>
      </c>
      <c r="Q481" s="70">
        <f t="shared" si="42"/>
        <v>0</v>
      </c>
      <c r="R481" s="70"/>
      <c r="S481" s="67"/>
      <c r="T481" s="2" t="str">
        <f t="shared" si="43"/>
        <v>Lê Thị Kim Liên_11AS3</v>
      </c>
      <c r="U481" s="28">
        <f t="array" ref="U481">IFERROR(VLOOKUP($T481,'Nghi hoc T12'!$H$7:$I$160,2,0),0)</f>
        <v>0</v>
      </c>
      <c r="V481" s="28">
        <f>IFERROR(VLOOKUP($T481,No_HP!$B$2:$C$514,2,0),0)</f>
        <v>0</v>
      </c>
      <c r="W481" s="28">
        <f t="shared" si="44"/>
        <v>0</v>
      </c>
      <c r="X481" s="333">
        <f t="shared" si="45"/>
        <v>0</v>
      </c>
      <c r="Y481" s="333">
        <f t="shared" si="46"/>
        <v>0</v>
      </c>
    </row>
    <row r="482" spans="1:25" s="2" customFormat="1" ht="21.95" customHeight="1">
      <c r="A482" s="82">
        <v>27</v>
      </c>
      <c r="B482" s="91" t="str">
        <f t="shared" si="47"/>
        <v>5B.S</v>
      </c>
      <c r="C482" s="83" t="s">
        <v>366</v>
      </c>
      <c r="D482" s="81" t="s">
        <v>523</v>
      </c>
      <c r="E482" s="48">
        <v>100474</v>
      </c>
      <c r="F482" s="30" t="s">
        <v>1436</v>
      </c>
      <c r="G482" s="29" t="s">
        <v>38</v>
      </c>
      <c r="H482" s="30" t="s">
        <v>1398</v>
      </c>
      <c r="I482" s="78"/>
      <c r="J482" s="20"/>
      <c r="K482" s="20"/>
      <c r="L482" s="20"/>
      <c r="M482" s="20"/>
      <c r="N482" s="69" t="s">
        <v>256</v>
      </c>
      <c r="O482" s="70">
        <v>0</v>
      </c>
      <c r="P482" s="70">
        <v>0</v>
      </c>
      <c r="Q482" s="70">
        <f t="shared" si="42"/>
        <v>0</v>
      </c>
      <c r="R482" s="70"/>
      <c r="S482" s="67"/>
      <c r="T482" s="2" t="str">
        <f t="shared" si="43"/>
        <v>Trần Nguyễn Gia Linh_11AS1</v>
      </c>
      <c r="U482" s="28">
        <f t="array" ref="U482">IFERROR(VLOOKUP($T482,'Nghi hoc T12'!$H$7:$I$160,2,0),0)</f>
        <v>0</v>
      </c>
      <c r="V482" s="28">
        <f>IFERROR(VLOOKUP($T482,No_HP!$B$2:$C$514,2,0),0)</f>
        <v>0</v>
      </c>
      <c r="W482" s="28">
        <f t="shared" si="44"/>
        <v>0</v>
      </c>
      <c r="X482" s="333">
        <f t="shared" si="45"/>
        <v>0</v>
      </c>
      <c r="Y482" s="333">
        <f t="shared" si="46"/>
        <v>0</v>
      </c>
    </row>
    <row r="483" spans="1:25" s="2" customFormat="1" ht="21.95" customHeight="1">
      <c r="A483" s="82">
        <v>28</v>
      </c>
      <c r="B483" s="91" t="str">
        <f t="shared" si="47"/>
        <v>5B.S</v>
      </c>
      <c r="C483" s="83" t="s">
        <v>366</v>
      </c>
      <c r="D483" s="81" t="s">
        <v>523</v>
      </c>
      <c r="E483" s="48">
        <v>100475</v>
      </c>
      <c r="F483" s="30" t="s">
        <v>1140</v>
      </c>
      <c r="G483" s="29" t="s">
        <v>269</v>
      </c>
      <c r="H483" s="30" t="s">
        <v>1398</v>
      </c>
      <c r="I483" s="78"/>
      <c r="J483" s="20"/>
      <c r="K483" s="20"/>
      <c r="L483" s="20"/>
      <c r="M483" s="20"/>
      <c r="N483" s="69" t="s">
        <v>256</v>
      </c>
      <c r="O483" s="70">
        <v>0</v>
      </c>
      <c r="P483" s="70">
        <v>0</v>
      </c>
      <c r="Q483" s="70">
        <f t="shared" si="42"/>
        <v>0</v>
      </c>
      <c r="R483" s="70"/>
      <c r="S483" s="67"/>
      <c r="T483" s="2" t="str">
        <f t="shared" si="43"/>
        <v>Phạm Thị Kim Loan_11AS1</v>
      </c>
      <c r="U483" s="28">
        <f t="array" ref="U483">IFERROR(VLOOKUP($T483,'Nghi hoc T12'!$H$7:$I$160,2,0),0)</f>
        <v>0</v>
      </c>
      <c r="V483" s="28">
        <f>IFERROR(VLOOKUP($T483,No_HP!$B$2:$C$514,2,0),0)</f>
        <v>0</v>
      </c>
      <c r="W483" s="28">
        <f t="shared" si="44"/>
        <v>0</v>
      </c>
      <c r="X483" s="333">
        <f t="shared" si="45"/>
        <v>0</v>
      </c>
      <c r="Y483" s="333">
        <f t="shared" si="46"/>
        <v>0</v>
      </c>
    </row>
    <row r="484" spans="1:25" s="2" customFormat="1" ht="21.95" customHeight="1">
      <c r="A484" s="82">
        <v>29</v>
      </c>
      <c r="B484" s="91" t="str">
        <f t="shared" si="47"/>
        <v>5B.S</v>
      </c>
      <c r="C484" s="83" t="s">
        <v>366</v>
      </c>
      <c r="D484" s="81" t="s">
        <v>523</v>
      </c>
      <c r="E484" s="48">
        <v>100476</v>
      </c>
      <c r="F484" s="30" t="s">
        <v>1437</v>
      </c>
      <c r="G484" s="29" t="s">
        <v>14</v>
      </c>
      <c r="H484" s="30" t="s">
        <v>1398</v>
      </c>
      <c r="I484" s="78"/>
      <c r="J484" s="20"/>
      <c r="K484" s="20"/>
      <c r="L484" s="20"/>
      <c r="M484" s="20"/>
      <c r="N484" s="69" t="s">
        <v>256</v>
      </c>
      <c r="O484" s="70">
        <v>0</v>
      </c>
      <c r="P484" s="70">
        <v>0</v>
      </c>
      <c r="Q484" s="70">
        <f t="shared" si="42"/>
        <v>0</v>
      </c>
      <c r="R484" s="70"/>
      <c r="S484" s="67"/>
      <c r="T484" s="2" t="str">
        <f t="shared" si="43"/>
        <v>Lê Viết Long_11AS1</v>
      </c>
      <c r="U484" s="28">
        <f t="array" ref="U484">IFERROR(VLOOKUP($T484,'Nghi hoc T12'!$H$7:$I$160,2,0),0)</f>
        <v>0</v>
      </c>
      <c r="V484" s="28">
        <f>IFERROR(VLOOKUP($T484,No_HP!$B$2:$C$514,2,0),0)</f>
        <v>0</v>
      </c>
      <c r="W484" s="28">
        <f t="shared" si="44"/>
        <v>0</v>
      </c>
      <c r="X484" s="333">
        <f t="shared" si="45"/>
        <v>0</v>
      </c>
      <c r="Y484" s="333">
        <f t="shared" si="46"/>
        <v>0</v>
      </c>
    </row>
    <row r="485" spans="1:25" s="2" customFormat="1" ht="21.95" customHeight="1">
      <c r="A485" s="200">
        <v>1</v>
      </c>
      <c r="B485" s="91" t="str">
        <f t="shared" si="47"/>
        <v>6B.S</v>
      </c>
      <c r="C485" s="185" t="s">
        <v>366</v>
      </c>
      <c r="D485" s="186" t="s">
        <v>524</v>
      </c>
      <c r="E485" s="187">
        <v>100477</v>
      </c>
      <c r="F485" s="188" t="s">
        <v>186</v>
      </c>
      <c r="G485" s="189" t="s">
        <v>14</v>
      </c>
      <c r="H485" s="188" t="s">
        <v>1399</v>
      </c>
      <c r="I485" s="190"/>
      <c r="J485" s="191"/>
      <c r="K485" s="191"/>
      <c r="L485" s="191"/>
      <c r="M485" s="191"/>
      <c r="N485" s="69" t="s">
        <v>256</v>
      </c>
      <c r="O485" s="70">
        <v>0</v>
      </c>
      <c r="P485" s="70">
        <v>0</v>
      </c>
      <c r="Q485" s="70">
        <f t="shared" si="42"/>
        <v>0</v>
      </c>
      <c r="R485" s="70"/>
      <c r="S485" s="67"/>
      <c r="T485" s="2" t="str">
        <f t="shared" si="43"/>
        <v>Nguyễn Minh Long_11AS2</v>
      </c>
      <c r="U485" s="28">
        <f t="array" ref="U485">IFERROR(VLOOKUP($T485,'Nghi hoc T12'!$H$7:$I$160,2,0),0)</f>
        <v>0</v>
      </c>
      <c r="V485" s="28">
        <f>IFERROR(VLOOKUP($T485,No_HP!$B$2:$C$514,2,0),0)</f>
        <v>0</v>
      </c>
      <c r="W485" s="28">
        <f t="shared" si="44"/>
        <v>0</v>
      </c>
      <c r="X485" s="333">
        <f t="shared" si="45"/>
        <v>0</v>
      </c>
      <c r="Y485" s="333">
        <f t="shared" si="46"/>
        <v>0</v>
      </c>
    </row>
    <row r="486" spans="1:25" s="2" customFormat="1" ht="21.95" customHeight="1">
      <c r="A486" s="82">
        <v>2</v>
      </c>
      <c r="B486" s="91" t="str">
        <f t="shared" si="47"/>
        <v>6B.S</v>
      </c>
      <c r="C486" s="83" t="s">
        <v>366</v>
      </c>
      <c r="D486" s="81" t="s">
        <v>524</v>
      </c>
      <c r="E486" s="48">
        <v>100478</v>
      </c>
      <c r="F486" s="30" t="s">
        <v>1438</v>
      </c>
      <c r="G486" s="29" t="s">
        <v>153</v>
      </c>
      <c r="H486" s="30" t="s">
        <v>1402</v>
      </c>
      <c r="I486" s="78"/>
      <c r="J486" s="20"/>
      <c r="K486" s="20"/>
      <c r="L486" s="20"/>
      <c r="M486" s="20"/>
      <c r="N486" s="69" t="s">
        <v>256</v>
      </c>
      <c r="O486" s="70">
        <v>0</v>
      </c>
      <c r="P486" s="70">
        <v>0</v>
      </c>
      <c r="Q486" s="70">
        <f t="shared" si="42"/>
        <v>0</v>
      </c>
      <c r="R486" s="70"/>
      <c r="S486" s="67"/>
      <c r="T486" s="2" t="str">
        <f t="shared" si="43"/>
        <v>Đinh Thành Luân_11AS3</v>
      </c>
      <c r="U486" s="28">
        <f t="array" ref="U486">IFERROR(VLOOKUP($T486,'Nghi hoc T12'!$H$7:$I$160,2,0),0)</f>
        <v>0</v>
      </c>
      <c r="V486" s="28">
        <f>IFERROR(VLOOKUP($T486,No_HP!$B$2:$C$514,2,0),0)</f>
        <v>0</v>
      </c>
      <c r="W486" s="28">
        <f t="shared" si="44"/>
        <v>0</v>
      </c>
      <c r="X486" s="333">
        <f t="shared" si="45"/>
        <v>0</v>
      </c>
      <c r="Y486" s="333">
        <f t="shared" si="46"/>
        <v>0</v>
      </c>
    </row>
    <row r="487" spans="1:25" s="2" customFormat="1" ht="21.95" customHeight="1">
      <c r="A487" s="82">
        <v>3</v>
      </c>
      <c r="B487" s="91" t="str">
        <f t="shared" si="47"/>
        <v>6B.S</v>
      </c>
      <c r="C487" s="83" t="s">
        <v>366</v>
      </c>
      <c r="D487" s="81" t="s">
        <v>524</v>
      </c>
      <c r="E487" s="48">
        <v>100479</v>
      </c>
      <c r="F487" s="30" t="s">
        <v>1303</v>
      </c>
      <c r="G487" s="29" t="s">
        <v>15</v>
      </c>
      <c r="H487" s="30" t="s">
        <v>1399</v>
      </c>
      <c r="I487" s="78"/>
      <c r="J487" s="20"/>
      <c r="K487" s="20"/>
      <c r="L487" s="20"/>
      <c r="M487" s="20"/>
      <c r="N487" s="69" t="s">
        <v>256</v>
      </c>
      <c r="O487" s="70">
        <v>0</v>
      </c>
      <c r="P487" s="70">
        <v>0</v>
      </c>
      <c r="Q487" s="70">
        <f t="shared" si="42"/>
        <v>0</v>
      </c>
      <c r="R487" s="70"/>
      <c r="S487" s="67"/>
      <c r="T487" s="2" t="str">
        <f t="shared" si="43"/>
        <v>Lê Ngọc Thảo Mai_11AS2</v>
      </c>
      <c r="U487" s="28">
        <f t="array" ref="U487">IFERROR(VLOOKUP($T487,'Nghi hoc T12'!$H$7:$I$160,2,0),0)</f>
        <v>0</v>
      </c>
      <c r="V487" s="28">
        <f>IFERROR(VLOOKUP($T487,No_HP!$B$2:$C$514,2,0),0)</f>
        <v>0</v>
      </c>
      <c r="W487" s="28">
        <f t="shared" si="44"/>
        <v>0</v>
      </c>
      <c r="X487" s="333">
        <f t="shared" si="45"/>
        <v>0</v>
      </c>
      <c r="Y487" s="333">
        <f t="shared" si="46"/>
        <v>0</v>
      </c>
    </row>
    <row r="488" spans="1:25" s="2" customFormat="1" ht="21.95" customHeight="1">
      <c r="A488" s="82">
        <v>4</v>
      </c>
      <c r="B488" s="91" t="str">
        <f t="shared" si="47"/>
        <v>6B.S</v>
      </c>
      <c r="C488" s="83" t="s">
        <v>366</v>
      </c>
      <c r="D488" s="81" t="s">
        <v>524</v>
      </c>
      <c r="E488" s="48">
        <v>100480</v>
      </c>
      <c r="F488" s="30" t="s">
        <v>1439</v>
      </c>
      <c r="G488" s="29" t="s">
        <v>15</v>
      </c>
      <c r="H488" s="30" t="s">
        <v>1402</v>
      </c>
      <c r="I488" s="78"/>
      <c r="J488" s="20"/>
      <c r="K488" s="20"/>
      <c r="L488" s="20"/>
      <c r="M488" s="20"/>
      <c r="N488" s="69" t="s">
        <v>256</v>
      </c>
      <c r="O488" s="70">
        <v>0</v>
      </c>
      <c r="P488" s="70">
        <v>0</v>
      </c>
      <c r="Q488" s="70">
        <f t="shared" si="42"/>
        <v>0</v>
      </c>
      <c r="R488" s="70"/>
      <c r="S488" s="67"/>
      <c r="T488" s="2" t="str">
        <f t="shared" si="43"/>
        <v>Võ Thị Mai_11AS3</v>
      </c>
      <c r="U488" s="28">
        <f t="array" ref="U488">IFERROR(VLOOKUP($T488,'Nghi hoc T12'!$H$7:$I$160,2,0),0)</f>
        <v>0</v>
      </c>
      <c r="V488" s="28">
        <f>IFERROR(VLOOKUP($T488,No_HP!$B$2:$C$514,2,0),0)</f>
        <v>0</v>
      </c>
      <c r="W488" s="28">
        <f t="shared" si="44"/>
        <v>0</v>
      </c>
      <c r="X488" s="333">
        <f t="shared" si="45"/>
        <v>0</v>
      </c>
      <c r="Y488" s="333">
        <f t="shared" si="46"/>
        <v>0</v>
      </c>
    </row>
    <row r="489" spans="1:25" s="2" customFormat="1" ht="21.95" customHeight="1">
      <c r="A489" s="82">
        <v>5</v>
      </c>
      <c r="B489" s="91" t="str">
        <f t="shared" si="47"/>
        <v>6B.S</v>
      </c>
      <c r="C489" s="83" t="s">
        <v>366</v>
      </c>
      <c r="D489" s="81" t="s">
        <v>524</v>
      </c>
      <c r="E489" s="48">
        <v>100481</v>
      </c>
      <c r="F489" s="30" t="s">
        <v>216</v>
      </c>
      <c r="G489" s="29" t="s">
        <v>16</v>
      </c>
      <c r="H489" s="30" t="s">
        <v>1402</v>
      </c>
      <c r="I489" s="78"/>
      <c r="J489" s="20"/>
      <c r="K489" s="20"/>
      <c r="L489" s="20"/>
      <c r="M489" s="20"/>
      <c r="N489" s="69" t="s">
        <v>256</v>
      </c>
      <c r="O489" s="70">
        <v>0</v>
      </c>
      <c r="P489" s="70">
        <v>0</v>
      </c>
      <c r="Q489" s="70">
        <f t="shared" si="42"/>
        <v>0</v>
      </c>
      <c r="R489" s="70"/>
      <c r="S489" s="67"/>
      <c r="T489" s="2" t="str">
        <f t="shared" si="43"/>
        <v>Nguyễn Nhật Minh_11AS3</v>
      </c>
      <c r="U489" s="28">
        <f t="array" ref="U489">IFERROR(VLOOKUP($T489,'Nghi hoc T12'!$H$7:$I$160,2,0),0)</f>
        <v>0</v>
      </c>
      <c r="V489" s="28">
        <f>IFERROR(VLOOKUP($T489,No_HP!$B$2:$C$514,2,0),0)</f>
        <v>0</v>
      </c>
      <c r="W489" s="28">
        <f t="shared" si="44"/>
        <v>0</v>
      </c>
      <c r="X489" s="333">
        <f t="shared" si="45"/>
        <v>0</v>
      </c>
      <c r="Y489" s="333">
        <f t="shared" si="46"/>
        <v>0</v>
      </c>
    </row>
    <row r="490" spans="1:25" s="2" customFormat="1" ht="21.95" customHeight="1">
      <c r="A490" s="82">
        <v>6</v>
      </c>
      <c r="B490" s="91" t="str">
        <f t="shared" si="47"/>
        <v>6B.S</v>
      </c>
      <c r="C490" s="83" t="s">
        <v>366</v>
      </c>
      <c r="D490" s="81" t="s">
        <v>524</v>
      </c>
      <c r="E490" s="48">
        <v>100482</v>
      </c>
      <c r="F490" s="30" t="s">
        <v>1440</v>
      </c>
      <c r="G490" s="29" t="s">
        <v>16</v>
      </c>
      <c r="H490" s="30" t="s">
        <v>1398</v>
      </c>
      <c r="I490" s="78"/>
      <c r="J490" s="20"/>
      <c r="K490" s="20"/>
      <c r="L490" s="20"/>
      <c r="M490" s="20"/>
      <c r="N490" s="69" t="s">
        <v>256</v>
      </c>
      <c r="O490" s="70">
        <v>0</v>
      </c>
      <c r="P490" s="70">
        <v>0</v>
      </c>
      <c r="Q490" s="70">
        <f t="shared" si="42"/>
        <v>0</v>
      </c>
      <c r="R490" s="70"/>
      <c r="S490" s="67"/>
      <c r="T490" s="2" t="str">
        <f t="shared" si="43"/>
        <v>Thái Nguyễn Ngọc Minh_11AS1</v>
      </c>
      <c r="U490" s="28">
        <f t="array" ref="U490">IFERROR(VLOOKUP($T490,'Nghi hoc T12'!$H$7:$I$160,2,0),0)</f>
        <v>0</v>
      </c>
      <c r="V490" s="28">
        <f>IFERROR(VLOOKUP($T490,No_HP!$B$2:$C$514,2,0),0)</f>
        <v>0</v>
      </c>
      <c r="W490" s="28">
        <f t="shared" si="44"/>
        <v>0</v>
      </c>
      <c r="X490" s="333">
        <f t="shared" si="45"/>
        <v>0</v>
      </c>
      <c r="Y490" s="333">
        <f t="shared" si="46"/>
        <v>0</v>
      </c>
    </row>
    <row r="491" spans="1:25" s="2" customFormat="1" ht="21.95" customHeight="1">
      <c r="A491" s="82">
        <v>7</v>
      </c>
      <c r="B491" s="91" t="str">
        <f t="shared" si="47"/>
        <v>6B.S</v>
      </c>
      <c r="C491" s="83" t="s">
        <v>366</v>
      </c>
      <c r="D491" s="81" t="s">
        <v>524</v>
      </c>
      <c r="E491" s="48">
        <v>100483</v>
      </c>
      <c r="F491" s="30" t="s">
        <v>1441</v>
      </c>
      <c r="G491" s="29" t="s">
        <v>40</v>
      </c>
      <c r="H491" s="30" t="s">
        <v>1399</v>
      </c>
      <c r="I491" s="78"/>
      <c r="J491" s="20"/>
      <c r="K491" s="20"/>
      <c r="L491" s="20"/>
      <c r="M491" s="20"/>
      <c r="N491" s="69" t="s">
        <v>256</v>
      </c>
      <c r="O491" s="70">
        <v>0</v>
      </c>
      <c r="P491" s="70">
        <v>0</v>
      </c>
      <c r="Q491" s="70">
        <f t="shared" si="42"/>
        <v>0</v>
      </c>
      <c r="R491" s="70"/>
      <c r="S491" s="67"/>
      <c r="T491" s="2" t="str">
        <f t="shared" si="43"/>
        <v>Hà Thảo My_11AS2</v>
      </c>
      <c r="U491" s="28">
        <f t="array" ref="U491">IFERROR(VLOOKUP($T491,'Nghi hoc T12'!$H$7:$I$160,2,0),0)</f>
        <v>0</v>
      </c>
      <c r="V491" s="28">
        <f>IFERROR(VLOOKUP($T491,No_HP!$B$2:$C$514,2,0),0)</f>
        <v>0</v>
      </c>
      <c r="W491" s="28">
        <f t="shared" si="44"/>
        <v>0</v>
      </c>
      <c r="X491" s="333">
        <f t="shared" si="45"/>
        <v>0</v>
      </c>
      <c r="Y491" s="333">
        <f t="shared" si="46"/>
        <v>0</v>
      </c>
    </row>
    <row r="492" spans="1:25" s="2" customFormat="1" ht="21.95" customHeight="1">
      <c r="A492" s="82">
        <v>8</v>
      </c>
      <c r="B492" s="91" t="str">
        <f t="shared" si="47"/>
        <v>6B.S</v>
      </c>
      <c r="C492" s="83" t="s">
        <v>366</v>
      </c>
      <c r="D492" s="81" t="s">
        <v>524</v>
      </c>
      <c r="E492" s="48">
        <v>100484</v>
      </c>
      <c r="F492" s="30" t="s">
        <v>1442</v>
      </c>
      <c r="G492" s="29" t="s">
        <v>40</v>
      </c>
      <c r="H492" s="30" t="s">
        <v>1402</v>
      </c>
      <c r="I492" s="78"/>
      <c r="J492" s="20"/>
      <c r="K492" s="20"/>
      <c r="L492" s="20"/>
      <c r="M492" s="20"/>
      <c r="N492" s="69" t="s">
        <v>256</v>
      </c>
      <c r="O492" s="70">
        <v>0</v>
      </c>
      <c r="P492" s="70">
        <v>0</v>
      </c>
      <c r="Q492" s="70">
        <f t="shared" si="42"/>
        <v>0</v>
      </c>
      <c r="R492" s="70"/>
      <c r="S492" s="67"/>
      <c r="T492" s="2" t="str">
        <f t="shared" si="43"/>
        <v>Lâm Ngọc Kiều My_11AS3</v>
      </c>
      <c r="U492" s="28">
        <f t="array" ref="U492">IFERROR(VLOOKUP($T492,'Nghi hoc T12'!$H$7:$I$160,2,0),0)</f>
        <v>0</v>
      </c>
      <c r="V492" s="28">
        <f>IFERROR(VLOOKUP($T492,No_HP!$B$2:$C$514,2,0),0)</f>
        <v>0</v>
      </c>
      <c r="W492" s="28">
        <f t="shared" si="44"/>
        <v>0</v>
      </c>
      <c r="X492" s="333">
        <f t="shared" si="45"/>
        <v>0</v>
      </c>
      <c r="Y492" s="333">
        <f t="shared" si="46"/>
        <v>0</v>
      </c>
    </row>
    <row r="493" spans="1:25" s="2" customFormat="1" ht="21.95" customHeight="1">
      <c r="A493" s="82">
        <v>9</v>
      </c>
      <c r="B493" s="91" t="str">
        <f t="shared" si="47"/>
        <v>6B.S</v>
      </c>
      <c r="C493" s="83" t="s">
        <v>366</v>
      </c>
      <c r="D493" s="81" t="s">
        <v>524</v>
      </c>
      <c r="E493" s="48">
        <v>100485</v>
      </c>
      <c r="F493" s="30" t="s">
        <v>1443</v>
      </c>
      <c r="G493" s="29" t="s">
        <v>40</v>
      </c>
      <c r="H493" s="30" t="s">
        <v>1399</v>
      </c>
      <c r="I493" s="78"/>
      <c r="J493" s="20"/>
      <c r="K493" s="20"/>
      <c r="L493" s="20"/>
      <c r="M493" s="20"/>
      <c r="N493" s="69" t="s">
        <v>256</v>
      </c>
      <c r="O493" s="70">
        <v>0</v>
      </c>
      <c r="P493" s="70">
        <v>0</v>
      </c>
      <c r="Q493" s="70">
        <f t="shared" si="42"/>
        <v>0</v>
      </c>
      <c r="R493" s="70"/>
      <c r="S493" s="67"/>
      <c r="T493" s="2" t="str">
        <f t="shared" si="43"/>
        <v>Lê Thảo My_11AS2</v>
      </c>
      <c r="U493" s="28">
        <f t="array" ref="U493">IFERROR(VLOOKUP($T493,'Nghi hoc T12'!$H$7:$I$160,2,0),0)</f>
        <v>0</v>
      </c>
      <c r="V493" s="28">
        <f>IFERROR(VLOOKUP($T493,No_HP!$B$2:$C$514,2,0),0)</f>
        <v>0</v>
      </c>
      <c r="W493" s="28">
        <f t="shared" si="44"/>
        <v>0</v>
      </c>
      <c r="X493" s="333">
        <f t="shared" si="45"/>
        <v>0</v>
      </c>
      <c r="Y493" s="333">
        <f t="shared" si="46"/>
        <v>0</v>
      </c>
    </row>
    <row r="494" spans="1:25" s="2" customFormat="1" ht="21.95" customHeight="1">
      <c r="A494" s="82">
        <v>10</v>
      </c>
      <c r="B494" s="91" t="str">
        <f t="shared" si="47"/>
        <v>6B.S</v>
      </c>
      <c r="C494" s="83" t="s">
        <v>366</v>
      </c>
      <c r="D494" s="81" t="s">
        <v>524</v>
      </c>
      <c r="E494" s="48">
        <v>100486</v>
      </c>
      <c r="F494" s="30" t="s">
        <v>1444</v>
      </c>
      <c r="G494" s="29" t="s">
        <v>40</v>
      </c>
      <c r="H494" s="30" t="s">
        <v>1402</v>
      </c>
      <c r="I494" s="78"/>
      <c r="J494" s="20"/>
      <c r="K494" s="20"/>
      <c r="L494" s="20"/>
      <c r="M494" s="20"/>
      <c r="N494" s="69" t="s">
        <v>256</v>
      </c>
      <c r="O494" s="70">
        <v>0</v>
      </c>
      <c r="P494" s="70">
        <v>0</v>
      </c>
      <c r="Q494" s="70">
        <f t="shared" si="42"/>
        <v>0</v>
      </c>
      <c r="R494" s="70"/>
      <c r="S494" s="67"/>
      <c r="T494" s="2" t="str">
        <f t="shared" si="43"/>
        <v>Lư Trà My_11AS3</v>
      </c>
      <c r="U494" s="28">
        <f t="array" ref="U494">IFERROR(VLOOKUP($T494,'Nghi hoc T12'!$H$7:$I$160,2,0),0)</f>
        <v>0</v>
      </c>
      <c r="V494" s="28">
        <f>IFERROR(VLOOKUP($T494,No_HP!$B$2:$C$514,2,0),0)</f>
        <v>0</v>
      </c>
      <c r="W494" s="28">
        <f t="shared" si="44"/>
        <v>0</v>
      </c>
      <c r="X494" s="333">
        <f t="shared" si="45"/>
        <v>0</v>
      </c>
      <c r="Y494" s="333">
        <f t="shared" si="46"/>
        <v>0</v>
      </c>
    </row>
    <row r="495" spans="1:25" s="2" customFormat="1" ht="21.95" customHeight="1">
      <c r="A495" s="82">
        <v>11</v>
      </c>
      <c r="B495" s="91" t="str">
        <f t="shared" si="47"/>
        <v>6B.S</v>
      </c>
      <c r="C495" s="83" t="s">
        <v>366</v>
      </c>
      <c r="D495" s="81" t="s">
        <v>524</v>
      </c>
      <c r="E495" s="48">
        <v>100487</v>
      </c>
      <c r="F495" s="30" t="s">
        <v>1445</v>
      </c>
      <c r="G495" s="29" t="s">
        <v>40</v>
      </c>
      <c r="H495" s="30" t="s">
        <v>1398</v>
      </c>
      <c r="I495" s="78"/>
      <c r="J495" s="20"/>
      <c r="K495" s="20"/>
      <c r="L495" s="20"/>
      <c r="M495" s="20"/>
      <c r="N495" s="69" t="s">
        <v>256</v>
      </c>
      <c r="O495" s="70">
        <v>0</v>
      </c>
      <c r="P495" s="70">
        <v>0</v>
      </c>
      <c r="Q495" s="70">
        <f t="shared" si="42"/>
        <v>0</v>
      </c>
      <c r="R495" s="70"/>
      <c r="S495" s="67"/>
      <c r="T495" s="2" t="str">
        <f t="shared" si="43"/>
        <v>Nguyễn Ngọc Trà My_11AS1</v>
      </c>
      <c r="U495" s="28">
        <f t="array" ref="U495">IFERROR(VLOOKUP($T495,'Nghi hoc T12'!$H$7:$I$160,2,0),0)</f>
        <v>0</v>
      </c>
      <c r="V495" s="28">
        <f>IFERROR(VLOOKUP($T495,No_HP!$B$2:$C$514,2,0),0)</f>
        <v>0</v>
      </c>
      <c r="W495" s="28">
        <f t="shared" si="44"/>
        <v>0</v>
      </c>
      <c r="X495" s="333">
        <f t="shared" si="45"/>
        <v>0</v>
      </c>
      <c r="Y495" s="333">
        <f t="shared" si="46"/>
        <v>0</v>
      </c>
    </row>
    <row r="496" spans="1:25" s="2" customFormat="1" ht="21.95" customHeight="1">
      <c r="A496" s="82">
        <v>12</v>
      </c>
      <c r="B496" s="91" t="str">
        <f t="shared" si="47"/>
        <v>6B.S</v>
      </c>
      <c r="C496" s="83" t="s">
        <v>366</v>
      </c>
      <c r="D496" s="81" t="s">
        <v>524</v>
      </c>
      <c r="E496" s="48">
        <v>100488</v>
      </c>
      <c r="F496" s="30" t="s">
        <v>1446</v>
      </c>
      <c r="G496" s="29" t="s">
        <v>40</v>
      </c>
      <c r="H496" s="30" t="s">
        <v>1402</v>
      </c>
      <c r="I496" s="78"/>
      <c r="J496" s="20"/>
      <c r="K496" s="20"/>
      <c r="L496" s="20"/>
      <c r="M496" s="20"/>
      <c r="N496" s="69" t="s">
        <v>256</v>
      </c>
      <c r="O496" s="70">
        <v>0</v>
      </c>
      <c r="P496" s="70">
        <v>0</v>
      </c>
      <c r="Q496" s="70">
        <f t="shared" si="42"/>
        <v>0</v>
      </c>
      <c r="R496" s="70"/>
      <c r="S496" s="67"/>
      <c r="T496" s="2" t="str">
        <f t="shared" si="43"/>
        <v>Nguyễn Thảo My_11AS3</v>
      </c>
      <c r="U496" s="28">
        <f t="array" ref="U496">IFERROR(VLOOKUP($T496,'Nghi hoc T12'!$H$7:$I$160,2,0),0)</f>
        <v>0</v>
      </c>
      <c r="V496" s="28">
        <f>IFERROR(VLOOKUP($T496,No_HP!$B$2:$C$514,2,0),0)</f>
        <v>0</v>
      </c>
      <c r="W496" s="28">
        <f t="shared" si="44"/>
        <v>0</v>
      </c>
      <c r="X496" s="333">
        <f t="shared" si="45"/>
        <v>0</v>
      </c>
      <c r="Y496" s="333">
        <f t="shared" si="46"/>
        <v>0</v>
      </c>
    </row>
    <row r="497" spans="1:25" s="2" customFormat="1" ht="21.95" customHeight="1">
      <c r="A497" s="82">
        <v>13</v>
      </c>
      <c r="B497" s="91" t="str">
        <f t="shared" si="47"/>
        <v>6B.S</v>
      </c>
      <c r="C497" s="83" t="s">
        <v>366</v>
      </c>
      <c r="D497" s="81" t="s">
        <v>524</v>
      </c>
      <c r="E497" s="48">
        <v>100489</v>
      </c>
      <c r="F497" s="30" t="s">
        <v>1447</v>
      </c>
      <c r="G497" s="29" t="s">
        <v>40</v>
      </c>
      <c r="H497" s="30" t="s">
        <v>1399</v>
      </c>
      <c r="I497" s="78"/>
      <c r="J497" s="20"/>
      <c r="K497" s="20"/>
      <c r="L497" s="20"/>
      <c r="M497" s="20"/>
      <c r="N497" s="69" t="s">
        <v>256</v>
      </c>
      <c r="O497" s="70">
        <v>0</v>
      </c>
      <c r="P497" s="70">
        <v>0</v>
      </c>
      <c r="Q497" s="70">
        <f t="shared" si="42"/>
        <v>0</v>
      </c>
      <c r="R497" s="70"/>
      <c r="S497" s="67"/>
      <c r="T497" s="2" t="str">
        <f t="shared" si="43"/>
        <v>Võ Thảo My_11AS2</v>
      </c>
      <c r="U497" s="28">
        <f t="array" ref="U497">IFERROR(VLOOKUP($T497,'Nghi hoc T12'!$H$7:$I$160,2,0),0)</f>
        <v>0</v>
      </c>
      <c r="V497" s="28">
        <f>IFERROR(VLOOKUP($T497,No_HP!$B$2:$C$514,2,0),0)</f>
        <v>0</v>
      </c>
      <c r="W497" s="28">
        <f t="shared" si="44"/>
        <v>0</v>
      </c>
      <c r="X497" s="333">
        <f t="shared" si="45"/>
        <v>0</v>
      </c>
      <c r="Y497" s="333">
        <f t="shared" si="46"/>
        <v>0</v>
      </c>
    </row>
    <row r="498" spans="1:25" s="2" customFormat="1" ht="21.95" customHeight="1">
      <c r="A498" s="82">
        <v>14</v>
      </c>
      <c r="B498" s="91" t="str">
        <f t="shared" si="47"/>
        <v>6B.S</v>
      </c>
      <c r="C498" s="83" t="s">
        <v>366</v>
      </c>
      <c r="D498" s="81" t="s">
        <v>524</v>
      </c>
      <c r="E498" s="48">
        <v>100490</v>
      </c>
      <c r="F498" s="30" t="s">
        <v>1448</v>
      </c>
      <c r="G498" s="29" t="s">
        <v>17</v>
      </c>
      <c r="H498" s="30" t="s">
        <v>1398</v>
      </c>
      <c r="I498" s="78"/>
      <c r="J498" s="20"/>
      <c r="K498" s="20"/>
      <c r="L498" s="20"/>
      <c r="M498" s="20"/>
      <c r="N498" s="69" t="s">
        <v>256</v>
      </c>
      <c r="O498" s="70">
        <v>0</v>
      </c>
      <c r="P498" s="70">
        <v>0</v>
      </c>
      <c r="Q498" s="70">
        <f t="shared" si="42"/>
        <v>0</v>
      </c>
      <c r="R498" s="70"/>
      <c r="S498" s="67"/>
      <c r="T498" s="2" t="str">
        <f t="shared" si="43"/>
        <v>Hoàng Nguyễn Quý Nam_11AS1</v>
      </c>
      <c r="U498" s="28">
        <f t="array" ref="U498">IFERROR(VLOOKUP($T498,'Nghi hoc T12'!$H$7:$I$160,2,0),0)</f>
        <v>0</v>
      </c>
      <c r="V498" s="28">
        <f>IFERROR(VLOOKUP($T498,No_HP!$B$2:$C$514,2,0),0)</f>
        <v>0</v>
      </c>
      <c r="W498" s="28">
        <f t="shared" si="44"/>
        <v>0</v>
      </c>
      <c r="X498" s="333">
        <f t="shared" si="45"/>
        <v>0</v>
      </c>
      <c r="Y498" s="333">
        <f t="shared" si="46"/>
        <v>0</v>
      </c>
    </row>
    <row r="499" spans="1:25" s="2" customFormat="1" ht="21.95" customHeight="1">
      <c r="A499" s="82">
        <v>15</v>
      </c>
      <c r="B499" s="91" t="str">
        <f t="shared" si="47"/>
        <v>6B.S</v>
      </c>
      <c r="C499" s="83" t="s">
        <v>366</v>
      </c>
      <c r="D499" s="81" t="s">
        <v>524</v>
      </c>
      <c r="E499" s="48">
        <v>100491</v>
      </c>
      <c r="F499" s="30" t="s">
        <v>1449</v>
      </c>
      <c r="G499" s="29" t="s">
        <v>17</v>
      </c>
      <c r="H499" s="30" t="s">
        <v>1399</v>
      </c>
      <c r="I499" s="78"/>
      <c r="J499" s="20"/>
      <c r="K499" s="20"/>
      <c r="L499" s="20"/>
      <c r="M499" s="20"/>
      <c r="N499" s="69" t="s">
        <v>256</v>
      </c>
      <c r="O499" s="70">
        <v>0</v>
      </c>
      <c r="P499" s="70">
        <v>0</v>
      </c>
      <c r="Q499" s="70">
        <f t="shared" si="42"/>
        <v>0</v>
      </c>
      <c r="R499" s="70"/>
      <c r="S499" s="67"/>
      <c r="T499" s="2" t="str">
        <f t="shared" si="43"/>
        <v>Khương Mạnh Nam_11AS2</v>
      </c>
      <c r="U499" s="28">
        <f t="array" ref="U499">IFERROR(VLOOKUP($T499,'Nghi hoc T12'!$H$7:$I$160,2,0),0)</f>
        <v>0</v>
      </c>
      <c r="V499" s="28">
        <f>IFERROR(VLOOKUP($T499,No_HP!$B$2:$C$514,2,0),0)</f>
        <v>0</v>
      </c>
      <c r="W499" s="28">
        <f t="shared" si="44"/>
        <v>0</v>
      </c>
      <c r="X499" s="333">
        <f t="shared" si="45"/>
        <v>0</v>
      </c>
      <c r="Y499" s="333">
        <f t="shared" si="46"/>
        <v>0</v>
      </c>
    </row>
    <row r="500" spans="1:25" s="2" customFormat="1" ht="21.95" customHeight="1">
      <c r="A500" s="82">
        <v>16</v>
      </c>
      <c r="B500" s="91" t="str">
        <f t="shared" si="47"/>
        <v>6B.S</v>
      </c>
      <c r="C500" s="83" t="s">
        <v>366</v>
      </c>
      <c r="D500" s="81" t="s">
        <v>524</v>
      </c>
      <c r="E500" s="48">
        <v>100492</v>
      </c>
      <c r="F500" s="30" t="s">
        <v>1450</v>
      </c>
      <c r="G500" s="29" t="s">
        <v>290</v>
      </c>
      <c r="H500" s="30" t="s">
        <v>1398</v>
      </c>
      <c r="I500" s="78"/>
      <c r="J500" s="20"/>
      <c r="K500" s="20"/>
      <c r="L500" s="20"/>
      <c r="M500" s="20"/>
      <c r="N500" s="69" t="s">
        <v>256</v>
      </c>
      <c r="O500" s="70">
        <v>0</v>
      </c>
      <c r="P500" s="70">
        <v>0</v>
      </c>
      <c r="Q500" s="70">
        <f t="shared" si="42"/>
        <v>0</v>
      </c>
      <c r="R500" s="70"/>
      <c r="S500" s="67"/>
      <c r="T500" s="2" t="str">
        <f t="shared" si="43"/>
        <v>Nguyễn Huy Mỹ Nga_11AS1</v>
      </c>
      <c r="U500" s="28">
        <f t="array" ref="U500">IFERROR(VLOOKUP($T500,'Nghi hoc T12'!$H$7:$I$160,2,0),0)</f>
        <v>0</v>
      </c>
      <c r="V500" s="28">
        <f>IFERROR(VLOOKUP($T500,No_HP!$B$2:$C$514,2,0),0)</f>
        <v>0</v>
      </c>
      <c r="W500" s="28">
        <f t="shared" si="44"/>
        <v>0</v>
      </c>
      <c r="X500" s="333">
        <f t="shared" si="45"/>
        <v>0</v>
      </c>
      <c r="Y500" s="333">
        <f t="shared" si="46"/>
        <v>0</v>
      </c>
    </row>
    <row r="501" spans="1:25" s="2" customFormat="1" ht="21.95" customHeight="1">
      <c r="A501" s="82">
        <v>17</v>
      </c>
      <c r="B501" s="91" t="str">
        <f t="shared" si="47"/>
        <v>6B.S</v>
      </c>
      <c r="C501" s="83" t="s">
        <v>366</v>
      </c>
      <c r="D501" s="81" t="s">
        <v>524</v>
      </c>
      <c r="E501" s="48">
        <v>100493</v>
      </c>
      <c r="F501" s="30" t="s">
        <v>1451</v>
      </c>
      <c r="G501" s="29" t="s">
        <v>290</v>
      </c>
      <c r="H501" s="30" t="s">
        <v>1399</v>
      </c>
      <c r="I501" s="78"/>
      <c r="J501" s="20"/>
      <c r="K501" s="20"/>
      <c r="L501" s="20"/>
      <c r="M501" s="20"/>
      <c r="N501" s="69" t="s">
        <v>256</v>
      </c>
      <c r="O501" s="70">
        <v>0</v>
      </c>
      <c r="P501" s="70">
        <v>0</v>
      </c>
      <c r="Q501" s="70">
        <f t="shared" si="42"/>
        <v>0</v>
      </c>
      <c r="R501" s="70"/>
      <c r="S501" s="67"/>
      <c r="T501" s="2" t="str">
        <f t="shared" si="43"/>
        <v>Nguyễn Thái Ngọc Nga_11AS2</v>
      </c>
      <c r="U501" s="28">
        <f t="array" ref="U501">IFERROR(VLOOKUP($T501,'Nghi hoc T12'!$H$7:$I$160,2,0),0)</f>
        <v>0</v>
      </c>
      <c r="V501" s="28">
        <f>IFERROR(VLOOKUP($T501,No_HP!$B$2:$C$514,2,0),0)</f>
        <v>0</v>
      </c>
      <c r="W501" s="28">
        <f t="shared" si="44"/>
        <v>0</v>
      </c>
      <c r="X501" s="333">
        <f t="shared" si="45"/>
        <v>0</v>
      </c>
      <c r="Y501" s="333">
        <f t="shared" si="46"/>
        <v>0</v>
      </c>
    </row>
    <row r="502" spans="1:25" s="2" customFormat="1" ht="21.95" customHeight="1">
      <c r="A502" s="82">
        <v>18</v>
      </c>
      <c r="B502" s="91" t="str">
        <f t="shared" si="47"/>
        <v>6B.S</v>
      </c>
      <c r="C502" s="83" t="s">
        <v>366</v>
      </c>
      <c r="D502" s="81" t="s">
        <v>524</v>
      </c>
      <c r="E502" s="48">
        <v>100494</v>
      </c>
      <c r="F502" s="30" t="s">
        <v>1452</v>
      </c>
      <c r="G502" s="29" t="s">
        <v>18</v>
      </c>
      <c r="H502" s="30" t="s">
        <v>1402</v>
      </c>
      <c r="I502" s="78"/>
      <c r="J502" s="20"/>
      <c r="K502" s="20"/>
      <c r="L502" s="20"/>
      <c r="M502" s="20"/>
      <c r="N502" s="69" t="s">
        <v>256</v>
      </c>
      <c r="O502" s="70">
        <v>0</v>
      </c>
      <c r="P502" s="70">
        <v>0</v>
      </c>
      <c r="Q502" s="70">
        <f t="shared" si="42"/>
        <v>0</v>
      </c>
      <c r="R502" s="70"/>
      <c r="S502" s="67"/>
      <c r="T502" s="2" t="str">
        <f t="shared" si="43"/>
        <v>Lê Nguyễn Thanh Trúc Ngân_11AS3</v>
      </c>
      <c r="U502" s="28">
        <f t="array" ref="U502">IFERROR(VLOOKUP($T502,'Nghi hoc T12'!$H$7:$I$160,2,0),0)</f>
        <v>0</v>
      </c>
      <c r="V502" s="28">
        <f>IFERROR(VLOOKUP($T502,No_HP!$B$2:$C$514,2,0),0)</f>
        <v>0</v>
      </c>
      <c r="W502" s="28">
        <f t="shared" si="44"/>
        <v>0</v>
      </c>
      <c r="X502" s="333">
        <f t="shared" si="45"/>
        <v>0</v>
      </c>
      <c r="Y502" s="333">
        <f t="shared" si="46"/>
        <v>0</v>
      </c>
    </row>
    <row r="503" spans="1:25" s="2" customFormat="1" ht="21.95" customHeight="1">
      <c r="A503" s="82">
        <v>19</v>
      </c>
      <c r="B503" s="91" t="str">
        <f t="shared" si="47"/>
        <v>6B.S</v>
      </c>
      <c r="C503" s="83" t="s">
        <v>366</v>
      </c>
      <c r="D503" s="81" t="s">
        <v>524</v>
      </c>
      <c r="E503" s="48">
        <v>100495</v>
      </c>
      <c r="F503" s="30" t="s">
        <v>1453</v>
      </c>
      <c r="G503" s="29" t="s">
        <v>19</v>
      </c>
      <c r="H503" s="30" t="s">
        <v>1402</v>
      </c>
      <c r="I503" s="78"/>
      <c r="J503" s="20"/>
      <c r="K503" s="20"/>
      <c r="L503" s="20"/>
      <c r="M503" s="20"/>
      <c r="N503" s="69" t="s">
        <v>256</v>
      </c>
      <c r="O503" s="70">
        <v>0</v>
      </c>
      <c r="P503" s="70">
        <v>0</v>
      </c>
      <c r="Q503" s="70">
        <f t="shared" si="42"/>
        <v>0</v>
      </c>
      <c r="R503" s="70"/>
      <c r="S503" s="67"/>
      <c r="T503" s="2" t="str">
        <f t="shared" si="43"/>
        <v>Lê Hoàng Khánh Ngọc_11AS3</v>
      </c>
      <c r="U503" s="28">
        <f t="array" ref="U503">IFERROR(VLOOKUP($T503,'Nghi hoc T12'!$H$7:$I$160,2,0),0)</f>
        <v>0</v>
      </c>
      <c r="V503" s="28">
        <f>IFERROR(VLOOKUP($T503,No_HP!$B$2:$C$514,2,0),0)</f>
        <v>0</v>
      </c>
      <c r="W503" s="28">
        <f t="shared" si="44"/>
        <v>0</v>
      </c>
      <c r="X503" s="333">
        <f t="shared" si="45"/>
        <v>0</v>
      </c>
      <c r="Y503" s="333">
        <f t="shared" si="46"/>
        <v>0</v>
      </c>
    </row>
    <row r="504" spans="1:25" s="2" customFormat="1" ht="21.95" customHeight="1">
      <c r="A504" s="82">
        <v>20</v>
      </c>
      <c r="B504" s="91" t="str">
        <f t="shared" si="47"/>
        <v>6B.S</v>
      </c>
      <c r="C504" s="83" t="s">
        <v>366</v>
      </c>
      <c r="D504" s="81" t="s">
        <v>524</v>
      </c>
      <c r="E504" s="48">
        <v>100496</v>
      </c>
      <c r="F504" s="30" t="s">
        <v>1454</v>
      </c>
      <c r="G504" s="29" t="s">
        <v>19</v>
      </c>
      <c r="H504" s="30" t="s">
        <v>1398</v>
      </c>
      <c r="I504" s="78"/>
      <c r="J504" s="20"/>
      <c r="K504" s="20"/>
      <c r="L504" s="20"/>
      <c r="M504" s="20"/>
      <c r="N504" s="69" t="s">
        <v>256</v>
      </c>
      <c r="O504" s="70">
        <v>0</v>
      </c>
      <c r="P504" s="70">
        <v>0</v>
      </c>
      <c r="Q504" s="70">
        <f t="shared" si="42"/>
        <v>0</v>
      </c>
      <c r="R504" s="70"/>
      <c r="S504" s="67"/>
      <c r="T504" s="2" t="str">
        <f t="shared" si="43"/>
        <v>Nguyễn Ánh Ngọc_11AS1</v>
      </c>
      <c r="U504" s="28">
        <f t="array" ref="U504">IFERROR(VLOOKUP($T504,'Nghi hoc T12'!$H$7:$I$160,2,0),0)</f>
        <v>0</v>
      </c>
      <c r="V504" s="28">
        <f>IFERROR(VLOOKUP($T504,No_HP!$B$2:$C$514,2,0),0)</f>
        <v>0</v>
      </c>
      <c r="W504" s="28">
        <f t="shared" si="44"/>
        <v>0</v>
      </c>
      <c r="X504" s="333">
        <f t="shared" si="45"/>
        <v>0</v>
      </c>
      <c r="Y504" s="333">
        <f t="shared" si="46"/>
        <v>0</v>
      </c>
    </row>
    <row r="505" spans="1:25" s="2" customFormat="1" ht="21.95" customHeight="1">
      <c r="A505" s="82">
        <v>21</v>
      </c>
      <c r="B505" s="91" t="str">
        <f t="shared" si="47"/>
        <v>6B.S</v>
      </c>
      <c r="C505" s="83" t="s">
        <v>366</v>
      </c>
      <c r="D505" s="81" t="s">
        <v>524</v>
      </c>
      <c r="E505" s="48">
        <v>100497</v>
      </c>
      <c r="F505" s="30" t="s">
        <v>293</v>
      </c>
      <c r="G505" s="29" t="s">
        <v>102</v>
      </c>
      <c r="H505" s="30" t="s">
        <v>1398</v>
      </c>
      <c r="I505" s="78"/>
      <c r="J505" s="20"/>
      <c r="K505" s="20"/>
      <c r="L505" s="20"/>
      <c r="M505" s="20"/>
      <c r="N505" s="69" t="s">
        <v>256</v>
      </c>
      <c r="O505" s="70">
        <v>0</v>
      </c>
      <c r="P505" s="70">
        <v>0</v>
      </c>
      <c r="Q505" s="70">
        <f t="shared" si="42"/>
        <v>0</v>
      </c>
      <c r="R505" s="70"/>
      <c r="S505" s="67"/>
      <c r="T505" s="2" t="str">
        <f t="shared" si="43"/>
        <v>Lê Quốc Nhân_11AS1</v>
      </c>
      <c r="U505" s="28">
        <f t="array" ref="U505">IFERROR(VLOOKUP($T505,'Nghi hoc T12'!$H$7:$I$160,2,0),0)</f>
        <v>0</v>
      </c>
      <c r="V505" s="28">
        <f>IFERROR(VLOOKUP($T505,No_HP!$B$2:$C$514,2,0),0)</f>
        <v>0</v>
      </c>
      <c r="W505" s="28">
        <f t="shared" si="44"/>
        <v>0</v>
      </c>
      <c r="X505" s="333">
        <f t="shared" si="45"/>
        <v>0</v>
      </c>
      <c r="Y505" s="333">
        <f t="shared" si="46"/>
        <v>0</v>
      </c>
    </row>
    <row r="506" spans="1:25" s="2" customFormat="1" ht="21.95" customHeight="1">
      <c r="A506" s="82">
        <v>22</v>
      </c>
      <c r="B506" s="91" t="str">
        <f t="shared" si="47"/>
        <v>6B.S</v>
      </c>
      <c r="C506" s="83" t="s">
        <v>366</v>
      </c>
      <c r="D506" s="81" t="s">
        <v>524</v>
      </c>
      <c r="E506" s="48">
        <v>100498</v>
      </c>
      <c r="F506" s="30" t="s">
        <v>1455</v>
      </c>
      <c r="G506" s="29" t="s">
        <v>20</v>
      </c>
      <c r="H506" s="30" t="s">
        <v>1399</v>
      </c>
      <c r="I506" s="78"/>
      <c r="J506" s="20"/>
      <c r="K506" s="20"/>
      <c r="L506" s="20"/>
      <c r="M506" s="20"/>
      <c r="N506" s="69" t="s">
        <v>256</v>
      </c>
      <c r="O506" s="70">
        <v>0</v>
      </c>
      <c r="P506" s="70">
        <v>0</v>
      </c>
      <c r="Q506" s="70">
        <f t="shared" si="42"/>
        <v>0</v>
      </c>
      <c r="R506" s="70"/>
      <c r="S506" s="67"/>
      <c r="T506" s="2" t="str">
        <f t="shared" si="43"/>
        <v>Đặng Ngọc Tuyết Nhi_11AS2</v>
      </c>
      <c r="U506" s="28">
        <f t="array" ref="U506">IFERROR(VLOOKUP($T506,'Nghi hoc T12'!$H$7:$I$160,2,0),0)</f>
        <v>0</v>
      </c>
      <c r="V506" s="28">
        <f>IFERROR(VLOOKUP($T506,No_HP!$B$2:$C$514,2,0),0)</f>
        <v>0</v>
      </c>
      <c r="W506" s="28">
        <f t="shared" si="44"/>
        <v>0</v>
      </c>
      <c r="X506" s="333">
        <f t="shared" si="45"/>
        <v>0</v>
      </c>
      <c r="Y506" s="333">
        <f t="shared" si="46"/>
        <v>0</v>
      </c>
    </row>
    <row r="507" spans="1:25" s="2" customFormat="1" ht="21.95" customHeight="1">
      <c r="A507" s="82">
        <v>23</v>
      </c>
      <c r="B507" s="91" t="str">
        <f t="shared" si="47"/>
        <v>6B.S</v>
      </c>
      <c r="C507" s="83" t="s">
        <v>366</v>
      </c>
      <c r="D507" s="81" t="s">
        <v>524</v>
      </c>
      <c r="E507" s="48">
        <v>100499</v>
      </c>
      <c r="F507" s="30" t="s">
        <v>1456</v>
      </c>
      <c r="G507" s="29" t="s">
        <v>20</v>
      </c>
      <c r="H507" s="30" t="s">
        <v>1399</v>
      </c>
      <c r="I507" s="78"/>
      <c r="J507" s="20"/>
      <c r="K507" s="20"/>
      <c r="L507" s="20"/>
      <c r="M507" s="20"/>
      <c r="N507" s="69" t="s">
        <v>256</v>
      </c>
      <c r="O507" s="70">
        <v>0</v>
      </c>
      <c r="P507" s="70">
        <v>0</v>
      </c>
      <c r="Q507" s="70">
        <f t="shared" si="42"/>
        <v>0</v>
      </c>
      <c r="R507" s="70"/>
      <c r="S507" s="67"/>
      <c r="T507" s="2" t="str">
        <f t="shared" si="43"/>
        <v>Lê Uyên Nhi_11AS2</v>
      </c>
      <c r="U507" s="28">
        <f t="array" ref="U507">IFERROR(VLOOKUP($T507,'Nghi hoc T12'!$H$7:$I$160,2,0),0)</f>
        <v>0</v>
      </c>
      <c r="V507" s="28">
        <f>IFERROR(VLOOKUP($T507,No_HP!$B$2:$C$514,2,0),0)</f>
        <v>0</v>
      </c>
      <c r="W507" s="28">
        <f t="shared" si="44"/>
        <v>0</v>
      </c>
      <c r="X507" s="333">
        <f t="shared" si="45"/>
        <v>0</v>
      </c>
      <c r="Y507" s="333">
        <f t="shared" si="46"/>
        <v>0</v>
      </c>
    </row>
    <row r="508" spans="1:25" s="2" customFormat="1" ht="21.95" customHeight="1">
      <c r="A508" s="82">
        <v>24</v>
      </c>
      <c r="B508" s="91" t="str">
        <f t="shared" si="47"/>
        <v>6B.S</v>
      </c>
      <c r="C508" s="83" t="s">
        <v>366</v>
      </c>
      <c r="D508" s="81" t="s">
        <v>524</v>
      </c>
      <c r="E508" s="48">
        <v>100500</v>
      </c>
      <c r="F508" s="30" t="s">
        <v>1457</v>
      </c>
      <c r="G508" s="29" t="s">
        <v>20</v>
      </c>
      <c r="H508" s="30" t="s">
        <v>1398</v>
      </c>
      <c r="I508" s="78"/>
      <c r="J508" s="20"/>
      <c r="K508" s="20"/>
      <c r="L508" s="20"/>
      <c r="M508" s="20"/>
      <c r="N508" s="69" t="s">
        <v>256</v>
      </c>
      <c r="O508" s="70">
        <v>0</v>
      </c>
      <c r="P508" s="70">
        <v>0</v>
      </c>
      <c r="Q508" s="70">
        <f t="shared" si="42"/>
        <v>0</v>
      </c>
      <c r="R508" s="70"/>
      <c r="S508" s="67"/>
      <c r="T508" s="2" t="str">
        <f t="shared" si="43"/>
        <v>Nguyễn Ngọc Uyên Nhi_11AS1</v>
      </c>
      <c r="U508" s="28">
        <f t="array" ref="U508">IFERROR(VLOOKUP($T508,'Nghi hoc T12'!$H$7:$I$160,2,0),0)</f>
        <v>0</v>
      </c>
      <c r="V508" s="28">
        <f>IFERROR(VLOOKUP($T508,No_HP!$B$2:$C$514,2,0),0)</f>
        <v>0</v>
      </c>
      <c r="W508" s="28">
        <f t="shared" si="44"/>
        <v>0</v>
      </c>
      <c r="X508" s="333">
        <f t="shared" si="45"/>
        <v>0</v>
      </c>
      <c r="Y508" s="333">
        <f t="shared" si="46"/>
        <v>0</v>
      </c>
    </row>
    <row r="509" spans="1:25" s="2" customFormat="1" ht="21.95" customHeight="1">
      <c r="A509" s="82">
        <v>25</v>
      </c>
      <c r="B509" s="91" t="str">
        <f t="shared" si="47"/>
        <v>6B.S</v>
      </c>
      <c r="C509" s="83" t="s">
        <v>366</v>
      </c>
      <c r="D509" s="81" t="s">
        <v>524</v>
      </c>
      <c r="E509" s="48">
        <v>100501</v>
      </c>
      <c r="F509" s="30" t="s">
        <v>232</v>
      </c>
      <c r="G509" s="29" t="s">
        <v>20</v>
      </c>
      <c r="H509" s="30" t="s">
        <v>1402</v>
      </c>
      <c r="I509" s="78"/>
      <c r="J509" s="20"/>
      <c r="K509" s="20"/>
      <c r="L509" s="20"/>
      <c r="M509" s="20"/>
      <c r="N509" s="69" t="s">
        <v>256</v>
      </c>
      <c r="O509" s="70">
        <v>0</v>
      </c>
      <c r="P509" s="70">
        <v>0</v>
      </c>
      <c r="Q509" s="70">
        <f t="shared" si="42"/>
        <v>0</v>
      </c>
      <c r="R509" s="70"/>
      <c r="S509" s="67"/>
      <c r="T509" s="2" t="str">
        <f t="shared" si="43"/>
        <v>Nguyễn Thị Tuyết Nhi_11AS3</v>
      </c>
      <c r="U509" s="28">
        <f t="array" ref="U509">IFERROR(VLOOKUP($T509,'Nghi hoc T12'!$H$7:$I$160,2,0),0)</f>
        <v>0</v>
      </c>
      <c r="V509" s="28">
        <f>IFERROR(VLOOKUP($T509,No_HP!$B$2:$C$514,2,0),0)</f>
        <v>0</v>
      </c>
      <c r="W509" s="28">
        <f t="shared" si="44"/>
        <v>0</v>
      </c>
      <c r="X509" s="333">
        <f t="shared" si="45"/>
        <v>0</v>
      </c>
      <c r="Y509" s="333">
        <f t="shared" si="46"/>
        <v>0</v>
      </c>
    </row>
    <row r="510" spans="1:25" s="2" customFormat="1" ht="21.95" customHeight="1">
      <c r="A510" s="82">
        <v>26</v>
      </c>
      <c r="B510" s="91" t="str">
        <f t="shared" si="47"/>
        <v>6B.S</v>
      </c>
      <c r="C510" s="83" t="s">
        <v>366</v>
      </c>
      <c r="D510" s="81" t="s">
        <v>524</v>
      </c>
      <c r="E510" s="48">
        <v>100502</v>
      </c>
      <c r="F510" s="30" t="s">
        <v>1458</v>
      </c>
      <c r="G510" s="29" t="s">
        <v>88</v>
      </c>
      <c r="H510" s="30" t="s">
        <v>1398</v>
      </c>
      <c r="I510" s="78"/>
      <c r="J510" s="20"/>
      <c r="K510" s="20"/>
      <c r="L510" s="20"/>
      <c r="M510" s="20"/>
      <c r="N510" s="69" t="s">
        <v>256</v>
      </c>
      <c r="O510" s="70">
        <v>0</v>
      </c>
      <c r="P510" s="70">
        <v>0</v>
      </c>
      <c r="Q510" s="70">
        <f t="shared" si="42"/>
        <v>0</v>
      </c>
      <c r="R510" s="70"/>
      <c r="S510" s="67"/>
      <c r="T510" s="2" t="str">
        <f t="shared" si="43"/>
        <v>Thạch Mỹ Nhung_11AS1</v>
      </c>
      <c r="U510" s="28">
        <f t="array" ref="U510">IFERROR(VLOOKUP($T510,'Nghi hoc T12'!$H$7:$I$160,2,0),0)</f>
        <v>0</v>
      </c>
      <c r="V510" s="28">
        <f>IFERROR(VLOOKUP($T510,No_HP!$B$2:$C$514,2,0),0)</f>
        <v>0</v>
      </c>
      <c r="W510" s="28">
        <f t="shared" si="44"/>
        <v>0</v>
      </c>
      <c r="X510" s="333">
        <f t="shared" si="45"/>
        <v>0</v>
      </c>
      <c r="Y510" s="333">
        <f t="shared" si="46"/>
        <v>0</v>
      </c>
    </row>
    <row r="511" spans="1:25" s="2" customFormat="1" ht="21.95" customHeight="1">
      <c r="A511" s="82">
        <v>27</v>
      </c>
      <c r="B511" s="91" t="str">
        <f t="shared" si="47"/>
        <v>6B.S</v>
      </c>
      <c r="C511" s="83" t="s">
        <v>366</v>
      </c>
      <c r="D511" s="81" t="s">
        <v>524</v>
      </c>
      <c r="E511" s="48">
        <v>100503</v>
      </c>
      <c r="F511" s="30" t="s">
        <v>1459</v>
      </c>
      <c r="G511" s="29" t="s">
        <v>21</v>
      </c>
      <c r="H511" s="30" t="s">
        <v>1399</v>
      </c>
      <c r="I511" s="78"/>
      <c r="J511" s="20"/>
      <c r="K511" s="20"/>
      <c r="L511" s="20"/>
      <c r="M511" s="20"/>
      <c r="N511" s="69" t="s">
        <v>256</v>
      </c>
      <c r="O511" s="70">
        <v>0</v>
      </c>
      <c r="P511" s="70">
        <v>0</v>
      </c>
      <c r="Q511" s="70">
        <f t="shared" si="42"/>
        <v>0</v>
      </c>
      <c r="R511" s="70"/>
      <c r="S511" s="67"/>
      <c r="T511" s="2" t="str">
        <f t="shared" si="43"/>
        <v>Lê Thị Tâm Như_11AS2</v>
      </c>
      <c r="U511" s="28">
        <f t="array" ref="U511">IFERROR(VLOOKUP($T511,'Nghi hoc T12'!$H$7:$I$160,2,0),0)</f>
        <v>0</v>
      </c>
      <c r="V511" s="28">
        <f>IFERROR(VLOOKUP($T511,No_HP!$B$2:$C$514,2,0),0)</f>
        <v>0</v>
      </c>
      <c r="W511" s="28">
        <f t="shared" si="44"/>
        <v>0</v>
      </c>
      <c r="X511" s="333">
        <f t="shared" si="45"/>
        <v>0</v>
      </c>
      <c r="Y511" s="333">
        <f t="shared" si="46"/>
        <v>0</v>
      </c>
    </row>
    <row r="512" spans="1:25" s="2" customFormat="1" ht="21.95" customHeight="1">
      <c r="A512" s="82">
        <v>28</v>
      </c>
      <c r="B512" s="91" t="str">
        <f t="shared" si="47"/>
        <v>6B.S</v>
      </c>
      <c r="C512" s="83" t="s">
        <v>366</v>
      </c>
      <c r="D512" s="81" t="s">
        <v>524</v>
      </c>
      <c r="E512" s="48">
        <v>100504</v>
      </c>
      <c r="F512" s="30" t="s">
        <v>1460</v>
      </c>
      <c r="G512" s="29" t="s">
        <v>21</v>
      </c>
      <c r="H512" s="30" t="s">
        <v>1402</v>
      </c>
      <c r="I512" s="78"/>
      <c r="J512" s="20"/>
      <c r="K512" s="20"/>
      <c r="L512" s="20"/>
      <c r="M512" s="20"/>
      <c r="N512" s="69" t="s">
        <v>256</v>
      </c>
      <c r="O512" s="70">
        <v>0</v>
      </c>
      <c r="P512" s="70">
        <v>0</v>
      </c>
      <c r="Q512" s="70">
        <f t="shared" si="42"/>
        <v>0</v>
      </c>
      <c r="R512" s="70"/>
      <c r="S512" s="67"/>
      <c r="T512" s="2" t="str">
        <f t="shared" si="43"/>
        <v>Mai Quỳnh Như_11AS3</v>
      </c>
      <c r="U512" s="28">
        <f t="array" ref="U512">IFERROR(VLOOKUP($T512,'Nghi hoc T12'!$H$7:$I$160,2,0),0)</f>
        <v>0</v>
      </c>
      <c r="V512" s="28">
        <f>IFERROR(VLOOKUP($T512,No_HP!$B$2:$C$514,2,0),0)</f>
        <v>0</v>
      </c>
      <c r="W512" s="28">
        <f t="shared" si="44"/>
        <v>0</v>
      </c>
      <c r="X512" s="333">
        <f t="shared" si="45"/>
        <v>0</v>
      </c>
      <c r="Y512" s="333">
        <f t="shared" si="46"/>
        <v>0</v>
      </c>
    </row>
    <row r="513" spans="1:25" s="2" customFormat="1" ht="21.95" customHeight="1">
      <c r="A513" s="200">
        <v>1</v>
      </c>
      <c r="B513" s="91" t="str">
        <f t="shared" si="47"/>
        <v>7B.S</v>
      </c>
      <c r="C513" s="185" t="s">
        <v>366</v>
      </c>
      <c r="D513" s="186" t="s">
        <v>525</v>
      </c>
      <c r="E513" s="187">
        <v>100505</v>
      </c>
      <c r="F513" s="188" t="s">
        <v>316</v>
      </c>
      <c r="G513" s="189" t="s">
        <v>21</v>
      </c>
      <c r="H513" s="188" t="s">
        <v>1398</v>
      </c>
      <c r="I513" s="190"/>
      <c r="J513" s="191"/>
      <c r="K513" s="191"/>
      <c r="L513" s="191"/>
      <c r="M513" s="191"/>
      <c r="N513" s="69" t="s">
        <v>256</v>
      </c>
      <c r="O513" s="70">
        <v>0</v>
      </c>
      <c r="P513" s="70">
        <v>0</v>
      </c>
      <c r="Q513" s="70">
        <f t="shared" si="42"/>
        <v>0</v>
      </c>
      <c r="R513" s="70"/>
      <c r="S513" s="67"/>
      <c r="T513" s="2" t="str">
        <f t="shared" si="43"/>
        <v>Ngô Thị Ngọc Như_11AS1</v>
      </c>
      <c r="U513" s="28">
        <f t="array" ref="U513">IFERROR(VLOOKUP($T513,'Nghi hoc T12'!$H$7:$I$160,2,0),0)</f>
        <v>0</v>
      </c>
      <c r="V513" s="28">
        <f>IFERROR(VLOOKUP($T513,No_HP!$B$2:$C$514,2,0),0)</f>
        <v>0</v>
      </c>
      <c r="W513" s="28">
        <f t="shared" si="44"/>
        <v>0</v>
      </c>
      <c r="X513" s="333">
        <f t="shared" si="45"/>
        <v>0</v>
      </c>
      <c r="Y513" s="333">
        <f t="shared" si="46"/>
        <v>0</v>
      </c>
    </row>
    <row r="514" spans="1:25" s="2" customFormat="1" ht="21.95" customHeight="1">
      <c r="A514" s="82">
        <v>2</v>
      </c>
      <c r="B514" s="91" t="str">
        <f t="shared" si="47"/>
        <v>7B.S</v>
      </c>
      <c r="C514" s="83" t="s">
        <v>366</v>
      </c>
      <c r="D514" s="81" t="s">
        <v>525</v>
      </c>
      <c r="E514" s="48">
        <v>100506</v>
      </c>
      <c r="F514" s="30" t="s">
        <v>1407</v>
      </c>
      <c r="G514" s="29" t="s">
        <v>21</v>
      </c>
      <c r="H514" s="30" t="s">
        <v>1399</v>
      </c>
      <c r="I514" s="78"/>
      <c r="J514" s="20"/>
      <c r="K514" s="20"/>
      <c r="L514" s="20"/>
      <c r="M514" s="20"/>
      <c r="N514" s="69" t="s">
        <v>256</v>
      </c>
      <c r="O514" s="70">
        <v>0</v>
      </c>
      <c r="P514" s="70">
        <v>0</v>
      </c>
      <c r="Q514" s="70">
        <f t="shared" si="42"/>
        <v>0</v>
      </c>
      <c r="R514" s="70"/>
      <c r="S514" s="67"/>
      <c r="T514" s="2" t="str">
        <f t="shared" si="43"/>
        <v>Nguyễn Vũ Quỳnh Như_11AS2</v>
      </c>
      <c r="U514" s="28">
        <f t="array" ref="U514">IFERROR(VLOOKUP($T514,'Nghi hoc T12'!$H$7:$I$160,2,0),0)</f>
        <v>0</v>
      </c>
      <c r="V514" s="28">
        <f>IFERROR(VLOOKUP($T514,No_HP!$B$2:$C$514,2,0),0)</f>
        <v>0</v>
      </c>
      <c r="W514" s="28">
        <f t="shared" si="44"/>
        <v>0</v>
      </c>
      <c r="X514" s="333">
        <f t="shared" si="45"/>
        <v>0</v>
      </c>
      <c r="Y514" s="333">
        <f t="shared" si="46"/>
        <v>0</v>
      </c>
    </row>
    <row r="515" spans="1:25" s="2" customFormat="1" ht="21.95" customHeight="1">
      <c r="A515" s="82">
        <v>3</v>
      </c>
      <c r="B515" s="91" t="str">
        <f t="shared" si="47"/>
        <v>7B.S</v>
      </c>
      <c r="C515" s="83" t="s">
        <v>366</v>
      </c>
      <c r="D515" s="81" t="s">
        <v>525</v>
      </c>
      <c r="E515" s="48">
        <v>100507</v>
      </c>
      <c r="F515" s="30" t="s">
        <v>1461</v>
      </c>
      <c r="G515" s="29" t="s">
        <v>21</v>
      </c>
      <c r="H515" s="30" t="s">
        <v>1402</v>
      </c>
      <c r="I515" s="78"/>
      <c r="J515" s="20"/>
      <c r="K515" s="20"/>
      <c r="L515" s="20"/>
      <c r="M515" s="20"/>
      <c r="N515" s="69" t="s">
        <v>256</v>
      </c>
      <c r="O515" s="70">
        <v>0</v>
      </c>
      <c r="P515" s="70">
        <v>0</v>
      </c>
      <c r="Q515" s="70">
        <f t="shared" si="42"/>
        <v>0</v>
      </c>
      <c r="R515" s="70"/>
      <c r="S515" s="67"/>
      <c r="T515" s="2" t="str">
        <f t="shared" si="43"/>
        <v>Phạm Quỳnh Như_11AS3</v>
      </c>
      <c r="U515" s="28">
        <f t="array" ref="U515">IFERROR(VLOOKUP($T515,'Nghi hoc T12'!$H$7:$I$160,2,0),0)</f>
        <v>0</v>
      </c>
      <c r="V515" s="28">
        <f>IFERROR(VLOOKUP($T515,No_HP!$B$2:$C$514,2,0),0)</f>
        <v>0</v>
      </c>
      <c r="W515" s="28">
        <f t="shared" si="44"/>
        <v>0</v>
      </c>
      <c r="X515" s="333">
        <f t="shared" si="45"/>
        <v>0</v>
      </c>
      <c r="Y515" s="333">
        <f t="shared" si="46"/>
        <v>0</v>
      </c>
    </row>
    <row r="516" spans="1:25" s="2" customFormat="1" ht="21.95" customHeight="1">
      <c r="A516" s="82">
        <v>4</v>
      </c>
      <c r="B516" s="91" t="str">
        <f t="shared" si="47"/>
        <v>7B.S</v>
      </c>
      <c r="C516" s="83" t="s">
        <v>366</v>
      </c>
      <c r="D516" s="81" t="s">
        <v>525</v>
      </c>
      <c r="E516" s="48">
        <v>100508</v>
      </c>
      <c r="F516" s="30" t="s">
        <v>236</v>
      </c>
      <c r="G516" s="29" t="s">
        <v>42</v>
      </c>
      <c r="H516" s="30" t="s">
        <v>1402</v>
      </c>
      <c r="I516" s="78"/>
      <c r="J516" s="20"/>
      <c r="K516" s="20"/>
      <c r="L516" s="20"/>
      <c r="M516" s="20"/>
      <c r="N516" s="69" t="s">
        <v>256</v>
      </c>
      <c r="O516" s="70">
        <v>0</v>
      </c>
      <c r="P516" s="70">
        <v>0</v>
      </c>
      <c r="Q516" s="70">
        <f t="shared" si="42"/>
        <v>0</v>
      </c>
      <c r="R516" s="70"/>
      <c r="S516" s="67"/>
      <c r="T516" s="2" t="str">
        <f t="shared" si="43"/>
        <v>Huỳnh Tấn Phát_11AS3</v>
      </c>
      <c r="U516" s="28">
        <f t="array" ref="U516">IFERROR(VLOOKUP($T516,'Nghi hoc T12'!$H$7:$I$160,2,0),0)</f>
        <v>0</v>
      </c>
      <c r="V516" s="28">
        <f>IFERROR(VLOOKUP($T516,No_HP!$B$2:$C$514,2,0),0)</f>
        <v>0</v>
      </c>
      <c r="W516" s="28">
        <f t="shared" si="44"/>
        <v>0</v>
      </c>
      <c r="X516" s="333">
        <f t="shared" si="45"/>
        <v>0</v>
      </c>
      <c r="Y516" s="333">
        <f t="shared" si="46"/>
        <v>0</v>
      </c>
    </row>
    <row r="517" spans="1:25" s="2" customFormat="1" ht="21.95" customHeight="1">
      <c r="A517" s="82">
        <v>5</v>
      </c>
      <c r="B517" s="91" t="str">
        <f t="shared" si="47"/>
        <v>7B.S</v>
      </c>
      <c r="C517" s="83" t="s">
        <v>366</v>
      </c>
      <c r="D517" s="81" t="s">
        <v>525</v>
      </c>
      <c r="E517" s="48">
        <v>100509</v>
      </c>
      <c r="F517" s="30" t="s">
        <v>1462</v>
      </c>
      <c r="G517" s="29" t="s">
        <v>103</v>
      </c>
      <c r="H517" s="30" t="s">
        <v>1398</v>
      </c>
      <c r="I517" s="78"/>
      <c r="J517" s="20"/>
      <c r="K517" s="20"/>
      <c r="L517" s="20"/>
      <c r="M517" s="20"/>
      <c r="N517" s="69" t="s">
        <v>256</v>
      </c>
      <c r="O517" s="70">
        <v>0</v>
      </c>
      <c r="P517" s="70">
        <v>0</v>
      </c>
      <c r="Q517" s="70">
        <f t="shared" si="42"/>
        <v>0</v>
      </c>
      <c r="R517" s="70"/>
      <c r="S517" s="67"/>
      <c r="T517" s="2" t="str">
        <f t="shared" si="43"/>
        <v>Hà Triệu Phú_11AS1</v>
      </c>
      <c r="U517" s="28">
        <f t="array" ref="U517">IFERROR(VLOOKUP($T517,'Nghi hoc T12'!$H$7:$I$160,2,0),0)</f>
        <v>0</v>
      </c>
      <c r="V517" s="28">
        <f>IFERROR(VLOOKUP($T517,No_HP!$B$2:$C$514,2,0),0)</f>
        <v>0</v>
      </c>
      <c r="W517" s="28">
        <f t="shared" si="44"/>
        <v>0</v>
      </c>
      <c r="X517" s="333">
        <f t="shared" si="45"/>
        <v>0</v>
      </c>
      <c r="Y517" s="333">
        <f t="shared" si="46"/>
        <v>0</v>
      </c>
    </row>
    <row r="518" spans="1:25" s="2" customFormat="1" ht="21.95" customHeight="1">
      <c r="A518" s="82">
        <v>6</v>
      </c>
      <c r="B518" s="91" t="str">
        <f t="shared" si="47"/>
        <v>7B.S</v>
      </c>
      <c r="C518" s="83" t="s">
        <v>366</v>
      </c>
      <c r="D518" s="81" t="s">
        <v>525</v>
      </c>
      <c r="E518" s="48">
        <v>100510</v>
      </c>
      <c r="F518" s="30" t="s">
        <v>1463</v>
      </c>
      <c r="G518" s="29" t="s">
        <v>71</v>
      </c>
      <c r="H518" s="30" t="s">
        <v>1398</v>
      </c>
      <c r="I518" s="78"/>
      <c r="J518" s="20"/>
      <c r="K518" s="20"/>
      <c r="L518" s="20"/>
      <c r="M518" s="20"/>
      <c r="N518" s="69" t="s">
        <v>256</v>
      </c>
      <c r="O518" s="70">
        <v>0</v>
      </c>
      <c r="P518" s="70">
        <v>0</v>
      </c>
      <c r="Q518" s="70">
        <f t="shared" si="42"/>
        <v>0</v>
      </c>
      <c r="R518" s="70"/>
      <c r="S518" s="67"/>
      <c r="T518" s="2" t="str">
        <f t="shared" si="43"/>
        <v>Hoàng Lưu Hồng Phúc_11AS1</v>
      </c>
      <c r="U518" s="28">
        <f t="array" ref="U518">IFERROR(VLOOKUP($T518,'Nghi hoc T12'!$H$7:$I$160,2,0),0)</f>
        <v>0</v>
      </c>
      <c r="V518" s="28">
        <f>IFERROR(VLOOKUP($T518,No_HP!$B$2:$C$514,2,0),0)</f>
        <v>0</v>
      </c>
      <c r="W518" s="28">
        <f t="shared" si="44"/>
        <v>0</v>
      </c>
      <c r="X518" s="333">
        <f t="shared" si="45"/>
        <v>0</v>
      </c>
      <c r="Y518" s="333">
        <f t="shared" si="46"/>
        <v>0</v>
      </c>
    </row>
    <row r="519" spans="1:25" s="2" customFormat="1" ht="21.95" customHeight="1">
      <c r="A519" s="82">
        <v>7</v>
      </c>
      <c r="B519" s="91" t="str">
        <f t="shared" si="47"/>
        <v>7B.S</v>
      </c>
      <c r="C519" s="83" t="s">
        <v>366</v>
      </c>
      <c r="D519" s="81" t="s">
        <v>525</v>
      </c>
      <c r="E519" s="48">
        <v>100511</v>
      </c>
      <c r="F519" s="30" t="s">
        <v>1464</v>
      </c>
      <c r="G519" s="29" t="s">
        <v>71</v>
      </c>
      <c r="H519" s="30" t="s">
        <v>1399</v>
      </c>
      <c r="I519" s="78"/>
      <c r="J519" s="20"/>
      <c r="K519" s="20"/>
      <c r="L519" s="20"/>
      <c r="M519" s="20"/>
      <c r="N519" s="69" t="s">
        <v>256</v>
      </c>
      <c r="O519" s="70">
        <v>0</v>
      </c>
      <c r="P519" s="70">
        <v>0</v>
      </c>
      <c r="Q519" s="70">
        <f t="shared" si="42"/>
        <v>0</v>
      </c>
      <c r="R519" s="70"/>
      <c r="S519" s="67"/>
      <c r="T519" s="2" t="str">
        <f t="shared" si="43"/>
        <v>Nguyễn Nguyễn Gia Phúc_11AS2</v>
      </c>
      <c r="U519" s="28">
        <f t="array" ref="U519">IFERROR(VLOOKUP($T519,'Nghi hoc T12'!$H$7:$I$160,2,0),0)</f>
        <v>0</v>
      </c>
      <c r="V519" s="28">
        <f>IFERROR(VLOOKUP($T519,No_HP!$B$2:$C$514,2,0),0)</f>
        <v>0</v>
      </c>
      <c r="W519" s="28">
        <f t="shared" si="44"/>
        <v>0</v>
      </c>
      <c r="X519" s="333">
        <f t="shared" si="45"/>
        <v>0</v>
      </c>
      <c r="Y519" s="333">
        <f t="shared" si="46"/>
        <v>0</v>
      </c>
    </row>
    <row r="520" spans="1:25" s="2" customFormat="1" ht="21.95" customHeight="1">
      <c r="A520" s="82">
        <v>8</v>
      </c>
      <c r="B520" s="91" t="str">
        <f t="shared" si="47"/>
        <v>7B.S</v>
      </c>
      <c r="C520" s="83" t="s">
        <v>366</v>
      </c>
      <c r="D520" s="81" t="s">
        <v>525</v>
      </c>
      <c r="E520" s="48">
        <v>100512</v>
      </c>
      <c r="F520" s="30" t="s">
        <v>1465</v>
      </c>
      <c r="G520" s="29" t="s">
        <v>71</v>
      </c>
      <c r="H520" s="30" t="s">
        <v>1398</v>
      </c>
      <c r="I520" s="78"/>
      <c r="J520" s="20"/>
      <c r="K520" s="20"/>
      <c r="L520" s="20"/>
      <c r="M520" s="20"/>
      <c r="N520" s="69" t="s">
        <v>256</v>
      </c>
      <c r="O520" s="70">
        <v>0</v>
      </c>
      <c r="P520" s="70">
        <v>0</v>
      </c>
      <c r="Q520" s="70">
        <f t="shared" si="42"/>
        <v>0</v>
      </c>
      <c r="R520" s="70"/>
      <c r="S520" s="67"/>
      <c r="T520" s="2" t="str">
        <f t="shared" si="43"/>
        <v>Võ Gia Phúc_11AS1</v>
      </c>
      <c r="U520" s="28">
        <f t="array" ref="U520">IFERROR(VLOOKUP($T520,'Nghi hoc T12'!$H$7:$I$160,2,0),0)</f>
        <v>0</v>
      </c>
      <c r="V520" s="28">
        <f>IFERROR(VLOOKUP($T520,No_HP!$B$2:$C$514,2,0),0)</f>
        <v>0</v>
      </c>
      <c r="W520" s="28">
        <f t="shared" si="44"/>
        <v>0</v>
      </c>
      <c r="X520" s="333">
        <f t="shared" si="45"/>
        <v>0</v>
      </c>
      <c r="Y520" s="333">
        <f t="shared" si="46"/>
        <v>0</v>
      </c>
    </row>
    <row r="521" spans="1:25" s="2" customFormat="1" ht="21.95" customHeight="1">
      <c r="A521" s="82">
        <v>9</v>
      </c>
      <c r="B521" s="91" t="str">
        <f t="shared" si="47"/>
        <v>7B.S</v>
      </c>
      <c r="C521" s="83" t="s">
        <v>366</v>
      </c>
      <c r="D521" s="81" t="s">
        <v>525</v>
      </c>
      <c r="E521" s="48">
        <v>100513</v>
      </c>
      <c r="F521" s="30" t="s">
        <v>1466</v>
      </c>
      <c r="G521" s="29" t="s">
        <v>43</v>
      </c>
      <c r="H521" s="30" t="s">
        <v>1402</v>
      </c>
      <c r="I521" s="78"/>
      <c r="J521" s="20"/>
      <c r="K521" s="20"/>
      <c r="L521" s="20"/>
      <c r="M521" s="20"/>
      <c r="N521" s="69" t="s">
        <v>256</v>
      </c>
      <c r="O521" s="70">
        <v>0</v>
      </c>
      <c r="P521" s="70">
        <v>0</v>
      </c>
      <c r="Q521" s="70">
        <f t="shared" si="42"/>
        <v>0</v>
      </c>
      <c r="R521" s="70"/>
      <c r="S521" s="67"/>
      <c r="T521" s="2" t="str">
        <f t="shared" si="43"/>
        <v>Hồ Thanh Hoàng Phương_11AS3</v>
      </c>
      <c r="U521" s="28">
        <f t="array" ref="U521">IFERROR(VLOOKUP($T521,'Nghi hoc T12'!$H$7:$I$160,2,0),0)</f>
        <v>0</v>
      </c>
      <c r="V521" s="28">
        <f>IFERROR(VLOOKUP($T521,No_HP!$B$2:$C$514,2,0),0)</f>
        <v>0</v>
      </c>
      <c r="W521" s="28">
        <f t="shared" si="44"/>
        <v>0</v>
      </c>
      <c r="X521" s="333">
        <f t="shared" si="45"/>
        <v>0</v>
      </c>
      <c r="Y521" s="333">
        <f t="shared" si="46"/>
        <v>0</v>
      </c>
    </row>
    <row r="522" spans="1:25" s="2" customFormat="1" ht="21.95" customHeight="1">
      <c r="A522" s="82">
        <v>10</v>
      </c>
      <c r="B522" s="91" t="str">
        <f t="shared" si="47"/>
        <v>7B.S</v>
      </c>
      <c r="C522" s="83" t="s">
        <v>366</v>
      </c>
      <c r="D522" s="81" t="s">
        <v>525</v>
      </c>
      <c r="E522" s="48">
        <v>100514</v>
      </c>
      <c r="F522" s="30" t="s">
        <v>1467</v>
      </c>
      <c r="G522" s="29" t="s">
        <v>43</v>
      </c>
      <c r="H522" s="30" t="s">
        <v>1399</v>
      </c>
      <c r="I522" s="78"/>
      <c r="J522" s="20"/>
      <c r="K522" s="20"/>
      <c r="L522" s="20"/>
      <c r="M522" s="20"/>
      <c r="N522" s="69" t="s">
        <v>256</v>
      </c>
      <c r="O522" s="70">
        <v>0</v>
      </c>
      <c r="P522" s="70">
        <v>0</v>
      </c>
      <c r="Q522" s="70">
        <f t="shared" ref="Q522:Q585" si="48">U522</f>
        <v>0</v>
      </c>
      <c r="R522" s="70"/>
      <c r="S522" s="67"/>
      <c r="T522" s="2" t="str">
        <f t="shared" ref="T522:T585" si="49">TRIM(F522&amp;" "&amp;G522&amp;"_"&amp;H522)</f>
        <v>Trần Thái Mai Phương_11AS2</v>
      </c>
      <c r="U522" s="28">
        <f t="array" ref="U522">IFERROR(VLOOKUP($T522,'Nghi hoc T12'!$H$7:$I$160,2,0),0)</f>
        <v>0</v>
      </c>
      <c r="V522" s="28">
        <f>IFERROR(VLOOKUP($T522,No_HP!$B$2:$C$514,2,0),0)</f>
        <v>0</v>
      </c>
      <c r="W522" s="28">
        <f t="shared" ref="W522:W585" si="50">I522</f>
        <v>0</v>
      </c>
      <c r="X522" s="333">
        <f t="shared" ref="X522:X585" si="51">O522</f>
        <v>0</v>
      </c>
      <c r="Y522" s="333">
        <f t="shared" ref="Y522:Y585" si="52">P522</f>
        <v>0</v>
      </c>
    </row>
    <row r="523" spans="1:25" s="2" customFormat="1" ht="21.95" customHeight="1">
      <c r="A523" s="82">
        <v>11</v>
      </c>
      <c r="B523" s="91" t="str">
        <f t="shared" ref="B523:B586" si="53">RIGHT(D523,LEN(D523)-2)&amp;"."&amp;LEFT(N523,1)</f>
        <v>7B.S</v>
      </c>
      <c r="C523" s="83" t="s">
        <v>366</v>
      </c>
      <c r="D523" s="81" t="s">
        <v>525</v>
      </c>
      <c r="E523" s="48">
        <v>100515</v>
      </c>
      <c r="F523" s="30" t="s">
        <v>279</v>
      </c>
      <c r="G523" s="29" t="s">
        <v>44</v>
      </c>
      <c r="H523" s="30" t="s">
        <v>1399</v>
      </c>
      <c r="I523" s="78"/>
      <c r="J523" s="20"/>
      <c r="K523" s="20"/>
      <c r="L523" s="20"/>
      <c r="M523" s="20"/>
      <c r="N523" s="69" t="s">
        <v>256</v>
      </c>
      <c r="O523" s="70">
        <v>0</v>
      </c>
      <c r="P523" s="70">
        <v>0</v>
      </c>
      <c r="Q523" s="70">
        <f t="shared" si="48"/>
        <v>0</v>
      </c>
      <c r="R523" s="70"/>
      <c r="S523" s="67"/>
      <c r="T523" s="2" t="str">
        <f t="shared" si="49"/>
        <v>Lê Quang_11AS2</v>
      </c>
      <c r="U523" s="28">
        <f t="array" ref="U523">IFERROR(VLOOKUP($T523,'Nghi hoc T12'!$H$7:$I$160,2,0),0)</f>
        <v>0</v>
      </c>
      <c r="V523" s="28">
        <f>IFERROR(VLOOKUP($T523,No_HP!$B$2:$C$514,2,0),0)</f>
        <v>0</v>
      </c>
      <c r="W523" s="28">
        <f t="shared" si="50"/>
        <v>0</v>
      </c>
      <c r="X523" s="333">
        <f t="shared" si="51"/>
        <v>0</v>
      </c>
      <c r="Y523" s="333">
        <f t="shared" si="52"/>
        <v>0</v>
      </c>
    </row>
    <row r="524" spans="1:25" s="2" customFormat="1" ht="21.95" customHeight="1">
      <c r="A524" s="82">
        <v>12</v>
      </c>
      <c r="B524" s="91" t="str">
        <f t="shared" si="53"/>
        <v>7B.S</v>
      </c>
      <c r="C524" s="83" t="s">
        <v>366</v>
      </c>
      <c r="D524" s="81" t="s">
        <v>525</v>
      </c>
      <c r="E524" s="48">
        <v>100516</v>
      </c>
      <c r="F524" s="30" t="s">
        <v>186</v>
      </c>
      <c r="G524" s="29" t="s">
        <v>57</v>
      </c>
      <c r="H524" s="30" t="s">
        <v>1398</v>
      </c>
      <c r="I524" s="78"/>
      <c r="J524" s="20"/>
      <c r="K524" s="20"/>
      <c r="L524" s="20"/>
      <c r="M524" s="20"/>
      <c r="N524" s="69" t="s">
        <v>256</v>
      </c>
      <c r="O524" s="70">
        <v>0</v>
      </c>
      <c r="P524" s="70">
        <v>0</v>
      </c>
      <c r="Q524" s="70">
        <f t="shared" si="48"/>
        <v>0</v>
      </c>
      <c r="R524" s="70"/>
      <c r="S524" s="67"/>
      <c r="T524" s="2" t="str">
        <f t="shared" si="49"/>
        <v>Nguyễn Minh Quân_11AS1</v>
      </c>
      <c r="U524" s="28">
        <f t="array" ref="U524">IFERROR(VLOOKUP($T524,'Nghi hoc T12'!$H$7:$I$160,2,0),0)</f>
        <v>0</v>
      </c>
      <c r="V524" s="28">
        <f>IFERROR(VLOOKUP($T524,No_HP!$B$2:$C$514,2,0),0)</f>
        <v>0</v>
      </c>
      <c r="W524" s="28">
        <f t="shared" si="50"/>
        <v>0</v>
      </c>
      <c r="X524" s="333">
        <f t="shared" si="51"/>
        <v>0</v>
      </c>
      <c r="Y524" s="333">
        <f t="shared" si="52"/>
        <v>0</v>
      </c>
    </row>
    <row r="525" spans="1:25" s="2" customFormat="1" ht="21.95" customHeight="1">
      <c r="A525" s="82">
        <v>13</v>
      </c>
      <c r="B525" s="91" t="str">
        <f t="shared" si="53"/>
        <v>7B.S</v>
      </c>
      <c r="C525" s="83" t="s">
        <v>366</v>
      </c>
      <c r="D525" s="81" t="s">
        <v>525</v>
      </c>
      <c r="E525" s="48">
        <v>100517</v>
      </c>
      <c r="F525" s="30" t="s">
        <v>333</v>
      </c>
      <c r="G525" s="29" t="s">
        <v>57</v>
      </c>
      <c r="H525" s="30" t="s">
        <v>1399</v>
      </c>
      <c r="I525" s="78"/>
      <c r="J525" s="20"/>
      <c r="K525" s="20"/>
      <c r="L525" s="20"/>
      <c r="M525" s="20"/>
      <c r="N525" s="69" t="s">
        <v>256</v>
      </c>
      <c r="O525" s="70">
        <v>0</v>
      </c>
      <c r="P525" s="70">
        <v>0</v>
      </c>
      <c r="Q525" s="70">
        <f t="shared" si="48"/>
        <v>0</v>
      </c>
      <c r="R525" s="70"/>
      <c r="S525" s="67"/>
      <c r="T525" s="2" t="str">
        <f t="shared" si="49"/>
        <v>Phạm Đức Quân_11AS2</v>
      </c>
      <c r="U525" s="28">
        <f t="array" ref="U525">IFERROR(VLOOKUP($T525,'Nghi hoc T12'!$H$7:$I$160,2,0),0)</f>
        <v>0</v>
      </c>
      <c r="V525" s="28">
        <f>IFERROR(VLOOKUP($T525,No_HP!$B$2:$C$514,2,0),0)</f>
        <v>0</v>
      </c>
      <c r="W525" s="28">
        <f t="shared" si="50"/>
        <v>0</v>
      </c>
      <c r="X525" s="333">
        <f t="shared" si="51"/>
        <v>0</v>
      </c>
      <c r="Y525" s="333">
        <f t="shared" si="52"/>
        <v>0</v>
      </c>
    </row>
    <row r="526" spans="1:25" s="2" customFormat="1" ht="21.95" customHeight="1">
      <c r="A526" s="82">
        <v>14</v>
      </c>
      <c r="B526" s="91" t="str">
        <f t="shared" si="53"/>
        <v>7B.S</v>
      </c>
      <c r="C526" s="83" t="s">
        <v>366</v>
      </c>
      <c r="D526" s="81" t="s">
        <v>525</v>
      </c>
      <c r="E526" s="48">
        <v>100518</v>
      </c>
      <c r="F526" s="30" t="s">
        <v>1468</v>
      </c>
      <c r="G526" s="29" t="s">
        <v>22</v>
      </c>
      <c r="H526" s="30" t="s">
        <v>1402</v>
      </c>
      <c r="I526" s="78"/>
      <c r="J526" s="20"/>
      <c r="K526" s="20"/>
      <c r="L526" s="20"/>
      <c r="M526" s="20"/>
      <c r="N526" s="69" t="s">
        <v>256</v>
      </c>
      <c r="O526" s="70">
        <v>0</v>
      </c>
      <c r="P526" s="70">
        <v>0</v>
      </c>
      <c r="Q526" s="70">
        <f t="shared" si="48"/>
        <v>0</v>
      </c>
      <c r="R526" s="70"/>
      <c r="S526" s="67"/>
      <c r="T526" s="2" t="str">
        <f t="shared" si="49"/>
        <v>Đinh Thị Như Quỳnh_11AS3</v>
      </c>
      <c r="U526" s="28">
        <f t="array" ref="U526">IFERROR(VLOOKUP($T526,'Nghi hoc T12'!$H$7:$I$160,2,0),0)</f>
        <v>0</v>
      </c>
      <c r="V526" s="28">
        <f>IFERROR(VLOOKUP($T526,No_HP!$B$2:$C$514,2,0),0)</f>
        <v>0</v>
      </c>
      <c r="W526" s="28">
        <f t="shared" si="50"/>
        <v>0</v>
      </c>
      <c r="X526" s="333">
        <f t="shared" si="51"/>
        <v>0</v>
      </c>
      <c r="Y526" s="333">
        <f t="shared" si="52"/>
        <v>0</v>
      </c>
    </row>
    <row r="527" spans="1:25" s="2" customFormat="1" ht="21.95" customHeight="1">
      <c r="A527" s="82">
        <v>15</v>
      </c>
      <c r="B527" s="91" t="str">
        <f t="shared" si="53"/>
        <v>7B.S</v>
      </c>
      <c r="C527" s="83" t="s">
        <v>366</v>
      </c>
      <c r="D527" s="81" t="s">
        <v>525</v>
      </c>
      <c r="E527" s="48">
        <v>100519</v>
      </c>
      <c r="F527" s="30" t="s">
        <v>1337</v>
      </c>
      <c r="G527" s="29" t="s">
        <v>47</v>
      </c>
      <c r="H527" s="30" t="s">
        <v>1402</v>
      </c>
      <c r="I527" s="78"/>
      <c r="J527" s="20"/>
      <c r="K527" s="20"/>
      <c r="L527" s="20"/>
      <c r="M527" s="20"/>
      <c r="N527" s="69" t="s">
        <v>256</v>
      </c>
      <c r="O527" s="70">
        <v>0</v>
      </c>
      <c r="P527" s="70">
        <v>0</v>
      </c>
      <c r="Q527" s="70">
        <f t="shared" si="48"/>
        <v>0</v>
      </c>
      <c r="R527" s="70"/>
      <c r="S527" s="67"/>
      <c r="T527" s="2" t="str">
        <f t="shared" si="49"/>
        <v>Vương Sang_11AS3</v>
      </c>
      <c r="U527" s="28">
        <f t="array" ref="U527">IFERROR(VLOOKUP($T527,'Nghi hoc T12'!$H$7:$I$160,2,0),0)</f>
        <v>0</v>
      </c>
      <c r="V527" s="28">
        <f>IFERROR(VLOOKUP($T527,No_HP!$B$2:$C$514,2,0),0)</f>
        <v>0</v>
      </c>
      <c r="W527" s="28">
        <f t="shared" si="50"/>
        <v>0</v>
      </c>
      <c r="X527" s="333">
        <f t="shared" si="51"/>
        <v>0</v>
      </c>
      <c r="Y527" s="333">
        <f t="shared" si="52"/>
        <v>0</v>
      </c>
    </row>
    <row r="528" spans="1:25" s="2" customFormat="1" ht="21.95" customHeight="1">
      <c r="A528" s="82">
        <v>16</v>
      </c>
      <c r="B528" s="91" t="str">
        <f t="shared" si="53"/>
        <v>7B.S</v>
      </c>
      <c r="C528" s="83" t="s">
        <v>366</v>
      </c>
      <c r="D528" s="81" t="s">
        <v>525</v>
      </c>
      <c r="E528" s="48">
        <v>100520</v>
      </c>
      <c r="F528" s="30" t="s">
        <v>329</v>
      </c>
      <c r="G528" s="29" t="s">
        <v>93</v>
      </c>
      <c r="H528" s="30" t="s">
        <v>1398</v>
      </c>
      <c r="I528" s="78"/>
      <c r="J528" s="20"/>
      <c r="K528" s="20"/>
      <c r="L528" s="20"/>
      <c r="M528" s="20"/>
      <c r="N528" s="69" t="s">
        <v>256</v>
      </c>
      <c r="O528" s="70">
        <v>0</v>
      </c>
      <c r="P528" s="70">
        <v>0</v>
      </c>
      <c r="Q528" s="70">
        <f t="shared" si="48"/>
        <v>0</v>
      </c>
      <c r="R528" s="70"/>
      <c r="S528" s="67"/>
      <c r="T528" s="2" t="str">
        <f t="shared" si="49"/>
        <v>Lê Tấn Tài_11AS1</v>
      </c>
      <c r="U528" s="28">
        <f t="array" ref="U528">IFERROR(VLOOKUP($T528,'Nghi hoc T12'!$H$7:$I$160,2,0),0)</f>
        <v>0</v>
      </c>
      <c r="V528" s="28">
        <f>IFERROR(VLOOKUP($T528,No_HP!$B$2:$C$514,2,0),0)</f>
        <v>0</v>
      </c>
      <c r="W528" s="28">
        <f t="shared" si="50"/>
        <v>0</v>
      </c>
      <c r="X528" s="333">
        <f t="shared" si="51"/>
        <v>0</v>
      </c>
      <c r="Y528" s="333">
        <f t="shared" si="52"/>
        <v>0</v>
      </c>
    </row>
    <row r="529" spans="1:25" s="2" customFormat="1" ht="21.95" customHeight="1">
      <c r="A529" s="82">
        <v>17</v>
      </c>
      <c r="B529" s="91" t="str">
        <f t="shared" si="53"/>
        <v>7B.S</v>
      </c>
      <c r="C529" s="83" t="s">
        <v>366</v>
      </c>
      <c r="D529" s="81" t="s">
        <v>525</v>
      </c>
      <c r="E529" s="48">
        <v>100521</v>
      </c>
      <c r="F529" s="30" t="s">
        <v>1469</v>
      </c>
      <c r="G529" s="29" t="s">
        <v>93</v>
      </c>
      <c r="H529" s="30" t="s">
        <v>1399</v>
      </c>
      <c r="I529" s="78"/>
      <c r="J529" s="20"/>
      <c r="K529" s="20"/>
      <c r="L529" s="20"/>
      <c r="M529" s="20"/>
      <c r="N529" s="69" t="s">
        <v>256</v>
      </c>
      <c r="O529" s="70">
        <v>0</v>
      </c>
      <c r="P529" s="70">
        <v>0</v>
      </c>
      <c r="Q529" s="70">
        <f t="shared" si="48"/>
        <v>0</v>
      </c>
      <c r="R529" s="70"/>
      <c r="S529" s="67"/>
      <c r="T529" s="2" t="str">
        <f t="shared" si="49"/>
        <v>Nguyễn Tất Tài_11AS2</v>
      </c>
      <c r="U529" s="28">
        <f t="array" ref="U529">IFERROR(VLOOKUP($T529,'Nghi hoc T12'!$H$7:$I$160,2,0),0)</f>
        <v>0</v>
      </c>
      <c r="V529" s="28">
        <f>IFERROR(VLOOKUP($T529,No_HP!$B$2:$C$514,2,0),0)</f>
        <v>0</v>
      </c>
      <c r="W529" s="28">
        <f t="shared" si="50"/>
        <v>0</v>
      </c>
      <c r="X529" s="333">
        <f t="shared" si="51"/>
        <v>0</v>
      </c>
      <c r="Y529" s="333">
        <f t="shared" si="52"/>
        <v>0</v>
      </c>
    </row>
    <row r="530" spans="1:25" s="2" customFormat="1" ht="21.95" customHeight="1">
      <c r="A530" s="82">
        <v>18</v>
      </c>
      <c r="B530" s="91" t="str">
        <f t="shared" si="53"/>
        <v>7B.S</v>
      </c>
      <c r="C530" s="83" t="s">
        <v>366</v>
      </c>
      <c r="D530" s="81" t="s">
        <v>525</v>
      </c>
      <c r="E530" s="48">
        <v>100522</v>
      </c>
      <c r="F530" s="30" t="s">
        <v>202</v>
      </c>
      <c r="G530" s="29" t="s">
        <v>26</v>
      </c>
      <c r="H530" s="30" t="s">
        <v>1402</v>
      </c>
      <c r="I530" s="78"/>
      <c r="J530" s="20"/>
      <c r="K530" s="20"/>
      <c r="L530" s="20"/>
      <c r="M530" s="20"/>
      <c r="N530" s="69" t="s">
        <v>256</v>
      </c>
      <c r="O530" s="70">
        <v>0</v>
      </c>
      <c r="P530" s="70">
        <v>0</v>
      </c>
      <c r="Q530" s="70">
        <f t="shared" si="48"/>
        <v>0</v>
      </c>
      <c r="R530" s="70"/>
      <c r="S530" s="67"/>
      <c r="T530" s="2" t="str">
        <f t="shared" si="49"/>
        <v>Nguyễn Chí Thanh_11AS3</v>
      </c>
      <c r="U530" s="28">
        <f t="array" ref="U530">IFERROR(VLOOKUP($T530,'Nghi hoc T12'!$H$7:$I$160,2,0),0)</f>
        <v>0</v>
      </c>
      <c r="V530" s="28">
        <f>IFERROR(VLOOKUP($T530,No_HP!$B$2:$C$514,2,0),0)</f>
        <v>0</v>
      </c>
      <c r="W530" s="28">
        <f t="shared" si="50"/>
        <v>0</v>
      </c>
      <c r="X530" s="333">
        <f t="shared" si="51"/>
        <v>0</v>
      </c>
      <c r="Y530" s="333">
        <f t="shared" si="52"/>
        <v>0</v>
      </c>
    </row>
    <row r="531" spans="1:25" s="2" customFormat="1" ht="21.95" customHeight="1">
      <c r="A531" s="82">
        <v>19</v>
      </c>
      <c r="B531" s="91" t="str">
        <f t="shared" si="53"/>
        <v>7B.S</v>
      </c>
      <c r="C531" s="83" t="s">
        <v>366</v>
      </c>
      <c r="D531" s="81" t="s">
        <v>525</v>
      </c>
      <c r="E531" s="48">
        <v>100523</v>
      </c>
      <c r="F531" s="30" t="s">
        <v>355</v>
      </c>
      <c r="G531" s="29" t="s">
        <v>27</v>
      </c>
      <c r="H531" s="30" t="s">
        <v>1399</v>
      </c>
      <c r="I531" s="78"/>
      <c r="J531" s="20"/>
      <c r="K531" s="20"/>
      <c r="L531" s="20"/>
      <c r="M531" s="20"/>
      <c r="N531" s="69" t="s">
        <v>256</v>
      </c>
      <c r="O531" s="70">
        <v>0</v>
      </c>
      <c r="P531" s="70">
        <v>0</v>
      </c>
      <c r="Q531" s="70">
        <f t="shared" si="48"/>
        <v>0</v>
      </c>
      <c r="R531" s="70"/>
      <c r="S531" s="67"/>
      <c r="T531" s="2" t="str">
        <f t="shared" si="49"/>
        <v>Đặng Văn Thành_11AS2</v>
      </c>
      <c r="U531" s="28">
        <f t="array" ref="U531">IFERROR(VLOOKUP($T531,'Nghi hoc T12'!$H$7:$I$160,2,0),0)</f>
        <v>0</v>
      </c>
      <c r="V531" s="28">
        <f>IFERROR(VLOOKUP($T531,No_HP!$B$2:$C$514,2,0),0)</f>
        <v>0</v>
      </c>
      <c r="W531" s="28">
        <f t="shared" si="50"/>
        <v>0</v>
      </c>
      <c r="X531" s="333">
        <f t="shared" si="51"/>
        <v>0</v>
      </c>
      <c r="Y531" s="333">
        <f t="shared" si="52"/>
        <v>0</v>
      </c>
    </row>
    <row r="532" spans="1:25" s="2" customFormat="1" ht="21.95" customHeight="1">
      <c r="A532" s="82">
        <v>20</v>
      </c>
      <c r="B532" s="91" t="str">
        <f t="shared" si="53"/>
        <v>7B.S</v>
      </c>
      <c r="C532" s="83" t="s">
        <v>366</v>
      </c>
      <c r="D532" s="81" t="s">
        <v>525</v>
      </c>
      <c r="E532" s="48">
        <v>100524</v>
      </c>
      <c r="F532" s="30" t="s">
        <v>1470</v>
      </c>
      <c r="G532" s="29" t="s">
        <v>27</v>
      </c>
      <c r="H532" s="30" t="s">
        <v>1402</v>
      </c>
      <c r="I532" s="78"/>
      <c r="J532" s="20"/>
      <c r="K532" s="20"/>
      <c r="L532" s="20"/>
      <c r="M532" s="20"/>
      <c r="N532" s="69" t="s">
        <v>256</v>
      </c>
      <c r="O532" s="70">
        <v>0</v>
      </c>
      <c r="P532" s="70">
        <v>0</v>
      </c>
      <c r="Q532" s="70">
        <f t="shared" si="48"/>
        <v>0</v>
      </c>
      <c r="R532" s="70"/>
      <c r="S532" s="67"/>
      <c r="T532" s="2" t="str">
        <f t="shared" si="49"/>
        <v>Huỳnh Công Thành_11AS3</v>
      </c>
      <c r="U532" s="28">
        <f t="array" ref="U532">IFERROR(VLOOKUP($T532,'Nghi hoc T12'!$H$7:$I$160,2,0),0)</f>
        <v>0</v>
      </c>
      <c r="V532" s="28">
        <f>IFERROR(VLOOKUP($T532,No_HP!$B$2:$C$514,2,0),0)</f>
        <v>0</v>
      </c>
      <c r="W532" s="28">
        <f t="shared" si="50"/>
        <v>0</v>
      </c>
      <c r="X532" s="333">
        <f t="shared" si="51"/>
        <v>0</v>
      </c>
      <c r="Y532" s="333">
        <f t="shared" si="52"/>
        <v>0</v>
      </c>
    </row>
    <row r="533" spans="1:25" s="2" customFormat="1" ht="21.95" customHeight="1">
      <c r="A533" s="82">
        <v>21</v>
      </c>
      <c r="B533" s="91" t="str">
        <f t="shared" si="53"/>
        <v>7B.S</v>
      </c>
      <c r="C533" s="83" t="s">
        <v>366</v>
      </c>
      <c r="D533" s="81" t="s">
        <v>525</v>
      </c>
      <c r="E533" s="48">
        <v>100525</v>
      </c>
      <c r="F533" s="30" t="s">
        <v>1471</v>
      </c>
      <c r="G533" s="29" t="s">
        <v>27</v>
      </c>
      <c r="H533" s="30" t="s">
        <v>1398</v>
      </c>
      <c r="I533" s="78"/>
      <c r="J533" s="20"/>
      <c r="K533" s="20"/>
      <c r="L533" s="20"/>
      <c r="M533" s="20"/>
      <c r="N533" s="69" t="s">
        <v>256</v>
      </c>
      <c r="O533" s="70">
        <v>0</v>
      </c>
      <c r="P533" s="70">
        <v>0</v>
      </c>
      <c r="Q533" s="70">
        <f t="shared" si="48"/>
        <v>0</v>
      </c>
      <c r="R533" s="70"/>
      <c r="S533" s="67"/>
      <c r="T533" s="2" t="str">
        <f t="shared" si="49"/>
        <v>Trần Hoàng Minh Thành_11AS1</v>
      </c>
      <c r="U533" s="28">
        <f t="array" ref="U533">IFERROR(VLOOKUP($T533,'Nghi hoc T12'!$H$7:$I$160,2,0),0)</f>
        <v>0</v>
      </c>
      <c r="V533" s="28">
        <f>IFERROR(VLOOKUP($T533,No_HP!$B$2:$C$514,2,0),0)</f>
        <v>0</v>
      </c>
      <c r="W533" s="28">
        <f t="shared" si="50"/>
        <v>0</v>
      </c>
      <c r="X533" s="333">
        <f t="shared" si="51"/>
        <v>0</v>
      </c>
      <c r="Y533" s="333">
        <f t="shared" si="52"/>
        <v>0</v>
      </c>
    </row>
    <row r="534" spans="1:25" s="2" customFormat="1" ht="21.95" customHeight="1">
      <c r="A534" s="82">
        <v>22</v>
      </c>
      <c r="B534" s="91" t="str">
        <f t="shared" si="53"/>
        <v>7B.S</v>
      </c>
      <c r="C534" s="83" t="s">
        <v>366</v>
      </c>
      <c r="D534" s="81" t="s">
        <v>525</v>
      </c>
      <c r="E534" s="48">
        <v>100526</v>
      </c>
      <c r="F534" s="30" t="s">
        <v>1472</v>
      </c>
      <c r="G534" s="29" t="s">
        <v>49</v>
      </c>
      <c r="H534" s="30" t="s">
        <v>1399</v>
      </c>
      <c r="I534" s="78"/>
      <c r="J534" s="20"/>
      <c r="K534" s="20"/>
      <c r="L534" s="20"/>
      <c r="M534" s="20"/>
      <c r="N534" s="69" t="s">
        <v>256</v>
      </c>
      <c r="O534" s="70">
        <v>0</v>
      </c>
      <c r="P534" s="70">
        <v>0</v>
      </c>
      <c r="Q534" s="70">
        <f t="shared" si="48"/>
        <v>0</v>
      </c>
      <c r="R534" s="70"/>
      <c r="S534" s="67"/>
      <c r="T534" s="2" t="str">
        <f t="shared" si="49"/>
        <v>Trịnh Ngọc Thanh Thảo_11AS2</v>
      </c>
      <c r="U534" s="28">
        <f t="array" ref="U534">IFERROR(VLOOKUP($T534,'Nghi hoc T12'!$H$7:$I$160,2,0),0)</f>
        <v>0</v>
      </c>
      <c r="V534" s="28">
        <f>IFERROR(VLOOKUP($T534,No_HP!$B$2:$C$514,2,0),0)</f>
        <v>0</v>
      </c>
      <c r="W534" s="28">
        <f t="shared" si="50"/>
        <v>0</v>
      </c>
      <c r="X534" s="333">
        <f t="shared" si="51"/>
        <v>0</v>
      </c>
      <c r="Y534" s="333">
        <f t="shared" si="52"/>
        <v>0</v>
      </c>
    </row>
    <row r="535" spans="1:25" s="2" customFormat="1" ht="21.95" customHeight="1">
      <c r="A535" s="82">
        <v>23</v>
      </c>
      <c r="B535" s="91" t="str">
        <f t="shared" si="53"/>
        <v>7B.S</v>
      </c>
      <c r="C535" s="83" t="s">
        <v>366</v>
      </c>
      <c r="D535" s="81" t="s">
        <v>525</v>
      </c>
      <c r="E535" s="48">
        <v>100527</v>
      </c>
      <c r="F535" s="30" t="s">
        <v>322</v>
      </c>
      <c r="G535" s="29" t="s">
        <v>211</v>
      </c>
      <c r="H535" s="30" t="s">
        <v>1399</v>
      </c>
      <c r="I535" s="78"/>
      <c r="J535" s="20"/>
      <c r="K535" s="20"/>
      <c r="L535" s="20"/>
      <c r="M535" s="20"/>
      <c r="N535" s="69" t="s">
        <v>256</v>
      </c>
      <c r="O535" s="70">
        <v>0</v>
      </c>
      <c r="P535" s="70">
        <v>0</v>
      </c>
      <c r="Q535" s="70">
        <f t="shared" si="48"/>
        <v>0</v>
      </c>
      <c r="R535" s="70"/>
      <c r="S535" s="67"/>
      <c r="T535" s="2" t="str">
        <f t="shared" si="49"/>
        <v>Lê Hồng Thắm_11AS2</v>
      </c>
      <c r="U535" s="28">
        <f t="array" ref="U535">IFERROR(VLOOKUP($T535,'Nghi hoc T12'!$H$7:$I$160,2,0),0)</f>
        <v>0</v>
      </c>
      <c r="V535" s="28">
        <f>IFERROR(VLOOKUP($T535,No_HP!$B$2:$C$514,2,0),0)</f>
        <v>0</v>
      </c>
      <c r="W535" s="28">
        <f t="shared" si="50"/>
        <v>0</v>
      </c>
      <c r="X535" s="333">
        <f t="shared" si="51"/>
        <v>0</v>
      </c>
      <c r="Y535" s="333">
        <f t="shared" si="52"/>
        <v>0</v>
      </c>
    </row>
    <row r="536" spans="1:25" s="2" customFormat="1" ht="21.95" customHeight="1">
      <c r="A536" s="82">
        <v>24</v>
      </c>
      <c r="B536" s="91" t="str">
        <f t="shared" si="53"/>
        <v>7B.S</v>
      </c>
      <c r="C536" s="83" t="s">
        <v>366</v>
      </c>
      <c r="D536" s="81" t="s">
        <v>525</v>
      </c>
      <c r="E536" s="48">
        <v>100528</v>
      </c>
      <c r="F536" s="30" t="s">
        <v>1473</v>
      </c>
      <c r="G536" s="29" t="s">
        <v>105</v>
      </c>
      <c r="H536" s="30" t="s">
        <v>1402</v>
      </c>
      <c r="I536" s="78"/>
      <c r="J536" s="20"/>
      <c r="K536" s="20"/>
      <c r="L536" s="20"/>
      <c r="M536" s="20"/>
      <c r="N536" s="69" t="s">
        <v>256</v>
      </c>
      <c r="O536" s="70">
        <v>0</v>
      </c>
      <c r="P536" s="70">
        <v>0</v>
      </c>
      <c r="Q536" s="70">
        <f t="shared" si="48"/>
        <v>0</v>
      </c>
      <c r="R536" s="70"/>
      <c r="S536" s="67"/>
      <c r="T536" s="2" t="str">
        <f t="shared" si="49"/>
        <v>Vũ Đỗ Minh Thi_11AS3</v>
      </c>
      <c r="U536" s="28">
        <f t="array" ref="U536">IFERROR(VLOOKUP($T536,'Nghi hoc T12'!$H$7:$I$160,2,0),0)</f>
        <v>0</v>
      </c>
      <c r="V536" s="28">
        <f>IFERROR(VLOOKUP($T536,No_HP!$B$2:$C$514,2,0),0)</f>
        <v>0</v>
      </c>
      <c r="W536" s="28">
        <f t="shared" si="50"/>
        <v>0</v>
      </c>
      <c r="X536" s="333">
        <f t="shared" si="51"/>
        <v>0</v>
      </c>
      <c r="Y536" s="333">
        <f t="shared" si="52"/>
        <v>0</v>
      </c>
    </row>
    <row r="537" spans="1:25" s="2" customFormat="1" ht="21.95" customHeight="1">
      <c r="A537" s="82">
        <v>25</v>
      </c>
      <c r="B537" s="91" t="str">
        <f t="shared" si="53"/>
        <v>7B.S</v>
      </c>
      <c r="C537" s="83" t="s">
        <v>366</v>
      </c>
      <c r="D537" s="81" t="s">
        <v>525</v>
      </c>
      <c r="E537" s="48">
        <v>100529</v>
      </c>
      <c r="F537" s="30" t="s">
        <v>1474</v>
      </c>
      <c r="G537" s="29" t="s">
        <v>161</v>
      </c>
      <c r="H537" s="30" t="s">
        <v>1398</v>
      </c>
      <c r="I537" s="78"/>
      <c r="J537" s="20"/>
      <c r="K537" s="20"/>
      <c r="L537" s="20"/>
      <c r="M537" s="20"/>
      <c r="N537" s="69" t="s">
        <v>256</v>
      </c>
      <c r="O537" s="70">
        <v>0</v>
      </c>
      <c r="P537" s="70">
        <v>0</v>
      </c>
      <c r="Q537" s="70">
        <f t="shared" si="48"/>
        <v>0</v>
      </c>
      <c r="R537" s="70"/>
      <c r="S537" s="67"/>
      <c r="T537" s="2" t="str">
        <f t="shared" si="49"/>
        <v>Đỗ Nhật Thiên_11AS1</v>
      </c>
      <c r="U537" s="28">
        <f t="array" ref="U537">IFERROR(VLOOKUP($T537,'Nghi hoc T12'!$H$7:$I$160,2,0),0)</f>
        <v>0</v>
      </c>
      <c r="V537" s="28">
        <f>IFERROR(VLOOKUP($T537,No_HP!$B$2:$C$514,2,0),0)</f>
        <v>0</v>
      </c>
      <c r="W537" s="28">
        <f t="shared" si="50"/>
        <v>0</v>
      </c>
      <c r="X537" s="333">
        <f t="shared" si="51"/>
        <v>0</v>
      </c>
      <c r="Y537" s="333">
        <f t="shared" si="52"/>
        <v>0</v>
      </c>
    </row>
    <row r="538" spans="1:25" s="2" customFormat="1" ht="21.95" customHeight="1">
      <c r="A538" s="82">
        <v>26</v>
      </c>
      <c r="B538" s="91" t="str">
        <f t="shared" si="53"/>
        <v>7B.S</v>
      </c>
      <c r="C538" s="83" t="s">
        <v>366</v>
      </c>
      <c r="D538" s="81" t="s">
        <v>525</v>
      </c>
      <c r="E538" s="48">
        <v>100530</v>
      </c>
      <c r="F538" s="30" t="s">
        <v>306</v>
      </c>
      <c r="G538" s="29" t="s">
        <v>1161</v>
      </c>
      <c r="H538" s="30" t="s">
        <v>1402</v>
      </c>
      <c r="I538" s="78"/>
      <c r="J538" s="20"/>
      <c r="K538" s="20"/>
      <c r="L538" s="20"/>
      <c r="M538" s="20"/>
      <c r="N538" s="69" t="s">
        <v>256</v>
      </c>
      <c r="O538" s="70">
        <v>0</v>
      </c>
      <c r="P538" s="70">
        <v>0</v>
      </c>
      <c r="Q538" s="70">
        <f t="shared" si="48"/>
        <v>0</v>
      </c>
      <c r="R538" s="70"/>
      <c r="S538" s="67"/>
      <c r="T538" s="2" t="str">
        <f t="shared" si="49"/>
        <v>Phạm Thị Thơ_11AS3</v>
      </c>
      <c r="U538" s="28">
        <f t="array" ref="U538">IFERROR(VLOOKUP($T538,'Nghi hoc T12'!$H$7:$I$160,2,0),0)</f>
        <v>0</v>
      </c>
      <c r="V538" s="28">
        <f>IFERROR(VLOOKUP($T538,No_HP!$B$2:$C$514,2,0),0)</f>
        <v>0</v>
      </c>
      <c r="W538" s="28">
        <f t="shared" si="50"/>
        <v>0</v>
      </c>
      <c r="X538" s="333">
        <f t="shared" si="51"/>
        <v>0</v>
      </c>
      <c r="Y538" s="333">
        <f t="shared" si="52"/>
        <v>0</v>
      </c>
    </row>
    <row r="539" spans="1:25" s="2" customFormat="1" ht="21.95" customHeight="1">
      <c r="A539" s="82">
        <v>27</v>
      </c>
      <c r="B539" s="91" t="str">
        <f t="shared" si="53"/>
        <v>7B.S</v>
      </c>
      <c r="C539" s="83" t="s">
        <v>366</v>
      </c>
      <c r="D539" s="81" t="s">
        <v>525</v>
      </c>
      <c r="E539" s="48">
        <v>100531</v>
      </c>
      <c r="F539" s="30" t="s">
        <v>332</v>
      </c>
      <c r="G539" s="29" t="s">
        <v>162</v>
      </c>
      <c r="H539" s="30" t="s">
        <v>1402</v>
      </c>
      <c r="I539" s="78"/>
      <c r="J539" s="20"/>
      <c r="K539" s="20"/>
      <c r="L539" s="20"/>
      <c r="M539" s="20"/>
      <c r="N539" s="69" t="s">
        <v>256</v>
      </c>
      <c r="O539" s="70">
        <v>0</v>
      </c>
      <c r="P539" s="70">
        <v>0</v>
      </c>
      <c r="Q539" s="70">
        <f t="shared" si="48"/>
        <v>0</v>
      </c>
      <c r="R539" s="70"/>
      <c r="S539" s="67"/>
      <c r="T539" s="2" t="str">
        <f t="shared" si="49"/>
        <v>Ngô Thanh Thùy_11AS3</v>
      </c>
      <c r="U539" s="28">
        <f t="array" ref="U539">IFERROR(VLOOKUP($T539,'Nghi hoc T12'!$H$7:$I$160,2,0),0)</f>
        <v>0</v>
      </c>
      <c r="V539" s="28">
        <f>IFERROR(VLOOKUP($T539,No_HP!$B$2:$C$514,2,0),0)</f>
        <v>0</v>
      </c>
      <c r="W539" s="28">
        <f t="shared" si="50"/>
        <v>0</v>
      </c>
      <c r="X539" s="333">
        <f t="shared" si="51"/>
        <v>0</v>
      </c>
      <c r="Y539" s="333">
        <f t="shared" si="52"/>
        <v>0</v>
      </c>
    </row>
    <row r="540" spans="1:25" s="2" customFormat="1" ht="21.95" customHeight="1">
      <c r="A540" s="82">
        <v>28</v>
      </c>
      <c r="B540" s="91" t="str">
        <f t="shared" si="53"/>
        <v>7B.S</v>
      </c>
      <c r="C540" s="83" t="s">
        <v>366</v>
      </c>
      <c r="D540" s="81" t="s">
        <v>525</v>
      </c>
      <c r="E540" s="48">
        <v>100532</v>
      </c>
      <c r="F540" s="30" t="s">
        <v>456</v>
      </c>
      <c r="G540" s="29" t="s">
        <v>238</v>
      </c>
      <c r="H540" s="30" t="s">
        <v>1398</v>
      </c>
      <c r="I540" s="78"/>
      <c r="J540" s="20"/>
      <c r="K540" s="20"/>
      <c r="L540" s="20"/>
      <c r="M540" s="20"/>
      <c r="N540" s="69" t="s">
        <v>256</v>
      </c>
      <c r="O540" s="70">
        <v>0</v>
      </c>
      <c r="P540" s="70">
        <v>0</v>
      </c>
      <c r="Q540" s="70">
        <f t="shared" si="48"/>
        <v>0</v>
      </c>
      <c r="R540" s="70"/>
      <c r="S540" s="67"/>
      <c r="T540" s="2" t="str">
        <f t="shared" si="49"/>
        <v>Lê Hoàng Ngọc Thủy_11AS1</v>
      </c>
      <c r="U540" s="28">
        <f t="array" ref="U540">IFERROR(VLOOKUP($T540,'Nghi hoc T12'!$H$7:$I$160,2,0),0)</f>
        <v>0</v>
      </c>
      <c r="V540" s="28">
        <f>IFERROR(VLOOKUP($T540,No_HP!$B$2:$C$514,2,0),0)</f>
        <v>0</v>
      </c>
      <c r="W540" s="28">
        <f t="shared" si="50"/>
        <v>0</v>
      </c>
      <c r="X540" s="333">
        <f t="shared" si="51"/>
        <v>0</v>
      </c>
      <c r="Y540" s="333">
        <f t="shared" si="52"/>
        <v>0</v>
      </c>
    </row>
    <row r="541" spans="1:25" s="2" customFormat="1" ht="21.95" customHeight="1">
      <c r="A541" s="200">
        <v>1</v>
      </c>
      <c r="B541" s="91" t="str">
        <f t="shared" si="53"/>
        <v>8B.S</v>
      </c>
      <c r="C541" s="185" t="s">
        <v>366</v>
      </c>
      <c r="D541" s="186" t="s">
        <v>526</v>
      </c>
      <c r="E541" s="187">
        <v>100533</v>
      </c>
      <c r="F541" s="188" t="s">
        <v>1475</v>
      </c>
      <c r="G541" s="189" t="s">
        <v>28</v>
      </c>
      <c r="H541" s="188" t="s">
        <v>1399</v>
      </c>
      <c r="I541" s="190"/>
      <c r="J541" s="191"/>
      <c r="K541" s="191"/>
      <c r="L541" s="191"/>
      <c r="M541" s="191"/>
      <c r="N541" s="69" t="s">
        <v>256</v>
      </c>
      <c r="O541" s="70">
        <v>0</v>
      </c>
      <c r="P541" s="70">
        <v>0</v>
      </c>
      <c r="Q541" s="70">
        <f t="shared" si="48"/>
        <v>0</v>
      </c>
      <c r="R541" s="70"/>
      <c r="S541" s="67"/>
      <c r="T541" s="2" t="str">
        <f t="shared" si="49"/>
        <v>Dương Hoài Thư_11AS2</v>
      </c>
      <c r="U541" s="28">
        <f t="array" ref="U541">IFERROR(VLOOKUP($T541,'Nghi hoc T12'!$H$7:$I$160,2,0),0)</f>
        <v>0</v>
      </c>
      <c r="V541" s="28">
        <f>IFERROR(VLOOKUP($T541,No_HP!$B$2:$C$514,2,0),0)</f>
        <v>0</v>
      </c>
      <c r="W541" s="28">
        <f t="shared" si="50"/>
        <v>0</v>
      </c>
      <c r="X541" s="333">
        <f t="shared" si="51"/>
        <v>0</v>
      </c>
      <c r="Y541" s="333">
        <f t="shared" si="52"/>
        <v>0</v>
      </c>
    </row>
    <row r="542" spans="1:25" s="2" customFormat="1" ht="21.95" customHeight="1">
      <c r="A542" s="82">
        <v>2</v>
      </c>
      <c r="B542" s="91" t="str">
        <f t="shared" si="53"/>
        <v>8B.S</v>
      </c>
      <c r="C542" s="83" t="s">
        <v>366</v>
      </c>
      <c r="D542" s="81" t="s">
        <v>526</v>
      </c>
      <c r="E542" s="48">
        <v>100534</v>
      </c>
      <c r="F542" s="30" t="s">
        <v>1476</v>
      </c>
      <c r="G542" s="29" t="s">
        <v>28</v>
      </c>
      <c r="H542" s="30" t="s">
        <v>1399</v>
      </c>
      <c r="I542" s="78"/>
      <c r="J542" s="20"/>
      <c r="K542" s="20"/>
      <c r="L542" s="20"/>
      <c r="M542" s="20"/>
      <c r="N542" s="69" t="s">
        <v>256</v>
      </c>
      <c r="O542" s="70">
        <v>0</v>
      </c>
      <c r="P542" s="70">
        <v>0</v>
      </c>
      <c r="Q542" s="70">
        <f t="shared" si="48"/>
        <v>0</v>
      </c>
      <c r="R542" s="70"/>
      <c r="S542" s="67"/>
      <c r="T542" s="2" t="str">
        <f t="shared" si="49"/>
        <v>Huỳnh Lê Minh Thư_11AS2</v>
      </c>
      <c r="U542" s="28">
        <f t="array" ref="U542">IFERROR(VLOOKUP($T542,'Nghi hoc T12'!$H$7:$I$160,2,0),0)</f>
        <v>0</v>
      </c>
      <c r="V542" s="28">
        <f>IFERROR(VLOOKUP($T542,No_HP!$B$2:$C$514,2,0),0)</f>
        <v>0</v>
      </c>
      <c r="W542" s="28">
        <f t="shared" si="50"/>
        <v>0</v>
      </c>
      <c r="X542" s="333">
        <f t="shared" si="51"/>
        <v>0</v>
      </c>
      <c r="Y542" s="333">
        <f t="shared" si="52"/>
        <v>0</v>
      </c>
    </row>
    <row r="543" spans="1:25" s="2" customFormat="1" ht="21.95" customHeight="1">
      <c r="A543" s="82">
        <v>3</v>
      </c>
      <c r="B543" s="91" t="str">
        <f t="shared" si="53"/>
        <v>8B.S</v>
      </c>
      <c r="C543" s="83" t="s">
        <v>366</v>
      </c>
      <c r="D543" s="81" t="s">
        <v>526</v>
      </c>
      <c r="E543" s="48">
        <v>100535</v>
      </c>
      <c r="F543" s="30" t="s">
        <v>1477</v>
      </c>
      <c r="G543" s="29" t="s">
        <v>28</v>
      </c>
      <c r="H543" s="30" t="s">
        <v>1402</v>
      </c>
      <c r="I543" s="78"/>
      <c r="J543" s="20"/>
      <c r="K543" s="20"/>
      <c r="L543" s="20"/>
      <c r="M543" s="20"/>
      <c r="N543" s="69" t="s">
        <v>256</v>
      </c>
      <c r="O543" s="70">
        <v>0</v>
      </c>
      <c r="P543" s="70">
        <v>0</v>
      </c>
      <c r="Q543" s="70">
        <f t="shared" si="48"/>
        <v>0</v>
      </c>
      <c r="R543" s="70"/>
      <c r="S543" s="67"/>
      <c r="T543" s="2" t="str">
        <f t="shared" si="49"/>
        <v>Huỳnh Thị Minh Thư_11AS3</v>
      </c>
      <c r="U543" s="28">
        <f t="array" ref="U543">IFERROR(VLOOKUP($T543,'Nghi hoc T12'!$H$7:$I$160,2,0),0)</f>
        <v>0</v>
      </c>
      <c r="V543" s="28">
        <f>IFERROR(VLOOKUP($T543,No_HP!$B$2:$C$514,2,0),0)</f>
        <v>0</v>
      </c>
      <c r="W543" s="28">
        <f t="shared" si="50"/>
        <v>0</v>
      </c>
      <c r="X543" s="333">
        <f t="shared" si="51"/>
        <v>0</v>
      </c>
      <c r="Y543" s="333">
        <f t="shared" si="52"/>
        <v>0</v>
      </c>
    </row>
    <row r="544" spans="1:25" s="2" customFormat="1" ht="21.95" customHeight="1">
      <c r="A544" s="82">
        <v>4</v>
      </c>
      <c r="B544" s="91" t="str">
        <f t="shared" si="53"/>
        <v>8B.S</v>
      </c>
      <c r="C544" s="83" t="s">
        <v>366</v>
      </c>
      <c r="D544" s="81" t="s">
        <v>526</v>
      </c>
      <c r="E544" s="48">
        <v>100536</v>
      </c>
      <c r="F544" s="30" t="s">
        <v>1478</v>
      </c>
      <c r="G544" s="29" t="s">
        <v>28</v>
      </c>
      <c r="H544" s="30" t="s">
        <v>1402</v>
      </c>
      <c r="I544" s="78"/>
      <c r="J544" s="20"/>
      <c r="K544" s="20"/>
      <c r="L544" s="20"/>
      <c r="M544" s="20"/>
      <c r="N544" s="69" t="s">
        <v>256</v>
      </c>
      <c r="O544" s="70">
        <v>0</v>
      </c>
      <c r="P544" s="70">
        <v>0</v>
      </c>
      <c r="Q544" s="70">
        <f t="shared" si="48"/>
        <v>0</v>
      </c>
      <c r="R544" s="70"/>
      <c r="S544" s="67"/>
      <c r="T544" s="2" t="str">
        <f t="shared" si="49"/>
        <v>Lê Hà Anh Thư_11AS3</v>
      </c>
      <c r="U544" s="28">
        <f t="array" ref="U544">IFERROR(VLOOKUP($T544,'Nghi hoc T12'!$H$7:$I$160,2,0),0)</f>
        <v>0</v>
      </c>
      <c r="V544" s="28">
        <f>IFERROR(VLOOKUP($T544,No_HP!$B$2:$C$514,2,0),0)</f>
        <v>0</v>
      </c>
      <c r="W544" s="28">
        <f t="shared" si="50"/>
        <v>0</v>
      </c>
      <c r="X544" s="333">
        <f t="shared" si="51"/>
        <v>0</v>
      </c>
      <c r="Y544" s="333">
        <f t="shared" si="52"/>
        <v>0</v>
      </c>
    </row>
    <row r="545" spans="1:25" s="2" customFormat="1" ht="21.95" customHeight="1">
      <c r="A545" s="82">
        <v>5</v>
      </c>
      <c r="B545" s="91" t="str">
        <f t="shared" si="53"/>
        <v>8B.S</v>
      </c>
      <c r="C545" s="83" t="s">
        <v>366</v>
      </c>
      <c r="D545" s="81" t="s">
        <v>526</v>
      </c>
      <c r="E545" s="48">
        <v>100537</v>
      </c>
      <c r="F545" s="30" t="s">
        <v>1479</v>
      </c>
      <c r="G545" s="29" t="s">
        <v>28</v>
      </c>
      <c r="H545" s="30" t="s">
        <v>1398</v>
      </c>
      <c r="I545" s="78"/>
      <c r="J545" s="20"/>
      <c r="K545" s="20"/>
      <c r="L545" s="20"/>
      <c r="M545" s="20"/>
      <c r="N545" s="69" t="s">
        <v>256</v>
      </c>
      <c r="O545" s="70">
        <v>0</v>
      </c>
      <c r="P545" s="70">
        <v>0</v>
      </c>
      <c r="Q545" s="70">
        <f t="shared" si="48"/>
        <v>0</v>
      </c>
      <c r="R545" s="70"/>
      <c r="S545" s="67"/>
      <c r="T545" s="2" t="str">
        <f t="shared" si="49"/>
        <v>Lý Minh Thư_11AS1</v>
      </c>
      <c r="U545" s="28">
        <f t="array" ref="U545">IFERROR(VLOOKUP($T545,'Nghi hoc T12'!$H$7:$I$160,2,0),0)</f>
        <v>0</v>
      </c>
      <c r="V545" s="28">
        <f>IFERROR(VLOOKUP($T545,No_HP!$B$2:$C$514,2,0),0)</f>
        <v>0</v>
      </c>
      <c r="W545" s="28">
        <f t="shared" si="50"/>
        <v>0</v>
      </c>
      <c r="X545" s="333">
        <f t="shared" si="51"/>
        <v>0</v>
      </c>
      <c r="Y545" s="333">
        <f t="shared" si="52"/>
        <v>0</v>
      </c>
    </row>
    <row r="546" spans="1:25" s="2" customFormat="1" ht="21.95" customHeight="1">
      <c r="A546" s="82">
        <v>6</v>
      </c>
      <c r="B546" s="91" t="str">
        <f t="shared" si="53"/>
        <v>8B.S</v>
      </c>
      <c r="C546" s="83" t="s">
        <v>366</v>
      </c>
      <c r="D546" s="81" t="s">
        <v>526</v>
      </c>
      <c r="E546" s="48">
        <v>100538</v>
      </c>
      <c r="F546" s="30" t="s">
        <v>1480</v>
      </c>
      <c r="G546" s="29" t="s">
        <v>28</v>
      </c>
      <c r="H546" s="30" t="s">
        <v>1398</v>
      </c>
      <c r="I546" s="78"/>
      <c r="J546" s="20"/>
      <c r="K546" s="20"/>
      <c r="L546" s="20"/>
      <c r="M546" s="20"/>
      <c r="N546" s="69" t="s">
        <v>256</v>
      </c>
      <c r="O546" s="70">
        <v>0</v>
      </c>
      <c r="P546" s="70">
        <v>0</v>
      </c>
      <c r="Q546" s="70">
        <f t="shared" si="48"/>
        <v>0</v>
      </c>
      <c r="R546" s="70"/>
      <c r="S546" s="67"/>
      <c r="T546" s="2" t="str">
        <f t="shared" si="49"/>
        <v>Nguyễn Kim Thư_11AS1</v>
      </c>
      <c r="U546" s="28">
        <f t="array" ref="U546">IFERROR(VLOOKUP($T546,'Nghi hoc T12'!$H$7:$I$160,2,0),0)</f>
        <v>0</v>
      </c>
      <c r="V546" s="28">
        <f>IFERROR(VLOOKUP($T546,No_HP!$B$2:$C$514,2,0),0)</f>
        <v>0</v>
      </c>
      <c r="W546" s="28">
        <f t="shared" si="50"/>
        <v>0</v>
      </c>
      <c r="X546" s="333">
        <f t="shared" si="51"/>
        <v>0</v>
      </c>
      <c r="Y546" s="333">
        <f t="shared" si="52"/>
        <v>0</v>
      </c>
    </row>
    <row r="547" spans="1:25" s="2" customFormat="1" ht="21.95" customHeight="1">
      <c r="A547" s="82">
        <v>7</v>
      </c>
      <c r="B547" s="91" t="str">
        <f t="shared" si="53"/>
        <v>8B.S</v>
      </c>
      <c r="C547" s="83" t="s">
        <v>366</v>
      </c>
      <c r="D547" s="81" t="s">
        <v>526</v>
      </c>
      <c r="E547" s="48">
        <v>100539</v>
      </c>
      <c r="F547" s="30" t="s">
        <v>1214</v>
      </c>
      <c r="G547" s="29" t="s">
        <v>111</v>
      </c>
      <c r="H547" s="30" t="s">
        <v>1399</v>
      </c>
      <c r="I547" s="78"/>
      <c r="J547" s="20"/>
      <c r="K547" s="20"/>
      <c r="L547" s="20"/>
      <c r="M547" s="20"/>
      <c r="N547" s="69" t="s">
        <v>256</v>
      </c>
      <c r="O547" s="70">
        <v>0</v>
      </c>
      <c r="P547" s="70">
        <v>0</v>
      </c>
      <c r="Q547" s="70">
        <f t="shared" si="48"/>
        <v>0</v>
      </c>
      <c r="R547" s="70"/>
      <c r="S547" s="67"/>
      <c r="T547" s="2" t="str">
        <f t="shared" si="49"/>
        <v>Nguyễn Thị Hoài Thương_11AS2</v>
      </c>
      <c r="U547" s="28">
        <f t="array" ref="U547">IFERROR(VLOOKUP($T547,'Nghi hoc T12'!$H$7:$I$160,2,0),0)</f>
        <v>0</v>
      </c>
      <c r="V547" s="28">
        <f>IFERROR(VLOOKUP($T547,No_HP!$B$2:$C$514,2,0),0)</f>
        <v>0</v>
      </c>
      <c r="W547" s="28">
        <f t="shared" si="50"/>
        <v>0</v>
      </c>
      <c r="X547" s="333">
        <f t="shared" si="51"/>
        <v>0</v>
      </c>
      <c r="Y547" s="333">
        <f t="shared" si="52"/>
        <v>0</v>
      </c>
    </row>
    <row r="548" spans="1:25" s="2" customFormat="1" ht="21.95" customHeight="1">
      <c r="A548" s="82">
        <v>8</v>
      </c>
      <c r="B548" s="91" t="str">
        <f t="shared" si="53"/>
        <v>8B.S</v>
      </c>
      <c r="C548" s="83" t="s">
        <v>366</v>
      </c>
      <c r="D548" s="81" t="s">
        <v>526</v>
      </c>
      <c r="E548" s="48">
        <v>100540</v>
      </c>
      <c r="F548" s="30" t="s">
        <v>1481</v>
      </c>
      <c r="G548" s="29" t="s">
        <v>80</v>
      </c>
      <c r="H548" s="30" t="s">
        <v>1402</v>
      </c>
      <c r="I548" s="78"/>
      <c r="J548" s="20"/>
      <c r="K548" s="20"/>
      <c r="L548" s="20"/>
      <c r="M548" s="20"/>
      <c r="N548" s="69" t="s">
        <v>256</v>
      </c>
      <c r="O548" s="70">
        <v>0</v>
      </c>
      <c r="P548" s="70">
        <v>0</v>
      </c>
      <c r="Q548" s="70">
        <f t="shared" si="48"/>
        <v>0</v>
      </c>
      <c r="R548" s="70"/>
      <c r="S548" s="67"/>
      <c r="T548" s="2" t="str">
        <f t="shared" si="49"/>
        <v>Phạm Thủy Tiên_11AS3</v>
      </c>
      <c r="U548" s="28">
        <f t="array" ref="U548">IFERROR(VLOOKUP($T548,'Nghi hoc T12'!$H$7:$I$160,2,0),0)</f>
        <v>0</v>
      </c>
      <c r="V548" s="28">
        <f>IFERROR(VLOOKUP($T548,No_HP!$B$2:$C$514,2,0),0)</f>
        <v>0</v>
      </c>
      <c r="W548" s="28">
        <f t="shared" si="50"/>
        <v>0</v>
      </c>
      <c r="X548" s="333">
        <f t="shared" si="51"/>
        <v>0</v>
      </c>
      <c r="Y548" s="333">
        <f t="shared" si="52"/>
        <v>0</v>
      </c>
    </row>
    <row r="549" spans="1:25" s="2" customFormat="1" ht="21.95" customHeight="1">
      <c r="A549" s="82">
        <v>9</v>
      </c>
      <c r="B549" s="91" t="str">
        <f t="shared" si="53"/>
        <v>8B.S</v>
      </c>
      <c r="C549" s="83" t="s">
        <v>366</v>
      </c>
      <c r="D549" s="81" t="s">
        <v>526</v>
      </c>
      <c r="E549" s="48">
        <v>100541</v>
      </c>
      <c r="F549" s="30" t="s">
        <v>1482</v>
      </c>
      <c r="G549" s="29" t="s">
        <v>80</v>
      </c>
      <c r="H549" s="30" t="s">
        <v>1398</v>
      </c>
      <c r="I549" s="78"/>
      <c r="J549" s="20"/>
      <c r="K549" s="20"/>
      <c r="L549" s="20"/>
      <c r="M549" s="20"/>
      <c r="N549" s="69" t="s">
        <v>256</v>
      </c>
      <c r="O549" s="70">
        <v>0</v>
      </c>
      <c r="P549" s="70">
        <v>0</v>
      </c>
      <c r="Q549" s="70">
        <f t="shared" si="48"/>
        <v>0</v>
      </c>
      <c r="R549" s="70"/>
      <c r="S549" s="67"/>
      <c r="T549" s="2" t="str">
        <f t="shared" si="49"/>
        <v>Trương Lê Ngọc Bảo Tiên_11AS1</v>
      </c>
      <c r="U549" s="28">
        <f t="array" ref="U549">IFERROR(VLOOKUP($T549,'Nghi hoc T12'!$H$7:$I$160,2,0),0)</f>
        <v>0</v>
      </c>
      <c r="V549" s="28">
        <f>IFERROR(VLOOKUP($T549,No_HP!$B$2:$C$514,2,0),0)</f>
        <v>0</v>
      </c>
      <c r="W549" s="28">
        <f t="shared" si="50"/>
        <v>0</v>
      </c>
      <c r="X549" s="333">
        <f t="shared" si="51"/>
        <v>0</v>
      </c>
      <c r="Y549" s="333">
        <f t="shared" si="52"/>
        <v>0</v>
      </c>
    </row>
    <row r="550" spans="1:25" s="2" customFormat="1" ht="21.95" customHeight="1">
      <c r="A550" s="82">
        <v>10</v>
      </c>
      <c r="B550" s="91" t="str">
        <f t="shared" si="53"/>
        <v>8B.S</v>
      </c>
      <c r="C550" s="83" t="s">
        <v>366</v>
      </c>
      <c r="D550" s="81" t="s">
        <v>526</v>
      </c>
      <c r="E550" s="48">
        <v>100542</v>
      </c>
      <c r="F550" s="30" t="s">
        <v>1483</v>
      </c>
      <c r="G550" s="29" t="s">
        <v>215</v>
      </c>
      <c r="H550" s="30" t="s">
        <v>1399</v>
      </c>
      <c r="I550" s="78"/>
      <c r="J550" s="20"/>
      <c r="K550" s="20"/>
      <c r="L550" s="20"/>
      <c r="M550" s="20"/>
      <c r="N550" s="69" t="s">
        <v>256</v>
      </c>
      <c r="O550" s="70">
        <v>0</v>
      </c>
      <c r="P550" s="70">
        <v>0</v>
      </c>
      <c r="Q550" s="70">
        <f t="shared" si="48"/>
        <v>0</v>
      </c>
      <c r="R550" s="70"/>
      <c r="S550" s="67"/>
      <c r="T550" s="2" t="str">
        <f t="shared" si="49"/>
        <v>Vũ Mạnh Tiến_11AS2</v>
      </c>
      <c r="U550" s="28">
        <f t="array" ref="U550">IFERROR(VLOOKUP($T550,'Nghi hoc T12'!$H$7:$I$160,2,0),0)</f>
        <v>0</v>
      </c>
      <c r="V550" s="28">
        <f>IFERROR(VLOOKUP($T550,No_HP!$B$2:$C$514,2,0),0)</f>
        <v>0</v>
      </c>
      <c r="W550" s="28">
        <f t="shared" si="50"/>
        <v>0</v>
      </c>
      <c r="X550" s="333">
        <f t="shared" si="51"/>
        <v>0</v>
      </c>
      <c r="Y550" s="333">
        <f t="shared" si="52"/>
        <v>0</v>
      </c>
    </row>
    <row r="551" spans="1:25" s="2" customFormat="1" ht="21.95" customHeight="1">
      <c r="A551" s="82">
        <v>11</v>
      </c>
      <c r="B551" s="91" t="str">
        <f t="shared" si="53"/>
        <v>8B.S</v>
      </c>
      <c r="C551" s="83" t="s">
        <v>366</v>
      </c>
      <c r="D551" s="81" t="s">
        <v>526</v>
      </c>
      <c r="E551" s="48">
        <v>100543</v>
      </c>
      <c r="F551" s="30" t="s">
        <v>1484</v>
      </c>
      <c r="G551" s="29" t="s">
        <v>30</v>
      </c>
      <c r="H551" s="30" t="s">
        <v>1399</v>
      </c>
      <c r="I551" s="78"/>
      <c r="J551" s="20"/>
      <c r="K551" s="20"/>
      <c r="L551" s="20"/>
      <c r="M551" s="20"/>
      <c r="N551" s="69" t="s">
        <v>256</v>
      </c>
      <c r="O551" s="70">
        <v>0</v>
      </c>
      <c r="P551" s="70">
        <v>0</v>
      </c>
      <c r="Q551" s="70">
        <f t="shared" si="48"/>
        <v>0</v>
      </c>
      <c r="R551" s="70"/>
      <c r="S551" s="67"/>
      <c r="T551" s="2" t="str">
        <f t="shared" si="49"/>
        <v>Hoàng Nguyễn Hà Trang_11AS2</v>
      </c>
      <c r="U551" s="28">
        <f t="array" ref="U551">IFERROR(VLOOKUP($T551,'Nghi hoc T12'!$H$7:$I$160,2,0),0)</f>
        <v>0</v>
      </c>
      <c r="V551" s="28">
        <f>IFERROR(VLOOKUP($T551,No_HP!$B$2:$C$514,2,0),0)</f>
        <v>0</v>
      </c>
      <c r="W551" s="28">
        <f t="shared" si="50"/>
        <v>0</v>
      </c>
      <c r="X551" s="333">
        <f t="shared" si="51"/>
        <v>0</v>
      </c>
      <c r="Y551" s="333">
        <f t="shared" si="52"/>
        <v>0</v>
      </c>
    </row>
    <row r="552" spans="1:25" s="2" customFormat="1" ht="21.95" customHeight="1">
      <c r="A552" s="82">
        <v>12</v>
      </c>
      <c r="B552" s="91" t="str">
        <f t="shared" si="53"/>
        <v>8B.S</v>
      </c>
      <c r="C552" s="83" t="s">
        <v>366</v>
      </c>
      <c r="D552" s="81" t="s">
        <v>526</v>
      </c>
      <c r="E552" s="48">
        <v>100544</v>
      </c>
      <c r="F552" s="30" t="s">
        <v>1485</v>
      </c>
      <c r="G552" s="29" t="s">
        <v>30</v>
      </c>
      <c r="H552" s="30" t="s">
        <v>1402</v>
      </c>
      <c r="I552" s="78"/>
      <c r="J552" s="20"/>
      <c r="K552" s="20"/>
      <c r="L552" s="20"/>
      <c r="M552" s="20"/>
      <c r="N552" s="69" t="s">
        <v>256</v>
      </c>
      <c r="O552" s="70">
        <v>0</v>
      </c>
      <c r="P552" s="70">
        <v>0</v>
      </c>
      <c r="Q552" s="70">
        <f t="shared" si="48"/>
        <v>0</v>
      </c>
      <c r="R552" s="70"/>
      <c r="S552" s="67"/>
      <c r="T552" s="2" t="str">
        <f t="shared" si="49"/>
        <v>Ngô Thị Kim Trang_11AS3</v>
      </c>
      <c r="U552" s="28">
        <f t="array" ref="U552">IFERROR(VLOOKUP($T552,'Nghi hoc T12'!$H$7:$I$160,2,0),0)</f>
        <v>0</v>
      </c>
      <c r="V552" s="28">
        <f>IFERROR(VLOOKUP($T552,No_HP!$B$2:$C$514,2,0),0)</f>
        <v>0</v>
      </c>
      <c r="W552" s="28">
        <f t="shared" si="50"/>
        <v>0</v>
      </c>
      <c r="X552" s="333">
        <f t="shared" si="51"/>
        <v>0</v>
      </c>
      <c r="Y552" s="333">
        <f t="shared" si="52"/>
        <v>0</v>
      </c>
    </row>
    <row r="553" spans="1:25" s="2" customFormat="1" ht="21.95" customHeight="1">
      <c r="A553" s="82">
        <v>13</v>
      </c>
      <c r="B553" s="91" t="str">
        <f t="shared" si="53"/>
        <v>8B.S</v>
      </c>
      <c r="C553" s="83" t="s">
        <v>366</v>
      </c>
      <c r="D553" s="81" t="s">
        <v>526</v>
      </c>
      <c r="E553" s="48">
        <v>100545</v>
      </c>
      <c r="F553" s="30" t="s">
        <v>246</v>
      </c>
      <c r="G553" s="29" t="s">
        <v>30</v>
      </c>
      <c r="H553" s="30" t="s">
        <v>1398</v>
      </c>
      <c r="I553" s="78"/>
      <c r="J553" s="20"/>
      <c r="K553" s="20"/>
      <c r="L553" s="20"/>
      <c r="M553" s="20"/>
      <c r="N553" s="69" t="s">
        <v>256</v>
      </c>
      <c r="O553" s="70">
        <v>0</v>
      </c>
      <c r="P553" s="70">
        <v>0</v>
      </c>
      <c r="Q553" s="70">
        <f t="shared" si="48"/>
        <v>0</v>
      </c>
      <c r="R553" s="70"/>
      <c r="S553" s="67"/>
      <c r="T553" s="2" t="str">
        <f t="shared" si="49"/>
        <v>Nguyễn Thị Ngọc Trang_11AS1</v>
      </c>
      <c r="U553" s="28">
        <f t="array" ref="U553">IFERROR(VLOOKUP($T553,'Nghi hoc T12'!$H$7:$I$160,2,0),0)</f>
        <v>0</v>
      </c>
      <c r="V553" s="28">
        <f>IFERROR(VLOOKUP($T553,No_HP!$B$2:$C$514,2,0),0)</f>
        <v>0</v>
      </c>
      <c r="W553" s="28">
        <f t="shared" si="50"/>
        <v>0</v>
      </c>
      <c r="X553" s="333">
        <f t="shared" si="51"/>
        <v>0</v>
      </c>
      <c r="Y553" s="333">
        <f t="shared" si="52"/>
        <v>0</v>
      </c>
    </row>
    <row r="554" spans="1:25" s="2" customFormat="1" ht="21.95" customHeight="1">
      <c r="A554" s="82">
        <v>14</v>
      </c>
      <c r="B554" s="91" t="str">
        <f t="shared" si="53"/>
        <v>8B.S</v>
      </c>
      <c r="C554" s="83" t="s">
        <v>366</v>
      </c>
      <c r="D554" s="81" t="s">
        <v>526</v>
      </c>
      <c r="E554" s="48">
        <v>100546</v>
      </c>
      <c r="F554" s="30" t="s">
        <v>132</v>
      </c>
      <c r="G554" s="29" t="s">
        <v>30</v>
      </c>
      <c r="H554" s="30" t="s">
        <v>1399</v>
      </c>
      <c r="I554" s="78"/>
      <c r="J554" s="20"/>
      <c r="K554" s="20"/>
      <c r="L554" s="20"/>
      <c r="M554" s="20"/>
      <c r="N554" s="69" t="s">
        <v>256</v>
      </c>
      <c r="O554" s="70">
        <v>0</v>
      </c>
      <c r="P554" s="70">
        <v>0</v>
      </c>
      <c r="Q554" s="70">
        <f t="shared" si="48"/>
        <v>0</v>
      </c>
      <c r="R554" s="70"/>
      <c r="S554" s="67"/>
      <c r="T554" s="2" t="str">
        <f t="shared" si="49"/>
        <v>Nguyễn Thị Thảo Trang_11AS2</v>
      </c>
      <c r="U554" s="28">
        <f t="array" ref="U554">IFERROR(VLOOKUP($T554,'Nghi hoc T12'!$H$7:$I$160,2,0),0)</f>
        <v>0</v>
      </c>
      <c r="V554" s="28">
        <f>IFERROR(VLOOKUP($T554,No_HP!$B$2:$C$514,2,0),0)</f>
        <v>0</v>
      </c>
      <c r="W554" s="28">
        <f t="shared" si="50"/>
        <v>0</v>
      </c>
      <c r="X554" s="333">
        <f t="shared" si="51"/>
        <v>0</v>
      </c>
      <c r="Y554" s="333">
        <f t="shared" si="52"/>
        <v>0</v>
      </c>
    </row>
    <row r="555" spans="1:25" s="2" customFormat="1" ht="21.95" customHeight="1">
      <c r="A555" s="82">
        <v>15</v>
      </c>
      <c r="B555" s="91" t="str">
        <f t="shared" si="53"/>
        <v>8B.S</v>
      </c>
      <c r="C555" s="83" t="s">
        <v>366</v>
      </c>
      <c r="D555" s="81" t="s">
        <v>526</v>
      </c>
      <c r="E555" s="48">
        <v>100547</v>
      </c>
      <c r="F555" s="30" t="s">
        <v>1156</v>
      </c>
      <c r="G555" s="29" t="s">
        <v>30</v>
      </c>
      <c r="H555" s="30" t="s">
        <v>1398</v>
      </c>
      <c r="I555" s="78"/>
      <c r="J555" s="20"/>
      <c r="K555" s="20"/>
      <c r="L555" s="20"/>
      <c r="M555" s="20"/>
      <c r="N555" s="69" t="s">
        <v>256</v>
      </c>
      <c r="O555" s="70">
        <v>0</v>
      </c>
      <c r="P555" s="70">
        <v>0</v>
      </c>
      <c r="Q555" s="70">
        <f t="shared" si="48"/>
        <v>0</v>
      </c>
      <c r="R555" s="70"/>
      <c r="S555" s="67"/>
      <c r="T555" s="2" t="str">
        <f t="shared" si="49"/>
        <v>Phạm Mai Trang_11AS1</v>
      </c>
      <c r="U555" s="28">
        <f t="array" ref="U555">IFERROR(VLOOKUP($T555,'Nghi hoc T12'!$H$7:$I$160,2,0),0)</f>
        <v>0</v>
      </c>
      <c r="V555" s="28">
        <f>IFERROR(VLOOKUP($T555,No_HP!$B$2:$C$514,2,0),0)</f>
        <v>0</v>
      </c>
      <c r="W555" s="28">
        <f t="shared" si="50"/>
        <v>0</v>
      </c>
      <c r="X555" s="333">
        <f t="shared" si="51"/>
        <v>0</v>
      </c>
      <c r="Y555" s="333">
        <f t="shared" si="52"/>
        <v>0</v>
      </c>
    </row>
    <row r="556" spans="1:25" s="2" customFormat="1" ht="21.95" customHeight="1">
      <c r="A556" s="82">
        <v>16</v>
      </c>
      <c r="B556" s="91" t="str">
        <f t="shared" si="53"/>
        <v>8B.S</v>
      </c>
      <c r="C556" s="83" t="s">
        <v>366</v>
      </c>
      <c r="D556" s="81" t="s">
        <v>526</v>
      </c>
      <c r="E556" s="48">
        <v>100548</v>
      </c>
      <c r="F556" s="30" t="s">
        <v>1124</v>
      </c>
      <c r="G556" s="29" t="s">
        <v>29</v>
      </c>
      <c r="H556" s="30" t="s">
        <v>1402</v>
      </c>
      <c r="I556" s="78"/>
      <c r="J556" s="20"/>
      <c r="K556" s="20"/>
      <c r="L556" s="20"/>
      <c r="M556" s="20"/>
      <c r="N556" s="69" t="s">
        <v>256</v>
      </c>
      <c r="O556" s="70">
        <v>0</v>
      </c>
      <c r="P556" s="70">
        <v>0</v>
      </c>
      <c r="Q556" s="70">
        <f t="shared" si="48"/>
        <v>0</v>
      </c>
      <c r="R556" s="70"/>
      <c r="S556" s="67"/>
      <c r="T556" s="2" t="str">
        <f t="shared" si="49"/>
        <v>Lê Nguyễn Ngọc Trâm_11AS3</v>
      </c>
      <c r="U556" s="28">
        <f t="array" ref="U556">IFERROR(VLOOKUP($T556,'Nghi hoc T12'!$H$7:$I$160,2,0),0)</f>
        <v>0</v>
      </c>
      <c r="V556" s="28">
        <f>IFERROR(VLOOKUP($T556,No_HP!$B$2:$C$514,2,0),0)</f>
        <v>0</v>
      </c>
      <c r="W556" s="28">
        <f t="shared" si="50"/>
        <v>0</v>
      </c>
      <c r="X556" s="333">
        <f t="shared" si="51"/>
        <v>0</v>
      </c>
      <c r="Y556" s="333">
        <f t="shared" si="52"/>
        <v>0</v>
      </c>
    </row>
    <row r="557" spans="1:25" s="2" customFormat="1" ht="21.95" customHeight="1">
      <c r="A557" s="82">
        <v>17</v>
      </c>
      <c r="B557" s="91" t="str">
        <f t="shared" si="53"/>
        <v>8B.S</v>
      </c>
      <c r="C557" s="83" t="s">
        <v>366</v>
      </c>
      <c r="D557" s="81" t="s">
        <v>526</v>
      </c>
      <c r="E557" s="48">
        <v>100549</v>
      </c>
      <c r="F557" s="30" t="s">
        <v>1486</v>
      </c>
      <c r="G557" s="29" t="s">
        <v>81</v>
      </c>
      <c r="H557" s="30" t="s">
        <v>1399</v>
      </c>
      <c r="I557" s="78"/>
      <c r="J557" s="20"/>
      <c r="K557" s="20"/>
      <c r="L557" s="20"/>
      <c r="M557" s="20"/>
      <c r="N557" s="69" t="s">
        <v>256</v>
      </c>
      <c r="O557" s="70">
        <v>0</v>
      </c>
      <c r="P557" s="70">
        <v>0</v>
      </c>
      <c r="Q557" s="70">
        <f t="shared" si="48"/>
        <v>0</v>
      </c>
      <c r="R557" s="70"/>
      <c r="S557" s="67"/>
      <c r="T557" s="2" t="str">
        <f t="shared" si="49"/>
        <v>Nguyễn Trương Ngọc Bảo Trân_11AS2</v>
      </c>
      <c r="U557" s="28">
        <f t="array" ref="U557">IFERROR(VLOOKUP($T557,'Nghi hoc T12'!$H$7:$I$160,2,0),0)</f>
        <v>0</v>
      </c>
      <c r="V557" s="28">
        <f>IFERROR(VLOOKUP($T557,No_HP!$B$2:$C$514,2,0),0)</f>
        <v>0</v>
      </c>
      <c r="W557" s="28">
        <f t="shared" si="50"/>
        <v>0</v>
      </c>
      <c r="X557" s="333">
        <f t="shared" si="51"/>
        <v>0</v>
      </c>
      <c r="Y557" s="333">
        <f t="shared" si="52"/>
        <v>0</v>
      </c>
    </row>
    <row r="558" spans="1:25" s="2" customFormat="1" ht="21.95" customHeight="1">
      <c r="A558" s="82">
        <v>18</v>
      </c>
      <c r="B558" s="91" t="str">
        <f t="shared" si="53"/>
        <v>8B.S</v>
      </c>
      <c r="C558" s="83" t="s">
        <v>366</v>
      </c>
      <c r="D558" s="81" t="s">
        <v>526</v>
      </c>
      <c r="E558" s="48">
        <v>100550</v>
      </c>
      <c r="F558" s="30" t="s">
        <v>314</v>
      </c>
      <c r="G558" s="29" t="s">
        <v>206</v>
      </c>
      <c r="H558" s="30" t="s">
        <v>1402</v>
      </c>
      <c r="I558" s="78"/>
      <c r="J558" s="20"/>
      <c r="K558" s="20"/>
      <c r="L558" s="20"/>
      <c r="M558" s="20"/>
      <c r="N558" s="69" t="s">
        <v>256</v>
      </c>
      <c r="O558" s="70">
        <v>0</v>
      </c>
      <c r="P558" s="70">
        <v>0</v>
      </c>
      <c r="Q558" s="70">
        <f t="shared" si="48"/>
        <v>0</v>
      </c>
      <c r="R558" s="70"/>
      <c r="S558" s="67"/>
      <c r="T558" s="2" t="str">
        <f t="shared" si="49"/>
        <v>Phạm Minh Trí_11AS3</v>
      </c>
      <c r="U558" s="28">
        <f t="array" ref="U558">IFERROR(VLOOKUP($T558,'Nghi hoc T12'!$H$7:$I$160,2,0),0)</f>
        <v>0</v>
      </c>
      <c r="V558" s="28">
        <f>IFERROR(VLOOKUP($T558,No_HP!$B$2:$C$514,2,0),0)</f>
        <v>0</v>
      </c>
      <c r="W558" s="28">
        <f t="shared" si="50"/>
        <v>0</v>
      </c>
      <c r="X558" s="333">
        <f t="shared" si="51"/>
        <v>0</v>
      </c>
      <c r="Y558" s="333">
        <f t="shared" si="52"/>
        <v>0</v>
      </c>
    </row>
    <row r="559" spans="1:25" s="2" customFormat="1" ht="21.95" customHeight="1">
      <c r="A559" s="82">
        <v>19</v>
      </c>
      <c r="B559" s="91" t="str">
        <f t="shared" si="53"/>
        <v>8B.S</v>
      </c>
      <c r="C559" s="83" t="s">
        <v>366</v>
      </c>
      <c r="D559" s="81" t="s">
        <v>526</v>
      </c>
      <c r="E559" s="48">
        <v>100551</v>
      </c>
      <c r="F559" s="30" t="s">
        <v>257</v>
      </c>
      <c r="G559" s="29" t="s">
        <v>164</v>
      </c>
      <c r="H559" s="30" t="s">
        <v>1398</v>
      </c>
      <c r="I559" s="78"/>
      <c r="J559" s="20"/>
      <c r="K559" s="20"/>
      <c r="L559" s="20"/>
      <c r="M559" s="20"/>
      <c r="N559" s="69" t="s">
        <v>256</v>
      </c>
      <c r="O559" s="70">
        <v>0</v>
      </c>
      <c r="P559" s="70">
        <v>0</v>
      </c>
      <c r="Q559" s="70">
        <f t="shared" si="48"/>
        <v>0</v>
      </c>
      <c r="R559" s="70"/>
      <c r="S559" s="67"/>
      <c r="T559" s="2" t="str">
        <f t="shared" si="49"/>
        <v>Lê Minh Trường_11AS1</v>
      </c>
      <c r="U559" s="28">
        <f t="array" ref="U559">IFERROR(VLOOKUP($T559,'Nghi hoc T12'!$H$7:$I$160,2,0),0)</f>
        <v>0</v>
      </c>
      <c r="V559" s="28">
        <f>IFERROR(VLOOKUP($T559,No_HP!$B$2:$C$514,2,0),0)</f>
        <v>0</v>
      </c>
      <c r="W559" s="28">
        <f t="shared" si="50"/>
        <v>0</v>
      </c>
      <c r="X559" s="333">
        <f t="shared" si="51"/>
        <v>0</v>
      </c>
      <c r="Y559" s="333">
        <f t="shared" si="52"/>
        <v>0</v>
      </c>
    </row>
    <row r="560" spans="1:25" s="2" customFormat="1" ht="21.95" customHeight="1">
      <c r="A560" s="82">
        <v>20</v>
      </c>
      <c r="B560" s="91" t="str">
        <f t="shared" si="53"/>
        <v>8B.S</v>
      </c>
      <c r="C560" s="83" t="s">
        <v>366</v>
      </c>
      <c r="D560" s="81" t="s">
        <v>526</v>
      </c>
      <c r="E560" s="48">
        <v>100552</v>
      </c>
      <c r="F560" s="30" t="s">
        <v>1487</v>
      </c>
      <c r="G560" s="29" t="s">
        <v>51</v>
      </c>
      <c r="H560" s="30" t="s">
        <v>1399</v>
      </c>
      <c r="I560" s="78"/>
      <c r="J560" s="20"/>
      <c r="K560" s="20"/>
      <c r="L560" s="20"/>
      <c r="M560" s="20"/>
      <c r="N560" s="69" t="s">
        <v>256</v>
      </c>
      <c r="O560" s="70">
        <v>0</v>
      </c>
      <c r="P560" s="70">
        <v>0</v>
      </c>
      <c r="Q560" s="70">
        <f t="shared" si="48"/>
        <v>0</v>
      </c>
      <c r="R560" s="70"/>
      <c r="S560" s="67"/>
      <c r="T560" s="2" t="str">
        <f t="shared" si="49"/>
        <v>Nguyễn Võ Anh Tú_11AS2</v>
      </c>
      <c r="U560" s="28">
        <f t="array" ref="U560">IFERROR(VLOOKUP($T560,'Nghi hoc T12'!$H$7:$I$160,2,0),0)</f>
        <v>0</v>
      </c>
      <c r="V560" s="28">
        <f>IFERROR(VLOOKUP($T560,No_HP!$B$2:$C$514,2,0),0)</f>
        <v>0</v>
      </c>
      <c r="W560" s="28">
        <f t="shared" si="50"/>
        <v>0</v>
      </c>
      <c r="X560" s="333">
        <f t="shared" si="51"/>
        <v>0</v>
      </c>
      <c r="Y560" s="333">
        <f t="shared" si="52"/>
        <v>0</v>
      </c>
    </row>
    <row r="561" spans="1:25" s="2" customFormat="1" ht="21.95" customHeight="1">
      <c r="A561" s="82">
        <v>21</v>
      </c>
      <c r="B561" s="91" t="str">
        <f t="shared" si="53"/>
        <v>8B.S</v>
      </c>
      <c r="C561" s="83" t="s">
        <v>366</v>
      </c>
      <c r="D561" s="81" t="s">
        <v>526</v>
      </c>
      <c r="E561" s="48">
        <v>100553</v>
      </c>
      <c r="F561" s="30" t="s">
        <v>118</v>
      </c>
      <c r="G561" s="29" t="s">
        <v>52</v>
      </c>
      <c r="H561" s="30" t="s">
        <v>1402</v>
      </c>
      <c r="I561" s="78"/>
      <c r="J561" s="20"/>
      <c r="K561" s="20"/>
      <c r="L561" s="20"/>
      <c r="M561" s="20"/>
      <c r="N561" s="69" t="s">
        <v>256</v>
      </c>
      <c r="O561" s="70">
        <v>0</v>
      </c>
      <c r="P561" s="70">
        <v>0</v>
      </c>
      <c r="Q561" s="70">
        <f t="shared" si="48"/>
        <v>0</v>
      </c>
      <c r="R561" s="70"/>
      <c r="S561" s="67"/>
      <c r="T561" s="2" t="str">
        <f t="shared" si="49"/>
        <v>Nguyễn Quốc Tuấn_11AS3</v>
      </c>
      <c r="U561" s="28">
        <f t="array" ref="U561">IFERROR(VLOOKUP($T561,'Nghi hoc T12'!$H$7:$I$160,2,0),0)</f>
        <v>0</v>
      </c>
      <c r="V561" s="28">
        <f>IFERROR(VLOOKUP($T561,No_HP!$B$2:$C$514,2,0),0)</f>
        <v>0</v>
      </c>
      <c r="W561" s="28">
        <f t="shared" si="50"/>
        <v>0</v>
      </c>
      <c r="X561" s="333">
        <f t="shared" si="51"/>
        <v>0</v>
      </c>
      <c r="Y561" s="333">
        <f t="shared" si="52"/>
        <v>0</v>
      </c>
    </row>
    <row r="562" spans="1:25" s="2" customFormat="1" ht="21.95" customHeight="1">
      <c r="A562" s="82">
        <v>22</v>
      </c>
      <c r="B562" s="91" t="str">
        <f t="shared" si="53"/>
        <v>8B.S</v>
      </c>
      <c r="C562" s="83" t="s">
        <v>366</v>
      </c>
      <c r="D562" s="81" t="s">
        <v>526</v>
      </c>
      <c r="E562" s="48">
        <v>100554</v>
      </c>
      <c r="F562" s="30" t="s">
        <v>1488</v>
      </c>
      <c r="G562" s="29" t="s">
        <v>110</v>
      </c>
      <c r="H562" s="30" t="s">
        <v>1399</v>
      </c>
      <c r="I562" s="78"/>
      <c r="J562" s="20"/>
      <c r="K562" s="20"/>
      <c r="L562" s="20"/>
      <c r="M562" s="20"/>
      <c r="N562" s="69" t="s">
        <v>256</v>
      </c>
      <c r="O562" s="70">
        <v>0</v>
      </c>
      <c r="P562" s="70">
        <v>0</v>
      </c>
      <c r="Q562" s="70">
        <f t="shared" si="48"/>
        <v>0</v>
      </c>
      <c r="R562" s="70"/>
      <c r="S562" s="67"/>
      <c r="T562" s="2" t="str">
        <f t="shared" si="49"/>
        <v>Nguyễn Khoa Anh Tùng_11AS2</v>
      </c>
      <c r="U562" s="28">
        <f t="array" ref="U562">IFERROR(VLOOKUP($T562,'Nghi hoc T12'!$H$7:$I$160,2,0),0)</f>
        <v>0</v>
      </c>
      <c r="V562" s="28">
        <f>IFERROR(VLOOKUP($T562,No_HP!$B$2:$C$514,2,0),0)</f>
        <v>0</v>
      </c>
      <c r="W562" s="28">
        <f t="shared" si="50"/>
        <v>0</v>
      </c>
      <c r="X562" s="333">
        <f t="shared" si="51"/>
        <v>0</v>
      </c>
      <c r="Y562" s="333">
        <f t="shared" si="52"/>
        <v>0</v>
      </c>
    </row>
    <row r="563" spans="1:25" s="2" customFormat="1" ht="21.95" customHeight="1">
      <c r="A563" s="82">
        <v>23</v>
      </c>
      <c r="B563" s="91" t="str">
        <f t="shared" si="53"/>
        <v>8B.S</v>
      </c>
      <c r="C563" s="83" t="s">
        <v>366</v>
      </c>
      <c r="D563" s="81" t="s">
        <v>526</v>
      </c>
      <c r="E563" s="48">
        <v>100555</v>
      </c>
      <c r="F563" s="30" t="s">
        <v>167</v>
      </c>
      <c r="G563" s="29" t="s">
        <v>110</v>
      </c>
      <c r="H563" s="30" t="s">
        <v>1398</v>
      </c>
      <c r="I563" s="78"/>
      <c r="J563" s="20"/>
      <c r="K563" s="20"/>
      <c r="L563" s="20"/>
      <c r="M563" s="20"/>
      <c r="N563" s="69" t="s">
        <v>256</v>
      </c>
      <c r="O563" s="70">
        <v>0</v>
      </c>
      <c r="P563" s="70">
        <v>0</v>
      </c>
      <c r="Q563" s="70">
        <f t="shared" si="48"/>
        <v>0</v>
      </c>
      <c r="R563" s="70"/>
      <c r="S563" s="67"/>
      <c r="T563" s="2" t="str">
        <f t="shared" si="49"/>
        <v>Trần Thanh Tùng_11AS1</v>
      </c>
      <c r="U563" s="28">
        <f t="array" ref="U563">IFERROR(VLOOKUP($T563,'Nghi hoc T12'!$H$7:$I$160,2,0),0)</f>
        <v>0</v>
      </c>
      <c r="V563" s="28">
        <f>IFERROR(VLOOKUP($T563,No_HP!$B$2:$C$514,2,0),0)</f>
        <v>0</v>
      </c>
      <c r="W563" s="28">
        <f t="shared" si="50"/>
        <v>0</v>
      </c>
      <c r="X563" s="333">
        <f t="shared" si="51"/>
        <v>0</v>
      </c>
      <c r="Y563" s="333">
        <f t="shared" si="52"/>
        <v>0</v>
      </c>
    </row>
    <row r="564" spans="1:25" s="2" customFormat="1" ht="21.95" customHeight="1">
      <c r="A564" s="82">
        <v>24</v>
      </c>
      <c r="B564" s="91" t="str">
        <f t="shared" si="53"/>
        <v>8B.S</v>
      </c>
      <c r="C564" s="83" t="s">
        <v>366</v>
      </c>
      <c r="D564" s="81" t="s">
        <v>526</v>
      </c>
      <c r="E564" s="48">
        <v>100556</v>
      </c>
      <c r="F564" s="30" t="s">
        <v>1489</v>
      </c>
      <c r="G564" s="29" t="s">
        <v>33</v>
      </c>
      <c r="H564" s="30" t="s">
        <v>1399</v>
      </c>
      <c r="I564" s="78"/>
      <c r="J564" s="20"/>
      <c r="K564" s="20"/>
      <c r="L564" s="20"/>
      <c r="M564" s="20"/>
      <c r="N564" s="69" t="s">
        <v>256</v>
      </c>
      <c r="O564" s="70">
        <v>0</v>
      </c>
      <c r="P564" s="70">
        <v>0</v>
      </c>
      <c r="Q564" s="70">
        <f t="shared" si="48"/>
        <v>0</v>
      </c>
      <c r="R564" s="70"/>
      <c r="S564" s="67"/>
      <c r="T564" s="2" t="str">
        <f t="shared" si="49"/>
        <v>Chu Hoàng Việt_11AS2</v>
      </c>
      <c r="U564" s="28">
        <f t="array" ref="U564">IFERROR(VLOOKUP($T564,'Nghi hoc T12'!$H$7:$I$160,2,0),0)</f>
        <v>0</v>
      </c>
      <c r="V564" s="28">
        <f>IFERROR(VLOOKUP($T564,No_HP!$B$2:$C$514,2,0),0)</f>
        <v>0</v>
      </c>
      <c r="W564" s="28">
        <f t="shared" si="50"/>
        <v>0</v>
      </c>
      <c r="X564" s="333">
        <f t="shared" si="51"/>
        <v>0</v>
      </c>
      <c r="Y564" s="333">
        <f t="shared" si="52"/>
        <v>0</v>
      </c>
    </row>
    <row r="565" spans="1:25" s="2" customFormat="1" ht="21.95" customHeight="1">
      <c r="A565" s="82">
        <v>25</v>
      </c>
      <c r="B565" s="91" t="str">
        <f t="shared" si="53"/>
        <v>8B.S</v>
      </c>
      <c r="C565" s="83" t="s">
        <v>366</v>
      </c>
      <c r="D565" s="81" t="s">
        <v>526</v>
      </c>
      <c r="E565" s="48">
        <v>100557</v>
      </c>
      <c r="F565" s="30" t="s">
        <v>1490</v>
      </c>
      <c r="G565" s="29" t="s">
        <v>61</v>
      </c>
      <c r="H565" s="30" t="s">
        <v>1402</v>
      </c>
      <c r="I565" s="78"/>
      <c r="J565" s="20"/>
      <c r="K565" s="20"/>
      <c r="L565" s="20"/>
      <c r="M565" s="20"/>
      <c r="N565" s="69" t="s">
        <v>256</v>
      </c>
      <c r="O565" s="70">
        <v>0</v>
      </c>
      <c r="P565" s="70">
        <v>0</v>
      </c>
      <c r="Q565" s="70">
        <f t="shared" si="48"/>
        <v>0</v>
      </c>
      <c r="R565" s="70"/>
      <c r="S565" s="67"/>
      <c r="T565" s="2" t="str">
        <f t="shared" si="49"/>
        <v>Hoàng Đặng Quang Vinh_11AS3</v>
      </c>
      <c r="U565" s="28">
        <f t="array" ref="U565">IFERROR(VLOOKUP($T565,'Nghi hoc T12'!$H$7:$I$160,2,0),0)</f>
        <v>0</v>
      </c>
      <c r="V565" s="28">
        <f>IFERROR(VLOOKUP($T565,No_HP!$B$2:$C$514,2,0),0)</f>
        <v>0</v>
      </c>
      <c r="W565" s="28">
        <f t="shared" si="50"/>
        <v>0</v>
      </c>
      <c r="X565" s="333">
        <f t="shared" si="51"/>
        <v>0</v>
      </c>
      <c r="Y565" s="333">
        <f t="shared" si="52"/>
        <v>0</v>
      </c>
    </row>
    <row r="566" spans="1:25" s="2" customFormat="1" ht="21.95" customHeight="1">
      <c r="A566" s="82">
        <v>26</v>
      </c>
      <c r="B566" s="91" t="str">
        <f t="shared" si="53"/>
        <v>8B.S</v>
      </c>
      <c r="C566" s="83" t="s">
        <v>366</v>
      </c>
      <c r="D566" s="81" t="s">
        <v>526</v>
      </c>
      <c r="E566" s="48">
        <v>100558</v>
      </c>
      <c r="F566" s="30" t="s">
        <v>1491</v>
      </c>
      <c r="G566" s="29" t="s">
        <v>75</v>
      </c>
      <c r="H566" s="30" t="s">
        <v>1399</v>
      </c>
      <c r="I566" s="78"/>
      <c r="J566" s="20"/>
      <c r="K566" s="20"/>
      <c r="L566" s="20"/>
      <c r="M566" s="20"/>
      <c r="N566" s="69" t="s">
        <v>256</v>
      </c>
      <c r="O566" s="70">
        <v>0</v>
      </c>
      <c r="P566" s="70">
        <v>0</v>
      </c>
      <c r="Q566" s="70">
        <f t="shared" si="48"/>
        <v>0</v>
      </c>
      <c r="R566" s="70"/>
      <c r="S566" s="67"/>
      <c r="T566" s="2" t="str">
        <f t="shared" si="49"/>
        <v>Phan Diễm Như Ý_11AS2</v>
      </c>
      <c r="U566" s="28">
        <f t="array" ref="U566">IFERROR(VLOOKUP($T566,'Nghi hoc T12'!$H$7:$I$160,2,0),0)</f>
        <v>0</v>
      </c>
      <c r="V566" s="28">
        <f>IFERROR(VLOOKUP($T566,No_HP!$B$2:$C$514,2,0),0)</f>
        <v>0</v>
      </c>
      <c r="W566" s="28">
        <f t="shared" si="50"/>
        <v>0</v>
      </c>
      <c r="X566" s="333">
        <f t="shared" si="51"/>
        <v>0</v>
      </c>
      <c r="Y566" s="333">
        <f t="shared" si="52"/>
        <v>0</v>
      </c>
    </row>
    <row r="567" spans="1:25" s="2" customFormat="1" ht="21.95" customHeight="1">
      <c r="A567" s="82">
        <v>27</v>
      </c>
      <c r="B567" s="91" t="str">
        <f t="shared" si="53"/>
        <v>8B.S</v>
      </c>
      <c r="C567" s="83" t="s">
        <v>366</v>
      </c>
      <c r="D567" s="81" t="s">
        <v>526</v>
      </c>
      <c r="E567" s="48">
        <v>100559</v>
      </c>
      <c r="F567" s="30" t="s">
        <v>1492</v>
      </c>
      <c r="G567" s="29" t="s">
        <v>62</v>
      </c>
      <c r="H567" s="30" t="s">
        <v>1402</v>
      </c>
      <c r="I567" s="78"/>
      <c r="J567" s="20"/>
      <c r="K567" s="20"/>
      <c r="L567" s="20"/>
      <c r="M567" s="20"/>
      <c r="N567" s="69" t="s">
        <v>256</v>
      </c>
      <c r="O567" s="70">
        <v>0</v>
      </c>
      <c r="P567" s="70">
        <v>0</v>
      </c>
      <c r="Q567" s="70">
        <f t="shared" si="48"/>
        <v>0</v>
      </c>
      <c r="R567" s="70"/>
      <c r="S567" s="67"/>
      <c r="T567" s="2" t="str">
        <f t="shared" si="49"/>
        <v>Nguyễn Thị Hải Yến_11AS3</v>
      </c>
      <c r="U567" s="28">
        <f t="array" ref="U567">IFERROR(VLOOKUP($T567,'Nghi hoc T12'!$H$7:$I$160,2,0),0)</f>
        <v>0</v>
      </c>
      <c r="V567" s="28">
        <f>IFERROR(VLOOKUP($T567,No_HP!$B$2:$C$514,2,0),0)</f>
        <v>0</v>
      </c>
      <c r="W567" s="28">
        <f t="shared" si="50"/>
        <v>0</v>
      </c>
      <c r="X567" s="333">
        <f t="shared" si="51"/>
        <v>0</v>
      </c>
      <c r="Y567" s="333">
        <f t="shared" si="52"/>
        <v>0</v>
      </c>
    </row>
    <row r="568" spans="1:25" s="2" customFormat="1" ht="21.95" customHeight="1">
      <c r="A568" s="82">
        <v>28</v>
      </c>
      <c r="B568" s="91" t="str">
        <f t="shared" si="53"/>
        <v>8B.S</v>
      </c>
      <c r="C568" s="83" t="s">
        <v>366</v>
      </c>
      <c r="D568" s="81" t="s">
        <v>526</v>
      </c>
      <c r="E568" s="48">
        <v>100560</v>
      </c>
      <c r="F568" s="30" t="s">
        <v>246</v>
      </c>
      <c r="G568" s="29" t="s">
        <v>62</v>
      </c>
      <c r="H568" s="30" t="s">
        <v>1398</v>
      </c>
      <c r="I568" s="78"/>
      <c r="J568" s="20"/>
      <c r="K568" s="20"/>
      <c r="L568" s="20"/>
      <c r="M568" s="20"/>
      <c r="N568" s="69" t="s">
        <v>256</v>
      </c>
      <c r="O568" s="70">
        <v>0</v>
      </c>
      <c r="P568" s="70">
        <v>0</v>
      </c>
      <c r="Q568" s="70">
        <f t="shared" si="48"/>
        <v>0</v>
      </c>
      <c r="R568" s="70"/>
      <c r="S568" s="67"/>
      <c r="T568" s="2" t="str">
        <f t="shared" si="49"/>
        <v>Nguyễn Thị Ngọc Yến_11AS1</v>
      </c>
      <c r="U568" s="28">
        <f t="array" ref="U568">IFERROR(VLOOKUP($T568,'Nghi hoc T12'!$H$7:$I$160,2,0),0)</f>
        <v>0</v>
      </c>
      <c r="V568" s="28">
        <f>IFERROR(VLOOKUP($T568,No_HP!$B$2:$C$514,2,0),0)</f>
        <v>0</v>
      </c>
      <c r="W568" s="28">
        <f t="shared" si="50"/>
        <v>0</v>
      </c>
      <c r="X568" s="333">
        <f t="shared" si="51"/>
        <v>0</v>
      </c>
      <c r="Y568" s="333">
        <f t="shared" si="52"/>
        <v>0</v>
      </c>
    </row>
    <row r="569" spans="1:25" s="195" customFormat="1" ht="21.95" customHeight="1">
      <c r="A569" s="200">
        <v>1</v>
      </c>
      <c r="B569" s="91" t="str">
        <f t="shared" si="53"/>
        <v>1A.T</v>
      </c>
      <c r="C569" s="185" t="s">
        <v>362</v>
      </c>
      <c r="D569" s="186" t="s">
        <v>508</v>
      </c>
      <c r="E569" s="187">
        <v>100561</v>
      </c>
      <c r="F569" s="188" t="s">
        <v>1493</v>
      </c>
      <c r="G569" s="189" t="s">
        <v>63</v>
      </c>
      <c r="H569" s="188" t="s">
        <v>1494</v>
      </c>
      <c r="I569" s="190"/>
      <c r="J569" s="191"/>
      <c r="K569" s="191"/>
      <c r="L569" s="191"/>
      <c r="M569" s="191"/>
      <c r="N569" s="199" t="s">
        <v>502</v>
      </c>
      <c r="O569" s="193">
        <v>0</v>
      </c>
      <c r="P569" s="193">
        <v>0</v>
      </c>
      <c r="Q569" s="70">
        <f t="shared" si="48"/>
        <v>0</v>
      </c>
      <c r="R569" s="193"/>
      <c r="S569" s="194"/>
      <c r="T569" s="2" t="str">
        <f t="shared" si="49"/>
        <v>Nguyễn Điễn Văn An_11AT1</v>
      </c>
      <c r="U569" s="28">
        <f t="array" ref="U569">IFERROR(VLOOKUP($T569,'Nghi hoc T12'!$H$7:$I$160,2,0),0)</f>
        <v>0</v>
      </c>
      <c r="V569" s="196">
        <f>IFERROR(VLOOKUP($T569,No_HP!$B$2:$C$514,2,0),0)</f>
        <v>0</v>
      </c>
      <c r="W569" s="28">
        <f t="shared" si="50"/>
        <v>0</v>
      </c>
      <c r="X569" s="333">
        <f t="shared" si="51"/>
        <v>0</v>
      </c>
      <c r="Y569" s="333">
        <f t="shared" si="52"/>
        <v>0</v>
      </c>
    </row>
    <row r="570" spans="1:25" s="2" customFormat="1" ht="21.95" customHeight="1">
      <c r="A570" s="82">
        <v>2</v>
      </c>
      <c r="B570" s="91" t="str">
        <f t="shared" si="53"/>
        <v>1A.T</v>
      </c>
      <c r="C570" s="83" t="s">
        <v>362</v>
      </c>
      <c r="D570" s="81" t="s">
        <v>508</v>
      </c>
      <c r="E570" s="48">
        <v>100562</v>
      </c>
      <c r="F570" s="30" t="s">
        <v>1495</v>
      </c>
      <c r="G570" s="29" t="s">
        <v>5</v>
      </c>
      <c r="H570" s="30" t="s">
        <v>1494</v>
      </c>
      <c r="I570" s="78"/>
      <c r="J570" s="20"/>
      <c r="K570" s="20"/>
      <c r="L570" s="20"/>
      <c r="M570" s="20"/>
      <c r="N570" s="179" t="s">
        <v>502</v>
      </c>
      <c r="O570" s="70">
        <v>0</v>
      </c>
      <c r="P570" s="70">
        <v>0</v>
      </c>
      <c r="Q570" s="70">
        <f t="shared" si="48"/>
        <v>0</v>
      </c>
      <c r="R570" s="70"/>
      <c r="S570" s="67"/>
      <c r="T570" s="2" t="str">
        <f t="shared" si="49"/>
        <v>Lê Phan Anh_11AT1</v>
      </c>
      <c r="U570" s="28">
        <f t="array" ref="U570">IFERROR(VLOOKUP($T570,'Nghi hoc T12'!$H$7:$I$160,2,0),0)</f>
        <v>0</v>
      </c>
      <c r="V570" s="28">
        <f>IFERROR(VLOOKUP($T570,No_HP!$B$2:$C$514,2,0),0)</f>
        <v>0</v>
      </c>
      <c r="W570" s="28">
        <f t="shared" si="50"/>
        <v>0</v>
      </c>
      <c r="X570" s="333">
        <f t="shared" si="51"/>
        <v>0</v>
      </c>
      <c r="Y570" s="333">
        <f t="shared" si="52"/>
        <v>0</v>
      </c>
    </row>
    <row r="571" spans="1:25" s="2" customFormat="1" ht="21.95" customHeight="1">
      <c r="A571" s="82">
        <v>3</v>
      </c>
      <c r="B571" s="91" t="str">
        <f t="shared" si="53"/>
        <v>1A.T</v>
      </c>
      <c r="C571" s="83" t="s">
        <v>362</v>
      </c>
      <c r="D571" s="81" t="s">
        <v>508</v>
      </c>
      <c r="E571" s="48">
        <v>100563</v>
      </c>
      <c r="F571" s="30" t="s">
        <v>338</v>
      </c>
      <c r="G571" s="29" t="s">
        <v>5</v>
      </c>
      <c r="H571" s="30" t="s">
        <v>1496</v>
      </c>
      <c r="I571" s="78"/>
      <c r="J571" s="20"/>
      <c r="K571" s="20"/>
      <c r="L571" s="20"/>
      <c r="M571" s="20"/>
      <c r="N571" s="179" t="s">
        <v>502</v>
      </c>
      <c r="O571" s="70">
        <v>0</v>
      </c>
      <c r="P571" s="70">
        <v>0</v>
      </c>
      <c r="Q571" s="70">
        <f t="shared" si="48"/>
        <v>0</v>
      </c>
      <c r="R571" s="70"/>
      <c r="S571" s="67"/>
      <c r="T571" s="2" t="str">
        <f t="shared" si="49"/>
        <v>Lê Thị Kim Anh_11AT2</v>
      </c>
      <c r="U571" s="28">
        <f t="array" ref="U571">IFERROR(VLOOKUP($T571,'Nghi hoc T12'!$H$7:$I$160,2,0),0)</f>
        <v>0</v>
      </c>
      <c r="V571" s="28">
        <f>IFERROR(VLOOKUP($T571,No_HP!$B$2:$C$514,2,0),0)</f>
        <v>0</v>
      </c>
      <c r="W571" s="28">
        <f t="shared" si="50"/>
        <v>0</v>
      </c>
      <c r="X571" s="333">
        <f t="shared" si="51"/>
        <v>0</v>
      </c>
      <c r="Y571" s="333">
        <f t="shared" si="52"/>
        <v>0</v>
      </c>
    </row>
    <row r="572" spans="1:25" s="2" customFormat="1" ht="21.95" customHeight="1">
      <c r="A572" s="82">
        <v>4</v>
      </c>
      <c r="B572" s="91" t="str">
        <f t="shared" si="53"/>
        <v>1A.T</v>
      </c>
      <c r="C572" s="83" t="s">
        <v>362</v>
      </c>
      <c r="D572" s="81" t="s">
        <v>508</v>
      </c>
      <c r="E572" s="48">
        <v>100564</v>
      </c>
      <c r="F572" s="30" t="s">
        <v>1497</v>
      </c>
      <c r="G572" s="29" t="s">
        <v>5</v>
      </c>
      <c r="H572" s="30" t="s">
        <v>1494</v>
      </c>
      <c r="I572" s="78"/>
      <c r="J572" s="20"/>
      <c r="K572" s="20"/>
      <c r="L572" s="20"/>
      <c r="M572" s="20"/>
      <c r="N572" s="179" t="s">
        <v>502</v>
      </c>
      <c r="O572" s="70">
        <v>0</v>
      </c>
      <c r="P572" s="70">
        <v>0</v>
      </c>
      <c r="Q572" s="70">
        <f t="shared" si="48"/>
        <v>0</v>
      </c>
      <c r="R572" s="70"/>
      <c r="S572" s="67"/>
      <c r="T572" s="2" t="str">
        <f t="shared" si="49"/>
        <v>Nguyễn Kỳ Anh_11AT1</v>
      </c>
      <c r="U572" s="28">
        <f t="array" ref="U572">IFERROR(VLOOKUP($T572,'Nghi hoc T12'!$H$7:$I$160,2,0),0)</f>
        <v>0</v>
      </c>
      <c r="V572" s="28">
        <f>IFERROR(VLOOKUP($T572,No_HP!$B$2:$C$514,2,0),0)</f>
        <v>0</v>
      </c>
      <c r="W572" s="28">
        <f t="shared" si="50"/>
        <v>0</v>
      </c>
      <c r="X572" s="333">
        <f t="shared" si="51"/>
        <v>0</v>
      </c>
      <c r="Y572" s="333">
        <f t="shared" si="52"/>
        <v>0</v>
      </c>
    </row>
    <row r="573" spans="1:25" s="2" customFormat="1" ht="21.95" customHeight="1">
      <c r="A573" s="82">
        <v>5</v>
      </c>
      <c r="B573" s="91" t="str">
        <f t="shared" si="53"/>
        <v>1A.T</v>
      </c>
      <c r="C573" s="83" t="s">
        <v>362</v>
      </c>
      <c r="D573" s="81" t="s">
        <v>508</v>
      </c>
      <c r="E573" s="48">
        <v>100565</v>
      </c>
      <c r="F573" s="30" t="s">
        <v>1498</v>
      </c>
      <c r="G573" s="29" t="s">
        <v>5</v>
      </c>
      <c r="H573" s="30" t="s">
        <v>1494</v>
      </c>
      <c r="I573" s="78"/>
      <c r="J573" s="20"/>
      <c r="K573" s="20"/>
      <c r="L573" s="20"/>
      <c r="M573" s="20"/>
      <c r="N573" s="179" t="s">
        <v>502</v>
      </c>
      <c r="O573" s="70">
        <v>0</v>
      </c>
      <c r="P573" s="70">
        <v>0</v>
      </c>
      <c r="Q573" s="70">
        <f t="shared" si="48"/>
        <v>0</v>
      </c>
      <c r="R573" s="70"/>
      <c r="S573" s="67"/>
      <c r="T573" s="2" t="str">
        <f t="shared" si="49"/>
        <v>Nguyễn Thanh Tú Anh_11AT1</v>
      </c>
      <c r="U573" s="28">
        <f t="array" ref="U573">IFERROR(VLOOKUP($T573,'Nghi hoc T12'!$H$7:$I$160,2,0),0)</f>
        <v>0</v>
      </c>
      <c r="V573" s="28">
        <f>IFERROR(VLOOKUP($T573,No_HP!$B$2:$C$514,2,0),0)</f>
        <v>0</v>
      </c>
      <c r="W573" s="28">
        <f t="shared" si="50"/>
        <v>0</v>
      </c>
      <c r="X573" s="333">
        <f t="shared" si="51"/>
        <v>0</v>
      </c>
      <c r="Y573" s="333">
        <f t="shared" si="52"/>
        <v>0</v>
      </c>
    </row>
    <row r="574" spans="1:25" s="2" customFormat="1" ht="21.95" customHeight="1">
      <c r="A574" s="82">
        <v>6</v>
      </c>
      <c r="B574" s="91" t="str">
        <f t="shared" si="53"/>
        <v>1A.T</v>
      </c>
      <c r="C574" s="83" t="s">
        <v>362</v>
      </c>
      <c r="D574" s="81" t="s">
        <v>508</v>
      </c>
      <c r="E574" s="48">
        <v>100566</v>
      </c>
      <c r="F574" s="30" t="s">
        <v>1499</v>
      </c>
      <c r="G574" s="29" t="s">
        <v>5</v>
      </c>
      <c r="H574" s="30" t="s">
        <v>1496</v>
      </c>
      <c r="I574" s="78"/>
      <c r="J574" s="20"/>
      <c r="K574" s="20"/>
      <c r="L574" s="20"/>
      <c r="M574" s="20"/>
      <c r="N574" s="179" t="s">
        <v>502</v>
      </c>
      <c r="O574" s="70">
        <v>0</v>
      </c>
      <c r="P574" s="70">
        <v>0</v>
      </c>
      <c r="Q574" s="70">
        <f t="shared" si="48"/>
        <v>0</v>
      </c>
      <c r="R574" s="70"/>
      <c r="S574" s="67"/>
      <c r="T574" s="2" t="str">
        <f t="shared" si="49"/>
        <v>Nguyễn Thị Hoàng Anh_11AT2</v>
      </c>
      <c r="U574" s="28">
        <f t="array" ref="U574">IFERROR(VLOOKUP($T574,'Nghi hoc T12'!$H$7:$I$160,2,0),0)</f>
        <v>0</v>
      </c>
      <c r="V574" s="28">
        <f>IFERROR(VLOOKUP($T574,No_HP!$B$2:$C$514,2,0),0)</f>
        <v>0</v>
      </c>
      <c r="W574" s="28">
        <f t="shared" si="50"/>
        <v>0</v>
      </c>
      <c r="X574" s="333">
        <f t="shared" si="51"/>
        <v>0</v>
      </c>
      <c r="Y574" s="333">
        <f t="shared" si="52"/>
        <v>0</v>
      </c>
    </row>
    <row r="575" spans="1:25" s="2" customFormat="1" ht="21.95" customHeight="1">
      <c r="A575" s="82">
        <v>7</v>
      </c>
      <c r="B575" s="91" t="str">
        <f t="shared" si="53"/>
        <v>1A.T</v>
      </c>
      <c r="C575" s="83" t="s">
        <v>362</v>
      </c>
      <c r="D575" s="81" t="s">
        <v>508</v>
      </c>
      <c r="E575" s="48">
        <v>100567</v>
      </c>
      <c r="F575" s="30" t="s">
        <v>1461</v>
      </c>
      <c r="G575" s="29" t="s">
        <v>5</v>
      </c>
      <c r="H575" s="30" t="s">
        <v>1494</v>
      </c>
      <c r="I575" s="78"/>
      <c r="J575" s="20"/>
      <c r="K575" s="20"/>
      <c r="L575" s="20"/>
      <c r="M575" s="20"/>
      <c r="N575" s="179" t="s">
        <v>502</v>
      </c>
      <c r="O575" s="70">
        <v>0</v>
      </c>
      <c r="P575" s="70">
        <v>0</v>
      </c>
      <c r="Q575" s="70">
        <f t="shared" si="48"/>
        <v>0</v>
      </c>
      <c r="R575" s="70"/>
      <c r="S575" s="67"/>
      <c r="T575" s="2" t="str">
        <f t="shared" si="49"/>
        <v>Phạm Quỳnh Anh_11AT1</v>
      </c>
      <c r="U575" s="28">
        <f t="array" ref="U575">IFERROR(VLOOKUP($T575,'Nghi hoc T12'!$H$7:$I$160,2,0),0)</f>
        <v>0</v>
      </c>
      <c r="V575" s="28">
        <f>IFERROR(VLOOKUP($T575,No_HP!$B$2:$C$514,2,0),0)</f>
        <v>0</v>
      </c>
      <c r="W575" s="28">
        <f t="shared" si="50"/>
        <v>0</v>
      </c>
      <c r="X575" s="333">
        <f t="shared" si="51"/>
        <v>0</v>
      </c>
      <c r="Y575" s="333">
        <f t="shared" si="52"/>
        <v>0</v>
      </c>
    </row>
    <row r="576" spans="1:25" s="2" customFormat="1" ht="21.95" customHeight="1">
      <c r="A576" s="82">
        <v>8</v>
      </c>
      <c r="B576" s="91" t="str">
        <f t="shared" si="53"/>
        <v>1A.T</v>
      </c>
      <c r="C576" s="83" t="s">
        <v>362</v>
      </c>
      <c r="D576" s="81" t="s">
        <v>508</v>
      </c>
      <c r="E576" s="48">
        <v>100568</v>
      </c>
      <c r="F576" s="30" t="s">
        <v>156</v>
      </c>
      <c r="G576" s="29" t="s">
        <v>5</v>
      </c>
      <c r="H576" s="30" t="s">
        <v>1496</v>
      </c>
      <c r="I576" s="78"/>
      <c r="J576" s="20"/>
      <c r="K576" s="20"/>
      <c r="L576" s="20"/>
      <c r="M576" s="20"/>
      <c r="N576" s="179" t="s">
        <v>502</v>
      </c>
      <c r="O576" s="70">
        <v>0</v>
      </c>
      <c r="P576" s="70">
        <v>0</v>
      </c>
      <c r="Q576" s="70">
        <f t="shared" si="48"/>
        <v>0</v>
      </c>
      <c r="R576" s="70"/>
      <c r="S576" s="67"/>
      <c r="T576" s="2" t="str">
        <f t="shared" si="49"/>
        <v>Trần Minh Anh_11AT2</v>
      </c>
      <c r="U576" s="28">
        <f t="array" ref="U576">IFERROR(VLOOKUP($T576,'Nghi hoc T12'!$H$7:$I$160,2,0),0)</f>
        <v>0</v>
      </c>
      <c r="V576" s="28">
        <f>IFERROR(VLOOKUP($T576,No_HP!$B$2:$C$514,2,0),0)</f>
        <v>0</v>
      </c>
      <c r="W576" s="28">
        <f t="shared" si="50"/>
        <v>0</v>
      </c>
      <c r="X576" s="333">
        <f t="shared" si="51"/>
        <v>0</v>
      </c>
      <c r="Y576" s="333">
        <f t="shared" si="52"/>
        <v>0</v>
      </c>
    </row>
    <row r="577" spans="1:25" s="2" customFormat="1" ht="21.95" customHeight="1">
      <c r="A577" s="82">
        <v>9</v>
      </c>
      <c r="B577" s="91" t="str">
        <f t="shared" si="53"/>
        <v>1A.T</v>
      </c>
      <c r="C577" s="83" t="s">
        <v>362</v>
      </c>
      <c r="D577" s="81" t="s">
        <v>508</v>
      </c>
      <c r="E577" s="48">
        <v>100569</v>
      </c>
      <c r="F577" s="30" t="s">
        <v>138</v>
      </c>
      <c r="G577" s="29" t="s">
        <v>108</v>
      </c>
      <c r="H577" s="30" t="s">
        <v>1494</v>
      </c>
      <c r="I577" s="78"/>
      <c r="J577" s="20"/>
      <c r="K577" s="20"/>
      <c r="L577" s="20"/>
      <c r="M577" s="20"/>
      <c r="N577" s="179" t="s">
        <v>502</v>
      </c>
      <c r="O577" s="70">
        <v>0</v>
      </c>
      <c r="P577" s="70">
        <v>0</v>
      </c>
      <c r="Q577" s="70">
        <f t="shared" si="48"/>
        <v>0</v>
      </c>
      <c r="R577" s="70"/>
      <c r="S577" s="67"/>
      <c r="T577" s="2" t="str">
        <f t="shared" si="49"/>
        <v>Nguyễn Ngọc Hồng Ân_11AT1</v>
      </c>
      <c r="U577" s="28">
        <f t="array" ref="U577">IFERROR(VLOOKUP($T577,'Nghi hoc T12'!$H$7:$I$160,2,0),0)</f>
        <v>0</v>
      </c>
      <c r="V577" s="28">
        <f>IFERROR(VLOOKUP($T577,No_HP!$B$2:$C$514,2,0),0)</f>
        <v>0</v>
      </c>
      <c r="W577" s="28">
        <f t="shared" si="50"/>
        <v>0</v>
      </c>
      <c r="X577" s="333">
        <f t="shared" si="51"/>
        <v>0</v>
      </c>
      <c r="Y577" s="333">
        <f t="shared" si="52"/>
        <v>0</v>
      </c>
    </row>
    <row r="578" spans="1:25" s="2" customFormat="1" ht="21.95" customHeight="1">
      <c r="A578" s="82">
        <v>10</v>
      </c>
      <c r="B578" s="91" t="str">
        <f t="shared" si="53"/>
        <v>1A.T</v>
      </c>
      <c r="C578" s="83" t="s">
        <v>362</v>
      </c>
      <c r="D578" s="81" t="s">
        <v>508</v>
      </c>
      <c r="E578" s="48">
        <v>100570</v>
      </c>
      <c r="F578" s="30" t="s">
        <v>465</v>
      </c>
      <c r="G578" s="29" t="s">
        <v>108</v>
      </c>
      <c r="H578" s="30" t="s">
        <v>1496</v>
      </c>
      <c r="I578" s="78"/>
      <c r="J578" s="20"/>
      <c r="K578" s="20"/>
      <c r="L578" s="20"/>
      <c r="M578" s="20"/>
      <c r="N578" s="179" t="s">
        <v>502</v>
      </c>
      <c r="O578" s="70">
        <v>0</v>
      </c>
      <c r="P578" s="70">
        <v>0</v>
      </c>
      <c r="Q578" s="70">
        <f t="shared" si="48"/>
        <v>0</v>
      </c>
      <c r="R578" s="70"/>
      <c r="S578" s="67"/>
      <c r="T578" s="2" t="str">
        <f t="shared" si="49"/>
        <v>Vũ Thiên Ân_11AT2</v>
      </c>
      <c r="U578" s="28">
        <f t="array" ref="U578">IFERROR(VLOOKUP($T578,'Nghi hoc T12'!$H$7:$I$160,2,0),0)</f>
        <v>0</v>
      </c>
      <c r="V578" s="28">
        <f>IFERROR(VLOOKUP($T578,No_HP!$B$2:$C$514,2,0),0)</f>
        <v>0</v>
      </c>
      <c r="W578" s="28">
        <f t="shared" si="50"/>
        <v>0</v>
      </c>
      <c r="X578" s="333">
        <f t="shared" si="51"/>
        <v>0</v>
      </c>
      <c r="Y578" s="333">
        <f t="shared" si="52"/>
        <v>0</v>
      </c>
    </row>
    <row r="579" spans="1:25" s="2" customFormat="1" ht="21.95" customHeight="1">
      <c r="A579" s="82">
        <v>11</v>
      </c>
      <c r="B579" s="91" t="str">
        <f t="shared" si="53"/>
        <v>1A.T</v>
      </c>
      <c r="C579" s="83" t="s">
        <v>362</v>
      </c>
      <c r="D579" s="81" t="s">
        <v>508</v>
      </c>
      <c r="E579" s="48">
        <v>100571</v>
      </c>
      <c r="F579" s="30" t="s">
        <v>359</v>
      </c>
      <c r="G579" s="29" t="s">
        <v>83</v>
      </c>
      <c r="H579" s="30" t="s">
        <v>1494</v>
      </c>
      <c r="I579" s="78"/>
      <c r="J579" s="20"/>
      <c r="K579" s="20"/>
      <c r="L579" s="20"/>
      <c r="M579" s="20"/>
      <c r="N579" s="179" t="s">
        <v>502</v>
      </c>
      <c r="O579" s="70">
        <v>0</v>
      </c>
      <c r="P579" s="70">
        <v>0</v>
      </c>
      <c r="Q579" s="70">
        <f t="shared" si="48"/>
        <v>0</v>
      </c>
      <c r="R579" s="70"/>
      <c r="S579" s="67"/>
      <c r="T579" s="2" t="str">
        <f t="shared" si="49"/>
        <v>Nguyễn Trí Bảo_11AT1</v>
      </c>
      <c r="U579" s="28">
        <f t="array" ref="U579">IFERROR(VLOOKUP($T579,'Nghi hoc T12'!$H$7:$I$160,2,0),0)</f>
        <v>0</v>
      </c>
      <c r="V579" s="28">
        <f>IFERROR(VLOOKUP($T579,No_HP!$B$2:$C$514,2,0),0)</f>
        <v>0</v>
      </c>
      <c r="W579" s="28">
        <f t="shared" si="50"/>
        <v>0</v>
      </c>
      <c r="X579" s="333">
        <f t="shared" si="51"/>
        <v>0</v>
      </c>
      <c r="Y579" s="333">
        <f t="shared" si="52"/>
        <v>0</v>
      </c>
    </row>
    <row r="580" spans="1:25" s="2" customFormat="1" ht="21.95" customHeight="1">
      <c r="A580" s="82">
        <v>12</v>
      </c>
      <c r="B580" s="91" t="str">
        <f t="shared" si="53"/>
        <v>1A.T</v>
      </c>
      <c r="C580" s="83" t="s">
        <v>362</v>
      </c>
      <c r="D580" s="81" t="s">
        <v>508</v>
      </c>
      <c r="E580" s="48">
        <v>100572</v>
      </c>
      <c r="F580" s="30" t="s">
        <v>1500</v>
      </c>
      <c r="G580" s="29" t="s">
        <v>83</v>
      </c>
      <c r="H580" s="30" t="s">
        <v>1494</v>
      </c>
      <c r="I580" s="78"/>
      <c r="J580" s="20"/>
      <c r="K580" s="20"/>
      <c r="L580" s="20"/>
      <c r="M580" s="20"/>
      <c r="N580" s="179" t="s">
        <v>502</v>
      </c>
      <c r="O580" s="70">
        <v>0</v>
      </c>
      <c r="P580" s="70">
        <v>0</v>
      </c>
      <c r="Q580" s="70">
        <f t="shared" si="48"/>
        <v>0</v>
      </c>
      <c r="R580" s="70"/>
      <c r="S580" s="67"/>
      <c r="T580" s="2" t="str">
        <f t="shared" si="49"/>
        <v>Phạm Trần Gia Bảo_11AT1</v>
      </c>
      <c r="U580" s="28">
        <f t="array" ref="U580">IFERROR(VLOOKUP($T580,'Nghi hoc T12'!$H$7:$I$160,2,0),0)</f>
        <v>0</v>
      </c>
      <c r="V580" s="28">
        <f>IFERROR(VLOOKUP($T580,No_HP!$B$2:$C$514,2,0),0)</f>
        <v>0</v>
      </c>
      <c r="W580" s="28">
        <f t="shared" si="50"/>
        <v>0</v>
      </c>
      <c r="X580" s="333">
        <f t="shared" si="51"/>
        <v>0</v>
      </c>
      <c r="Y580" s="333">
        <f t="shared" si="52"/>
        <v>0</v>
      </c>
    </row>
    <row r="581" spans="1:25" s="2" customFormat="1" ht="21.95" customHeight="1">
      <c r="A581" s="82">
        <v>13</v>
      </c>
      <c r="B581" s="91" t="str">
        <f t="shared" si="53"/>
        <v>1A.T</v>
      </c>
      <c r="C581" s="83" t="s">
        <v>362</v>
      </c>
      <c r="D581" s="81" t="s">
        <v>508</v>
      </c>
      <c r="E581" s="48">
        <v>100573</v>
      </c>
      <c r="F581" s="30" t="s">
        <v>1501</v>
      </c>
      <c r="G581" s="29" t="s">
        <v>83</v>
      </c>
      <c r="H581" s="30" t="s">
        <v>1496</v>
      </c>
      <c r="I581" s="78"/>
      <c r="J581" s="20"/>
      <c r="K581" s="20"/>
      <c r="L581" s="20"/>
      <c r="M581" s="20"/>
      <c r="N581" s="179" t="s">
        <v>502</v>
      </c>
      <c r="O581" s="70">
        <v>0</v>
      </c>
      <c r="P581" s="70">
        <v>0</v>
      </c>
      <c r="Q581" s="70">
        <f t="shared" si="48"/>
        <v>0</v>
      </c>
      <c r="R581" s="70"/>
      <c r="S581" s="67"/>
      <c r="T581" s="2" t="str">
        <f t="shared" si="49"/>
        <v>Trần Nguyễn Chi Bảo_11AT2</v>
      </c>
      <c r="U581" s="28">
        <f t="array" ref="U581">IFERROR(VLOOKUP($T581,'Nghi hoc T12'!$H$7:$I$160,2,0),0)</f>
        <v>0</v>
      </c>
      <c r="V581" s="28">
        <f>IFERROR(VLOOKUP($T581,No_HP!$B$2:$C$514,2,0),0)</f>
        <v>0</v>
      </c>
      <c r="W581" s="28">
        <f t="shared" si="50"/>
        <v>0</v>
      </c>
      <c r="X581" s="333">
        <f t="shared" si="51"/>
        <v>0</v>
      </c>
      <c r="Y581" s="333">
        <f t="shared" si="52"/>
        <v>0</v>
      </c>
    </row>
    <row r="582" spans="1:25" s="2" customFormat="1" ht="21.95" customHeight="1">
      <c r="A582" s="82">
        <v>14</v>
      </c>
      <c r="B582" s="91" t="str">
        <f t="shared" si="53"/>
        <v>1A.T</v>
      </c>
      <c r="C582" s="83" t="s">
        <v>362</v>
      </c>
      <c r="D582" s="81" t="s">
        <v>508</v>
      </c>
      <c r="E582" s="48">
        <v>100574</v>
      </c>
      <c r="F582" s="30" t="s">
        <v>1465</v>
      </c>
      <c r="G582" s="29" t="s">
        <v>83</v>
      </c>
      <c r="H582" s="30" t="s">
        <v>1496</v>
      </c>
      <c r="I582" s="78"/>
      <c r="J582" s="20"/>
      <c r="K582" s="20"/>
      <c r="L582" s="20"/>
      <c r="M582" s="20"/>
      <c r="N582" s="179" t="s">
        <v>502</v>
      </c>
      <c r="O582" s="70">
        <v>0</v>
      </c>
      <c r="P582" s="70">
        <v>0</v>
      </c>
      <c r="Q582" s="70">
        <f t="shared" si="48"/>
        <v>0</v>
      </c>
      <c r="R582" s="70"/>
      <c r="S582" s="67"/>
      <c r="T582" s="2" t="str">
        <f t="shared" si="49"/>
        <v>Võ Gia Bảo_11AT2</v>
      </c>
      <c r="U582" s="28">
        <f t="array" ref="U582">IFERROR(VLOOKUP($T582,'Nghi hoc T12'!$H$7:$I$160,2,0),0)</f>
        <v>0</v>
      </c>
      <c r="V582" s="28">
        <f>IFERROR(VLOOKUP($T582,No_HP!$B$2:$C$514,2,0),0)</f>
        <v>0</v>
      </c>
      <c r="W582" s="28">
        <f t="shared" si="50"/>
        <v>0</v>
      </c>
      <c r="X582" s="333">
        <f t="shared" si="51"/>
        <v>0</v>
      </c>
      <c r="Y582" s="333">
        <f t="shared" si="52"/>
        <v>0</v>
      </c>
    </row>
    <row r="583" spans="1:25" s="2" customFormat="1" ht="21.95" customHeight="1">
      <c r="A583" s="82">
        <v>15</v>
      </c>
      <c r="B583" s="91" t="str">
        <f t="shared" si="53"/>
        <v>1A.T</v>
      </c>
      <c r="C583" s="83" t="s">
        <v>362</v>
      </c>
      <c r="D583" s="81" t="s">
        <v>508</v>
      </c>
      <c r="E583" s="48">
        <v>100575</v>
      </c>
      <c r="F583" s="30" t="s">
        <v>1502</v>
      </c>
      <c r="G583" s="29" t="s">
        <v>35</v>
      </c>
      <c r="H583" s="30" t="s">
        <v>1496</v>
      </c>
      <c r="I583" s="78"/>
      <c r="J583" s="20"/>
      <c r="K583" s="20"/>
      <c r="L583" s="20"/>
      <c r="M583" s="20"/>
      <c r="N583" s="179" t="s">
        <v>502</v>
      </c>
      <c r="O583" s="70">
        <v>0</v>
      </c>
      <c r="P583" s="70">
        <v>0</v>
      </c>
      <c r="Q583" s="70">
        <f t="shared" si="48"/>
        <v>0</v>
      </c>
      <c r="R583" s="70"/>
      <c r="S583" s="67"/>
      <c r="T583" s="2" t="str">
        <f t="shared" si="49"/>
        <v>Kim Hùng Cường_11AT2</v>
      </c>
      <c r="U583" s="28">
        <f t="array" ref="U583">IFERROR(VLOOKUP($T583,'Nghi hoc T12'!$H$7:$I$160,2,0),0)</f>
        <v>0</v>
      </c>
      <c r="V583" s="28">
        <f>IFERROR(VLOOKUP($T583,No_HP!$B$2:$C$514,2,0),0)</f>
        <v>0</v>
      </c>
      <c r="W583" s="28">
        <f t="shared" si="50"/>
        <v>0</v>
      </c>
      <c r="X583" s="333">
        <f t="shared" si="51"/>
        <v>0</v>
      </c>
      <c r="Y583" s="333">
        <f t="shared" si="52"/>
        <v>0</v>
      </c>
    </row>
    <row r="584" spans="1:25" s="2" customFormat="1" ht="21.95" customHeight="1">
      <c r="A584" s="82">
        <v>16</v>
      </c>
      <c r="B584" s="91" t="str">
        <f t="shared" si="53"/>
        <v>1A.T</v>
      </c>
      <c r="C584" s="83" t="s">
        <v>362</v>
      </c>
      <c r="D584" s="81" t="s">
        <v>508</v>
      </c>
      <c r="E584" s="48">
        <v>100576</v>
      </c>
      <c r="F584" s="30" t="s">
        <v>1503</v>
      </c>
      <c r="G584" s="29" t="s">
        <v>1504</v>
      </c>
      <c r="H584" s="30" t="s">
        <v>1494</v>
      </c>
      <c r="I584" s="78"/>
      <c r="J584" s="20"/>
      <c r="K584" s="20"/>
      <c r="L584" s="20"/>
      <c r="M584" s="20"/>
      <c r="N584" s="179" t="s">
        <v>502</v>
      </c>
      <c r="O584" s="70">
        <v>0</v>
      </c>
      <c r="P584" s="70">
        <v>0</v>
      </c>
      <c r="Q584" s="70">
        <f t="shared" si="48"/>
        <v>0</v>
      </c>
      <c r="R584" s="70"/>
      <c r="S584" s="67"/>
      <c r="T584" s="2" t="str">
        <f t="shared" si="49"/>
        <v>Lê Thị Thúy Diền_11AT1</v>
      </c>
      <c r="U584" s="28">
        <f t="array" ref="U584">IFERROR(VLOOKUP($T584,'Nghi hoc T12'!$H$7:$I$160,2,0),0)</f>
        <v>0</v>
      </c>
      <c r="V584" s="28">
        <f>IFERROR(VLOOKUP($T584,No_HP!$B$2:$C$514,2,0),0)</f>
        <v>0</v>
      </c>
      <c r="W584" s="28">
        <f t="shared" si="50"/>
        <v>0</v>
      </c>
      <c r="X584" s="333">
        <f t="shared" si="51"/>
        <v>0</v>
      </c>
      <c r="Y584" s="333">
        <f t="shared" si="52"/>
        <v>0</v>
      </c>
    </row>
    <row r="585" spans="1:25" s="2" customFormat="1" ht="21.95" customHeight="1">
      <c r="A585" s="82">
        <v>17</v>
      </c>
      <c r="B585" s="91" t="str">
        <f t="shared" si="53"/>
        <v>1A.T</v>
      </c>
      <c r="C585" s="83" t="s">
        <v>362</v>
      </c>
      <c r="D585" s="81" t="s">
        <v>508</v>
      </c>
      <c r="E585" s="48">
        <v>100577</v>
      </c>
      <c r="F585" s="30" t="s">
        <v>1505</v>
      </c>
      <c r="G585" s="29" t="s">
        <v>140</v>
      </c>
      <c r="H585" s="30" t="s">
        <v>1496</v>
      </c>
      <c r="I585" s="78"/>
      <c r="J585" s="20"/>
      <c r="K585" s="20"/>
      <c r="L585" s="20"/>
      <c r="M585" s="20"/>
      <c r="N585" s="179" t="s">
        <v>502</v>
      </c>
      <c r="O585" s="70">
        <v>0</v>
      </c>
      <c r="P585" s="70">
        <v>0</v>
      </c>
      <c r="Q585" s="70">
        <f t="shared" si="48"/>
        <v>0</v>
      </c>
      <c r="R585" s="70"/>
      <c r="S585" s="67"/>
      <c r="T585" s="2" t="str">
        <f t="shared" si="49"/>
        <v>Huỳnh Cẩm Dung_11AT2</v>
      </c>
      <c r="U585" s="28">
        <f t="array" ref="U585">IFERROR(VLOOKUP($T585,'Nghi hoc T12'!$H$7:$I$160,2,0),0)</f>
        <v>0</v>
      </c>
      <c r="V585" s="28">
        <f>IFERROR(VLOOKUP($T585,No_HP!$B$2:$C$514,2,0),0)</f>
        <v>0</v>
      </c>
      <c r="W585" s="28">
        <f t="shared" si="50"/>
        <v>0</v>
      </c>
      <c r="X585" s="333">
        <f t="shared" si="51"/>
        <v>0</v>
      </c>
      <c r="Y585" s="333">
        <f t="shared" si="52"/>
        <v>0</v>
      </c>
    </row>
    <row r="586" spans="1:25" s="2" customFormat="1" ht="21.95" customHeight="1">
      <c r="A586" s="82">
        <v>18</v>
      </c>
      <c r="B586" s="91" t="str">
        <f t="shared" si="53"/>
        <v>1A.T</v>
      </c>
      <c r="C586" s="83" t="s">
        <v>362</v>
      </c>
      <c r="D586" s="81" t="s">
        <v>508</v>
      </c>
      <c r="E586" s="48">
        <v>100578</v>
      </c>
      <c r="F586" s="30" t="s">
        <v>1506</v>
      </c>
      <c r="G586" s="29" t="s">
        <v>6</v>
      </c>
      <c r="H586" s="30" t="s">
        <v>1496</v>
      </c>
      <c r="I586" s="78"/>
      <c r="J586" s="20"/>
      <c r="K586" s="20"/>
      <c r="L586" s="20"/>
      <c r="M586" s="20"/>
      <c r="N586" s="179" t="s">
        <v>502</v>
      </c>
      <c r="O586" s="70">
        <v>0</v>
      </c>
      <c r="P586" s="70">
        <v>0</v>
      </c>
      <c r="Q586" s="70">
        <f t="shared" ref="Q586:Q649" si="54">U586</f>
        <v>0</v>
      </c>
      <c r="R586" s="70"/>
      <c r="S586" s="67"/>
      <c r="T586" s="2" t="str">
        <f t="shared" ref="T586:T649" si="55">TRIM(F586&amp;" "&amp;G586&amp;"_"&amp;H586)</f>
        <v>Vũ Đăng Ngọc Dũng_11AT2</v>
      </c>
      <c r="U586" s="28">
        <f t="array" ref="U586">IFERROR(VLOOKUP($T586,'Nghi hoc T12'!$H$7:$I$160,2,0),0)</f>
        <v>0</v>
      </c>
      <c r="V586" s="28">
        <f>IFERROR(VLOOKUP($T586,No_HP!$B$2:$C$514,2,0),0)</f>
        <v>0</v>
      </c>
      <c r="W586" s="28">
        <f t="shared" ref="W586:W649" si="56">I586</f>
        <v>0</v>
      </c>
      <c r="X586" s="333">
        <f t="shared" ref="X586:X649" si="57">O586</f>
        <v>0</v>
      </c>
      <c r="Y586" s="333">
        <f t="shared" ref="Y586:Y649" si="58">P586</f>
        <v>0</v>
      </c>
    </row>
    <row r="587" spans="1:25" s="2" customFormat="1" ht="21.95" customHeight="1">
      <c r="A587" s="82">
        <v>19</v>
      </c>
      <c r="B587" s="91" t="str">
        <f t="shared" ref="B587:B650" si="59">RIGHT(D587,LEN(D587)-2)&amp;"."&amp;LEFT(N587,1)</f>
        <v>1A.T</v>
      </c>
      <c r="C587" s="83" t="s">
        <v>362</v>
      </c>
      <c r="D587" s="81" t="s">
        <v>508</v>
      </c>
      <c r="E587" s="48">
        <v>100579</v>
      </c>
      <c r="F587" s="30" t="s">
        <v>1507</v>
      </c>
      <c r="G587" s="29" t="s">
        <v>1508</v>
      </c>
      <c r="H587" s="30" t="s">
        <v>1494</v>
      </c>
      <c r="I587" s="78"/>
      <c r="J587" s="20"/>
      <c r="K587" s="20"/>
      <c r="L587" s="20"/>
      <c r="M587" s="20"/>
      <c r="N587" s="179" t="s">
        <v>502</v>
      </c>
      <c r="O587" s="70">
        <v>0</v>
      </c>
      <c r="P587" s="70">
        <v>0</v>
      </c>
      <c r="Q587" s="70">
        <f t="shared" si="54"/>
        <v>0</v>
      </c>
      <c r="R587" s="70"/>
      <c r="S587" s="67"/>
      <c r="T587" s="2" t="str">
        <f t="shared" si="55"/>
        <v>Lê Nguyễn Khánh Đan_11AT1</v>
      </c>
      <c r="U587" s="28">
        <f t="array" ref="U587">IFERROR(VLOOKUP($T587,'Nghi hoc T12'!$H$7:$I$160,2,0),0)</f>
        <v>0</v>
      </c>
      <c r="V587" s="28">
        <f>IFERROR(VLOOKUP($T587,No_HP!$B$2:$C$514,2,0),0)</f>
        <v>0</v>
      </c>
      <c r="W587" s="28">
        <f t="shared" si="56"/>
        <v>0</v>
      </c>
      <c r="X587" s="333">
        <f t="shared" si="57"/>
        <v>0</v>
      </c>
      <c r="Y587" s="333">
        <f t="shared" si="58"/>
        <v>0</v>
      </c>
    </row>
    <row r="588" spans="1:25" s="2" customFormat="1" ht="21.95" customHeight="1">
      <c r="A588" s="82">
        <v>20</v>
      </c>
      <c r="B588" s="91" t="str">
        <f t="shared" si="59"/>
        <v>1A.T</v>
      </c>
      <c r="C588" s="83" t="s">
        <v>362</v>
      </c>
      <c r="D588" s="81" t="s">
        <v>508</v>
      </c>
      <c r="E588" s="48">
        <v>100580</v>
      </c>
      <c r="F588" s="30" t="s">
        <v>1271</v>
      </c>
      <c r="G588" s="29" t="s">
        <v>7</v>
      </c>
      <c r="H588" s="30" t="s">
        <v>1496</v>
      </c>
      <c r="I588" s="78"/>
      <c r="J588" s="20"/>
      <c r="K588" s="20"/>
      <c r="L588" s="20"/>
      <c r="M588" s="20"/>
      <c r="N588" s="179" t="s">
        <v>502</v>
      </c>
      <c r="O588" s="70">
        <v>0</v>
      </c>
      <c r="P588" s="70">
        <v>0</v>
      </c>
      <c r="Q588" s="70">
        <f t="shared" si="54"/>
        <v>0</v>
      </c>
      <c r="R588" s="70"/>
      <c r="S588" s="67"/>
      <c r="T588" s="2" t="str">
        <f t="shared" si="55"/>
        <v>Phạm Thành Đạt_11AT2</v>
      </c>
      <c r="U588" s="28">
        <f t="array" ref="U588">IFERROR(VLOOKUP($T588,'Nghi hoc T12'!$H$7:$I$160,2,0),0)</f>
        <v>0</v>
      </c>
      <c r="V588" s="28">
        <f>IFERROR(VLOOKUP($T588,No_HP!$B$2:$C$514,2,0),0)</f>
        <v>0</v>
      </c>
      <c r="W588" s="28">
        <f t="shared" si="56"/>
        <v>0</v>
      </c>
      <c r="X588" s="333">
        <f t="shared" si="57"/>
        <v>0</v>
      </c>
      <c r="Y588" s="333">
        <f t="shared" si="58"/>
        <v>0</v>
      </c>
    </row>
    <row r="589" spans="1:25" s="2" customFormat="1" ht="21.95" customHeight="1">
      <c r="A589" s="82">
        <v>21</v>
      </c>
      <c r="B589" s="91" t="str">
        <f t="shared" si="59"/>
        <v>1A.T</v>
      </c>
      <c r="C589" s="83" t="s">
        <v>362</v>
      </c>
      <c r="D589" s="81" t="s">
        <v>508</v>
      </c>
      <c r="E589" s="48">
        <v>100581</v>
      </c>
      <c r="F589" s="30" t="s">
        <v>1509</v>
      </c>
      <c r="G589" s="29" t="s">
        <v>36</v>
      </c>
      <c r="H589" s="30" t="s">
        <v>1494</v>
      </c>
      <c r="I589" s="78"/>
      <c r="J589" s="20"/>
      <c r="K589" s="20"/>
      <c r="L589" s="20"/>
      <c r="M589" s="20"/>
      <c r="N589" s="179" t="s">
        <v>502</v>
      </c>
      <c r="O589" s="70">
        <v>0</v>
      </c>
      <c r="P589" s="70">
        <v>0</v>
      </c>
      <c r="Q589" s="70">
        <f t="shared" si="54"/>
        <v>0</v>
      </c>
      <c r="R589" s="70"/>
      <c r="S589" s="67"/>
      <c r="T589" s="2" t="str">
        <f t="shared" si="55"/>
        <v>Dương Phạm Trí Đức_11AT1</v>
      </c>
      <c r="U589" s="28">
        <f t="array" ref="U589">IFERROR(VLOOKUP($T589,'Nghi hoc T12'!$H$7:$I$160,2,0),0)</f>
        <v>0</v>
      </c>
      <c r="V589" s="28">
        <f>IFERROR(VLOOKUP($T589,No_HP!$B$2:$C$514,2,0),0)</f>
        <v>0</v>
      </c>
      <c r="W589" s="28">
        <f t="shared" si="56"/>
        <v>0</v>
      </c>
      <c r="X589" s="333">
        <f t="shared" si="57"/>
        <v>0</v>
      </c>
      <c r="Y589" s="333">
        <f t="shared" si="58"/>
        <v>0</v>
      </c>
    </row>
    <row r="590" spans="1:25" s="2" customFormat="1" ht="21.95" customHeight="1">
      <c r="A590" s="82">
        <v>22</v>
      </c>
      <c r="B590" s="91" t="str">
        <f t="shared" si="59"/>
        <v>1A.T</v>
      </c>
      <c r="C590" s="83" t="s">
        <v>362</v>
      </c>
      <c r="D590" s="81" t="s">
        <v>508</v>
      </c>
      <c r="E590" s="48">
        <v>100582</v>
      </c>
      <c r="F590" s="30" t="s">
        <v>1510</v>
      </c>
      <c r="G590" s="29" t="s">
        <v>143</v>
      </c>
      <c r="H590" s="30" t="s">
        <v>1494</v>
      </c>
      <c r="I590" s="78"/>
      <c r="J590" s="20"/>
      <c r="K590" s="20"/>
      <c r="L590" s="20"/>
      <c r="M590" s="20"/>
      <c r="N590" s="179" t="s">
        <v>502</v>
      </c>
      <c r="O590" s="70">
        <v>0</v>
      </c>
      <c r="P590" s="70">
        <v>0</v>
      </c>
      <c r="Q590" s="70">
        <f t="shared" si="54"/>
        <v>0</v>
      </c>
      <c r="R590" s="70"/>
      <c r="S590" s="67"/>
      <c r="T590" s="2" t="str">
        <f t="shared" si="55"/>
        <v>Phan Thị Thu Hà_11AT1</v>
      </c>
      <c r="U590" s="28">
        <f t="array" ref="U590">IFERROR(VLOOKUP($T590,'Nghi hoc T12'!$H$7:$I$160,2,0),0)</f>
        <v>0</v>
      </c>
      <c r="V590" s="28">
        <f>IFERROR(VLOOKUP($T590,No_HP!$B$2:$C$514,2,0),0)</f>
        <v>0</v>
      </c>
      <c r="W590" s="28">
        <f t="shared" si="56"/>
        <v>0</v>
      </c>
      <c r="X590" s="333">
        <f t="shared" si="57"/>
        <v>0</v>
      </c>
      <c r="Y590" s="333">
        <f t="shared" si="58"/>
        <v>0</v>
      </c>
    </row>
    <row r="591" spans="1:25" s="2" customFormat="1" ht="21.95" customHeight="1">
      <c r="A591" s="82">
        <v>23</v>
      </c>
      <c r="B591" s="91" t="str">
        <f t="shared" si="59"/>
        <v>1A.T</v>
      </c>
      <c r="C591" s="83" t="s">
        <v>362</v>
      </c>
      <c r="D591" s="81" t="s">
        <v>508</v>
      </c>
      <c r="E591" s="48">
        <v>100583</v>
      </c>
      <c r="F591" s="30" t="s">
        <v>246</v>
      </c>
      <c r="G591" s="29" t="s">
        <v>84</v>
      </c>
      <c r="H591" s="30" t="s">
        <v>1496</v>
      </c>
      <c r="I591" s="78"/>
      <c r="J591" s="20"/>
      <c r="K591" s="20"/>
      <c r="L591" s="20"/>
      <c r="M591" s="20"/>
      <c r="N591" s="179" t="s">
        <v>502</v>
      </c>
      <c r="O591" s="70">
        <v>0</v>
      </c>
      <c r="P591" s="70">
        <v>0</v>
      </c>
      <c r="Q591" s="70">
        <f t="shared" si="54"/>
        <v>0</v>
      </c>
      <c r="R591" s="70"/>
      <c r="S591" s="67"/>
      <c r="T591" s="2" t="str">
        <f t="shared" si="55"/>
        <v>Nguyễn Thị Ngọc Hân_11AT2</v>
      </c>
      <c r="U591" s="28">
        <f t="array" ref="U591">IFERROR(VLOOKUP($T591,'Nghi hoc T12'!$H$7:$I$160,2,0),0)</f>
        <v>0</v>
      </c>
      <c r="V591" s="28">
        <f>IFERROR(VLOOKUP($T591,No_HP!$B$2:$C$514,2,0),0)</f>
        <v>0</v>
      </c>
      <c r="W591" s="28">
        <f t="shared" si="56"/>
        <v>0</v>
      </c>
      <c r="X591" s="333">
        <f t="shared" si="57"/>
        <v>0</v>
      </c>
      <c r="Y591" s="333">
        <f t="shared" si="58"/>
        <v>0</v>
      </c>
    </row>
    <row r="592" spans="1:25" s="2" customFormat="1" ht="21.95" customHeight="1">
      <c r="A592" s="82">
        <v>24</v>
      </c>
      <c r="B592" s="91" t="str">
        <f t="shared" si="59"/>
        <v>1A.T</v>
      </c>
      <c r="C592" s="83" t="s">
        <v>362</v>
      </c>
      <c r="D592" s="81" t="s">
        <v>508</v>
      </c>
      <c r="E592" s="48">
        <v>100584</v>
      </c>
      <c r="F592" s="30" t="s">
        <v>430</v>
      </c>
      <c r="G592" s="29" t="s">
        <v>9</v>
      </c>
      <c r="H592" s="30" t="s">
        <v>1496</v>
      </c>
      <c r="I592" s="78"/>
      <c r="J592" s="20"/>
      <c r="K592" s="20"/>
      <c r="L592" s="20"/>
      <c r="M592" s="20"/>
      <c r="N592" s="179" t="s">
        <v>502</v>
      </c>
      <c r="O592" s="70">
        <v>0</v>
      </c>
      <c r="P592" s="70">
        <v>0</v>
      </c>
      <c r="Q592" s="70">
        <f t="shared" si="54"/>
        <v>0</v>
      </c>
      <c r="R592" s="70"/>
      <c r="S592" s="67"/>
      <c r="T592" s="2" t="str">
        <f t="shared" si="55"/>
        <v>Hoàng Như Hiếu_11AT2</v>
      </c>
      <c r="U592" s="28">
        <f t="array" ref="U592">IFERROR(VLOOKUP($T592,'Nghi hoc T12'!$H$7:$I$160,2,0),0)</f>
        <v>0</v>
      </c>
      <c r="V592" s="28">
        <f>IFERROR(VLOOKUP($T592,No_HP!$B$2:$C$514,2,0),0)</f>
        <v>0</v>
      </c>
      <c r="W592" s="28">
        <f t="shared" si="56"/>
        <v>0</v>
      </c>
      <c r="X592" s="333">
        <f t="shared" si="57"/>
        <v>0</v>
      </c>
      <c r="Y592" s="333">
        <f t="shared" si="58"/>
        <v>0</v>
      </c>
    </row>
    <row r="593" spans="1:25" s="2" customFormat="1" ht="21.95" customHeight="1">
      <c r="A593" s="82">
        <v>25</v>
      </c>
      <c r="B593" s="91" t="str">
        <f t="shared" si="59"/>
        <v>1A.T</v>
      </c>
      <c r="C593" s="83" t="s">
        <v>362</v>
      </c>
      <c r="D593" s="81" t="s">
        <v>508</v>
      </c>
      <c r="E593" s="48">
        <v>100585</v>
      </c>
      <c r="F593" s="30" t="s">
        <v>186</v>
      </c>
      <c r="G593" s="29" t="s">
        <v>9</v>
      </c>
      <c r="H593" s="30" t="s">
        <v>1494</v>
      </c>
      <c r="I593" s="78"/>
      <c r="J593" s="20"/>
      <c r="K593" s="20"/>
      <c r="L593" s="20"/>
      <c r="M593" s="20"/>
      <c r="N593" s="179" t="s">
        <v>502</v>
      </c>
      <c r="O593" s="70">
        <v>0</v>
      </c>
      <c r="P593" s="70">
        <v>0</v>
      </c>
      <c r="Q593" s="70">
        <f t="shared" si="54"/>
        <v>0</v>
      </c>
      <c r="R593" s="70"/>
      <c r="S593" s="67"/>
      <c r="T593" s="2" t="str">
        <f t="shared" si="55"/>
        <v>Nguyễn Minh Hiếu_11AT1</v>
      </c>
      <c r="U593" s="28">
        <f t="array" ref="U593">IFERROR(VLOOKUP($T593,'Nghi hoc T12'!$H$7:$I$160,2,0),0)</f>
        <v>0</v>
      </c>
      <c r="V593" s="28">
        <f>IFERROR(VLOOKUP($T593,No_HP!$B$2:$C$514,2,0),0)</f>
        <v>0</v>
      </c>
      <c r="W593" s="28">
        <f t="shared" si="56"/>
        <v>0</v>
      </c>
      <c r="X593" s="333">
        <f t="shared" si="57"/>
        <v>0</v>
      </c>
      <c r="Y593" s="333">
        <f t="shared" si="58"/>
        <v>0</v>
      </c>
    </row>
    <row r="594" spans="1:25" s="2" customFormat="1" ht="21.95" customHeight="1">
      <c r="A594" s="200">
        <v>1</v>
      </c>
      <c r="B594" s="91" t="str">
        <f t="shared" si="59"/>
        <v>2A.T</v>
      </c>
      <c r="C594" s="185" t="s">
        <v>362</v>
      </c>
      <c r="D594" s="186" t="s">
        <v>509</v>
      </c>
      <c r="E594" s="187">
        <v>100586</v>
      </c>
      <c r="F594" s="188" t="s">
        <v>248</v>
      </c>
      <c r="G594" s="189" t="s">
        <v>1511</v>
      </c>
      <c r="H594" s="188" t="s">
        <v>1494</v>
      </c>
      <c r="I594" s="190"/>
      <c r="J594" s="191"/>
      <c r="K594" s="191"/>
      <c r="L594" s="191"/>
      <c r="M594" s="191"/>
      <c r="N594" s="179" t="s">
        <v>502</v>
      </c>
      <c r="O594" s="70">
        <v>0</v>
      </c>
      <c r="P594" s="70">
        <v>0</v>
      </c>
      <c r="Q594" s="70">
        <f t="shared" si="54"/>
        <v>0</v>
      </c>
      <c r="R594" s="70"/>
      <c r="S594" s="67"/>
      <c r="T594" s="2" t="str">
        <f t="shared" si="55"/>
        <v>Trần Thị Kim Huệ_11AT1</v>
      </c>
      <c r="U594" s="28">
        <f t="array" ref="U594">IFERROR(VLOOKUP($T594,'Nghi hoc T12'!$H$7:$I$160,2,0),0)</f>
        <v>0</v>
      </c>
      <c r="V594" s="28">
        <f>IFERROR(VLOOKUP($T594,No_HP!$B$2:$C$514,2,0),0)</f>
        <v>0</v>
      </c>
      <c r="W594" s="28">
        <f t="shared" si="56"/>
        <v>0</v>
      </c>
      <c r="X594" s="333">
        <f t="shared" si="57"/>
        <v>0</v>
      </c>
      <c r="Y594" s="333">
        <f t="shared" si="58"/>
        <v>0</v>
      </c>
    </row>
    <row r="595" spans="1:25" s="2" customFormat="1" ht="21.95" customHeight="1">
      <c r="A595" s="82">
        <v>2</v>
      </c>
      <c r="B595" s="91" t="str">
        <f t="shared" si="59"/>
        <v>2A.T</v>
      </c>
      <c r="C595" s="83" t="s">
        <v>362</v>
      </c>
      <c r="D595" s="81" t="s">
        <v>509</v>
      </c>
      <c r="E595" s="48">
        <v>100587</v>
      </c>
      <c r="F595" s="30" t="s">
        <v>1512</v>
      </c>
      <c r="G595" s="29" t="s">
        <v>11</v>
      </c>
      <c r="H595" s="30" t="s">
        <v>1494</v>
      </c>
      <c r="I595" s="78"/>
      <c r="J595" s="20"/>
      <c r="K595" s="20"/>
      <c r="L595" s="20"/>
      <c r="M595" s="20"/>
      <c r="N595" s="179" t="s">
        <v>502</v>
      </c>
      <c r="O595" s="70">
        <v>0</v>
      </c>
      <c r="P595" s="70">
        <v>0</v>
      </c>
      <c r="Q595" s="70">
        <f t="shared" si="54"/>
        <v>0</v>
      </c>
      <c r="R595" s="70"/>
      <c r="S595" s="67"/>
      <c r="T595" s="2" t="str">
        <f t="shared" si="55"/>
        <v>Lê Hoàng Gia Huy_11AT1</v>
      </c>
      <c r="U595" s="28">
        <f t="array" ref="U595">IFERROR(VLOOKUP($T595,'Nghi hoc T12'!$H$7:$I$160,2,0),0)</f>
        <v>0</v>
      </c>
      <c r="V595" s="28">
        <f>IFERROR(VLOOKUP($T595,No_HP!$B$2:$C$514,2,0),0)</f>
        <v>0</v>
      </c>
      <c r="W595" s="28">
        <f t="shared" si="56"/>
        <v>0</v>
      </c>
      <c r="X595" s="333">
        <f t="shared" si="57"/>
        <v>0</v>
      </c>
      <c r="Y595" s="333">
        <f t="shared" si="58"/>
        <v>0</v>
      </c>
    </row>
    <row r="596" spans="1:25" s="2" customFormat="1" ht="21.95" customHeight="1">
      <c r="A596" s="82">
        <v>3</v>
      </c>
      <c r="B596" s="91" t="str">
        <f t="shared" si="59"/>
        <v>2A.T</v>
      </c>
      <c r="C596" s="83" t="s">
        <v>362</v>
      </c>
      <c r="D596" s="81" t="s">
        <v>509</v>
      </c>
      <c r="E596" s="48">
        <v>100588</v>
      </c>
      <c r="F596" s="30" t="s">
        <v>299</v>
      </c>
      <c r="G596" s="29" t="s">
        <v>11</v>
      </c>
      <c r="H596" s="30" t="s">
        <v>1494</v>
      </c>
      <c r="I596" s="78"/>
      <c r="J596" s="20"/>
      <c r="K596" s="20"/>
      <c r="L596" s="20"/>
      <c r="M596" s="20"/>
      <c r="N596" s="179" t="s">
        <v>502</v>
      </c>
      <c r="O596" s="70">
        <v>0</v>
      </c>
      <c r="P596" s="70">
        <v>0</v>
      </c>
      <c r="Q596" s="70">
        <f t="shared" si="54"/>
        <v>0</v>
      </c>
      <c r="R596" s="70"/>
      <c r="S596" s="67"/>
      <c r="T596" s="2" t="str">
        <f t="shared" si="55"/>
        <v>Nguyễn Đình Huy_11AT1</v>
      </c>
      <c r="U596" s="28">
        <f t="array" ref="U596">IFERROR(VLOOKUP($T596,'Nghi hoc T12'!$H$7:$I$160,2,0),0)</f>
        <v>0</v>
      </c>
      <c r="V596" s="28">
        <f>IFERROR(VLOOKUP($T596,No_HP!$B$2:$C$514,2,0),0)</f>
        <v>0</v>
      </c>
      <c r="W596" s="28">
        <f t="shared" si="56"/>
        <v>0</v>
      </c>
      <c r="X596" s="333">
        <f t="shared" si="57"/>
        <v>0</v>
      </c>
      <c r="Y596" s="333">
        <f t="shared" si="58"/>
        <v>0</v>
      </c>
    </row>
    <row r="597" spans="1:25" s="2" customFormat="1" ht="21.95" customHeight="1">
      <c r="A597" s="82">
        <v>4</v>
      </c>
      <c r="B597" s="91" t="str">
        <f t="shared" si="59"/>
        <v>2A.T</v>
      </c>
      <c r="C597" s="83" t="s">
        <v>362</v>
      </c>
      <c r="D597" s="81" t="s">
        <v>509</v>
      </c>
      <c r="E597" s="48">
        <v>100589</v>
      </c>
      <c r="F597" s="30" t="s">
        <v>244</v>
      </c>
      <c r="G597" s="29" t="s">
        <v>11</v>
      </c>
      <c r="H597" s="30" t="s">
        <v>1496</v>
      </c>
      <c r="I597" s="78"/>
      <c r="J597" s="20"/>
      <c r="K597" s="20"/>
      <c r="L597" s="20"/>
      <c r="M597" s="20"/>
      <c r="N597" s="179" t="s">
        <v>502</v>
      </c>
      <c r="O597" s="70">
        <v>0</v>
      </c>
      <c r="P597" s="70">
        <v>0</v>
      </c>
      <c r="Q597" s="70">
        <f t="shared" si="54"/>
        <v>0</v>
      </c>
      <c r="R597" s="70"/>
      <c r="S597" s="67"/>
      <c r="T597" s="2" t="str">
        <f t="shared" si="55"/>
        <v>Phạm Tuấn Huy_11AT2</v>
      </c>
      <c r="U597" s="28">
        <f t="array" ref="U597">IFERROR(VLOOKUP($T597,'Nghi hoc T12'!$H$7:$I$160,2,0),0)</f>
        <v>0</v>
      </c>
      <c r="V597" s="28">
        <f>IFERROR(VLOOKUP($T597,No_HP!$B$2:$C$514,2,0),0)</f>
        <v>0</v>
      </c>
      <c r="W597" s="28">
        <f t="shared" si="56"/>
        <v>0</v>
      </c>
      <c r="X597" s="333">
        <f t="shared" si="57"/>
        <v>0</v>
      </c>
      <c r="Y597" s="333">
        <f t="shared" si="58"/>
        <v>0</v>
      </c>
    </row>
    <row r="598" spans="1:25" s="2" customFormat="1" ht="21.95" customHeight="1">
      <c r="A598" s="82">
        <v>5</v>
      </c>
      <c r="B598" s="91" t="str">
        <f t="shared" si="59"/>
        <v>2A.T</v>
      </c>
      <c r="C598" s="83" t="s">
        <v>362</v>
      </c>
      <c r="D598" s="81" t="s">
        <v>509</v>
      </c>
      <c r="E598" s="48">
        <v>100590</v>
      </c>
      <c r="F598" s="30" t="s">
        <v>335</v>
      </c>
      <c r="G598" s="29" t="s">
        <v>468</v>
      </c>
      <c r="H598" s="30" t="s">
        <v>1496</v>
      </c>
      <c r="I598" s="78"/>
      <c r="J598" s="20"/>
      <c r="K598" s="20"/>
      <c r="L598" s="20"/>
      <c r="M598" s="20"/>
      <c r="N598" s="179" t="s">
        <v>502</v>
      </c>
      <c r="O598" s="70">
        <v>0</v>
      </c>
      <c r="P598" s="70">
        <v>0</v>
      </c>
      <c r="Q598" s="70">
        <f t="shared" si="54"/>
        <v>0</v>
      </c>
      <c r="R598" s="70"/>
      <c r="S598" s="67"/>
      <c r="T598" s="2" t="str">
        <f t="shared" si="55"/>
        <v>Phạm Đình Huynh_11AT2</v>
      </c>
      <c r="U598" s="28">
        <f t="array" ref="U598">IFERROR(VLOOKUP($T598,'Nghi hoc T12'!$H$7:$I$160,2,0),0)</f>
        <v>0</v>
      </c>
      <c r="V598" s="28">
        <f>IFERROR(VLOOKUP($T598,No_HP!$B$2:$C$514,2,0),0)</f>
        <v>0</v>
      </c>
      <c r="W598" s="28">
        <f t="shared" si="56"/>
        <v>0</v>
      </c>
      <c r="X598" s="333">
        <f t="shared" si="57"/>
        <v>0</v>
      </c>
      <c r="Y598" s="333">
        <f t="shared" si="58"/>
        <v>0</v>
      </c>
    </row>
    <row r="599" spans="1:25" s="2" customFormat="1" ht="21.95" customHeight="1">
      <c r="A599" s="82">
        <v>6</v>
      </c>
      <c r="B599" s="91" t="str">
        <f t="shared" si="59"/>
        <v>2A.T</v>
      </c>
      <c r="C599" s="83" t="s">
        <v>362</v>
      </c>
      <c r="D599" s="81" t="s">
        <v>509</v>
      </c>
      <c r="E599" s="48">
        <v>100591</v>
      </c>
      <c r="F599" s="30" t="s">
        <v>1513</v>
      </c>
      <c r="G599" s="29" t="s">
        <v>79</v>
      </c>
      <c r="H599" s="30" t="s">
        <v>1494</v>
      </c>
      <c r="I599" s="78"/>
      <c r="J599" s="20"/>
      <c r="K599" s="20"/>
      <c r="L599" s="20"/>
      <c r="M599" s="20"/>
      <c r="N599" s="179" t="s">
        <v>502</v>
      </c>
      <c r="O599" s="70">
        <v>0</v>
      </c>
      <c r="P599" s="70">
        <v>0</v>
      </c>
      <c r="Q599" s="70">
        <f t="shared" si="54"/>
        <v>0</v>
      </c>
      <c r="R599" s="70"/>
      <c r="S599" s="67"/>
      <c r="T599" s="2" t="str">
        <f t="shared" si="55"/>
        <v>Đặng Hoàng Gia Khang_11AT1</v>
      </c>
      <c r="U599" s="28">
        <f t="array" ref="U599">IFERROR(VLOOKUP($T599,'Nghi hoc T12'!$H$7:$I$160,2,0),0)</f>
        <v>0</v>
      </c>
      <c r="V599" s="28">
        <f>IFERROR(VLOOKUP($T599,No_HP!$B$2:$C$514,2,0),0)</f>
        <v>0</v>
      </c>
      <c r="W599" s="28">
        <f t="shared" si="56"/>
        <v>0</v>
      </c>
      <c r="X599" s="333">
        <f t="shared" si="57"/>
        <v>0</v>
      </c>
      <c r="Y599" s="333">
        <f t="shared" si="58"/>
        <v>0</v>
      </c>
    </row>
    <row r="600" spans="1:25" s="2" customFormat="1" ht="21.95" customHeight="1">
      <c r="A600" s="82">
        <v>7</v>
      </c>
      <c r="B600" s="91" t="str">
        <f t="shared" si="59"/>
        <v>2A.T</v>
      </c>
      <c r="C600" s="83" t="s">
        <v>362</v>
      </c>
      <c r="D600" s="81" t="s">
        <v>509</v>
      </c>
      <c r="E600" s="48">
        <v>100592</v>
      </c>
      <c r="F600" s="30" t="s">
        <v>166</v>
      </c>
      <c r="G600" s="29" t="s">
        <v>79</v>
      </c>
      <c r="H600" s="30" t="s">
        <v>1496</v>
      </c>
      <c r="I600" s="78"/>
      <c r="J600" s="20"/>
      <c r="K600" s="20"/>
      <c r="L600" s="20"/>
      <c r="M600" s="20"/>
      <c r="N600" s="179" t="s">
        <v>502</v>
      </c>
      <c r="O600" s="70">
        <v>0</v>
      </c>
      <c r="P600" s="70">
        <v>0</v>
      </c>
      <c r="Q600" s="70">
        <f t="shared" si="54"/>
        <v>0</v>
      </c>
      <c r="R600" s="70"/>
      <c r="S600" s="67"/>
      <c r="T600" s="2" t="str">
        <f t="shared" si="55"/>
        <v>Nguyễn Gia Khang_11AT2</v>
      </c>
      <c r="U600" s="28">
        <f t="array" ref="U600">IFERROR(VLOOKUP($T600,'Nghi hoc T12'!$H$7:$I$160,2,0),0)</f>
        <v>0</v>
      </c>
      <c r="V600" s="28">
        <f>IFERROR(VLOOKUP($T600,No_HP!$B$2:$C$514,2,0),0)</f>
        <v>0</v>
      </c>
      <c r="W600" s="28">
        <f t="shared" si="56"/>
        <v>0</v>
      </c>
      <c r="X600" s="333">
        <f t="shared" si="57"/>
        <v>0</v>
      </c>
      <c r="Y600" s="333">
        <f t="shared" si="58"/>
        <v>0</v>
      </c>
    </row>
    <row r="601" spans="1:25" s="2" customFormat="1" ht="21.95" customHeight="1">
      <c r="A601" s="82">
        <v>8</v>
      </c>
      <c r="B601" s="91" t="str">
        <f t="shared" si="59"/>
        <v>2A.T</v>
      </c>
      <c r="C601" s="83" t="s">
        <v>362</v>
      </c>
      <c r="D601" s="81" t="s">
        <v>509</v>
      </c>
      <c r="E601" s="48">
        <v>100593</v>
      </c>
      <c r="F601" s="30" t="s">
        <v>1514</v>
      </c>
      <c r="G601" s="29" t="s">
        <v>94</v>
      </c>
      <c r="H601" s="30" t="s">
        <v>1496</v>
      </c>
      <c r="I601" s="78"/>
      <c r="J601" s="20"/>
      <c r="K601" s="20"/>
      <c r="L601" s="20"/>
      <c r="M601" s="20"/>
      <c r="N601" s="179" t="s">
        <v>502</v>
      </c>
      <c r="O601" s="70">
        <v>0</v>
      </c>
      <c r="P601" s="70">
        <v>0</v>
      </c>
      <c r="Q601" s="70">
        <f t="shared" si="54"/>
        <v>0</v>
      </c>
      <c r="R601" s="70"/>
      <c r="S601" s="67"/>
      <c r="T601" s="2" t="str">
        <f t="shared" si="55"/>
        <v>Đỗ Duy Khánh_11AT2</v>
      </c>
      <c r="U601" s="28">
        <f t="array" ref="U601">IFERROR(VLOOKUP($T601,'Nghi hoc T12'!$H$7:$I$160,2,0),0)</f>
        <v>0</v>
      </c>
      <c r="V601" s="28">
        <f>IFERROR(VLOOKUP($T601,No_HP!$B$2:$C$514,2,0),0)</f>
        <v>0</v>
      </c>
      <c r="W601" s="28">
        <f t="shared" si="56"/>
        <v>0</v>
      </c>
      <c r="X601" s="333">
        <f t="shared" si="57"/>
        <v>0</v>
      </c>
      <c r="Y601" s="333">
        <f t="shared" si="58"/>
        <v>0</v>
      </c>
    </row>
    <row r="602" spans="1:25" s="2" customFormat="1" ht="21.95" customHeight="1">
      <c r="A602" s="82">
        <v>9</v>
      </c>
      <c r="B602" s="91" t="str">
        <f t="shared" si="59"/>
        <v>2A.T</v>
      </c>
      <c r="C602" s="83" t="s">
        <v>362</v>
      </c>
      <c r="D602" s="81" t="s">
        <v>509</v>
      </c>
      <c r="E602" s="48">
        <v>100594</v>
      </c>
      <c r="F602" s="30" t="s">
        <v>1515</v>
      </c>
      <c r="G602" s="29" t="s">
        <v>94</v>
      </c>
      <c r="H602" s="30" t="s">
        <v>1494</v>
      </c>
      <c r="I602" s="78"/>
      <c r="J602" s="20"/>
      <c r="K602" s="20"/>
      <c r="L602" s="20"/>
      <c r="M602" s="20"/>
      <c r="N602" s="179" t="s">
        <v>502</v>
      </c>
      <c r="O602" s="70">
        <v>0</v>
      </c>
      <c r="P602" s="70">
        <v>0</v>
      </c>
      <c r="Q602" s="70">
        <f t="shared" si="54"/>
        <v>0</v>
      </c>
      <c r="R602" s="70"/>
      <c r="S602" s="67"/>
      <c r="T602" s="2" t="str">
        <f t="shared" si="55"/>
        <v>Nguyễn Trần Minh Khánh_11AT1</v>
      </c>
      <c r="U602" s="28">
        <f t="array" ref="U602">IFERROR(VLOOKUP($T602,'Nghi hoc T12'!$H$7:$I$160,2,0),0)</f>
        <v>0</v>
      </c>
      <c r="V602" s="28">
        <f>IFERROR(VLOOKUP($T602,No_HP!$B$2:$C$514,2,0),0)</f>
        <v>0</v>
      </c>
      <c r="W602" s="28">
        <f t="shared" si="56"/>
        <v>0</v>
      </c>
      <c r="X602" s="333">
        <f t="shared" si="57"/>
        <v>0</v>
      </c>
      <c r="Y602" s="333">
        <f t="shared" si="58"/>
        <v>0</v>
      </c>
    </row>
    <row r="603" spans="1:25" s="2" customFormat="1" ht="21.95" customHeight="1">
      <c r="A603" s="82">
        <v>10</v>
      </c>
      <c r="B603" s="91" t="str">
        <f t="shared" si="59"/>
        <v>2A.T</v>
      </c>
      <c r="C603" s="83" t="s">
        <v>362</v>
      </c>
      <c r="D603" s="81" t="s">
        <v>509</v>
      </c>
      <c r="E603" s="48">
        <v>100595</v>
      </c>
      <c r="F603" s="30" t="s">
        <v>53</v>
      </c>
      <c r="G603" s="29" t="s">
        <v>55</v>
      </c>
      <c r="H603" s="30" t="s">
        <v>1496</v>
      </c>
      <c r="I603" s="78"/>
      <c r="J603" s="20"/>
      <c r="K603" s="20"/>
      <c r="L603" s="20"/>
      <c r="M603" s="20"/>
      <c r="N603" s="179" t="s">
        <v>502</v>
      </c>
      <c r="O603" s="70">
        <v>0</v>
      </c>
      <c r="P603" s="70">
        <v>0</v>
      </c>
      <c r="Q603" s="70">
        <f t="shared" si="54"/>
        <v>0</v>
      </c>
      <c r="R603" s="70"/>
      <c r="S603" s="67"/>
      <c r="T603" s="2" t="str">
        <f t="shared" si="55"/>
        <v>Dương Khoa_11AT2</v>
      </c>
      <c r="U603" s="28">
        <f t="array" ref="U603">IFERROR(VLOOKUP($T603,'Nghi hoc T12'!$H$7:$I$160,2,0),0)</f>
        <v>0</v>
      </c>
      <c r="V603" s="28">
        <f>IFERROR(VLOOKUP($T603,No_HP!$B$2:$C$514,2,0),0)</f>
        <v>0</v>
      </c>
      <c r="W603" s="28">
        <f t="shared" si="56"/>
        <v>0</v>
      </c>
      <c r="X603" s="333">
        <f t="shared" si="57"/>
        <v>0</v>
      </c>
      <c r="Y603" s="333">
        <f t="shared" si="58"/>
        <v>0</v>
      </c>
    </row>
    <row r="604" spans="1:25" s="2" customFormat="1" ht="21.95" customHeight="1">
      <c r="A604" s="82">
        <v>11</v>
      </c>
      <c r="B604" s="91" t="str">
        <f t="shared" si="59"/>
        <v>2A.T</v>
      </c>
      <c r="C604" s="83" t="s">
        <v>362</v>
      </c>
      <c r="D604" s="81" t="s">
        <v>509</v>
      </c>
      <c r="E604" s="48">
        <v>100596</v>
      </c>
      <c r="F604" s="30" t="s">
        <v>1516</v>
      </c>
      <c r="G604" s="29" t="s">
        <v>13</v>
      </c>
      <c r="H604" s="30" t="s">
        <v>1494</v>
      </c>
      <c r="I604" s="78"/>
      <c r="J604" s="20"/>
      <c r="K604" s="20"/>
      <c r="L604" s="20"/>
      <c r="M604" s="20"/>
      <c r="N604" s="179" t="s">
        <v>502</v>
      </c>
      <c r="O604" s="70">
        <v>0</v>
      </c>
      <c r="P604" s="70">
        <v>0</v>
      </c>
      <c r="Q604" s="70">
        <f t="shared" si="54"/>
        <v>0</v>
      </c>
      <c r="R604" s="70"/>
      <c r="S604" s="67"/>
      <c r="T604" s="2" t="str">
        <f t="shared" si="55"/>
        <v>Lê Hoàng Anh Khôi_11AT1</v>
      </c>
      <c r="U604" s="28">
        <f t="array" ref="U604">IFERROR(VLOOKUP($T604,'Nghi hoc T12'!$H$7:$I$160,2,0),0)</f>
        <v>0</v>
      </c>
      <c r="V604" s="28">
        <f>IFERROR(VLOOKUP($T604,No_HP!$B$2:$C$514,2,0),0)</f>
        <v>0</v>
      </c>
      <c r="W604" s="28">
        <f t="shared" si="56"/>
        <v>0</v>
      </c>
      <c r="X604" s="333">
        <f t="shared" si="57"/>
        <v>0</v>
      </c>
      <c r="Y604" s="333">
        <f t="shared" si="58"/>
        <v>0</v>
      </c>
    </row>
    <row r="605" spans="1:25" s="2" customFormat="1" ht="21.95" customHeight="1">
      <c r="A605" s="82">
        <v>12</v>
      </c>
      <c r="B605" s="91" t="str">
        <f t="shared" si="59"/>
        <v>2A.T</v>
      </c>
      <c r="C605" s="83" t="s">
        <v>362</v>
      </c>
      <c r="D605" s="81" t="s">
        <v>509</v>
      </c>
      <c r="E605" s="48">
        <v>100597</v>
      </c>
      <c r="F605" s="30" t="s">
        <v>201</v>
      </c>
      <c r="G605" s="29" t="s">
        <v>13</v>
      </c>
      <c r="H605" s="30" t="s">
        <v>1496</v>
      </c>
      <c r="I605" s="78"/>
      <c r="J605" s="20"/>
      <c r="K605" s="20"/>
      <c r="L605" s="20"/>
      <c r="M605" s="20"/>
      <c r="N605" s="179" t="s">
        <v>502</v>
      </c>
      <c r="O605" s="70">
        <v>0</v>
      </c>
      <c r="P605" s="70">
        <v>0</v>
      </c>
      <c r="Q605" s="70">
        <f t="shared" si="54"/>
        <v>0</v>
      </c>
      <c r="R605" s="70"/>
      <c r="S605" s="67"/>
      <c r="T605" s="2" t="str">
        <f t="shared" si="55"/>
        <v>Nguyễn Hữu Khôi_11AT2</v>
      </c>
      <c r="U605" s="28">
        <f t="array" ref="U605">IFERROR(VLOOKUP($T605,'Nghi hoc T12'!$H$7:$I$160,2,0),0)</f>
        <v>0</v>
      </c>
      <c r="V605" s="28">
        <f>IFERROR(VLOOKUP($T605,No_HP!$B$2:$C$514,2,0),0)</f>
        <v>0</v>
      </c>
      <c r="W605" s="28">
        <f t="shared" si="56"/>
        <v>0</v>
      </c>
      <c r="X605" s="333">
        <f t="shared" si="57"/>
        <v>0</v>
      </c>
      <c r="Y605" s="333">
        <f t="shared" si="58"/>
        <v>0</v>
      </c>
    </row>
    <row r="606" spans="1:25" s="2" customFormat="1" ht="21.95" customHeight="1">
      <c r="A606" s="82">
        <v>13</v>
      </c>
      <c r="B606" s="91" t="str">
        <f t="shared" si="59"/>
        <v>2A.T</v>
      </c>
      <c r="C606" s="83" t="s">
        <v>362</v>
      </c>
      <c r="D606" s="81" t="s">
        <v>509</v>
      </c>
      <c r="E606" s="48">
        <v>100598</v>
      </c>
      <c r="F606" s="30" t="s">
        <v>1517</v>
      </c>
      <c r="G606" s="29" t="s">
        <v>86</v>
      </c>
      <c r="H606" s="30" t="s">
        <v>1494</v>
      </c>
      <c r="I606" s="78"/>
      <c r="J606" s="20"/>
      <c r="K606" s="20"/>
      <c r="L606" s="20"/>
      <c r="M606" s="20"/>
      <c r="N606" s="179" t="s">
        <v>502</v>
      </c>
      <c r="O606" s="70">
        <v>0</v>
      </c>
      <c r="P606" s="70">
        <v>0</v>
      </c>
      <c r="Q606" s="70">
        <f t="shared" si="54"/>
        <v>0</v>
      </c>
      <c r="R606" s="70"/>
      <c r="S606" s="67"/>
      <c r="T606" s="2" t="str">
        <f t="shared" si="55"/>
        <v>Võ Ngọc Thiên Kim_11AT1</v>
      </c>
      <c r="U606" s="28">
        <f t="array" ref="U606">IFERROR(VLOOKUP($T606,'Nghi hoc T12'!$H$7:$I$160,2,0),0)</f>
        <v>0</v>
      </c>
      <c r="V606" s="28">
        <f>IFERROR(VLOOKUP($T606,No_HP!$B$2:$C$514,2,0),0)</f>
        <v>0</v>
      </c>
      <c r="W606" s="28">
        <f t="shared" si="56"/>
        <v>0</v>
      </c>
      <c r="X606" s="333">
        <f t="shared" si="57"/>
        <v>0</v>
      </c>
      <c r="Y606" s="333">
        <f t="shared" si="58"/>
        <v>0</v>
      </c>
    </row>
    <row r="607" spans="1:25" s="2" customFormat="1" ht="21.95" customHeight="1">
      <c r="A607" s="82">
        <v>14</v>
      </c>
      <c r="B607" s="91" t="str">
        <f t="shared" si="59"/>
        <v>2A.T</v>
      </c>
      <c r="C607" s="83" t="s">
        <v>362</v>
      </c>
      <c r="D607" s="81" t="s">
        <v>509</v>
      </c>
      <c r="E607" s="48">
        <v>100599</v>
      </c>
      <c r="F607" s="30" t="s">
        <v>1360</v>
      </c>
      <c r="G607" s="29" t="s">
        <v>92</v>
      </c>
      <c r="H607" s="30" t="s">
        <v>1496</v>
      </c>
      <c r="I607" s="78"/>
      <c r="J607" s="20"/>
      <c r="K607" s="20"/>
      <c r="L607" s="20"/>
      <c r="M607" s="20"/>
      <c r="N607" s="179" t="s">
        <v>502</v>
      </c>
      <c r="O607" s="70">
        <v>0</v>
      </c>
      <c r="P607" s="70">
        <v>0</v>
      </c>
      <c r="Q607" s="70">
        <f t="shared" si="54"/>
        <v>0</v>
      </c>
      <c r="R607" s="70"/>
      <c r="S607" s="67"/>
      <c r="T607" s="2" t="str">
        <f t="shared" si="55"/>
        <v>Võ Nguyễn Hoàng Lâm_11AT2</v>
      </c>
      <c r="U607" s="28">
        <f t="array" ref="U607">IFERROR(VLOOKUP($T607,'Nghi hoc T12'!$H$7:$I$160,2,0),0)</f>
        <v>0</v>
      </c>
      <c r="V607" s="28">
        <f>IFERROR(VLOOKUP($T607,No_HP!$B$2:$C$514,2,0),0)</f>
        <v>0</v>
      </c>
      <c r="W607" s="28">
        <f t="shared" si="56"/>
        <v>0</v>
      </c>
      <c r="X607" s="333">
        <f t="shared" si="57"/>
        <v>0</v>
      </c>
      <c r="Y607" s="333">
        <f t="shared" si="58"/>
        <v>0</v>
      </c>
    </row>
    <row r="608" spans="1:25" s="2" customFormat="1" ht="21.95" customHeight="1">
      <c r="A608" s="82">
        <v>15</v>
      </c>
      <c r="B608" s="91" t="str">
        <f t="shared" si="59"/>
        <v>2A.T</v>
      </c>
      <c r="C608" s="83" t="s">
        <v>362</v>
      </c>
      <c r="D608" s="81" t="s">
        <v>509</v>
      </c>
      <c r="E608" s="48">
        <v>100600</v>
      </c>
      <c r="F608" s="30" t="s">
        <v>157</v>
      </c>
      <c r="G608" s="29" t="s">
        <v>14</v>
      </c>
      <c r="H608" s="30" t="s">
        <v>1494</v>
      </c>
      <c r="I608" s="78"/>
      <c r="J608" s="20"/>
      <c r="K608" s="20"/>
      <c r="L608" s="20"/>
      <c r="M608" s="20"/>
      <c r="N608" s="179" t="s">
        <v>502</v>
      </c>
      <c r="O608" s="70">
        <v>0</v>
      </c>
      <c r="P608" s="70">
        <v>0</v>
      </c>
      <c r="Q608" s="70">
        <f t="shared" si="54"/>
        <v>0</v>
      </c>
      <c r="R608" s="70"/>
      <c r="S608" s="67"/>
      <c r="T608" s="2" t="str">
        <f t="shared" si="55"/>
        <v>Lê Hoàng Long_11AT1</v>
      </c>
      <c r="U608" s="28">
        <f t="array" ref="U608">IFERROR(VLOOKUP($T608,'Nghi hoc T12'!$H$7:$I$160,2,0),0)</f>
        <v>0</v>
      </c>
      <c r="V608" s="28">
        <f>IFERROR(VLOOKUP($T608,No_HP!$B$2:$C$514,2,0),0)</f>
        <v>0</v>
      </c>
      <c r="W608" s="28">
        <f t="shared" si="56"/>
        <v>0</v>
      </c>
      <c r="X608" s="333">
        <f t="shared" si="57"/>
        <v>0</v>
      </c>
      <c r="Y608" s="333">
        <f t="shared" si="58"/>
        <v>0</v>
      </c>
    </row>
    <row r="609" spans="1:25" s="2" customFormat="1" ht="21.95" customHeight="1">
      <c r="A609" s="82">
        <v>16</v>
      </c>
      <c r="B609" s="91" t="str">
        <f t="shared" si="59"/>
        <v>2A.T</v>
      </c>
      <c r="C609" s="83" t="s">
        <v>362</v>
      </c>
      <c r="D609" s="81" t="s">
        <v>509</v>
      </c>
      <c r="E609" s="48">
        <v>100601</v>
      </c>
      <c r="F609" s="30" t="s">
        <v>1518</v>
      </c>
      <c r="G609" s="29" t="s">
        <v>14</v>
      </c>
      <c r="H609" s="30" t="s">
        <v>1496</v>
      </c>
      <c r="I609" s="78"/>
      <c r="J609" s="20"/>
      <c r="K609" s="20"/>
      <c r="L609" s="20"/>
      <c r="M609" s="20"/>
      <c r="N609" s="179" t="s">
        <v>502</v>
      </c>
      <c r="O609" s="70">
        <v>0</v>
      </c>
      <c r="P609" s="70">
        <v>0</v>
      </c>
      <c r="Q609" s="70">
        <f t="shared" si="54"/>
        <v>0</v>
      </c>
      <c r="R609" s="70"/>
      <c r="S609" s="67"/>
      <c r="T609" s="2" t="str">
        <f t="shared" si="55"/>
        <v>Lê Nguyễn Hoàng Long_11AT2</v>
      </c>
      <c r="U609" s="28">
        <f t="array" ref="U609">IFERROR(VLOOKUP($T609,'Nghi hoc T12'!$H$7:$I$160,2,0),0)</f>
        <v>0</v>
      </c>
      <c r="V609" s="28">
        <f>IFERROR(VLOOKUP($T609,No_HP!$B$2:$C$514,2,0),0)</f>
        <v>0</v>
      </c>
      <c r="W609" s="28">
        <f t="shared" si="56"/>
        <v>0</v>
      </c>
      <c r="X609" s="333">
        <f t="shared" si="57"/>
        <v>0</v>
      </c>
      <c r="Y609" s="333">
        <f t="shared" si="58"/>
        <v>0</v>
      </c>
    </row>
    <row r="610" spans="1:25" s="2" customFormat="1" ht="21.95" customHeight="1">
      <c r="A610" s="82">
        <v>17</v>
      </c>
      <c r="B610" s="91" t="str">
        <f t="shared" si="59"/>
        <v>2A.T</v>
      </c>
      <c r="C610" s="83" t="s">
        <v>362</v>
      </c>
      <c r="D610" s="81" t="s">
        <v>509</v>
      </c>
      <c r="E610" s="48">
        <v>100602</v>
      </c>
      <c r="F610" s="30" t="s">
        <v>426</v>
      </c>
      <c r="G610" s="29" t="s">
        <v>14</v>
      </c>
      <c r="H610" s="30" t="s">
        <v>1494</v>
      </c>
      <c r="I610" s="78"/>
      <c r="J610" s="20"/>
      <c r="K610" s="20"/>
      <c r="L610" s="20"/>
      <c r="M610" s="20"/>
      <c r="N610" s="179" t="s">
        <v>502</v>
      </c>
      <c r="O610" s="70">
        <v>0</v>
      </c>
      <c r="P610" s="70">
        <v>0</v>
      </c>
      <c r="Q610" s="70">
        <f t="shared" si="54"/>
        <v>0</v>
      </c>
      <c r="R610" s="70"/>
      <c r="S610" s="67"/>
      <c r="T610" s="2" t="str">
        <f t="shared" si="55"/>
        <v>Nguyễn Dương Hoàng Long_11AT1</v>
      </c>
      <c r="U610" s="28">
        <f t="array" ref="U610">IFERROR(VLOOKUP($T610,'Nghi hoc T12'!$H$7:$I$160,2,0),0)</f>
        <v>0</v>
      </c>
      <c r="V610" s="28">
        <f>IFERROR(VLOOKUP($T610,No_HP!$B$2:$C$514,2,0),0)</f>
        <v>0</v>
      </c>
      <c r="W610" s="28">
        <f t="shared" si="56"/>
        <v>0</v>
      </c>
      <c r="X610" s="333">
        <f t="shared" si="57"/>
        <v>0</v>
      </c>
      <c r="Y610" s="333">
        <f t="shared" si="58"/>
        <v>0</v>
      </c>
    </row>
    <row r="611" spans="1:25" s="2" customFormat="1" ht="21.95" customHeight="1">
      <c r="A611" s="82">
        <v>18</v>
      </c>
      <c r="B611" s="91" t="str">
        <f t="shared" si="59"/>
        <v>2A.T</v>
      </c>
      <c r="C611" s="83" t="s">
        <v>362</v>
      </c>
      <c r="D611" s="81" t="s">
        <v>509</v>
      </c>
      <c r="E611" s="48">
        <v>100603</v>
      </c>
      <c r="F611" s="30" t="s">
        <v>449</v>
      </c>
      <c r="G611" s="29" t="s">
        <v>152</v>
      </c>
      <c r="H611" s="30" t="s">
        <v>1494</v>
      </c>
      <c r="I611" s="78"/>
      <c r="J611" s="20"/>
      <c r="K611" s="20"/>
      <c r="L611" s="20"/>
      <c r="M611" s="20"/>
      <c r="N611" s="179" t="s">
        <v>502</v>
      </c>
      <c r="O611" s="70">
        <v>0</v>
      </c>
      <c r="P611" s="70">
        <v>0</v>
      </c>
      <c r="Q611" s="70">
        <f t="shared" si="54"/>
        <v>0</v>
      </c>
      <c r="R611" s="70"/>
      <c r="S611" s="67"/>
      <c r="T611" s="2" t="str">
        <f t="shared" si="55"/>
        <v>Trần Hữu Lộc_11AT1</v>
      </c>
      <c r="U611" s="28">
        <f t="array" ref="U611">IFERROR(VLOOKUP($T611,'Nghi hoc T12'!$H$7:$I$160,2,0),0)</f>
        <v>0</v>
      </c>
      <c r="V611" s="28">
        <f>IFERROR(VLOOKUP($T611,No_HP!$B$2:$C$514,2,0),0)</f>
        <v>0</v>
      </c>
      <c r="W611" s="28">
        <f t="shared" si="56"/>
        <v>0</v>
      </c>
      <c r="X611" s="333">
        <f t="shared" si="57"/>
        <v>0</v>
      </c>
      <c r="Y611" s="333">
        <f t="shared" si="58"/>
        <v>0</v>
      </c>
    </row>
    <row r="612" spans="1:25" s="2" customFormat="1" ht="21.95" customHeight="1">
      <c r="A612" s="82">
        <v>19</v>
      </c>
      <c r="B612" s="91" t="str">
        <f t="shared" si="59"/>
        <v>2A.T</v>
      </c>
      <c r="C612" s="83" t="s">
        <v>362</v>
      </c>
      <c r="D612" s="81" t="s">
        <v>509</v>
      </c>
      <c r="E612" s="48">
        <v>100604</v>
      </c>
      <c r="F612" s="30" t="s">
        <v>1519</v>
      </c>
      <c r="G612" s="29" t="s">
        <v>15</v>
      </c>
      <c r="H612" s="30" t="s">
        <v>1494</v>
      </c>
      <c r="I612" s="78"/>
      <c r="J612" s="20"/>
      <c r="K612" s="20"/>
      <c r="L612" s="20"/>
      <c r="M612" s="20"/>
      <c r="N612" s="179" t="s">
        <v>502</v>
      </c>
      <c r="O612" s="70">
        <v>0</v>
      </c>
      <c r="P612" s="70">
        <v>0</v>
      </c>
      <c r="Q612" s="70">
        <f t="shared" si="54"/>
        <v>0</v>
      </c>
      <c r="R612" s="70"/>
      <c r="S612" s="67"/>
      <c r="T612" s="2" t="str">
        <f t="shared" si="55"/>
        <v>Lê Nguyễn Xuân Mai_11AT1</v>
      </c>
      <c r="U612" s="28">
        <f t="array" ref="U612">IFERROR(VLOOKUP($T612,'Nghi hoc T12'!$H$7:$I$160,2,0),0)</f>
        <v>0</v>
      </c>
      <c r="V612" s="28">
        <f>IFERROR(VLOOKUP($T612,No_HP!$B$2:$C$514,2,0),0)</f>
        <v>0</v>
      </c>
      <c r="W612" s="28">
        <f t="shared" si="56"/>
        <v>0</v>
      </c>
      <c r="X612" s="333">
        <f t="shared" si="57"/>
        <v>0</v>
      </c>
      <c r="Y612" s="333">
        <f t="shared" si="58"/>
        <v>0</v>
      </c>
    </row>
    <row r="613" spans="1:25" s="2" customFormat="1" ht="21.95" customHeight="1">
      <c r="A613" s="82">
        <v>20</v>
      </c>
      <c r="B613" s="91" t="str">
        <f t="shared" si="59"/>
        <v>2A.T</v>
      </c>
      <c r="C613" s="83" t="s">
        <v>362</v>
      </c>
      <c r="D613" s="81" t="s">
        <v>509</v>
      </c>
      <c r="E613" s="48">
        <v>100605</v>
      </c>
      <c r="F613" s="30" t="s">
        <v>1520</v>
      </c>
      <c r="G613" s="29" t="s">
        <v>40</v>
      </c>
      <c r="H613" s="30" t="s">
        <v>1494</v>
      </c>
      <c r="I613" s="78"/>
      <c r="J613" s="20"/>
      <c r="K613" s="20"/>
      <c r="L613" s="20"/>
      <c r="M613" s="20"/>
      <c r="N613" s="179" t="s">
        <v>502</v>
      </c>
      <c r="O613" s="70">
        <v>0</v>
      </c>
      <c r="P613" s="70">
        <v>0</v>
      </c>
      <c r="Q613" s="70">
        <f t="shared" si="54"/>
        <v>0</v>
      </c>
      <c r="R613" s="70"/>
      <c r="S613" s="67"/>
      <c r="T613" s="2" t="str">
        <f t="shared" si="55"/>
        <v>Hoàng Thị Trà My_11AT1</v>
      </c>
      <c r="U613" s="28">
        <f t="array" ref="U613">IFERROR(VLOOKUP($T613,'Nghi hoc T12'!$H$7:$I$160,2,0),0)</f>
        <v>0</v>
      </c>
      <c r="V613" s="28">
        <f>IFERROR(VLOOKUP($T613,No_HP!$B$2:$C$514,2,0),0)</f>
        <v>0</v>
      </c>
      <c r="W613" s="28">
        <f t="shared" si="56"/>
        <v>0</v>
      </c>
      <c r="X613" s="333">
        <f t="shared" si="57"/>
        <v>0</v>
      </c>
      <c r="Y613" s="333">
        <f t="shared" si="58"/>
        <v>0</v>
      </c>
    </row>
    <row r="614" spans="1:25" s="2" customFormat="1" ht="21.95" customHeight="1">
      <c r="A614" s="82">
        <v>21</v>
      </c>
      <c r="B614" s="91" t="str">
        <f t="shared" si="59"/>
        <v>2A.T</v>
      </c>
      <c r="C614" s="83" t="s">
        <v>362</v>
      </c>
      <c r="D614" s="81" t="s">
        <v>509</v>
      </c>
      <c r="E614" s="48">
        <v>100606</v>
      </c>
      <c r="F614" s="30" t="s">
        <v>1521</v>
      </c>
      <c r="G614" s="29" t="s">
        <v>40</v>
      </c>
      <c r="H614" s="30" t="s">
        <v>1496</v>
      </c>
      <c r="I614" s="78"/>
      <c r="J614" s="20"/>
      <c r="K614" s="20"/>
      <c r="L614" s="20"/>
      <c r="M614" s="20"/>
      <c r="N614" s="179" t="s">
        <v>502</v>
      </c>
      <c r="O614" s="70">
        <v>0</v>
      </c>
      <c r="P614" s="70">
        <v>0</v>
      </c>
      <c r="Q614" s="70">
        <f t="shared" si="54"/>
        <v>0</v>
      </c>
      <c r="R614" s="70"/>
      <c r="S614" s="67"/>
      <c r="T614" s="2" t="str">
        <f t="shared" si="55"/>
        <v>Phạm Trà My_11AT2</v>
      </c>
      <c r="U614" s="28">
        <f t="array" ref="U614">IFERROR(VLOOKUP($T614,'Nghi hoc T12'!$H$7:$I$160,2,0),0)</f>
        <v>0</v>
      </c>
      <c r="V614" s="28">
        <f>IFERROR(VLOOKUP($T614,No_HP!$B$2:$C$514,2,0),0)</f>
        <v>0</v>
      </c>
      <c r="W614" s="28">
        <f t="shared" si="56"/>
        <v>0</v>
      </c>
      <c r="X614" s="333">
        <f t="shared" si="57"/>
        <v>0</v>
      </c>
      <c r="Y614" s="333">
        <f t="shared" si="58"/>
        <v>0</v>
      </c>
    </row>
    <row r="615" spans="1:25" s="2" customFormat="1" ht="21.95" customHeight="1">
      <c r="A615" s="82">
        <v>22</v>
      </c>
      <c r="B615" s="91" t="str">
        <f t="shared" si="59"/>
        <v>2A.T</v>
      </c>
      <c r="C615" s="83" t="s">
        <v>362</v>
      </c>
      <c r="D615" s="81" t="s">
        <v>509</v>
      </c>
      <c r="E615" s="48">
        <v>100607</v>
      </c>
      <c r="F615" s="30" t="s">
        <v>1522</v>
      </c>
      <c r="G615" s="29" t="s">
        <v>17</v>
      </c>
      <c r="H615" s="30" t="s">
        <v>1496</v>
      </c>
      <c r="I615" s="78"/>
      <c r="J615" s="20"/>
      <c r="K615" s="20"/>
      <c r="L615" s="20"/>
      <c r="M615" s="20"/>
      <c r="N615" s="179" t="s">
        <v>502</v>
      </c>
      <c r="O615" s="70">
        <v>0</v>
      </c>
      <c r="P615" s="70">
        <v>0</v>
      </c>
      <c r="Q615" s="70">
        <f t="shared" si="54"/>
        <v>0</v>
      </c>
      <c r="R615" s="70"/>
      <c r="S615" s="67"/>
      <c r="T615" s="2" t="str">
        <f t="shared" si="55"/>
        <v>Nguyễn Khoa Nam_11AT2</v>
      </c>
      <c r="U615" s="28">
        <f t="array" ref="U615">IFERROR(VLOOKUP($T615,'Nghi hoc T12'!$H$7:$I$160,2,0),0)</f>
        <v>0</v>
      </c>
      <c r="V615" s="28">
        <f>IFERROR(VLOOKUP($T615,No_HP!$B$2:$C$514,2,0),0)</f>
        <v>0</v>
      </c>
      <c r="W615" s="28">
        <f t="shared" si="56"/>
        <v>0</v>
      </c>
      <c r="X615" s="333">
        <f t="shared" si="57"/>
        <v>0</v>
      </c>
      <c r="Y615" s="333">
        <f t="shared" si="58"/>
        <v>0</v>
      </c>
    </row>
    <row r="616" spans="1:25" s="2" customFormat="1" ht="21.95" customHeight="1">
      <c r="A616" s="82">
        <v>23</v>
      </c>
      <c r="B616" s="91" t="str">
        <f t="shared" si="59"/>
        <v>2A.T</v>
      </c>
      <c r="C616" s="83" t="s">
        <v>362</v>
      </c>
      <c r="D616" s="81" t="s">
        <v>509</v>
      </c>
      <c r="E616" s="48">
        <v>100608</v>
      </c>
      <c r="F616" s="30" t="s">
        <v>1497</v>
      </c>
      <c r="G616" s="29" t="s">
        <v>17</v>
      </c>
      <c r="H616" s="30" t="s">
        <v>1494</v>
      </c>
      <c r="I616" s="78"/>
      <c r="J616" s="20"/>
      <c r="K616" s="20"/>
      <c r="L616" s="20"/>
      <c r="M616" s="20"/>
      <c r="N616" s="179" t="s">
        <v>502</v>
      </c>
      <c r="O616" s="70">
        <v>0</v>
      </c>
      <c r="P616" s="70">
        <v>0</v>
      </c>
      <c r="Q616" s="70">
        <f t="shared" si="54"/>
        <v>0</v>
      </c>
      <c r="R616" s="70"/>
      <c r="S616" s="67"/>
      <c r="T616" s="2" t="str">
        <f t="shared" si="55"/>
        <v>Nguyễn Kỳ Nam_11AT1</v>
      </c>
      <c r="U616" s="28">
        <f t="array" ref="U616">IFERROR(VLOOKUP($T616,'Nghi hoc T12'!$H$7:$I$160,2,0),0)</f>
        <v>0</v>
      </c>
      <c r="V616" s="28">
        <f>IFERROR(VLOOKUP($T616,No_HP!$B$2:$C$514,2,0),0)</f>
        <v>0</v>
      </c>
      <c r="W616" s="28">
        <f t="shared" si="56"/>
        <v>0</v>
      </c>
      <c r="X616" s="333">
        <f t="shared" si="57"/>
        <v>0</v>
      </c>
      <c r="Y616" s="333">
        <f t="shared" si="58"/>
        <v>0</v>
      </c>
    </row>
    <row r="617" spans="1:25" s="2" customFormat="1" ht="21.95" customHeight="1">
      <c r="A617" s="82">
        <v>24</v>
      </c>
      <c r="B617" s="91" t="str">
        <f t="shared" si="59"/>
        <v>2A.T</v>
      </c>
      <c r="C617" s="83" t="s">
        <v>362</v>
      </c>
      <c r="D617" s="81" t="s">
        <v>509</v>
      </c>
      <c r="E617" s="48">
        <v>100609</v>
      </c>
      <c r="F617" s="30" t="s">
        <v>118</v>
      </c>
      <c r="G617" s="29" t="s">
        <v>17</v>
      </c>
      <c r="H617" s="30" t="s">
        <v>1494</v>
      </c>
      <c r="I617" s="78"/>
      <c r="J617" s="20"/>
      <c r="K617" s="20"/>
      <c r="L617" s="20"/>
      <c r="M617" s="20"/>
      <c r="N617" s="179" t="s">
        <v>502</v>
      </c>
      <c r="O617" s="70">
        <v>0</v>
      </c>
      <c r="P617" s="70">
        <v>0</v>
      </c>
      <c r="Q617" s="70">
        <f t="shared" si="54"/>
        <v>0</v>
      </c>
      <c r="R617" s="70"/>
      <c r="S617" s="67"/>
      <c r="T617" s="2" t="str">
        <f t="shared" si="55"/>
        <v>Nguyễn Quốc Nam_11AT1</v>
      </c>
      <c r="U617" s="28">
        <f t="array" ref="U617">IFERROR(VLOOKUP($T617,'Nghi hoc T12'!$H$7:$I$160,2,0),0)</f>
        <v>0</v>
      </c>
      <c r="V617" s="28">
        <f>IFERROR(VLOOKUP($T617,No_HP!$B$2:$C$514,2,0),0)</f>
        <v>0</v>
      </c>
      <c r="W617" s="28">
        <f t="shared" si="56"/>
        <v>0</v>
      </c>
      <c r="X617" s="333">
        <f t="shared" si="57"/>
        <v>0</v>
      </c>
      <c r="Y617" s="333">
        <f t="shared" si="58"/>
        <v>0</v>
      </c>
    </row>
    <row r="618" spans="1:25" s="2" customFormat="1" ht="21.95" customHeight="1">
      <c r="A618" s="82">
        <v>25</v>
      </c>
      <c r="B618" s="91" t="str">
        <f t="shared" si="59"/>
        <v>2A.T</v>
      </c>
      <c r="C618" s="83" t="s">
        <v>362</v>
      </c>
      <c r="D618" s="81" t="s">
        <v>509</v>
      </c>
      <c r="E618" s="48">
        <v>100610</v>
      </c>
      <c r="F618" s="30" t="s">
        <v>1523</v>
      </c>
      <c r="G618" s="29" t="s">
        <v>18</v>
      </c>
      <c r="H618" s="30" t="s">
        <v>1496</v>
      </c>
      <c r="I618" s="78"/>
      <c r="J618" s="20"/>
      <c r="K618" s="20"/>
      <c r="L618" s="20"/>
      <c r="M618" s="20"/>
      <c r="N618" s="179" t="s">
        <v>502</v>
      </c>
      <c r="O618" s="70">
        <v>0</v>
      </c>
      <c r="P618" s="70">
        <v>0</v>
      </c>
      <c r="Q618" s="70">
        <f t="shared" si="54"/>
        <v>0</v>
      </c>
      <c r="R618" s="70"/>
      <c r="S618" s="67"/>
      <c r="T618" s="2" t="str">
        <f t="shared" si="55"/>
        <v>Lưu Thiên Ngân_11AT2</v>
      </c>
      <c r="U618" s="28">
        <f t="array" ref="U618">IFERROR(VLOOKUP($T618,'Nghi hoc T12'!$H$7:$I$160,2,0),0)</f>
        <v>0</v>
      </c>
      <c r="V618" s="28">
        <f>IFERROR(VLOOKUP($T618,No_HP!$B$2:$C$514,2,0),0)</f>
        <v>0</v>
      </c>
      <c r="W618" s="28">
        <f t="shared" si="56"/>
        <v>0</v>
      </c>
      <c r="X618" s="333">
        <f t="shared" si="57"/>
        <v>0</v>
      </c>
      <c r="Y618" s="333">
        <f t="shared" si="58"/>
        <v>0</v>
      </c>
    </row>
    <row r="619" spans="1:25" s="2" customFormat="1" ht="21.95" customHeight="1">
      <c r="A619" s="200">
        <v>1</v>
      </c>
      <c r="B619" s="91" t="str">
        <f t="shared" si="59"/>
        <v>3A.T</v>
      </c>
      <c r="C619" s="185" t="s">
        <v>362</v>
      </c>
      <c r="D619" s="186" t="s">
        <v>510</v>
      </c>
      <c r="E619" s="187">
        <v>100611</v>
      </c>
      <c r="F619" s="188" t="s">
        <v>280</v>
      </c>
      <c r="G619" s="189" t="s">
        <v>18</v>
      </c>
      <c r="H619" s="188" t="s">
        <v>1494</v>
      </c>
      <c r="I619" s="190"/>
      <c r="J619" s="191"/>
      <c r="K619" s="191"/>
      <c r="L619" s="191"/>
      <c r="M619" s="191"/>
      <c r="N619" s="179" t="s">
        <v>502</v>
      </c>
      <c r="O619" s="70">
        <v>0</v>
      </c>
      <c r="P619" s="70">
        <v>0</v>
      </c>
      <c r="Q619" s="70">
        <f t="shared" si="54"/>
        <v>0</v>
      </c>
      <c r="R619" s="70"/>
      <c r="S619" s="67"/>
      <c r="T619" s="2" t="str">
        <f t="shared" si="55"/>
        <v>Nguyễn Ngọc Kim Ngân_11AT1</v>
      </c>
      <c r="U619" s="28">
        <f t="array" ref="U619">IFERROR(VLOOKUP($T619,'Nghi hoc T12'!$H$7:$I$160,2,0),0)</f>
        <v>0</v>
      </c>
      <c r="V619" s="28">
        <f>IFERROR(VLOOKUP($T619,No_HP!$B$2:$C$514,2,0),0)</f>
        <v>0</v>
      </c>
      <c r="W619" s="28">
        <f t="shared" si="56"/>
        <v>0</v>
      </c>
      <c r="X619" s="333">
        <f t="shared" si="57"/>
        <v>0</v>
      </c>
      <c r="Y619" s="333">
        <f t="shared" si="58"/>
        <v>0</v>
      </c>
    </row>
    <row r="620" spans="1:25" s="2" customFormat="1" ht="21.95" customHeight="1">
      <c r="A620" s="82">
        <v>2</v>
      </c>
      <c r="B620" s="91" t="str">
        <f t="shared" si="59"/>
        <v>3A.T</v>
      </c>
      <c r="C620" s="83" t="s">
        <v>362</v>
      </c>
      <c r="D620" s="81" t="s">
        <v>510</v>
      </c>
      <c r="E620" s="48">
        <v>100612</v>
      </c>
      <c r="F620" s="30" t="s">
        <v>1524</v>
      </c>
      <c r="G620" s="29" t="s">
        <v>101</v>
      </c>
      <c r="H620" s="30" t="s">
        <v>1496</v>
      </c>
      <c r="I620" s="78"/>
      <c r="J620" s="20"/>
      <c r="K620" s="20"/>
      <c r="L620" s="20"/>
      <c r="M620" s="20"/>
      <c r="N620" s="179" t="s">
        <v>502</v>
      </c>
      <c r="O620" s="70">
        <v>0</v>
      </c>
      <c r="P620" s="70">
        <v>0</v>
      </c>
      <c r="Q620" s="70">
        <f t="shared" si="54"/>
        <v>0</v>
      </c>
      <c r="R620" s="70"/>
      <c r="S620" s="67"/>
      <c r="T620" s="2" t="str">
        <f t="shared" si="55"/>
        <v>Đinh Ngọc Uyên Nghi_11AT2</v>
      </c>
      <c r="U620" s="28">
        <f t="array" ref="U620">IFERROR(VLOOKUP($T620,'Nghi hoc T12'!$H$7:$I$160,2,0),0)</f>
        <v>0</v>
      </c>
      <c r="V620" s="28">
        <f>IFERROR(VLOOKUP($T620,No_HP!$B$2:$C$514,2,0),0)</f>
        <v>0</v>
      </c>
      <c r="W620" s="28">
        <f t="shared" si="56"/>
        <v>0</v>
      </c>
      <c r="X620" s="333">
        <f t="shared" si="57"/>
        <v>0</v>
      </c>
      <c r="Y620" s="333">
        <f t="shared" si="58"/>
        <v>0</v>
      </c>
    </row>
    <row r="621" spans="1:25" s="2" customFormat="1" ht="21.95" customHeight="1">
      <c r="A621" s="82">
        <v>3</v>
      </c>
      <c r="B621" s="91" t="str">
        <f t="shared" si="59"/>
        <v>3A.T</v>
      </c>
      <c r="C621" s="83" t="s">
        <v>362</v>
      </c>
      <c r="D621" s="81" t="s">
        <v>510</v>
      </c>
      <c r="E621" s="48">
        <v>100613</v>
      </c>
      <c r="F621" s="30" t="s">
        <v>1525</v>
      </c>
      <c r="G621" s="29" t="s">
        <v>101</v>
      </c>
      <c r="H621" s="30" t="s">
        <v>1494</v>
      </c>
      <c r="I621" s="78"/>
      <c r="J621" s="20"/>
      <c r="K621" s="20"/>
      <c r="L621" s="20"/>
      <c r="M621" s="20"/>
      <c r="N621" s="179" t="s">
        <v>502</v>
      </c>
      <c r="O621" s="70">
        <v>0</v>
      </c>
      <c r="P621" s="70">
        <v>0</v>
      </c>
      <c r="Q621" s="70">
        <f t="shared" si="54"/>
        <v>0</v>
      </c>
      <c r="R621" s="70"/>
      <c r="S621" s="67"/>
      <c r="T621" s="2" t="str">
        <f t="shared" si="55"/>
        <v>Đoàn Ngọc Xuân Nghi_11AT1</v>
      </c>
      <c r="U621" s="28">
        <f t="array" ref="U621">IFERROR(VLOOKUP($T621,'Nghi hoc T12'!$H$7:$I$160,2,0),0)</f>
        <v>0</v>
      </c>
      <c r="V621" s="28">
        <f>IFERROR(VLOOKUP($T621,No_HP!$B$2:$C$514,2,0),0)</f>
        <v>0</v>
      </c>
      <c r="W621" s="28">
        <f t="shared" si="56"/>
        <v>0</v>
      </c>
      <c r="X621" s="333">
        <f t="shared" si="57"/>
        <v>0</v>
      </c>
      <c r="Y621" s="333">
        <f t="shared" si="58"/>
        <v>0</v>
      </c>
    </row>
    <row r="622" spans="1:25" s="2" customFormat="1" ht="21.95" customHeight="1">
      <c r="A622" s="82">
        <v>4</v>
      </c>
      <c r="B622" s="91" t="str">
        <f t="shared" si="59"/>
        <v>3A.T</v>
      </c>
      <c r="C622" s="83" t="s">
        <v>362</v>
      </c>
      <c r="D622" s="81" t="s">
        <v>510</v>
      </c>
      <c r="E622" s="48">
        <v>100614</v>
      </c>
      <c r="F622" s="30" t="s">
        <v>1526</v>
      </c>
      <c r="G622" s="29" t="s">
        <v>101</v>
      </c>
      <c r="H622" s="30" t="s">
        <v>1496</v>
      </c>
      <c r="I622" s="78"/>
      <c r="J622" s="20"/>
      <c r="K622" s="20"/>
      <c r="L622" s="20"/>
      <c r="M622" s="20"/>
      <c r="N622" s="179" t="s">
        <v>502</v>
      </c>
      <c r="O622" s="70">
        <v>0</v>
      </c>
      <c r="P622" s="70">
        <v>0</v>
      </c>
      <c r="Q622" s="70">
        <f t="shared" si="54"/>
        <v>0</v>
      </c>
      <c r="R622" s="70"/>
      <c r="S622" s="67"/>
      <c r="T622" s="2" t="str">
        <f t="shared" si="55"/>
        <v>Nguyễn Ngọc Đông Nghi_11AT2</v>
      </c>
      <c r="U622" s="28">
        <f t="array" ref="U622">IFERROR(VLOOKUP($T622,'Nghi hoc T12'!$H$7:$I$160,2,0),0)</f>
        <v>0</v>
      </c>
      <c r="V622" s="28">
        <f>IFERROR(VLOOKUP($T622,No_HP!$B$2:$C$514,2,0),0)</f>
        <v>0</v>
      </c>
      <c r="W622" s="28">
        <f t="shared" si="56"/>
        <v>0</v>
      </c>
      <c r="X622" s="333">
        <f t="shared" si="57"/>
        <v>0</v>
      </c>
      <c r="Y622" s="333">
        <f t="shared" si="58"/>
        <v>0</v>
      </c>
    </row>
    <row r="623" spans="1:25" s="2" customFormat="1" ht="21.95" customHeight="1">
      <c r="A623" s="82">
        <v>5</v>
      </c>
      <c r="B623" s="91" t="str">
        <f t="shared" si="59"/>
        <v>3A.T</v>
      </c>
      <c r="C623" s="83" t="s">
        <v>362</v>
      </c>
      <c r="D623" s="81" t="s">
        <v>510</v>
      </c>
      <c r="E623" s="48">
        <v>100615</v>
      </c>
      <c r="F623" s="30" t="s">
        <v>1527</v>
      </c>
      <c r="G623" s="29" t="s">
        <v>1528</v>
      </c>
      <c r="H623" s="30" t="s">
        <v>1496</v>
      </c>
      <c r="I623" s="78"/>
      <c r="J623" s="20"/>
      <c r="K623" s="20"/>
      <c r="L623" s="20"/>
      <c r="M623" s="20"/>
      <c r="N623" s="179" t="s">
        <v>502</v>
      </c>
      <c r="O623" s="70">
        <v>0</v>
      </c>
      <c r="P623" s="70">
        <v>0</v>
      </c>
      <c r="Q623" s="70">
        <f t="shared" si="54"/>
        <v>0</v>
      </c>
      <c r="R623" s="70"/>
      <c r="S623" s="67"/>
      <c r="T623" s="2" t="str">
        <f t="shared" si="55"/>
        <v>Thái Văn Nghiệm_11AT2</v>
      </c>
      <c r="U623" s="28">
        <f t="array" ref="U623">IFERROR(VLOOKUP($T623,'Nghi hoc T12'!$H$7:$I$160,2,0),0)</f>
        <v>0</v>
      </c>
      <c r="V623" s="28">
        <f>IFERROR(VLOOKUP($T623,No_HP!$B$2:$C$514,2,0),0)</f>
        <v>0</v>
      </c>
      <c r="W623" s="28">
        <f t="shared" si="56"/>
        <v>0</v>
      </c>
      <c r="X623" s="333">
        <f t="shared" si="57"/>
        <v>0</v>
      </c>
      <c r="Y623" s="333">
        <f t="shared" si="58"/>
        <v>0</v>
      </c>
    </row>
    <row r="624" spans="1:25" s="2" customFormat="1" ht="21.95" customHeight="1">
      <c r="A624" s="82">
        <v>6</v>
      </c>
      <c r="B624" s="91" t="str">
        <f t="shared" si="59"/>
        <v>3A.T</v>
      </c>
      <c r="C624" s="83" t="s">
        <v>362</v>
      </c>
      <c r="D624" s="81" t="s">
        <v>510</v>
      </c>
      <c r="E624" s="48">
        <v>100616</v>
      </c>
      <c r="F624" s="30" t="s">
        <v>1529</v>
      </c>
      <c r="G624" s="29" t="s">
        <v>19</v>
      </c>
      <c r="H624" s="30" t="s">
        <v>1494</v>
      </c>
      <c r="I624" s="78"/>
      <c r="J624" s="20"/>
      <c r="K624" s="20"/>
      <c r="L624" s="20"/>
      <c r="M624" s="20"/>
      <c r="N624" s="179" t="s">
        <v>502</v>
      </c>
      <c r="O624" s="70">
        <v>0</v>
      </c>
      <c r="P624" s="70">
        <v>0</v>
      </c>
      <c r="Q624" s="70">
        <f t="shared" si="54"/>
        <v>0</v>
      </c>
      <c r="R624" s="70"/>
      <c r="S624" s="67"/>
      <c r="T624" s="2" t="str">
        <f t="shared" si="55"/>
        <v>Dương Nguyễn Kim Ngọc_11AT1</v>
      </c>
      <c r="U624" s="28">
        <f t="array" ref="U624">IFERROR(VLOOKUP($T624,'Nghi hoc T12'!$H$7:$I$160,2,0),0)</f>
        <v>0</v>
      </c>
      <c r="V624" s="28">
        <f>IFERROR(VLOOKUP($T624,No_HP!$B$2:$C$514,2,0),0)</f>
        <v>0</v>
      </c>
      <c r="W624" s="28">
        <f t="shared" si="56"/>
        <v>0</v>
      </c>
      <c r="X624" s="333">
        <f t="shared" si="57"/>
        <v>0</v>
      </c>
      <c r="Y624" s="333">
        <f t="shared" si="58"/>
        <v>0</v>
      </c>
    </row>
    <row r="625" spans="1:25" s="2" customFormat="1" ht="21.95" customHeight="1">
      <c r="A625" s="82">
        <v>7</v>
      </c>
      <c r="B625" s="91" t="str">
        <f t="shared" si="59"/>
        <v>3A.T</v>
      </c>
      <c r="C625" s="83" t="s">
        <v>362</v>
      </c>
      <c r="D625" s="81" t="s">
        <v>510</v>
      </c>
      <c r="E625" s="48">
        <v>100617</v>
      </c>
      <c r="F625" s="30" t="s">
        <v>1530</v>
      </c>
      <c r="G625" s="29" t="s">
        <v>19</v>
      </c>
      <c r="H625" s="30" t="s">
        <v>1496</v>
      </c>
      <c r="I625" s="78"/>
      <c r="J625" s="20"/>
      <c r="K625" s="20"/>
      <c r="L625" s="20"/>
      <c r="M625" s="20"/>
      <c r="N625" s="179" t="s">
        <v>502</v>
      </c>
      <c r="O625" s="70">
        <v>0</v>
      </c>
      <c r="P625" s="70">
        <v>0</v>
      </c>
      <c r="Q625" s="70">
        <f t="shared" si="54"/>
        <v>0</v>
      </c>
      <c r="R625" s="70"/>
      <c r="S625" s="67"/>
      <c r="T625" s="2" t="str">
        <f t="shared" si="55"/>
        <v>Ngô Hà Minh Ngọc_11AT2</v>
      </c>
      <c r="U625" s="28">
        <f t="array" ref="U625">IFERROR(VLOOKUP($T625,'Nghi hoc T12'!$H$7:$I$160,2,0),0)</f>
        <v>0</v>
      </c>
      <c r="V625" s="28">
        <f>IFERROR(VLOOKUP($T625,No_HP!$B$2:$C$514,2,0),0)</f>
        <v>0</v>
      </c>
      <c r="W625" s="28">
        <f t="shared" si="56"/>
        <v>0</v>
      </c>
      <c r="X625" s="333">
        <f t="shared" si="57"/>
        <v>0</v>
      </c>
      <c r="Y625" s="333">
        <f t="shared" si="58"/>
        <v>0</v>
      </c>
    </row>
    <row r="626" spans="1:25" s="2" customFormat="1" ht="21.95" customHeight="1">
      <c r="A626" s="82">
        <v>8</v>
      </c>
      <c r="B626" s="91" t="str">
        <f t="shared" si="59"/>
        <v>3A.T</v>
      </c>
      <c r="C626" s="83" t="s">
        <v>362</v>
      </c>
      <c r="D626" s="81" t="s">
        <v>510</v>
      </c>
      <c r="E626" s="48">
        <v>100618</v>
      </c>
      <c r="F626" s="30" t="s">
        <v>148</v>
      </c>
      <c r="G626" s="29" t="s">
        <v>19</v>
      </c>
      <c r="H626" s="30" t="s">
        <v>1496</v>
      </c>
      <c r="I626" s="78"/>
      <c r="J626" s="20"/>
      <c r="K626" s="20"/>
      <c r="L626" s="20"/>
      <c r="M626" s="20"/>
      <c r="N626" s="179" t="s">
        <v>502</v>
      </c>
      <c r="O626" s="70">
        <v>0</v>
      </c>
      <c r="P626" s="70">
        <v>0</v>
      </c>
      <c r="Q626" s="70">
        <f t="shared" si="54"/>
        <v>0</v>
      </c>
      <c r="R626" s="70"/>
      <c r="S626" s="67"/>
      <c r="T626" s="2" t="str">
        <f t="shared" si="55"/>
        <v>Nguyễn Anh Ngọc_11AT2</v>
      </c>
      <c r="U626" s="28">
        <f t="array" ref="U626">IFERROR(VLOOKUP($T626,'Nghi hoc T12'!$H$7:$I$160,2,0),0)</f>
        <v>0</v>
      </c>
      <c r="V626" s="28">
        <f>IFERROR(VLOOKUP($T626,No_HP!$B$2:$C$514,2,0),0)</f>
        <v>0</v>
      </c>
      <c r="W626" s="28">
        <f t="shared" si="56"/>
        <v>0</v>
      </c>
      <c r="X626" s="333">
        <f t="shared" si="57"/>
        <v>0</v>
      </c>
      <c r="Y626" s="333">
        <f t="shared" si="58"/>
        <v>0</v>
      </c>
    </row>
    <row r="627" spans="1:25" s="2" customFormat="1" ht="21.95" customHeight="1">
      <c r="A627" s="82">
        <v>9</v>
      </c>
      <c r="B627" s="91" t="str">
        <f t="shared" si="59"/>
        <v>3A.T</v>
      </c>
      <c r="C627" s="83" t="s">
        <v>362</v>
      </c>
      <c r="D627" s="81" t="s">
        <v>510</v>
      </c>
      <c r="E627" s="48">
        <v>100619</v>
      </c>
      <c r="F627" s="30" t="s">
        <v>1531</v>
      </c>
      <c r="G627" s="29" t="s">
        <v>87</v>
      </c>
      <c r="H627" s="30" t="s">
        <v>1494</v>
      </c>
      <c r="I627" s="78"/>
      <c r="J627" s="20"/>
      <c r="K627" s="20"/>
      <c r="L627" s="20"/>
      <c r="M627" s="20"/>
      <c r="N627" s="179" t="s">
        <v>502</v>
      </c>
      <c r="O627" s="70">
        <v>0</v>
      </c>
      <c r="P627" s="70">
        <v>0</v>
      </c>
      <c r="Q627" s="70">
        <f t="shared" si="54"/>
        <v>0</v>
      </c>
      <c r="R627" s="70"/>
      <c r="S627" s="67"/>
      <c r="T627" s="2" t="str">
        <f t="shared" si="55"/>
        <v>Doãn Thị Thảo Nguyên_11AT1</v>
      </c>
      <c r="U627" s="28">
        <f t="array" ref="U627">IFERROR(VLOOKUP($T627,'Nghi hoc T12'!$H$7:$I$160,2,0),0)</f>
        <v>0</v>
      </c>
      <c r="V627" s="28">
        <f>IFERROR(VLOOKUP($T627,No_HP!$B$2:$C$514,2,0),0)</f>
        <v>0</v>
      </c>
      <c r="W627" s="28">
        <f t="shared" si="56"/>
        <v>0</v>
      </c>
      <c r="X627" s="333">
        <f t="shared" si="57"/>
        <v>0</v>
      </c>
      <c r="Y627" s="333">
        <f t="shared" si="58"/>
        <v>0</v>
      </c>
    </row>
    <row r="628" spans="1:25" s="2" customFormat="1" ht="21.95" customHeight="1">
      <c r="A628" s="82">
        <v>10</v>
      </c>
      <c r="B628" s="91" t="str">
        <f t="shared" si="59"/>
        <v>3A.T</v>
      </c>
      <c r="C628" s="83" t="s">
        <v>362</v>
      </c>
      <c r="D628" s="81" t="s">
        <v>510</v>
      </c>
      <c r="E628" s="48">
        <v>100620</v>
      </c>
      <c r="F628" s="30" t="s">
        <v>146</v>
      </c>
      <c r="G628" s="29" t="s">
        <v>1532</v>
      </c>
      <c r="H628" s="30" t="s">
        <v>1494</v>
      </c>
      <c r="I628" s="78"/>
      <c r="J628" s="20"/>
      <c r="K628" s="20"/>
      <c r="L628" s="20"/>
      <c r="M628" s="20"/>
      <c r="N628" s="179" t="s">
        <v>502</v>
      </c>
      <c r="O628" s="70">
        <v>0</v>
      </c>
      <c r="P628" s="70">
        <v>0</v>
      </c>
      <c r="Q628" s="70">
        <f t="shared" si="54"/>
        <v>0</v>
      </c>
      <c r="R628" s="70"/>
      <c r="S628" s="67"/>
      <c r="T628" s="2" t="str">
        <f t="shared" si="55"/>
        <v>Nguyễn Bá Nhất_11AT1</v>
      </c>
      <c r="U628" s="28">
        <f t="array" ref="U628">IFERROR(VLOOKUP($T628,'Nghi hoc T12'!$H$7:$I$160,2,0),0)</f>
        <v>0</v>
      </c>
      <c r="V628" s="28">
        <f>IFERROR(VLOOKUP($T628,No_HP!$B$2:$C$514,2,0),0)</f>
        <v>0</v>
      </c>
      <c r="W628" s="28">
        <f t="shared" si="56"/>
        <v>0</v>
      </c>
      <c r="X628" s="333">
        <f t="shared" si="57"/>
        <v>0</v>
      </c>
      <c r="Y628" s="333">
        <f t="shared" si="58"/>
        <v>0</v>
      </c>
    </row>
    <row r="629" spans="1:25" s="2" customFormat="1" ht="21.95" customHeight="1">
      <c r="A629" s="82">
        <v>11</v>
      </c>
      <c r="B629" s="91" t="str">
        <f t="shared" si="59"/>
        <v>3A.T</v>
      </c>
      <c r="C629" s="83" t="s">
        <v>362</v>
      </c>
      <c r="D629" s="81" t="s">
        <v>510</v>
      </c>
      <c r="E629" s="48">
        <v>100621</v>
      </c>
      <c r="F629" s="30" t="s">
        <v>1533</v>
      </c>
      <c r="G629" s="29" t="s">
        <v>20</v>
      </c>
      <c r="H629" s="30" t="s">
        <v>1496</v>
      </c>
      <c r="I629" s="78"/>
      <c r="J629" s="20"/>
      <c r="K629" s="20"/>
      <c r="L629" s="20"/>
      <c r="M629" s="20"/>
      <c r="N629" s="179" t="s">
        <v>502</v>
      </c>
      <c r="O629" s="70">
        <v>0</v>
      </c>
      <c r="P629" s="70">
        <v>0</v>
      </c>
      <c r="Q629" s="70">
        <f t="shared" si="54"/>
        <v>0</v>
      </c>
      <c r="R629" s="70"/>
      <c r="S629" s="67"/>
      <c r="T629" s="2" t="str">
        <f t="shared" si="55"/>
        <v>Đào Thị Yến Nhi_11AT2</v>
      </c>
      <c r="U629" s="28">
        <f t="array" ref="U629">IFERROR(VLOOKUP($T629,'Nghi hoc T12'!$H$7:$I$160,2,0),0)</f>
        <v>0</v>
      </c>
      <c r="V629" s="28">
        <f>IFERROR(VLOOKUP($T629,No_HP!$B$2:$C$514,2,0),0)</f>
        <v>0</v>
      </c>
      <c r="W629" s="28">
        <f t="shared" si="56"/>
        <v>0</v>
      </c>
      <c r="X629" s="333">
        <f t="shared" si="57"/>
        <v>0</v>
      </c>
      <c r="Y629" s="333">
        <f t="shared" si="58"/>
        <v>0</v>
      </c>
    </row>
    <row r="630" spans="1:25" s="2" customFormat="1" ht="21.95" customHeight="1">
      <c r="A630" s="82">
        <v>12</v>
      </c>
      <c r="B630" s="91" t="str">
        <f t="shared" si="59"/>
        <v>3A.T</v>
      </c>
      <c r="C630" s="83" t="s">
        <v>362</v>
      </c>
      <c r="D630" s="81" t="s">
        <v>510</v>
      </c>
      <c r="E630" s="48">
        <v>100622</v>
      </c>
      <c r="F630" s="30" t="s">
        <v>1211</v>
      </c>
      <c r="G630" s="29" t="s">
        <v>20</v>
      </c>
      <c r="H630" s="30" t="s">
        <v>1494</v>
      </c>
      <c r="I630" s="78"/>
      <c r="J630" s="20"/>
      <c r="K630" s="20"/>
      <c r="L630" s="20"/>
      <c r="M630" s="20"/>
      <c r="N630" s="179" t="s">
        <v>502</v>
      </c>
      <c r="O630" s="70">
        <v>0</v>
      </c>
      <c r="P630" s="70">
        <v>0</v>
      </c>
      <c r="Q630" s="70">
        <f t="shared" si="54"/>
        <v>0</v>
      </c>
      <c r="R630" s="70"/>
      <c r="S630" s="67"/>
      <c r="T630" s="2" t="str">
        <f t="shared" si="55"/>
        <v>Trần Thị Yến Nhi_11AT1</v>
      </c>
      <c r="U630" s="28">
        <f t="array" ref="U630">IFERROR(VLOOKUP($T630,'Nghi hoc T12'!$H$7:$I$160,2,0),0)</f>
        <v>0</v>
      </c>
      <c r="V630" s="28">
        <f>IFERROR(VLOOKUP($T630,No_HP!$B$2:$C$514,2,0),0)</f>
        <v>0</v>
      </c>
      <c r="W630" s="28">
        <f t="shared" si="56"/>
        <v>0</v>
      </c>
      <c r="X630" s="333">
        <f t="shared" si="57"/>
        <v>0</v>
      </c>
      <c r="Y630" s="333">
        <f t="shared" si="58"/>
        <v>0</v>
      </c>
    </row>
    <row r="631" spans="1:25" s="2" customFormat="1" ht="21.95" customHeight="1">
      <c r="A631" s="82">
        <v>13</v>
      </c>
      <c r="B631" s="91" t="str">
        <f t="shared" si="59"/>
        <v>3A.T</v>
      </c>
      <c r="C631" s="83" t="s">
        <v>362</v>
      </c>
      <c r="D631" s="81" t="s">
        <v>510</v>
      </c>
      <c r="E631" s="48">
        <v>100623</v>
      </c>
      <c r="F631" s="30" t="s">
        <v>1534</v>
      </c>
      <c r="G631" s="29" t="s">
        <v>21</v>
      </c>
      <c r="H631" s="30" t="s">
        <v>1496</v>
      </c>
      <c r="I631" s="78"/>
      <c r="J631" s="20"/>
      <c r="K631" s="20"/>
      <c r="L631" s="20"/>
      <c r="M631" s="20"/>
      <c r="N631" s="179" t="s">
        <v>502</v>
      </c>
      <c r="O631" s="70">
        <v>0</v>
      </c>
      <c r="P631" s="70">
        <v>0</v>
      </c>
      <c r="Q631" s="70">
        <f t="shared" si="54"/>
        <v>0</v>
      </c>
      <c r="R631" s="70"/>
      <c r="S631" s="67"/>
      <c r="T631" s="2" t="str">
        <f t="shared" si="55"/>
        <v>Vũ Ngọc Nguyệt Như_11AT2</v>
      </c>
      <c r="U631" s="28">
        <f t="array" ref="U631">IFERROR(VLOOKUP($T631,'Nghi hoc T12'!$H$7:$I$160,2,0),0)</f>
        <v>0</v>
      </c>
      <c r="V631" s="28">
        <f>IFERROR(VLOOKUP($T631,No_HP!$B$2:$C$514,2,0),0)</f>
        <v>0</v>
      </c>
      <c r="W631" s="28">
        <f t="shared" si="56"/>
        <v>0</v>
      </c>
      <c r="X631" s="333">
        <f t="shared" si="57"/>
        <v>0</v>
      </c>
      <c r="Y631" s="333">
        <f t="shared" si="58"/>
        <v>0</v>
      </c>
    </row>
    <row r="632" spans="1:25" s="2" customFormat="1" ht="21.95" customHeight="1">
      <c r="A632" s="82">
        <v>14</v>
      </c>
      <c r="B632" s="91" t="str">
        <f t="shared" si="59"/>
        <v>3A.T</v>
      </c>
      <c r="C632" s="83" t="s">
        <v>362</v>
      </c>
      <c r="D632" s="81" t="s">
        <v>510</v>
      </c>
      <c r="E632" s="48">
        <v>100624</v>
      </c>
      <c r="F632" s="30" t="s">
        <v>1535</v>
      </c>
      <c r="G632" s="29" t="s">
        <v>271</v>
      </c>
      <c r="H632" s="30" t="s">
        <v>1494</v>
      </c>
      <c r="I632" s="78"/>
      <c r="J632" s="20"/>
      <c r="K632" s="20"/>
      <c r="L632" s="20"/>
      <c r="M632" s="20"/>
      <c r="N632" s="179" t="s">
        <v>502</v>
      </c>
      <c r="O632" s="70">
        <v>0</v>
      </c>
      <c r="P632" s="70">
        <v>0</v>
      </c>
      <c r="Q632" s="70">
        <f t="shared" si="54"/>
        <v>0</v>
      </c>
      <c r="R632" s="70"/>
      <c r="S632" s="67"/>
      <c r="T632" s="2" t="str">
        <f t="shared" si="55"/>
        <v>Trần Nam Phi_11AT1</v>
      </c>
      <c r="U632" s="28">
        <f t="array" ref="U632">IFERROR(VLOOKUP($T632,'Nghi hoc T12'!$H$7:$I$160,2,0),0)</f>
        <v>0</v>
      </c>
      <c r="V632" s="28">
        <f>IFERROR(VLOOKUP($T632,No_HP!$B$2:$C$514,2,0),0)</f>
        <v>0</v>
      </c>
      <c r="W632" s="28">
        <f t="shared" si="56"/>
        <v>0</v>
      </c>
      <c r="X632" s="333">
        <f t="shared" si="57"/>
        <v>0</v>
      </c>
      <c r="Y632" s="333">
        <f t="shared" si="58"/>
        <v>0</v>
      </c>
    </row>
    <row r="633" spans="1:25" s="2" customFormat="1" ht="21.95" customHeight="1">
      <c r="A633" s="82">
        <v>15</v>
      </c>
      <c r="B633" s="91" t="str">
        <f t="shared" si="59"/>
        <v>3A.T</v>
      </c>
      <c r="C633" s="83" t="s">
        <v>362</v>
      </c>
      <c r="D633" s="81" t="s">
        <v>510</v>
      </c>
      <c r="E633" s="48">
        <v>100625</v>
      </c>
      <c r="F633" s="30" t="s">
        <v>1536</v>
      </c>
      <c r="G633" s="29" t="s">
        <v>71</v>
      </c>
      <c r="H633" s="30" t="s">
        <v>1494</v>
      </c>
      <c r="I633" s="78"/>
      <c r="J633" s="20"/>
      <c r="K633" s="20"/>
      <c r="L633" s="20"/>
      <c r="M633" s="20"/>
      <c r="N633" s="179" t="s">
        <v>502</v>
      </c>
      <c r="O633" s="70">
        <v>0</v>
      </c>
      <c r="P633" s="70">
        <v>0</v>
      </c>
      <c r="Q633" s="70">
        <f t="shared" si="54"/>
        <v>0</v>
      </c>
      <c r="R633" s="70"/>
      <c r="S633" s="67"/>
      <c r="T633" s="2" t="str">
        <f t="shared" si="55"/>
        <v>Dương Hoàng Phúc_11AT1</v>
      </c>
      <c r="U633" s="28">
        <f t="array" ref="U633">IFERROR(VLOOKUP($T633,'Nghi hoc T12'!$H$7:$I$160,2,0),0)</f>
        <v>0</v>
      </c>
      <c r="V633" s="28">
        <f>IFERROR(VLOOKUP($T633,No_HP!$B$2:$C$514,2,0),0)</f>
        <v>0</v>
      </c>
      <c r="W633" s="28">
        <f t="shared" si="56"/>
        <v>0</v>
      </c>
      <c r="X633" s="333">
        <f t="shared" si="57"/>
        <v>0</v>
      </c>
      <c r="Y633" s="333">
        <f t="shared" si="58"/>
        <v>0</v>
      </c>
    </row>
    <row r="634" spans="1:25" s="2" customFormat="1" ht="21.95" customHeight="1">
      <c r="A634" s="82">
        <v>16</v>
      </c>
      <c r="B634" s="91" t="str">
        <f t="shared" si="59"/>
        <v>3A.T</v>
      </c>
      <c r="C634" s="83" t="s">
        <v>362</v>
      </c>
      <c r="D634" s="81" t="s">
        <v>510</v>
      </c>
      <c r="E634" s="48">
        <v>100626</v>
      </c>
      <c r="F634" s="30" t="s">
        <v>248</v>
      </c>
      <c r="G634" s="29" t="s">
        <v>1537</v>
      </c>
      <c r="H634" s="30" t="s">
        <v>1496</v>
      </c>
      <c r="I634" s="78"/>
      <c r="J634" s="20"/>
      <c r="K634" s="20"/>
      <c r="L634" s="20"/>
      <c r="M634" s="20"/>
      <c r="N634" s="179" t="s">
        <v>502</v>
      </c>
      <c r="O634" s="70">
        <v>0</v>
      </c>
      <c r="P634" s="70">
        <v>0</v>
      </c>
      <c r="Q634" s="70">
        <f t="shared" si="54"/>
        <v>0</v>
      </c>
      <c r="R634" s="70"/>
      <c r="S634" s="67"/>
      <c r="T634" s="2" t="str">
        <f t="shared" si="55"/>
        <v>Trần Thị Kim Phụng_11AT2</v>
      </c>
      <c r="U634" s="28">
        <f t="array" ref="U634">IFERROR(VLOOKUP($T634,'Nghi hoc T12'!$H$7:$I$160,2,0),0)</f>
        <v>0</v>
      </c>
      <c r="V634" s="28">
        <f>IFERROR(VLOOKUP($T634,No_HP!$B$2:$C$514,2,0),0)</f>
        <v>0</v>
      </c>
      <c r="W634" s="28">
        <f t="shared" si="56"/>
        <v>0</v>
      </c>
      <c r="X634" s="333">
        <f t="shared" si="57"/>
        <v>0</v>
      </c>
      <c r="Y634" s="333">
        <f t="shared" si="58"/>
        <v>0</v>
      </c>
    </row>
    <row r="635" spans="1:25" s="2" customFormat="1" ht="21.95" customHeight="1">
      <c r="A635" s="82">
        <v>17</v>
      </c>
      <c r="B635" s="91" t="str">
        <f t="shared" si="59"/>
        <v>3A.T</v>
      </c>
      <c r="C635" s="83" t="s">
        <v>362</v>
      </c>
      <c r="D635" s="81" t="s">
        <v>510</v>
      </c>
      <c r="E635" s="48">
        <v>100627</v>
      </c>
      <c r="F635" s="30" t="s">
        <v>1538</v>
      </c>
      <c r="G635" s="29" t="s">
        <v>43</v>
      </c>
      <c r="H635" s="30" t="s">
        <v>1494</v>
      </c>
      <c r="I635" s="78"/>
      <c r="J635" s="20"/>
      <c r="K635" s="20"/>
      <c r="L635" s="20"/>
      <c r="M635" s="20"/>
      <c r="N635" s="179" t="s">
        <v>502</v>
      </c>
      <c r="O635" s="70">
        <v>0</v>
      </c>
      <c r="P635" s="70">
        <v>0</v>
      </c>
      <c r="Q635" s="70">
        <f t="shared" si="54"/>
        <v>0</v>
      </c>
      <c r="R635" s="70"/>
      <c r="S635" s="67"/>
      <c r="T635" s="2" t="str">
        <f t="shared" si="55"/>
        <v>Bùi Diễm Ngọc Phương_11AT1</v>
      </c>
      <c r="U635" s="28">
        <f t="array" ref="U635">IFERROR(VLOOKUP($T635,'Nghi hoc T12'!$H$7:$I$160,2,0),0)</f>
        <v>0</v>
      </c>
      <c r="V635" s="28">
        <f>IFERROR(VLOOKUP($T635,No_HP!$B$2:$C$514,2,0),0)</f>
        <v>0</v>
      </c>
      <c r="W635" s="28">
        <f t="shared" si="56"/>
        <v>0</v>
      </c>
      <c r="X635" s="333">
        <f t="shared" si="57"/>
        <v>0</v>
      </c>
      <c r="Y635" s="333">
        <f t="shared" si="58"/>
        <v>0</v>
      </c>
    </row>
    <row r="636" spans="1:25" s="2" customFormat="1" ht="21.95" customHeight="1">
      <c r="A636" s="82">
        <v>18</v>
      </c>
      <c r="B636" s="91" t="str">
        <f t="shared" si="59"/>
        <v>3A.T</v>
      </c>
      <c r="C636" s="83" t="s">
        <v>362</v>
      </c>
      <c r="D636" s="81" t="s">
        <v>510</v>
      </c>
      <c r="E636" s="48">
        <v>100628</v>
      </c>
      <c r="F636" s="30" t="s">
        <v>1539</v>
      </c>
      <c r="G636" s="29" t="s">
        <v>57</v>
      </c>
      <c r="H636" s="30" t="s">
        <v>1494</v>
      </c>
      <c r="I636" s="78"/>
      <c r="J636" s="20"/>
      <c r="K636" s="20"/>
      <c r="L636" s="20"/>
      <c r="M636" s="20"/>
      <c r="N636" s="179" t="s">
        <v>502</v>
      </c>
      <c r="O636" s="70">
        <v>0</v>
      </c>
      <c r="P636" s="70">
        <v>0</v>
      </c>
      <c r="Q636" s="70">
        <f t="shared" si="54"/>
        <v>0</v>
      </c>
      <c r="R636" s="70"/>
      <c r="S636" s="67"/>
      <c r="T636" s="2" t="str">
        <f t="shared" si="55"/>
        <v>Hoàng Hữu Quân_11AT1</v>
      </c>
      <c r="U636" s="28">
        <f t="array" ref="U636">IFERROR(VLOOKUP($T636,'Nghi hoc T12'!$H$7:$I$160,2,0),0)</f>
        <v>0</v>
      </c>
      <c r="V636" s="28">
        <f>IFERROR(VLOOKUP($T636,No_HP!$B$2:$C$514,2,0),0)</f>
        <v>0</v>
      </c>
      <c r="W636" s="28">
        <f t="shared" si="56"/>
        <v>0</v>
      </c>
      <c r="X636" s="333">
        <f t="shared" si="57"/>
        <v>0</v>
      </c>
      <c r="Y636" s="333">
        <f t="shared" si="58"/>
        <v>0</v>
      </c>
    </row>
    <row r="637" spans="1:25" s="2" customFormat="1" ht="21.95" customHeight="1">
      <c r="A637" s="82">
        <v>19</v>
      </c>
      <c r="B637" s="91" t="str">
        <f t="shared" si="59"/>
        <v>3A.T</v>
      </c>
      <c r="C637" s="83" t="s">
        <v>362</v>
      </c>
      <c r="D637" s="81" t="s">
        <v>510</v>
      </c>
      <c r="E637" s="48">
        <v>100629</v>
      </c>
      <c r="F637" s="30" t="s">
        <v>64</v>
      </c>
      <c r="G637" s="29" t="s">
        <v>57</v>
      </c>
      <c r="H637" s="30" t="s">
        <v>1496</v>
      </c>
      <c r="I637" s="78"/>
      <c r="J637" s="20"/>
      <c r="K637" s="20"/>
      <c r="L637" s="20"/>
      <c r="M637" s="20"/>
      <c r="N637" s="179" t="s">
        <v>502</v>
      </c>
      <c r="O637" s="70">
        <v>0</v>
      </c>
      <c r="P637" s="70">
        <v>0</v>
      </c>
      <c r="Q637" s="70">
        <f t="shared" si="54"/>
        <v>0</v>
      </c>
      <c r="R637" s="70"/>
      <c r="S637" s="67"/>
      <c r="T637" s="2" t="str">
        <f t="shared" si="55"/>
        <v>Nguyễn Xuân Quân_11AT2</v>
      </c>
      <c r="U637" s="28">
        <f t="array" ref="U637">IFERROR(VLOOKUP($T637,'Nghi hoc T12'!$H$7:$I$160,2,0),0)</f>
        <v>0</v>
      </c>
      <c r="V637" s="28">
        <f>IFERROR(VLOOKUP($T637,No_HP!$B$2:$C$514,2,0),0)</f>
        <v>0</v>
      </c>
      <c r="W637" s="28">
        <f t="shared" si="56"/>
        <v>0</v>
      </c>
      <c r="X637" s="333">
        <f t="shared" si="57"/>
        <v>0</v>
      </c>
      <c r="Y637" s="333">
        <f t="shared" si="58"/>
        <v>0</v>
      </c>
    </row>
    <row r="638" spans="1:25" s="2" customFormat="1" ht="21.95" customHeight="1">
      <c r="A638" s="82">
        <v>20</v>
      </c>
      <c r="B638" s="91" t="str">
        <f t="shared" si="59"/>
        <v>3A.T</v>
      </c>
      <c r="C638" s="83" t="s">
        <v>362</v>
      </c>
      <c r="D638" s="81" t="s">
        <v>510</v>
      </c>
      <c r="E638" s="48">
        <v>100630</v>
      </c>
      <c r="F638" s="30" t="s">
        <v>1540</v>
      </c>
      <c r="G638" s="29" t="s">
        <v>23</v>
      </c>
      <c r="H638" s="30" t="s">
        <v>1494</v>
      </c>
      <c r="I638" s="78"/>
      <c r="J638" s="20"/>
      <c r="K638" s="20"/>
      <c r="L638" s="20"/>
      <c r="M638" s="20"/>
      <c r="N638" s="179" t="s">
        <v>502</v>
      </c>
      <c r="O638" s="70">
        <v>0</v>
      </c>
      <c r="P638" s="70">
        <v>0</v>
      </c>
      <c r="Q638" s="70">
        <f t="shared" si="54"/>
        <v>0</v>
      </c>
      <c r="R638" s="70"/>
      <c r="S638" s="67"/>
      <c r="T638" s="2" t="str">
        <f t="shared" si="55"/>
        <v>Dương Hồng Sơn_11AT1</v>
      </c>
      <c r="U638" s="28">
        <f t="array" ref="U638">IFERROR(VLOOKUP($T638,'Nghi hoc T12'!$H$7:$I$160,2,0),0)</f>
        <v>0</v>
      </c>
      <c r="V638" s="28">
        <f>IFERROR(VLOOKUP($T638,No_HP!$B$2:$C$514,2,0),0)</f>
        <v>0</v>
      </c>
      <c r="W638" s="28">
        <f t="shared" si="56"/>
        <v>0</v>
      </c>
      <c r="X638" s="333">
        <f t="shared" si="57"/>
        <v>0</v>
      </c>
      <c r="Y638" s="333">
        <f t="shared" si="58"/>
        <v>0</v>
      </c>
    </row>
    <row r="639" spans="1:25" s="2" customFormat="1" ht="21.95" customHeight="1">
      <c r="A639" s="82">
        <v>21</v>
      </c>
      <c r="B639" s="91" t="str">
        <f t="shared" si="59"/>
        <v>3A.T</v>
      </c>
      <c r="C639" s="83" t="s">
        <v>362</v>
      </c>
      <c r="D639" s="81" t="s">
        <v>510</v>
      </c>
      <c r="E639" s="48">
        <v>100631</v>
      </c>
      <c r="F639" s="30" t="s">
        <v>1541</v>
      </c>
      <c r="G639" s="29" t="s">
        <v>23</v>
      </c>
      <c r="H639" s="30" t="s">
        <v>1496</v>
      </c>
      <c r="I639" s="78"/>
      <c r="J639" s="20"/>
      <c r="K639" s="20"/>
      <c r="L639" s="20"/>
      <c r="M639" s="20"/>
      <c r="N639" s="179" t="s">
        <v>502</v>
      </c>
      <c r="O639" s="70">
        <v>0</v>
      </c>
      <c r="P639" s="70">
        <v>0</v>
      </c>
      <c r="Q639" s="70">
        <f t="shared" si="54"/>
        <v>0</v>
      </c>
      <c r="R639" s="70"/>
      <c r="S639" s="67"/>
      <c r="T639" s="2" t="str">
        <f t="shared" si="55"/>
        <v>Lưu Thanh Sơn_11AT2</v>
      </c>
      <c r="U639" s="28">
        <f t="array" ref="U639">IFERROR(VLOOKUP($T639,'Nghi hoc T12'!$H$7:$I$160,2,0),0)</f>
        <v>0</v>
      </c>
      <c r="V639" s="28">
        <f>IFERROR(VLOOKUP($T639,No_HP!$B$2:$C$514,2,0),0)</f>
        <v>0</v>
      </c>
      <c r="W639" s="28">
        <f t="shared" si="56"/>
        <v>0</v>
      </c>
      <c r="X639" s="333">
        <f t="shared" si="57"/>
        <v>0</v>
      </c>
      <c r="Y639" s="333">
        <f t="shared" si="58"/>
        <v>0</v>
      </c>
    </row>
    <row r="640" spans="1:25" s="2" customFormat="1" ht="21.95" customHeight="1">
      <c r="A640" s="82">
        <v>22</v>
      </c>
      <c r="B640" s="91" t="str">
        <f t="shared" si="59"/>
        <v>3A.T</v>
      </c>
      <c r="C640" s="83" t="s">
        <v>362</v>
      </c>
      <c r="D640" s="81" t="s">
        <v>510</v>
      </c>
      <c r="E640" s="48">
        <v>100632</v>
      </c>
      <c r="F640" s="30" t="s">
        <v>331</v>
      </c>
      <c r="G640" s="29" t="s">
        <v>24</v>
      </c>
      <c r="H640" s="30" t="s">
        <v>1496</v>
      </c>
      <c r="I640" s="78"/>
      <c r="J640" s="20"/>
      <c r="K640" s="20"/>
      <c r="L640" s="20"/>
      <c r="M640" s="20"/>
      <c r="N640" s="179" t="s">
        <v>502</v>
      </c>
      <c r="O640" s="70">
        <v>0</v>
      </c>
      <c r="P640" s="70">
        <v>0</v>
      </c>
      <c r="Q640" s="70">
        <f t="shared" si="54"/>
        <v>0</v>
      </c>
      <c r="R640" s="70"/>
      <c r="S640" s="67"/>
      <c r="T640" s="2" t="str">
        <f t="shared" si="55"/>
        <v>Lê Đức Tâm_11AT2</v>
      </c>
      <c r="U640" s="28">
        <f t="array" ref="U640">IFERROR(VLOOKUP($T640,'Nghi hoc T12'!$H$7:$I$160,2,0),0)</f>
        <v>0</v>
      </c>
      <c r="V640" s="28">
        <f>IFERROR(VLOOKUP($T640,No_HP!$B$2:$C$514,2,0),0)</f>
        <v>0</v>
      </c>
      <c r="W640" s="28">
        <f t="shared" si="56"/>
        <v>0</v>
      </c>
      <c r="X640" s="333">
        <f t="shared" si="57"/>
        <v>0</v>
      </c>
      <c r="Y640" s="333">
        <f t="shared" si="58"/>
        <v>0</v>
      </c>
    </row>
    <row r="641" spans="1:25" s="2" customFormat="1" ht="21.95" customHeight="1">
      <c r="A641" s="82">
        <v>23</v>
      </c>
      <c r="B641" s="91" t="str">
        <f t="shared" si="59"/>
        <v>3A.T</v>
      </c>
      <c r="C641" s="83" t="s">
        <v>362</v>
      </c>
      <c r="D641" s="81" t="s">
        <v>510</v>
      </c>
      <c r="E641" s="48">
        <v>100633</v>
      </c>
      <c r="F641" s="30" t="s">
        <v>260</v>
      </c>
      <c r="G641" s="29" t="s">
        <v>25</v>
      </c>
      <c r="H641" s="30" t="s">
        <v>1494</v>
      </c>
      <c r="I641" s="78"/>
      <c r="J641" s="20"/>
      <c r="K641" s="20"/>
      <c r="L641" s="20"/>
      <c r="M641" s="20"/>
      <c r="N641" s="179" t="s">
        <v>502</v>
      </c>
      <c r="O641" s="70">
        <v>0</v>
      </c>
      <c r="P641" s="70">
        <v>0</v>
      </c>
      <c r="Q641" s="70">
        <f t="shared" si="54"/>
        <v>0</v>
      </c>
      <c r="R641" s="70"/>
      <c r="S641" s="67"/>
      <c r="T641" s="2" t="str">
        <f t="shared" si="55"/>
        <v>Đặng Quốc Thái_11AT1</v>
      </c>
      <c r="U641" s="28">
        <f t="array" ref="U641">IFERROR(VLOOKUP($T641,'Nghi hoc T12'!$H$7:$I$160,2,0),0)</f>
        <v>0</v>
      </c>
      <c r="V641" s="28">
        <f>IFERROR(VLOOKUP($T641,No_HP!$B$2:$C$514,2,0),0)</f>
        <v>0</v>
      </c>
      <c r="W641" s="28">
        <f t="shared" si="56"/>
        <v>0</v>
      </c>
      <c r="X641" s="333">
        <f t="shared" si="57"/>
        <v>0</v>
      </c>
      <c r="Y641" s="333">
        <f t="shared" si="58"/>
        <v>0</v>
      </c>
    </row>
    <row r="642" spans="1:25" s="2" customFormat="1" ht="21.95" customHeight="1">
      <c r="A642" s="82">
        <v>24</v>
      </c>
      <c r="B642" s="91" t="str">
        <f t="shared" si="59"/>
        <v>3A.T</v>
      </c>
      <c r="C642" s="83" t="s">
        <v>362</v>
      </c>
      <c r="D642" s="81" t="s">
        <v>510</v>
      </c>
      <c r="E642" s="48">
        <v>100634</v>
      </c>
      <c r="F642" s="30" t="s">
        <v>1542</v>
      </c>
      <c r="G642" s="29" t="s">
        <v>49</v>
      </c>
      <c r="H642" s="30" t="s">
        <v>1496</v>
      </c>
      <c r="I642" s="78"/>
      <c r="J642" s="20"/>
      <c r="K642" s="20"/>
      <c r="L642" s="20"/>
      <c r="M642" s="20"/>
      <c r="N642" s="179" t="s">
        <v>502</v>
      </c>
      <c r="O642" s="70">
        <v>0</v>
      </c>
      <c r="P642" s="70">
        <v>0</v>
      </c>
      <c r="Q642" s="70">
        <f t="shared" si="54"/>
        <v>0</v>
      </c>
      <c r="R642" s="70"/>
      <c r="S642" s="67"/>
      <c r="T642" s="2" t="str">
        <f t="shared" si="55"/>
        <v>Cao Thị Phương Thảo_11AT2</v>
      </c>
      <c r="U642" s="28">
        <f t="array" ref="U642">IFERROR(VLOOKUP($T642,'Nghi hoc T12'!$H$7:$I$160,2,0),0)</f>
        <v>0</v>
      </c>
      <c r="V642" s="28">
        <f>IFERROR(VLOOKUP($T642,No_HP!$B$2:$C$514,2,0),0)</f>
        <v>0</v>
      </c>
      <c r="W642" s="28">
        <f t="shared" si="56"/>
        <v>0</v>
      </c>
      <c r="X642" s="333">
        <f t="shared" si="57"/>
        <v>0</v>
      </c>
      <c r="Y642" s="333">
        <f t="shared" si="58"/>
        <v>0</v>
      </c>
    </row>
    <row r="643" spans="1:25" s="2" customFormat="1" ht="21.95" customHeight="1">
      <c r="A643" s="82">
        <v>25</v>
      </c>
      <c r="B643" s="91" t="str">
        <f t="shared" si="59"/>
        <v>3A.T</v>
      </c>
      <c r="C643" s="83" t="s">
        <v>362</v>
      </c>
      <c r="D643" s="81" t="s">
        <v>510</v>
      </c>
      <c r="E643" s="48">
        <v>100635</v>
      </c>
      <c r="F643" s="30" t="s">
        <v>1543</v>
      </c>
      <c r="G643" s="29" t="s">
        <v>105</v>
      </c>
      <c r="H643" s="30" t="s">
        <v>1494</v>
      </c>
      <c r="I643" s="78"/>
      <c r="J643" s="20"/>
      <c r="K643" s="20"/>
      <c r="L643" s="20"/>
      <c r="M643" s="20"/>
      <c r="N643" s="179" t="s">
        <v>502</v>
      </c>
      <c r="O643" s="70">
        <v>0</v>
      </c>
      <c r="P643" s="70">
        <v>0</v>
      </c>
      <c r="Q643" s="70">
        <f t="shared" si="54"/>
        <v>0</v>
      </c>
      <c r="R643" s="70"/>
      <c r="S643" s="67"/>
      <c r="T643" s="2" t="str">
        <f t="shared" si="55"/>
        <v>Trần Thị Mai Thi_11AT1</v>
      </c>
      <c r="U643" s="28">
        <f t="array" ref="U643">IFERROR(VLOOKUP($T643,'Nghi hoc T12'!$H$7:$I$160,2,0),0)</f>
        <v>0</v>
      </c>
      <c r="V643" s="28">
        <f>IFERROR(VLOOKUP($T643,No_HP!$B$2:$C$514,2,0),0)</f>
        <v>0</v>
      </c>
      <c r="W643" s="28">
        <f t="shared" si="56"/>
        <v>0</v>
      </c>
      <c r="X643" s="333">
        <f t="shared" si="57"/>
        <v>0</v>
      </c>
      <c r="Y643" s="333">
        <f t="shared" si="58"/>
        <v>0</v>
      </c>
    </row>
    <row r="644" spans="1:25" s="2" customFormat="1" ht="21.95" customHeight="1">
      <c r="A644" s="200">
        <v>1</v>
      </c>
      <c r="B644" s="91" t="str">
        <f t="shared" si="59"/>
        <v>4A.T</v>
      </c>
      <c r="C644" s="185" t="s">
        <v>362</v>
      </c>
      <c r="D644" s="186" t="s">
        <v>511</v>
      </c>
      <c r="E644" s="187">
        <v>100636</v>
      </c>
      <c r="F644" s="188" t="s">
        <v>1544</v>
      </c>
      <c r="G644" s="189" t="s">
        <v>58</v>
      </c>
      <c r="H644" s="188" t="s">
        <v>1496</v>
      </c>
      <c r="I644" s="190"/>
      <c r="J644" s="191"/>
      <c r="K644" s="191"/>
      <c r="L644" s="191"/>
      <c r="M644" s="191"/>
      <c r="N644" s="179" t="s">
        <v>502</v>
      </c>
      <c r="O644" s="70">
        <v>0</v>
      </c>
      <c r="P644" s="70">
        <v>0</v>
      </c>
      <c r="Q644" s="70">
        <f t="shared" si="54"/>
        <v>0</v>
      </c>
      <c r="R644" s="70"/>
      <c r="S644" s="67"/>
      <c r="T644" s="2" t="str">
        <f t="shared" si="55"/>
        <v>Trần Phước Thịnh_11AT2</v>
      </c>
      <c r="U644" s="28">
        <f t="array" ref="U644">IFERROR(VLOOKUP($T644,'Nghi hoc T12'!$H$7:$I$160,2,0),0)</f>
        <v>0</v>
      </c>
      <c r="V644" s="28">
        <f>IFERROR(VLOOKUP($T644,No_HP!$B$2:$C$514,2,0),0)</f>
        <v>0</v>
      </c>
      <c r="W644" s="28">
        <f t="shared" si="56"/>
        <v>0</v>
      </c>
      <c r="X644" s="333">
        <f t="shared" si="57"/>
        <v>0</v>
      </c>
      <c r="Y644" s="333">
        <f t="shared" si="58"/>
        <v>0</v>
      </c>
    </row>
    <row r="645" spans="1:25" s="2" customFormat="1" ht="21.95" customHeight="1">
      <c r="A645" s="82">
        <v>2</v>
      </c>
      <c r="B645" s="91" t="str">
        <f t="shared" si="59"/>
        <v>4A.T</v>
      </c>
      <c r="C645" s="83" t="s">
        <v>362</v>
      </c>
      <c r="D645" s="81" t="s">
        <v>511</v>
      </c>
      <c r="E645" s="48">
        <v>100637</v>
      </c>
      <c r="F645" s="30" t="s">
        <v>1545</v>
      </c>
      <c r="G645" s="29" t="s">
        <v>431</v>
      </c>
      <c r="H645" s="30" t="s">
        <v>1496</v>
      </c>
      <c r="I645" s="78"/>
      <c r="J645" s="20"/>
      <c r="K645" s="20"/>
      <c r="L645" s="20"/>
      <c r="M645" s="20"/>
      <c r="N645" s="179" t="s">
        <v>502</v>
      </c>
      <c r="O645" s="70">
        <v>0</v>
      </c>
      <c r="P645" s="70">
        <v>0</v>
      </c>
      <c r="Q645" s="70">
        <f t="shared" si="54"/>
        <v>0</v>
      </c>
      <c r="R645" s="70"/>
      <c r="S645" s="67"/>
      <c r="T645" s="2" t="str">
        <f t="shared" si="55"/>
        <v>Đặng Huy Thông_11AT2</v>
      </c>
      <c r="U645" s="28">
        <f t="array" ref="U645">IFERROR(VLOOKUP($T645,'Nghi hoc T12'!$H$7:$I$160,2,0),0)</f>
        <v>0</v>
      </c>
      <c r="V645" s="28">
        <f>IFERROR(VLOOKUP($T645,No_HP!$B$2:$C$514,2,0),0)</f>
        <v>0</v>
      </c>
      <c r="W645" s="28">
        <f t="shared" si="56"/>
        <v>0</v>
      </c>
      <c r="X645" s="333">
        <f t="shared" si="57"/>
        <v>0</v>
      </c>
      <c r="Y645" s="333">
        <f t="shared" si="58"/>
        <v>0</v>
      </c>
    </row>
    <row r="646" spans="1:25" s="2" customFormat="1" ht="21.95" customHeight="1">
      <c r="A646" s="82">
        <v>3</v>
      </c>
      <c r="B646" s="91" t="str">
        <f t="shared" si="59"/>
        <v>4A.T</v>
      </c>
      <c r="C646" s="83" t="s">
        <v>362</v>
      </c>
      <c r="D646" s="81" t="s">
        <v>511</v>
      </c>
      <c r="E646" s="48">
        <v>100638</v>
      </c>
      <c r="F646" s="30" t="s">
        <v>1546</v>
      </c>
      <c r="G646" s="29" t="s">
        <v>431</v>
      </c>
      <c r="H646" s="30" t="s">
        <v>1494</v>
      </c>
      <c r="I646" s="78"/>
      <c r="J646" s="20"/>
      <c r="K646" s="20"/>
      <c r="L646" s="20"/>
      <c r="M646" s="20"/>
      <c r="N646" s="179" t="s">
        <v>502</v>
      </c>
      <c r="O646" s="70">
        <v>0</v>
      </c>
      <c r="P646" s="70">
        <v>0</v>
      </c>
      <c r="Q646" s="70">
        <f t="shared" si="54"/>
        <v>0</v>
      </c>
      <c r="R646" s="70"/>
      <c r="S646" s="67"/>
      <c r="T646" s="2" t="str">
        <f t="shared" si="55"/>
        <v>Đặng Khánh Thông_11AT1</v>
      </c>
      <c r="U646" s="28">
        <f t="array" ref="U646">IFERROR(VLOOKUP($T646,'Nghi hoc T12'!$H$7:$I$160,2,0),0)</f>
        <v>0</v>
      </c>
      <c r="V646" s="28">
        <f>IFERROR(VLOOKUP($T646,No_HP!$B$2:$C$514,2,0),0)</f>
        <v>0</v>
      </c>
      <c r="W646" s="28">
        <f t="shared" si="56"/>
        <v>0</v>
      </c>
      <c r="X646" s="333">
        <f t="shared" si="57"/>
        <v>0</v>
      </c>
      <c r="Y646" s="333">
        <f t="shared" si="58"/>
        <v>0</v>
      </c>
    </row>
    <row r="647" spans="1:25" s="2" customFormat="1" ht="21.95" customHeight="1">
      <c r="A647" s="82">
        <v>4</v>
      </c>
      <c r="B647" s="91" t="str">
        <f t="shared" si="59"/>
        <v>4A.T</v>
      </c>
      <c r="C647" s="83" t="s">
        <v>362</v>
      </c>
      <c r="D647" s="81" t="s">
        <v>511</v>
      </c>
      <c r="E647" s="48">
        <v>100639</v>
      </c>
      <c r="F647" s="30" t="s">
        <v>1547</v>
      </c>
      <c r="G647" s="29" t="s">
        <v>238</v>
      </c>
      <c r="H647" s="30" t="s">
        <v>1494</v>
      </c>
      <c r="I647" s="78"/>
      <c r="J647" s="20"/>
      <c r="K647" s="20"/>
      <c r="L647" s="20"/>
      <c r="M647" s="20"/>
      <c r="N647" s="179" t="s">
        <v>502</v>
      </c>
      <c r="O647" s="70">
        <v>0</v>
      </c>
      <c r="P647" s="70">
        <v>0</v>
      </c>
      <c r="Q647" s="70">
        <f t="shared" si="54"/>
        <v>0</v>
      </c>
      <c r="R647" s="70"/>
      <c r="S647" s="67"/>
      <c r="T647" s="2" t="str">
        <f t="shared" si="55"/>
        <v>Hoàng Thu Thủy_11AT1</v>
      </c>
      <c r="U647" s="28">
        <f t="array" ref="U647">IFERROR(VLOOKUP($T647,'Nghi hoc T12'!$H$7:$I$160,2,0),0)</f>
        <v>0</v>
      </c>
      <c r="V647" s="28">
        <f>IFERROR(VLOOKUP($T647,No_HP!$B$2:$C$514,2,0),0)</f>
        <v>0</v>
      </c>
      <c r="W647" s="28">
        <f t="shared" si="56"/>
        <v>0</v>
      </c>
      <c r="X647" s="333">
        <f t="shared" si="57"/>
        <v>0</v>
      </c>
      <c r="Y647" s="333">
        <f t="shared" si="58"/>
        <v>0</v>
      </c>
    </row>
    <row r="648" spans="1:25" s="2" customFormat="1" ht="21.95" customHeight="1">
      <c r="A648" s="82">
        <v>5</v>
      </c>
      <c r="B648" s="91" t="str">
        <f t="shared" si="59"/>
        <v>4A.T</v>
      </c>
      <c r="C648" s="83" t="s">
        <v>362</v>
      </c>
      <c r="D648" s="81" t="s">
        <v>511</v>
      </c>
      <c r="E648" s="48">
        <v>100640</v>
      </c>
      <c r="F648" s="30" t="s">
        <v>1548</v>
      </c>
      <c r="G648" s="29" t="s">
        <v>28</v>
      </c>
      <c r="H648" s="30" t="s">
        <v>1496</v>
      </c>
      <c r="I648" s="78"/>
      <c r="J648" s="20"/>
      <c r="K648" s="20"/>
      <c r="L648" s="20"/>
      <c r="M648" s="20"/>
      <c r="N648" s="179" t="s">
        <v>502</v>
      </c>
      <c r="O648" s="70">
        <v>0</v>
      </c>
      <c r="P648" s="70">
        <v>0</v>
      </c>
      <c r="Q648" s="70">
        <f t="shared" si="54"/>
        <v>0</v>
      </c>
      <c r="R648" s="70"/>
      <c r="S648" s="67"/>
      <c r="T648" s="2" t="str">
        <f t="shared" si="55"/>
        <v>Dương Anh Thư_11AT2</v>
      </c>
      <c r="U648" s="28">
        <f t="array" ref="U648">IFERROR(VLOOKUP($T648,'Nghi hoc T12'!$H$7:$I$160,2,0),0)</f>
        <v>0</v>
      </c>
      <c r="V648" s="28">
        <f>IFERROR(VLOOKUP($T648,No_HP!$B$2:$C$514,2,0),0)</f>
        <v>0</v>
      </c>
      <c r="W648" s="28">
        <f t="shared" si="56"/>
        <v>0</v>
      </c>
      <c r="X648" s="333">
        <f t="shared" si="57"/>
        <v>0</v>
      </c>
      <c r="Y648" s="333">
        <f t="shared" si="58"/>
        <v>0</v>
      </c>
    </row>
    <row r="649" spans="1:25" s="2" customFormat="1" ht="21.95" customHeight="1">
      <c r="A649" s="82">
        <v>6</v>
      </c>
      <c r="B649" s="91" t="str">
        <f t="shared" si="59"/>
        <v>4A.T</v>
      </c>
      <c r="C649" s="83" t="s">
        <v>362</v>
      </c>
      <c r="D649" s="81" t="s">
        <v>511</v>
      </c>
      <c r="E649" s="48">
        <v>100641</v>
      </c>
      <c r="F649" s="30" t="s">
        <v>129</v>
      </c>
      <c r="G649" s="29" t="s">
        <v>28</v>
      </c>
      <c r="H649" s="30" t="s">
        <v>1496</v>
      </c>
      <c r="I649" s="78"/>
      <c r="J649" s="20"/>
      <c r="K649" s="20"/>
      <c r="L649" s="20"/>
      <c r="M649" s="20"/>
      <c r="N649" s="179" t="s">
        <v>502</v>
      </c>
      <c r="O649" s="70">
        <v>0</v>
      </c>
      <c r="P649" s="70">
        <v>0</v>
      </c>
      <c r="Q649" s="70">
        <f t="shared" si="54"/>
        <v>0</v>
      </c>
      <c r="R649" s="70"/>
      <c r="S649" s="67"/>
      <c r="T649" s="2" t="str">
        <f t="shared" si="55"/>
        <v>Nguyễn Hoàng Anh Thư_11AT2</v>
      </c>
      <c r="U649" s="28">
        <f t="array" ref="U649">IFERROR(VLOOKUP($T649,'Nghi hoc T12'!$H$7:$I$160,2,0),0)</f>
        <v>0</v>
      </c>
      <c r="V649" s="28">
        <f>IFERROR(VLOOKUP($T649,No_HP!$B$2:$C$514,2,0),0)</f>
        <v>0</v>
      </c>
      <c r="W649" s="28">
        <f t="shared" si="56"/>
        <v>0</v>
      </c>
      <c r="X649" s="333">
        <f t="shared" si="57"/>
        <v>0</v>
      </c>
      <c r="Y649" s="333">
        <f t="shared" si="58"/>
        <v>0</v>
      </c>
    </row>
    <row r="650" spans="1:25" s="2" customFormat="1" ht="21.95" customHeight="1">
      <c r="A650" s="82">
        <v>7</v>
      </c>
      <c r="B650" s="91" t="str">
        <f t="shared" si="59"/>
        <v>4A.T</v>
      </c>
      <c r="C650" s="83" t="s">
        <v>362</v>
      </c>
      <c r="D650" s="81" t="s">
        <v>511</v>
      </c>
      <c r="E650" s="48">
        <v>100642</v>
      </c>
      <c r="F650" s="30" t="s">
        <v>1549</v>
      </c>
      <c r="G650" s="29" t="s">
        <v>28</v>
      </c>
      <c r="H650" s="30" t="s">
        <v>1494</v>
      </c>
      <c r="I650" s="78"/>
      <c r="J650" s="20"/>
      <c r="K650" s="20"/>
      <c r="L650" s="20"/>
      <c r="M650" s="20"/>
      <c r="N650" s="179" t="s">
        <v>502</v>
      </c>
      <c r="O650" s="70">
        <v>0</v>
      </c>
      <c r="P650" s="70">
        <v>0</v>
      </c>
      <c r="Q650" s="70">
        <f t="shared" ref="Q650:Q713" si="60">U650</f>
        <v>0</v>
      </c>
      <c r="R650" s="70"/>
      <c r="S650" s="67"/>
      <c r="T650" s="2" t="str">
        <f t="shared" ref="T650:T713" si="61">TRIM(F650&amp;" "&amp;G650&amp;"_"&amp;H650)</f>
        <v>Vũ Ngọc Minh Thư_11AT1</v>
      </c>
      <c r="U650" s="28">
        <f t="array" ref="U650">IFERROR(VLOOKUP($T650,'Nghi hoc T12'!$H$7:$I$160,2,0),0)</f>
        <v>0</v>
      </c>
      <c r="V650" s="28">
        <f>IFERROR(VLOOKUP($T650,No_HP!$B$2:$C$514,2,0),0)</f>
        <v>0</v>
      </c>
      <c r="W650" s="28">
        <f t="shared" ref="W650:W713" si="62">I650</f>
        <v>0</v>
      </c>
      <c r="X650" s="333">
        <f t="shared" ref="X650:X713" si="63">O650</f>
        <v>0</v>
      </c>
      <c r="Y650" s="333">
        <f t="shared" ref="Y650:Y713" si="64">P650</f>
        <v>0</v>
      </c>
    </row>
    <row r="651" spans="1:25" s="2" customFormat="1" ht="21.95" customHeight="1">
      <c r="A651" s="82">
        <v>8</v>
      </c>
      <c r="B651" s="91" t="str">
        <f t="shared" ref="B651:B714" si="65">RIGHT(D651,LEN(D651)-2)&amp;"."&amp;LEFT(N651,1)</f>
        <v>4A.T</v>
      </c>
      <c r="C651" s="83" t="s">
        <v>362</v>
      </c>
      <c r="D651" s="81" t="s">
        <v>511</v>
      </c>
      <c r="E651" s="48">
        <v>100643</v>
      </c>
      <c r="F651" s="30" t="s">
        <v>1550</v>
      </c>
      <c r="G651" s="29" t="s">
        <v>213</v>
      </c>
      <c r="H651" s="30" t="s">
        <v>1496</v>
      </c>
      <c r="I651" s="78"/>
      <c r="J651" s="20"/>
      <c r="K651" s="20"/>
      <c r="L651" s="20"/>
      <c r="M651" s="20"/>
      <c r="N651" s="179" t="s">
        <v>502</v>
      </c>
      <c r="O651" s="70">
        <v>0</v>
      </c>
      <c r="P651" s="70">
        <v>0</v>
      </c>
      <c r="Q651" s="70">
        <f t="shared" si="60"/>
        <v>0</v>
      </c>
      <c r="R651" s="70"/>
      <c r="S651" s="67"/>
      <c r="T651" s="2" t="str">
        <f t="shared" si="61"/>
        <v>Nguyễn Võ Bảo Thy_11AT2</v>
      </c>
      <c r="U651" s="28">
        <f t="array" ref="U651">IFERROR(VLOOKUP($T651,'Nghi hoc T12'!$H$7:$I$160,2,0),0)</f>
        <v>0</v>
      </c>
      <c r="V651" s="28">
        <f>IFERROR(VLOOKUP($T651,No_HP!$B$2:$C$514,2,0),0)</f>
        <v>0</v>
      </c>
      <c r="W651" s="28">
        <f t="shared" si="62"/>
        <v>0</v>
      </c>
      <c r="X651" s="333">
        <f t="shared" si="63"/>
        <v>0</v>
      </c>
      <c r="Y651" s="333">
        <f t="shared" si="64"/>
        <v>0</v>
      </c>
    </row>
    <row r="652" spans="1:25" s="2" customFormat="1" ht="21.95" customHeight="1">
      <c r="A652" s="82">
        <v>9</v>
      </c>
      <c r="B652" s="91" t="str">
        <f t="shared" si="65"/>
        <v>4A.T</v>
      </c>
      <c r="C652" s="83" t="s">
        <v>362</v>
      </c>
      <c r="D652" s="81" t="s">
        <v>511</v>
      </c>
      <c r="E652" s="48">
        <v>100644</v>
      </c>
      <c r="F652" s="30" t="s">
        <v>330</v>
      </c>
      <c r="G652" s="29" t="s">
        <v>72</v>
      </c>
      <c r="H652" s="30" t="s">
        <v>1494</v>
      </c>
      <c r="I652" s="78"/>
      <c r="J652" s="20"/>
      <c r="K652" s="20"/>
      <c r="L652" s="20"/>
      <c r="M652" s="20"/>
      <c r="N652" s="179" t="s">
        <v>502</v>
      </c>
      <c r="O652" s="70">
        <v>0</v>
      </c>
      <c r="P652" s="70">
        <v>0</v>
      </c>
      <c r="Q652" s="70">
        <f t="shared" si="60"/>
        <v>0</v>
      </c>
      <c r="R652" s="70"/>
      <c r="S652" s="67"/>
      <c r="T652" s="2" t="str">
        <f t="shared" si="61"/>
        <v>Nguyễn Tín_11AT1</v>
      </c>
      <c r="U652" s="28">
        <f t="array" ref="U652">IFERROR(VLOOKUP($T652,'Nghi hoc T12'!$H$7:$I$160,2,0),0)</f>
        <v>0</v>
      </c>
      <c r="V652" s="28">
        <f>IFERROR(VLOOKUP($T652,No_HP!$B$2:$C$514,2,0),0)</f>
        <v>0</v>
      </c>
      <c r="W652" s="28">
        <f t="shared" si="62"/>
        <v>0</v>
      </c>
      <c r="X652" s="333">
        <f t="shared" si="63"/>
        <v>0</v>
      </c>
      <c r="Y652" s="333">
        <f t="shared" si="64"/>
        <v>0</v>
      </c>
    </row>
    <row r="653" spans="1:25" s="2" customFormat="1" ht="21.95" customHeight="1">
      <c r="A653" s="82">
        <v>10</v>
      </c>
      <c r="B653" s="91" t="str">
        <f t="shared" si="65"/>
        <v>4A.T</v>
      </c>
      <c r="C653" s="83" t="s">
        <v>362</v>
      </c>
      <c r="D653" s="81" t="s">
        <v>511</v>
      </c>
      <c r="E653" s="48">
        <v>100645</v>
      </c>
      <c r="F653" s="30" t="s">
        <v>240</v>
      </c>
      <c r="G653" s="29" t="s">
        <v>30</v>
      </c>
      <c r="H653" s="30" t="s">
        <v>1496</v>
      </c>
      <c r="I653" s="78"/>
      <c r="J653" s="20"/>
      <c r="K653" s="20"/>
      <c r="L653" s="20"/>
      <c r="M653" s="20"/>
      <c r="N653" s="179" t="s">
        <v>502</v>
      </c>
      <c r="O653" s="70">
        <v>0</v>
      </c>
      <c r="P653" s="70">
        <v>0</v>
      </c>
      <c r="Q653" s="70">
        <f t="shared" si="60"/>
        <v>0</v>
      </c>
      <c r="R653" s="70"/>
      <c r="S653" s="67"/>
      <c r="T653" s="2" t="str">
        <f t="shared" si="61"/>
        <v>Nguyễn Ngọc Thùy Trang_11AT2</v>
      </c>
      <c r="U653" s="28">
        <f t="array" ref="U653">IFERROR(VLOOKUP($T653,'Nghi hoc T12'!$H$7:$I$160,2,0),0)</f>
        <v>0</v>
      </c>
      <c r="V653" s="28">
        <f>IFERROR(VLOOKUP($T653,No_HP!$B$2:$C$514,2,0),0)</f>
        <v>0</v>
      </c>
      <c r="W653" s="28">
        <f t="shared" si="62"/>
        <v>0</v>
      </c>
      <c r="X653" s="333">
        <f t="shared" si="63"/>
        <v>0</v>
      </c>
      <c r="Y653" s="333">
        <f t="shared" si="64"/>
        <v>0</v>
      </c>
    </row>
    <row r="654" spans="1:25" s="2" customFormat="1" ht="21.95" customHeight="1">
      <c r="A654" s="82">
        <v>11</v>
      </c>
      <c r="B654" s="91" t="str">
        <f t="shared" si="65"/>
        <v>4A.T</v>
      </c>
      <c r="C654" s="83" t="s">
        <v>362</v>
      </c>
      <c r="D654" s="81" t="s">
        <v>511</v>
      </c>
      <c r="E654" s="48">
        <v>100646</v>
      </c>
      <c r="F654" s="30" t="s">
        <v>1551</v>
      </c>
      <c r="G654" s="29" t="s">
        <v>30</v>
      </c>
      <c r="H654" s="30" t="s">
        <v>1494</v>
      </c>
      <c r="I654" s="78"/>
      <c r="J654" s="20"/>
      <c r="K654" s="20"/>
      <c r="L654" s="20"/>
      <c r="M654" s="20"/>
      <c r="N654" s="179" t="s">
        <v>502</v>
      </c>
      <c r="O654" s="70">
        <v>0</v>
      </c>
      <c r="P654" s="70">
        <v>0</v>
      </c>
      <c r="Q654" s="70">
        <f t="shared" si="60"/>
        <v>0</v>
      </c>
      <c r="R654" s="70"/>
      <c r="S654" s="67"/>
      <c r="T654" s="2" t="str">
        <f t="shared" si="61"/>
        <v>Vũ Thùy Trang_11AT1</v>
      </c>
      <c r="U654" s="28">
        <f t="array" ref="U654">IFERROR(VLOOKUP($T654,'Nghi hoc T12'!$H$7:$I$160,2,0),0)</f>
        <v>0</v>
      </c>
      <c r="V654" s="28">
        <f>IFERROR(VLOOKUP($T654,No_HP!$B$2:$C$514,2,0),0)</f>
        <v>0</v>
      </c>
      <c r="W654" s="28">
        <f t="shared" si="62"/>
        <v>0</v>
      </c>
      <c r="X654" s="333">
        <f t="shared" si="63"/>
        <v>0</v>
      </c>
      <c r="Y654" s="333">
        <f t="shared" si="64"/>
        <v>0</v>
      </c>
    </row>
    <row r="655" spans="1:25" s="2" customFormat="1" ht="21.95" customHeight="1">
      <c r="A655" s="82">
        <v>12</v>
      </c>
      <c r="B655" s="91" t="str">
        <f t="shared" si="65"/>
        <v>4A.T</v>
      </c>
      <c r="C655" s="83" t="s">
        <v>362</v>
      </c>
      <c r="D655" s="81" t="s">
        <v>511</v>
      </c>
      <c r="E655" s="48">
        <v>100647</v>
      </c>
      <c r="F655" s="30" t="s">
        <v>1552</v>
      </c>
      <c r="G655" s="29" t="s">
        <v>29</v>
      </c>
      <c r="H655" s="30" t="s">
        <v>1496</v>
      </c>
      <c r="I655" s="78"/>
      <c r="J655" s="20"/>
      <c r="K655" s="20"/>
      <c r="L655" s="20"/>
      <c r="M655" s="20"/>
      <c r="N655" s="179" t="s">
        <v>502</v>
      </c>
      <c r="O655" s="70">
        <v>0</v>
      </c>
      <c r="P655" s="70">
        <v>0</v>
      </c>
      <c r="Q655" s="70">
        <f t="shared" si="60"/>
        <v>0</v>
      </c>
      <c r="R655" s="70"/>
      <c r="S655" s="67"/>
      <c r="T655" s="2" t="str">
        <f t="shared" si="61"/>
        <v>Nguyễn Phạm Bảo Trâm_11AT2</v>
      </c>
      <c r="U655" s="28">
        <f t="array" ref="U655">IFERROR(VLOOKUP($T655,'Nghi hoc T12'!$H$7:$I$160,2,0),0)</f>
        <v>0</v>
      </c>
      <c r="V655" s="28">
        <f>IFERROR(VLOOKUP($T655,No_HP!$B$2:$C$514,2,0),0)</f>
        <v>0</v>
      </c>
      <c r="W655" s="28">
        <f t="shared" si="62"/>
        <v>0</v>
      </c>
      <c r="X655" s="333">
        <f t="shared" si="63"/>
        <v>0</v>
      </c>
      <c r="Y655" s="333">
        <f t="shared" si="64"/>
        <v>0</v>
      </c>
    </row>
    <row r="656" spans="1:25" s="2" customFormat="1" ht="21.95" customHeight="1">
      <c r="A656" s="82">
        <v>13</v>
      </c>
      <c r="B656" s="91" t="str">
        <f t="shared" si="65"/>
        <v>4A.T</v>
      </c>
      <c r="C656" s="83" t="s">
        <v>362</v>
      </c>
      <c r="D656" s="81" t="s">
        <v>511</v>
      </c>
      <c r="E656" s="48">
        <v>100648</v>
      </c>
      <c r="F656" s="30" t="s">
        <v>1209</v>
      </c>
      <c r="G656" s="29" t="s">
        <v>29</v>
      </c>
      <c r="H656" s="30" t="s">
        <v>1494</v>
      </c>
      <c r="I656" s="78"/>
      <c r="J656" s="20"/>
      <c r="K656" s="20"/>
      <c r="L656" s="20"/>
      <c r="M656" s="20"/>
      <c r="N656" s="179" t="s">
        <v>502</v>
      </c>
      <c r="O656" s="70">
        <v>0</v>
      </c>
      <c r="P656" s="70">
        <v>0</v>
      </c>
      <c r="Q656" s="70">
        <f t="shared" si="60"/>
        <v>0</v>
      </c>
      <c r="R656" s="70"/>
      <c r="S656" s="67"/>
      <c r="T656" s="2" t="str">
        <f t="shared" si="61"/>
        <v>Trần Tuyết Trâm_11AT1</v>
      </c>
      <c r="U656" s="28">
        <f t="array" ref="U656">IFERROR(VLOOKUP($T656,'Nghi hoc T12'!$H$7:$I$160,2,0),0)</f>
        <v>0</v>
      </c>
      <c r="V656" s="28">
        <f>IFERROR(VLOOKUP($T656,No_HP!$B$2:$C$514,2,0),0)</f>
        <v>0</v>
      </c>
      <c r="W656" s="28">
        <f t="shared" si="62"/>
        <v>0</v>
      </c>
      <c r="X656" s="333">
        <f t="shared" si="63"/>
        <v>0</v>
      </c>
      <c r="Y656" s="333">
        <f t="shared" si="64"/>
        <v>0</v>
      </c>
    </row>
    <row r="657" spans="1:25" s="2" customFormat="1" ht="21.95" customHeight="1">
      <c r="A657" s="82">
        <v>14</v>
      </c>
      <c r="B657" s="91" t="str">
        <f t="shared" si="65"/>
        <v>4A.T</v>
      </c>
      <c r="C657" s="83" t="s">
        <v>362</v>
      </c>
      <c r="D657" s="81" t="s">
        <v>511</v>
      </c>
      <c r="E657" s="48">
        <v>100649</v>
      </c>
      <c r="F657" s="30" t="s">
        <v>186</v>
      </c>
      <c r="G657" s="29" t="s">
        <v>206</v>
      </c>
      <c r="H657" s="30" t="s">
        <v>1496</v>
      </c>
      <c r="I657" s="78"/>
      <c r="J657" s="20"/>
      <c r="K657" s="20"/>
      <c r="L657" s="20"/>
      <c r="M657" s="20"/>
      <c r="N657" s="179" t="s">
        <v>502</v>
      </c>
      <c r="O657" s="70">
        <v>0</v>
      </c>
      <c r="P657" s="70">
        <v>0</v>
      </c>
      <c r="Q657" s="70">
        <f t="shared" si="60"/>
        <v>0</v>
      </c>
      <c r="R657" s="70"/>
      <c r="S657" s="67"/>
      <c r="T657" s="2" t="str">
        <f t="shared" si="61"/>
        <v>Nguyễn Minh Trí_11AT2</v>
      </c>
      <c r="U657" s="28">
        <f t="array" ref="U657">IFERROR(VLOOKUP($T657,'Nghi hoc T12'!$H$7:$I$160,2,0),0)</f>
        <v>0</v>
      </c>
      <c r="V657" s="28">
        <f>IFERROR(VLOOKUP($T657,No_HP!$B$2:$C$514,2,0),0)</f>
        <v>0</v>
      </c>
      <c r="W657" s="28">
        <f t="shared" si="62"/>
        <v>0</v>
      </c>
      <c r="X657" s="333">
        <f t="shared" si="63"/>
        <v>0</v>
      </c>
      <c r="Y657" s="333">
        <f t="shared" si="64"/>
        <v>0</v>
      </c>
    </row>
    <row r="658" spans="1:25" s="2" customFormat="1" ht="21.95" customHeight="1">
      <c r="A658" s="82">
        <v>15</v>
      </c>
      <c r="B658" s="91" t="str">
        <f t="shared" si="65"/>
        <v>4A.T</v>
      </c>
      <c r="C658" s="83" t="s">
        <v>362</v>
      </c>
      <c r="D658" s="81" t="s">
        <v>511</v>
      </c>
      <c r="E658" s="48">
        <v>100650</v>
      </c>
      <c r="F658" s="30" t="s">
        <v>1553</v>
      </c>
      <c r="G658" s="29" t="s">
        <v>31</v>
      </c>
      <c r="H658" s="30" t="s">
        <v>1496</v>
      </c>
      <c r="I658" s="78"/>
      <c r="J658" s="20"/>
      <c r="K658" s="20"/>
      <c r="L658" s="20"/>
      <c r="M658" s="20"/>
      <c r="N658" s="179" t="s">
        <v>502</v>
      </c>
      <c r="O658" s="70">
        <v>0</v>
      </c>
      <c r="P658" s="70">
        <v>0</v>
      </c>
      <c r="Q658" s="70">
        <f t="shared" si="60"/>
        <v>0</v>
      </c>
      <c r="R658" s="70"/>
      <c r="S658" s="67"/>
      <c r="T658" s="2" t="str">
        <f t="shared" si="61"/>
        <v>Đào Thụy Nhã Trúc_11AT2</v>
      </c>
      <c r="U658" s="28">
        <f t="array" ref="U658">IFERROR(VLOOKUP($T658,'Nghi hoc T12'!$H$7:$I$160,2,0),0)</f>
        <v>0</v>
      </c>
      <c r="V658" s="28">
        <f>IFERROR(VLOOKUP($T658,No_HP!$B$2:$C$514,2,0),0)</f>
        <v>0</v>
      </c>
      <c r="W658" s="28">
        <f t="shared" si="62"/>
        <v>0</v>
      </c>
      <c r="X658" s="333">
        <f t="shared" si="63"/>
        <v>0</v>
      </c>
      <c r="Y658" s="333">
        <f t="shared" si="64"/>
        <v>0</v>
      </c>
    </row>
    <row r="659" spans="1:25" s="2" customFormat="1" ht="21.95" customHeight="1">
      <c r="A659" s="82">
        <v>16</v>
      </c>
      <c r="B659" s="91" t="str">
        <f t="shared" si="65"/>
        <v>4A.T</v>
      </c>
      <c r="C659" s="83" t="s">
        <v>362</v>
      </c>
      <c r="D659" s="81" t="s">
        <v>511</v>
      </c>
      <c r="E659" s="48">
        <v>100651</v>
      </c>
      <c r="F659" s="30" t="s">
        <v>1554</v>
      </c>
      <c r="G659" s="29" t="s">
        <v>31</v>
      </c>
      <c r="H659" s="30" t="s">
        <v>1494</v>
      </c>
      <c r="I659" s="78"/>
      <c r="J659" s="20"/>
      <c r="K659" s="20"/>
      <c r="L659" s="20"/>
      <c r="M659" s="20"/>
      <c r="N659" s="179" t="s">
        <v>502</v>
      </c>
      <c r="O659" s="70">
        <v>0</v>
      </c>
      <c r="P659" s="70">
        <v>0</v>
      </c>
      <c r="Q659" s="70">
        <f t="shared" si="60"/>
        <v>0</v>
      </c>
      <c r="R659" s="70"/>
      <c r="S659" s="67"/>
      <c r="T659" s="2" t="str">
        <f t="shared" si="61"/>
        <v>Nghiêm Huỳnh Thanh Trúc_11AT1</v>
      </c>
      <c r="U659" s="28">
        <f t="array" ref="U659">IFERROR(VLOOKUP($T659,'Nghi hoc T12'!$H$7:$I$160,2,0),0)</f>
        <v>0</v>
      </c>
      <c r="V659" s="28">
        <f>IFERROR(VLOOKUP($T659,No_HP!$B$2:$C$514,2,0),0)</f>
        <v>0</v>
      </c>
      <c r="W659" s="28">
        <f t="shared" si="62"/>
        <v>0</v>
      </c>
      <c r="X659" s="333">
        <f t="shared" si="63"/>
        <v>0</v>
      </c>
      <c r="Y659" s="333">
        <f t="shared" si="64"/>
        <v>0</v>
      </c>
    </row>
    <row r="660" spans="1:25" s="2" customFormat="1" ht="21.95" customHeight="1">
      <c r="A660" s="82">
        <v>17</v>
      </c>
      <c r="B660" s="91" t="str">
        <f t="shared" si="65"/>
        <v>4A.T</v>
      </c>
      <c r="C660" s="83" t="s">
        <v>362</v>
      </c>
      <c r="D660" s="81" t="s">
        <v>511</v>
      </c>
      <c r="E660" s="48">
        <v>100652</v>
      </c>
      <c r="F660" s="30" t="s">
        <v>1555</v>
      </c>
      <c r="G660" s="29" t="s">
        <v>52</v>
      </c>
      <c r="H660" s="30" t="s">
        <v>1496</v>
      </c>
      <c r="I660" s="78"/>
      <c r="J660" s="20"/>
      <c r="K660" s="20"/>
      <c r="L660" s="20"/>
      <c r="M660" s="20"/>
      <c r="N660" s="179" t="s">
        <v>502</v>
      </c>
      <c r="O660" s="70">
        <v>0</v>
      </c>
      <c r="P660" s="70">
        <v>0</v>
      </c>
      <c r="Q660" s="70">
        <f t="shared" si="60"/>
        <v>0</v>
      </c>
      <c r="R660" s="70"/>
      <c r="S660" s="67"/>
      <c r="T660" s="2" t="str">
        <f t="shared" si="61"/>
        <v>Trần Yến Thanh Tuấn_11AT2</v>
      </c>
      <c r="U660" s="28">
        <f t="array" ref="U660">IFERROR(VLOOKUP($T660,'Nghi hoc T12'!$H$7:$I$160,2,0),0)</f>
        <v>0</v>
      </c>
      <c r="V660" s="28">
        <f>IFERROR(VLOOKUP($T660,No_HP!$B$2:$C$514,2,0),0)</f>
        <v>0</v>
      </c>
      <c r="W660" s="28">
        <f t="shared" si="62"/>
        <v>0</v>
      </c>
      <c r="X660" s="333">
        <f t="shared" si="63"/>
        <v>0</v>
      </c>
      <c r="Y660" s="333">
        <f t="shared" si="64"/>
        <v>0</v>
      </c>
    </row>
    <row r="661" spans="1:25" s="2" customFormat="1" ht="21.95" customHeight="1">
      <c r="A661" s="82">
        <v>18</v>
      </c>
      <c r="B661" s="91" t="str">
        <f t="shared" si="65"/>
        <v>4A.T</v>
      </c>
      <c r="C661" s="83" t="s">
        <v>362</v>
      </c>
      <c r="D661" s="81" t="s">
        <v>511</v>
      </c>
      <c r="E661" s="48">
        <v>100653</v>
      </c>
      <c r="F661" s="30" t="s">
        <v>1556</v>
      </c>
      <c r="G661" s="29" t="s">
        <v>1557</v>
      </c>
      <c r="H661" s="30" t="s">
        <v>1494</v>
      </c>
      <c r="I661" s="78"/>
      <c r="J661" s="20"/>
      <c r="K661" s="20"/>
      <c r="L661" s="20"/>
      <c r="M661" s="20"/>
      <c r="N661" s="179" t="s">
        <v>502</v>
      </c>
      <c r="O661" s="70">
        <v>0</v>
      </c>
      <c r="P661" s="70">
        <v>0</v>
      </c>
      <c r="Q661" s="70">
        <f t="shared" si="60"/>
        <v>0</v>
      </c>
      <c r="R661" s="70"/>
      <c r="S661" s="67"/>
      <c r="T661" s="2" t="str">
        <f t="shared" si="61"/>
        <v>Nguyễn Lê Tỷ Tỷ_11AT1</v>
      </c>
      <c r="U661" s="28">
        <f t="array" ref="U661">IFERROR(VLOOKUP($T661,'Nghi hoc T12'!$H$7:$I$160,2,0),0)</f>
        <v>0</v>
      </c>
      <c r="V661" s="28">
        <f>IFERROR(VLOOKUP($T661,No_HP!$B$2:$C$514,2,0),0)</f>
        <v>0</v>
      </c>
      <c r="W661" s="28">
        <f t="shared" si="62"/>
        <v>0</v>
      </c>
      <c r="X661" s="333">
        <f t="shared" si="63"/>
        <v>0</v>
      </c>
      <c r="Y661" s="333">
        <f t="shared" si="64"/>
        <v>0</v>
      </c>
    </row>
    <row r="662" spans="1:25" s="2" customFormat="1" ht="21.95" customHeight="1">
      <c r="A662" s="82">
        <v>19</v>
      </c>
      <c r="B662" s="91" t="str">
        <f t="shared" si="65"/>
        <v>4A.T</v>
      </c>
      <c r="C662" s="83" t="s">
        <v>362</v>
      </c>
      <c r="D662" s="81" t="s">
        <v>511</v>
      </c>
      <c r="E662" s="48">
        <v>100654</v>
      </c>
      <c r="F662" s="30" t="s">
        <v>1558</v>
      </c>
      <c r="G662" s="29" t="s">
        <v>188</v>
      </c>
      <c r="H662" s="30" t="s">
        <v>1494</v>
      </c>
      <c r="I662" s="78"/>
      <c r="J662" s="20"/>
      <c r="K662" s="20"/>
      <c r="L662" s="20"/>
      <c r="M662" s="20"/>
      <c r="N662" s="179" t="s">
        <v>502</v>
      </c>
      <c r="O662" s="70">
        <v>0</v>
      </c>
      <c r="P662" s="70">
        <v>0</v>
      </c>
      <c r="Q662" s="70">
        <f t="shared" si="60"/>
        <v>0</v>
      </c>
      <c r="R662" s="70"/>
      <c r="S662" s="67"/>
      <c r="T662" s="2" t="str">
        <f t="shared" si="61"/>
        <v>Lê Mai Thảo Uyên_11AT1</v>
      </c>
      <c r="U662" s="28">
        <f t="array" ref="U662">IFERROR(VLOOKUP($T662,'Nghi hoc T12'!$H$7:$I$160,2,0),0)</f>
        <v>0</v>
      </c>
      <c r="V662" s="28">
        <f>IFERROR(VLOOKUP($T662,No_HP!$B$2:$C$514,2,0),0)</f>
        <v>0</v>
      </c>
      <c r="W662" s="28">
        <f t="shared" si="62"/>
        <v>0</v>
      </c>
      <c r="X662" s="333">
        <f t="shared" si="63"/>
        <v>0</v>
      </c>
      <c r="Y662" s="333">
        <f t="shared" si="64"/>
        <v>0</v>
      </c>
    </row>
    <row r="663" spans="1:25" s="2" customFormat="1" ht="21.95" customHeight="1">
      <c r="A663" s="82">
        <v>20</v>
      </c>
      <c r="B663" s="91" t="str">
        <f t="shared" si="65"/>
        <v>4A.T</v>
      </c>
      <c r="C663" s="83" t="s">
        <v>362</v>
      </c>
      <c r="D663" s="81" t="s">
        <v>511</v>
      </c>
      <c r="E663" s="48">
        <v>100655</v>
      </c>
      <c r="F663" s="30" t="s">
        <v>1559</v>
      </c>
      <c r="G663" s="29" t="s">
        <v>33</v>
      </c>
      <c r="H663" s="30" t="s">
        <v>1496</v>
      </c>
      <c r="I663" s="78"/>
      <c r="J663" s="20"/>
      <c r="K663" s="20"/>
      <c r="L663" s="20"/>
      <c r="M663" s="20"/>
      <c r="N663" s="179" t="s">
        <v>502</v>
      </c>
      <c r="O663" s="70">
        <v>0</v>
      </c>
      <c r="P663" s="70">
        <v>0</v>
      </c>
      <c r="Q663" s="70">
        <f t="shared" si="60"/>
        <v>0</v>
      </c>
      <c r="R663" s="70"/>
      <c r="S663" s="67"/>
      <c r="T663" s="2" t="str">
        <f t="shared" si="61"/>
        <v>Phan Đình Việt_11AT2</v>
      </c>
      <c r="U663" s="28">
        <f t="array" ref="U663">IFERROR(VLOOKUP($T663,'Nghi hoc T12'!$H$7:$I$160,2,0),0)</f>
        <v>0</v>
      </c>
      <c r="V663" s="28">
        <f>IFERROR(VLOOKUP($T663,No_HP!$B$2:$C$514,2,0),0)</f>
        <v>0</v>
      </c>
      <c r="W663" s="28">
        <f t="shared" si="62"/>
        <v>0</v>
      </c>
      <c r="X663" s="333">
        <f t="shared" si="63"/>
        <v>0</v>
      </c>
      <c r="Y663" s="333">
        <f t="shared" si="64"/>
        <v>0</v>
      </c>
    </row>
    <row r="664" spans="1:25" s="2" customFormat="1" ht="21.95" customHeight="1">
      <c r="A664" s="82">
        <v>21</v>
      </c>
      <c r="B664" s="91" t="str">
        <f t="shared" si="65"/>
        <v>4A.T</v>
      </c>
      <c r="C664" s="83" t="s">
        <v>362</v>
      </c>
      <c r="D664" s="81" t="s">
        <v>511</v>
      </c>
      <c r="E664" s="48">
        <v>100656</v>
      </c>
      <c r="F664" s="30" t="s">
        <v>1560</v>
      </c>
      <c r="G664" s="29" t="s">
        <v>1561</v>
      </c>
      <c r="H664" s="30" t="s">
        <v>1496</v>
      </c>
      <c r="I664" s="78"/>
      <c r="J664" s="20"/>
      <c r="K664" s="20"/>
      <c r="L664" s="20"/>
      <c r="M664" s="20"/>
      <c r="N664" s="179" t="s">
        <v>502</v>
      </c>
      <c r="O664" s="70">
        <v>0</v>
      </c>
      <c r="P664" s="70">
        <v>0</v>
      </c>
      <c r="Q664" s="70">
        <f t="shared" si="60"/>
        <v>0</v>
      </c>
      <c r="R664" s="70"/>
      <c r="S664" s="67"/>
      <c r="T664" s="2" t="str">
        <f t="shared" si="61"/>
        <v>Trịnh Khắc Vu_11AT2</v>
      </c>
      <c r="U664" s="28">
        <f t="array" ref="U664">IFERROR(VLOOKUP($T664,'Nghi hoc T12'!$H$7:$I$160,2,0),0)</f>
        <v>0</v>
      </c>
      <c r="V664" s="28">
        <f>IFERROR(VLOOKUP($T664,No_HP!$B$2:$C$514,2,0),0)</f>
        <v>0</v>
      </c>
      <c r="W664" s="28">
        <f t="shared" si="62"/>
        <v>0</v>
      </c>
      <c r="X664" s="333">
        <f t="shared" si="63"/>
        <v>0</v>
      </c>
      <c r="Y664" s="333">
        <f t="shared" si="64"/>
        <v>0</v>
      </c>
    </row>
    <row r="665" spans="1:25" s="2" customFormat="1" ht="21.95" customHeight="1">
      <c r="A665" s="82">
        <v>22</v>
      </c>
      <c r="B665" s="91" t="str">
        <f t="shared" si="65"/>
        <v>4A.T</v>
      </c>
      <c r="C665" s="83" t="s">
        <v>362</v>
      </c>
      <c r="D665" s="81" t="s">
        <v>511</v>
      </c>
      <c r="E665" s="48">
        <v>100657</v>
      </c>
      <c r="F665" s="30" t="s">
        <v>1562</v>
      </c>
      <c r="G665" s="29" t="s">
        <v>34</v>
      </c>
      <c r="H665" s="30" t="s">
        <v>1496</v>
      </c>
      <c r="I665" s="78"/>
      <c r="J665" s="20"/>
      <c r="K665" s="20"/>
      <c r="L665" s="20"/>
      <c r="M665" s="20"/>
      <c r="N665" s="179" t="s">
        <v>502</v>
      </c>
      <c r="O665" s="70">
        <v>0</v>
      </c>
      <c r="P665" s="70">
        <v>0</v>
      </c>
      <c r="Q665" s="70">
        <f t="shared" si="60"/>
        <v>0</v>
      </c>
      <c r="R665" s="70"/>
      <c r="S665" s="67"/>
      <c r="T665" s="2" t="str">
        <f t="shared" si="61"/>
        <v>Phan Thị Tường Vy_11AT2</v>
      </c>
      <c r="U665" s="28">
        <f t="array" ref="U665">IFERROR(VLOOKUP($T665,'Nghi hoc T12'!$H$7:$I$160,2,0),0)</f>
        <v>0</v>
      </c>
      <c r="V665" s="28">
        <f>IFERROR(VLOOKUP($T665,No_HP!$B$2:$C$514,2,0),0)</f>
        <v>0</v>
      </c>
      <c r="W665" s="28">
        <f t="shared" si="62"/>
        <v>0</v>
      </c>
      <c r="X665" s="333">
        <f t="shared" si="63"/>
        <v>0</v>
      </c>
      <c r="Y665" s="333">
        <f t="shared" si="64"/>
        <v>0</v>
      </c>
    </row>
    <row r="666" spans="1:25" s="2" customFormat="1" ht="21.95" customHeight="1">
      <c r="A666" s="82">
        <v>23</v>
      </c>
      <c r="B666" s="91" t="str">
        <f t="shared" si="65"/>
        <v>4A.T</v>
      </c>
      <c r="C666" s="83" t="s">
        <v>362</v>
      </c>
      <c r="D666" s="81" t="s">
        <v>511</v>
      </c>
      <c r="E666" s="48">
        <v>100658</v>
      </c>
      <c r="F666" s="30" t="s">
        <v>482</v>
      </c>
      <c r="G666" s="29" t="s">
        <v>34</v>
      </c>
      <c r="H666" s="30" t="s">
        <v>1494</v>
      </c>
      <c r="I666" s="78"/>
      <c r="J666" s="20"/>
      <c r="K666" s="20"/>
      <c r="L666" s="20"/>
      <c r="M666" s="20"/>
      <c r="N666" s="179" t="s">
        <v>502</v>
      </c>
      <c r="O666" s="70">
        <v>0</v>
      </c>
      <c r="P666" s="70">
        <v>0</v>
      </c>
      <c r="Q666" s="70">
        <f t="shared" si="60"/>
        <v>0</v>
      </c>
      <c r="R666" s="70"/>
      <c r="S666" s="67"/>
      <c r="T666" s="2" t="str">
        <f t="shared" si="61"/>
        <v>Trần Nguyễn Phương Vy_11AT1</v>
      </c>
      <c r="U666" s="28">
        <f t="array" ref="U666">IFERROR(VLOOKUP($T666,'Nghi hoc T12'!$H$7:$I$160,2,0),0)</f>
        <v>0</v>
      </c>
      <c r="V666" s="28">
        <f>IFERROR(VLOOKUP($T666,No_HP!$B$2:$C$514,2,0),0)</f>
        <v>0</v>
      </c>
      <c r="W666" s="28">
        <f t="shared" si="62"/>
        <v>0</v>
      </c>
      <c r="X666" s="333">
        <f t="shared" si="63"/>
        <v>0</v>
      </c>
      <c r="Y666" s="333">
        <f t="shared" si="64"/>
        <v>0</v>
      </c>
    </row>
    <row r="667" spans="1:25" s="2" customFormat="1" ht="21.95" customHeight="1">
      <c r="A667" s="82">
        <v>24</v>
      </c>
      <c r="B667" s="91" t="str">
        <f t="shared" si="65"/>
        <v>4A.T</v>
      </c>
      <c r="C667" s="83" t="s">
        <v>362</v>
      </c>
      <c r="D667" s="81" t="s">
        <v>511</v>
      </c>
      <c r="E667" s="48">
        <v>100659</v>
      </c>
      <c r="F667" s="30" t="s">
        <v>1563</v>
      </c>
      <c r="G667" s="29" t="s">
        <v>75</v>
      </c>
      <c r="H667" s="30" t="s">
        <v>1494</v>
      </c>
      <c r="I667" s="78"/>
      <c r="J667" s="20"/>
      <c r="K667" s="20"/>
      <c r="L667" s="20"/>
      <c r="M667" s="20"/>
      <c r="N667" s="179" t="s">
        <v>502</v>
      </c>
      <c r="O667" s="70">
        <v>0</v>
      </c>
      <c r="P667" s="70">
        <v>0</v>
      </c>
      <c r="Q667" s="70">
        <f t="shared" si="60"/>
        <v>0</v>
      </c>
      <c r="R667" s="70"/>
      <c r="S667" s="67"/>
      <c r="T667" s="2" t="str">
        <f t="shared" si="61"/>
        <v>Trương Thị Như Ý_11AT1</v>
      </c>
      <c r="U667" s="28">
        <f t="array" ref="U667">IFERROR(VLOOKUP($T667,'Nghi hoc T12'!$H$7:$I$160,2,0),0)</f>
        <v>0</v>
      </c>
      <c r="V667" s="28">
        <f>IFERROR(VLOOKUP($T667,No_HP!$B$2:$C$514,2,0),0)</f>
        <v>0</v>
      </c>
      <c r="W667" s="28">
        <f t="shared" si="62"/>
        <v>0</v>
      </c>
      <c r="X667" s="333">
        <f t="shared" si="63"/>
        <v>0</v>
      </c>
      <c r="Y667" s="333">
        <f t="shared" si="64"/>
        <v>0</v>
      </c>
    </row>
    <row r="668" spans="1:25" s="2" customFormat="1" ht="21.95" customHeight="1">
      <c r="A668" s="200">
        <v>1</v>
      </c>
      <c r="B668" s="91" t="str">
        <f t="shared" si="65"/>
        <v>5A.T</v>
      </c>
      <c r="C668" s="185" t="s">
        <v>363</v>
      </c>
      <c r="D668" s="186" t="s">
        <v>512</v>
      </c>
      <c r="E668" s="187">
        <v>100660</v>
      </c>
      <c r="F668" s="188" t="s">
        <v>1564</v>
      </c>
      <c r="G668" s="189" t="s">
        <v>63</v>
      </c>
      <c r="H668" s="188" t="s">
        <v>1565</v>
      </c>
      <c r="I668" s="190"/>
      <c r="J668" s="191"/>
      <c r="K668" s="191"/>
      <c r="L668" s="191"/>
      <c r="M668" s="191"/>
      <c r="N668" s="179" t="s">
        <v>502</v>
      </c>
      <c r="O668" s="70">
        <v>0</v>
      </c>
      <c r="P668" s="70">
        <v>0</v>
      </c>
      <c r="Q668" s="70">
        <f t="shared" si="60"/>
        <v>0</v>
      </c>
      <c r="R668" s="70"/>
      <c r="S668" s="67"/>
      <c r="T668" s="2" t="str">
        <f t="shared" si="61"/>
        <v>Lê Nguyễn Trường An_11AT3</v>
      </c>
      <c r="U668" s="28">
        <f t="array" ref="U668">IFERROR(VLOOKUP($T668,'Nghi hoc T12'!$H$7:$I$160,2,0),0)</f>
        <v>0</v>
      </c>
      <c r="V668" s="28">
        <f>IFERROR(VLOOKUP($T668,No_HP!$B$2:$C$514,2,0),0)</f>
        <v>0</v>
      </c>
      <c r="W668" s="28">
        <f t="shared" si="62"/>
        <v>0</v>
      </c>
      <c r="X668" s="333">
        <f t="shared" si="63"/>
        <v>0</v>
      </c>
      <c r="Y668" s="333">
        <f t="shared" si="64"/>
        <v>0</v>
      </c>
    </row>
    <row r="669" spans="1:25" s="2" customFormat="1" ht="21.95" customHeight="1">
      <c r="A669" s="82">
        <v>2</v>
      </c>
      <c r="B669" s="91" t="str">
        <f t="shared" si="65"/>
        <v>5A.T</v>
      </c>
      <c r="C669" s="83" t="s">
        <v>363</v>
      </c>
      <c r="D669" s="81" t="s">
        <v>512</v>
      </c>
      <c r="E669" s="48">
        <v>100661</v>
      </c>
      <c r="F669" s="30" t="s">
        <v>1566</v>
      </c>
      <c r="G669" s="29" t="s">
        <v>63</v>
      </c>
      <c r="H669" s="30" t="s">
        <v>1567</v>
      </c>
      <c r="I669" s="78"/>
      <c r="J669" s="20"/>
      <c r="K669" s="20"/>
      <c r="L669" s="20"/>
      <c r="M669" s="20"/>
      <c r="N669" s="179" t="s">
        <v>502</v>
      </c>
      <c r="O669" s="70">
        <v>0</v>
      </c>
      <c r="P669" s="70">
        <v>0</v>
      </c>
      <c r="Q669" s="70">
        <f t="shared" si="60"/>
        <v>0</v>
      </c>
      <c r="R669" s="70"/>
      <c r="S669" s="67"/>
      <c r="T669" s="2" t="str">
        <f t="shared" si="61"/>
        <v>Trịnh Thành An_11AT4</v>
      </c>
      <c r="U669" s="28">
        <f t="array" ref="U669">IFERROR(VLOOKUP($T669,'Nghi hoc T12'!$H$7:$I$160,2,0),0)</f>
        <v>0</v>
      </c>
      <c r="V669" s="28">
        <f>IFERROR(VLOOKUP($T669,No_HP!$B$2:$C$514,2,0),0)</f>
        <v>0</v>
      </c>
      <c r="W669" s="28">
        <f t="shared" si="62"/>
        <v>0</v>
      </c>
      <c r="X669" s="333">
        <f t="shared" si="63"/>
        <v>0</v>
      </c>
      <c r="Y669" s="333">
        <f t="shared" si="64"/>
        <v>0</v>
      </c>
    </row>
    <row r="670" spans="1:25" s="2" customFormat="1" ht="21.95" customHeight="1">
      <c r="A670" s="82">
        <v>3</v>
      </c>
      <c r="B670" s="91" t="str">
        <f t="shared" si="65"/>
        <v>5A.T</v>
      </c>
      <c r="C670" s="83" t="s">
        <v>363</v>
      </c>
      <c r="D670" s="81" t="s">
        <v>512</v>
      </c>
      <c r="E670" s="48">
        <v>100662</v>
      </c>
      <c r="F670" s="30" t="s">
        <v>1568</v>
      </c>
      <c r="G670" s="29" t="s">
        <v>5</v>
      </c>
      <c r="H670" s="30" t="s">
        <v>1567</v>
      </c>
      <c r="I670" s="78"/>
      <c r="J670" s="20"/>
      <c r="K670" s="20"/>
      <c r="L670" s="20"/>
      <c r="M670" s="20"/>
      <c r="N670" s="179" t="s">
        <v>502</v>
      </c>
      <c r="O670" s="70">
        <v>0</v>
      </c>
      <c r="P670" s="70">
        <v>0</v>
      </c>
      <c r="Q670" s="70">
        <f t="shared" si="60"/>
        <v>0</v>
      </c>
      <c r="R670" s="70"/>
      <c r="S670" s="67"/>
      <c r="T670" s="2" t="str">
        <f t="shared" si="61"/>
        <v>Đặng Vân Anh_11AT4</v>
      </c>
      <c r="U670" s="28">
        <f t="array" ref="U670">IFERROR(VLOOKUP($T670,'Nghi hoc T12'!$H$7:$I$160,2,0),0)</f>
        <v>0</v>
      </c>
      <c r="V670" s="28">
        <f>IFERROR(VLOOKUP($T670,No_HP!$B$2:$C$514,2,0),0)</f>
        <v>0</v>
      </c>
      <c r="W670" s="28">
        <f t="shared" si="62"/>
        <v>0</v>
      </c>
      <c r="X670" s="333">
        <f t="shared" si="63"/>
        <v>0</v>
      </c>
      <c r="Y670" s="333">
        <f t="shared" si="64"/>
        <v>0</v>
      </c>
    </row>
    <row r="671" spans="1:25" s="2" customFormat="1" ht="21.95" customHeight="1">
      <c r="A671" s="82">
        <v>4</v>
      </c>
      <c r="B671" s="91" t="str">
        <f t="shared" si="65"/>
        <v>5A.T</v>
      </c>
      <c r="C671" s="83" t="s">
        <v>363</v>
      </c>
      <c r="D671" s="81" t="s">
        <v>512</v>
      </c>
      <c r="E671" s="48">
        <v>100663</v>
      </c>
      <c r="F671" s="30" t="s">
        <v>1569</v>
      </c>
      <c r="G671" s="29" t="s">
        <v>5</v>
      </c>
      <c r="H671" s="30" t="s">
        <v>1567</v>
      </c>
      <c r="I671" s="78"/>
      <c r="J671" s="20"/>
      <c r="K671" s="20"/>
      <c r="L671" s="20"/>
      <c r="M671" s="20"/>
      <c r="N671" s="179" t="s">
        <v>502</v>
      </c>
      <c r="O671" s="70">
        <v>0</v>
      </c>
      <c r="P671" s="70">
        <v>0</v>
      </c>
      <c r="Q671" s="70">
        <f t="shared" si="60"/>
        <v>0</v>
      </c>
      <c r="R671" s="70"/>
      <c r="S671" s="67"/>
      <c r="T671" s="2" t="str">
        <f t="shared" si="61"/>
        <v>Hồ Nguyễn Quốc Anh_11AT4</v>
      </c>
      <c r="U671" s="28">
        <f t="array" ref="U671">IFERROR(VLOOKUP($T671,'Nghi hoc T12'!$H$7:$I$160,2,0),0)</f>
        <v>0</v>
      </c>
      <c r="V671" s="28">
        <f>IFERROR(VLOOKUP($T671,No_HP!$B$2:$C$514,2,0),0)</f>
        <v>0</v>
      </c>
      <c r="W671" s="28">
        <f t="shared" si="62"/>
        <v>0</v>
      </c>
      <c r="X671" s="333">
        <f t="shared" si="63"/>
        <v>0</v>
      </c>
      <c r="Y671" s="333">
        <f t="shared" si="64"/>
        <v>0</v>
      </c>
    </row>
    <row r="672" spans="1:25" s="2" customFormat="1" ht="21.95" customHeight="1">
      <c r="A672" s="82">
        <v>5</v>
      </c>
      <c r="B672" s="91" t="str">
        <f t="shared" si="65"/>
        <v>5A.T</v>
      </c>
      <c r="C672" s="83" t="s">
        <v>363</v>
      </c>
      <c r="D672" s="81" t="s">
        <v>512</v>
      </c>
      <c r="E672" s="48">
        <v>100664</v>
      </c>
      <c r="F672" s="30" t="s">
        <v>1518</v>
      </c>
      <c r="G672" s="29" t="s">
        <v>5</v>
      </c>
      <c r="H672" s="30" t="s">
        <v>1565</v>
      </c>
      <c r="I672" s="78"/>
      <c r="J672" s="20"/>
      <c r="K672" s="20"/>
      <c r="L672" s="20"/>
      <c r="M672" s="20"/>
      <c r="N672" s="179" t="s">
        <v>502</v>
      </c>
      <c r="O672" s="70">
        <v>0</v>
      </c>
      <c r="P672" s="70">
        <v>0</v>
      </c>
      <c r="Q672" s="70">
        <f t="shared" si="60"/>
        <v>0</v>
      </c>
      <c r="R672" s="70"/>
      <c r="S672" s="67"/>
      <c r="T672" s="2" t="str">
        <f t="shared" si="61"/>
        <v>Lê Nguyễn Hoàng Anh_11AT3</v>
      </c>
      <c r="U672" s="28">
        <f t="array" ref="U672">IFERROR(VLOOKUP($T672,'Nghi hoc T12'!$H$7:$I$160,2,0),0)</f>
        <v>0</v>
      </c>
      <c r="V672" s="28">
        <f>IFERROR(VLOOKUP($T672,No_HP!$B$2:$C$514,2,0),0)</f>
        <v>0</v>
      </c>
      <c r="W672" s="28">
        <f t="shared" si="62"/>
        <v>0</v>
      </c>
      <c r="X672" s="333">
        <f t="shared" si="63"/>
        <v>0</v>
      </c>
      <c r="Y672" s="333">
        <f t="shared" si="64"/>
        <v>0</v>
      </c>
    </row>
    <row r="673" spans="1:25" s="2" customFormat="1" ht="21.95" customHeight="1">
      <c r="A673" s="82">
        <v>6</v>
      </c>
      <c r="B673" s="91" t="str">
        <f t="shared" si="65"/>
        <v>5A.T</v>
      </c>
      <c r="C673" s="83" t="s">
        <v>363</v>
      </c>
      <c r="D673" s="81" t="s">
        <v>512</v>
      </c>
      <c r="E673" s="48">
        <v>100665</v>
      </c>
      <c r="F673" s="30" t="s">
        <v>1570</v>
      </c>
      <c r="G673" s="29" t="s">
        <v>5</v>
      </c>
      <c r="H673" s="30" t="s">
        <v>1567</v>
      </c>
      <c r="I673" s="78"/>
      <c r="J673" s="20"/>
      <c r="K673" s="20"/>
      <c r="L673" s="20"/>
      <c r="M673" s="20"/>
      <c r="N673" s="179" t="s">
        <v>502</v>
      </c>
      <c r="O673" s="70">
        <v>0</v>
      </c>
      <c r="P673" s="70">
        <v>0</v>
      </c>
      <c r="Q673" s="70">
        <f t="shared" si="60"/>
        <v>0</v>
      </c>
      <c r="R673" s="70"/>
      <c r="S673" s="67"/>
      <c r="T673" s="2" t="str">
        <f t="shared" si="61"/>
        <v>Lê Trương Thị Quỳnh Anh_11AT4</v>
      </c>
      <c r="U673" s="28">
        <f t="array" ref="U673">IFERROR(VLOOKUP($T673,'Nghi hoc T12'!$H$7:$I$160,2,0),0)</f>
        <v>0</v>
      </c>
      <c r="V673" s="28">
        <f>IFERROR(VLOOKUP($T673,No_HP!$B$2:$C$514,2,0),0)</f>
        <v>0</v>
      </c>
      <c r="W673" s="28">
        <f t="shared" si="62"/>
        <v>0</v>
      </c>
      <c r="X673" s="333">
        <f t="shared" si="63"/>
        <v>0</v>
      </c>
      <c r="Y673" s="333">
        <f t="shared" si="64"/>
        <v>0</v>
      </c>
    </row>
    <row r="674" spans="1:25" s="2" customFormat="1" ht="21.95" customHeight="1">
      <c r="A674" s="82">
        <v>7</v>
      </c>
      <c r="B674" s="91" t="str">
        <f t="shared" si="65"/>
        <v>5A.T</v>
      </c>
      <c r="C674" s="83" t="s">
        <v>363</v>
      </c>
      <c r="D674" s="81" t="s">
        <v>512</v>
      </c>
      <c r="E674" s="48">
        <v>100666</v>
      </c>
      <c r="F674" s="30" t="s">
        <v>41</v>
      </c>
      <c r="G674" s="29" t="s">
        <v>5</v>
      </c>
      <c r="H674" s="30" t="s">
        <v>1565</v>
      </c>
      <c r="I674" s="78"/>
      <c r="J674" s="20"/>
      <c r="K674" s="20"/>
      <c r="L674" s="20"/>
      <c r="M674" s="20"/>
      <c r="N674" s="179" t="s">
        <v>502</v>
      </c>
      <c r="O674" s="70">
        <v>0</v>
      </c>
      <c r="P674" s="70">
        <v>0</v>
      </c>
      <c r="Q674" s="70">
        <f t="shared" si="60"/>
        <v>0</v>
      </c>
      <c r="R674" s="70"/>
      <c r="S674" s="67"/>
      <c r="T674" s="2" t="str">
        <f t="shared" si="61"/>
        <v>Nguyễn Thị Hồng Anh_11AT3</v>
      </c>
      <c r="U674" s="28">
        <f t="array" ref="U674">IFERROR(VLOOKUP($T674,'Nghi hoc T12'!$H$7:$I$160,2,0),0)</f>
        <v>0</v>
      </c>
      <c r="V674" s="28">
        <f>IFERROR(VLOOKUP($T674,No_HP!$B$2:$C$514,2,0),0)</f>
        <v>0</v>
      </c>
      <c r="W674" s="28">
        <f t="shared" si="62"/>
        <v>0</v>
      </c>
      <c r="X674" s="333">
        <f t="shared" si="63"/>
        <v>0</v>
      </c>
      <c r="Y674" s="333">
        <f t="shared" si="64"/>
        <v>0</v>
      </c>
    </row>
    <row r="675" spans="1:25" s="2" customFormat="1" ht="21.95" customHeight="1">
      <c r="A675" s="82">
        <v>8</v>
      </c>
      <c r="B675" s="91" t="str">
        <f t="shared" si="65"/>
        <v>5A.T</v>
      </c>
      <c r="C675" s="83" t="s">
        <v>363</v>
      </c>
      <c r="D675" s="81" t="s">
        <v>512</v>
      </c>
      <c r="E675" s="48">
        <v>100667</v>
      </c>
      <c r="F675" s="30" t="s">
        <v>315</v>
      </c>
      <c r="G675" s="29" t="s">
        <v>5</v>
      </c>
      <c r="H675" s="30" t="s">
        <v>1565</v>
      </c>
      <c r="I675" s="78"/>
      <c r="J675" s="20"/>
      <c r="K675" s="20"/>
      <c r="L675" s="20"/>
      <c r="M675" s="20"/>
      <c r="N675" s="179" t="s">
        <v>502</v>
      </c>
      <c r="O675" s="70">
        <v>0</v>
      </c>
      <c r="P675" s="70">
        <v>0</v>
      </c>
      <c r="Q675" s="70">
        <f t="shared" si="60"/>
        <v>0</v>
      </c>
      <c r="R675" s="70"/>
      <c r="S675" s="67"/>
      <c r="T675" s="2" t="str">
        <f t="shared" si="61"/>
        <v>Nguyễn Tuấn Anh_11AT3</v>
      </c>
      <c r="U675" s="28">
        <f t="array" ref="U675">IFERROR(VLOOKUP($T675,'Nghi hoc T12'!$H$7:$I$160,2,0),0)</f>
        <v>0</v>
      </c>
      <c r="V675" s="28">
        <f>IFERROR(VLOOKUP($T675,No_HP!$B$2:$C$514,2,0),0)</f>
        <v>0</v>
      </c>
      <c r="W675" s="28">
        <f t="shared" si="62"/>
        <v>0</v>
      </c>
      <c r="X675" s="333">
        <f t="shared" si="63"/>
        <v>0</v>
      </c>
      <c r="Y675" s="333">
        <f t="shared" si="64"/>
        <v>0</v>
      </c>
    </row>
    <row r="676" spans="1:25" s="2" customFormat="1" ht="21.95" customHeight="1">
      <c r="A676" s="82">
        <v>9</v>
      </c>
      <c r="B676" s="91" t="str">
        <f t="shared" si="65"/>
        <v>5A.T</v>
      </c>
      <c r="C676" s="83" t="s">
        <v>363</v>
      </c>
      <c r="D676" s="81" t="s">
        <v>512</v>
      </c>
      <c r="E676" s="48">
        <v>100668</v>
      </c>
      <c r="F676" s="30" t="s">
        <v>1571</v>
      </c>
      <c r="G676" s="29" t="s">
        <v>5</v>
      </c>
      <c r="H676" s="30" t="s">
        <v>1565</v>
      </c>
      <c r="I676" s="78"/>
      <c r="J676" s="20"/>
      <c r="K676" s="20"/>
      <c r="L676" s="20"/>
      <c r="M676" s="20"/>
      <c r="N676" s="179" t="s">
        <v>502</v>
      </c>
      <c r="O676" s="70">
        <v>0</v>
      </c>
      <c r="P676" s="70">
        <v>0</v>
      </c>
      <c r="Q676" s="70">
        <f t="shared" si="60"/>
        <v>0</v>
      </c>
      <c r="R676" s="70"/>
      <c r="S676" s="67"/>
      <c r="T676" s="2" t="str">
        <f t="shared" si="61"/>
        <v>Phạm Nguyễn Quỳnh Anh_11AT3</v>
      </c>
      <c r="U676" s="28">
        <f t="array" ref="U676">IFERROR(VLOOKUP($T676,'Nghi hoc T12'!$H$7:$I$160,2,0),0)</f>
        <v>0</v>
      </c>
      <c r="V676" s="28">
        <f>IFERROR(VLOOKUP($T676,No_HP!$B$2:$C$514,2,0),0)</f>
        <v>0</v>
      </c>
      <c r="W676" s="28">
        <f t="shared" si="62"/>
        <v>0</v>
      </c>
      <c r="X676" s="333">
        <f t="shared" si="63"/>
        <v>0</v>
      </c>
      <c r="Y676" s="333">
        <f t="shared" si="64"/>
        <v>0</v>
      </c>
    </row>
    <row r="677" spans="1:25" s="2" customFormat="1" ht="21.95" customHeight="1">
      <c r="A677" s="82">
        <v>10</v>
      </c>
      <c r="B677" s="91" t="str">
        <f t="shared" si="65"/>
        <v>5A.T</v>
      </c>
      <c r="C677" s="83" t="s">
        <v>363</v>
      </c>
      <c r="D677" s="81" t="s">
        <v>512</v>
      </c>
      <c r="E677" s="48">
        <v>100669</v>
      </c>
      <c r="F677" s="30" t="s">
        <v>1572</v>
      </c>
      <c r="G677" s="29" t="s">
        <v>5</v>
      </c>
      <c r="H677" s="30" t="s">
        <v>1567</v>
      </c>
      <c r="I677" s="78"/>
      <c r="J677" s="20"/>
      <c r="K677" s="20"/>
      <c r="L677" s="20"/>
      <c r="M677" s="20"/>
      <c r="N677" s="179" t="s">
        <v>502</v>
      </c>
      <c r="O677" s="70">
        <v>0</v>
      </c>
      <c r="P677" s="70">
        <v>0</v>
      </c>
      <c r="Q677" s="70">
        <f t="shared" si="60"/>
        <v>0</v>
      </c>
      <c r="R677" s="70"/>
      <c r="S677" s="67"/>
      <c r="T677" s="2" t="str">
        <f t="shared" si="61"/>
        <v>Trịnh Duy Đức Anh_11AT4</v>
      </c>
      <c r="U677" s="28">
        <f t="array" ref="U677">IFERROR(VLOOKUP($T677,'Nghi hoc T12'!$H$7:$I$160,2,0),0)</f>
        <v>0</v>
      </c>
      <c r="V677" s="28">
        <f>IFERROR(VLOOKUP($T677,No_HP!$B$2:$C$514,2,0),0)</f>
        <v>0</v>
      </c>
      <c r="W677" s="28">
        <f t="shared" si="62"/>
        <v>0</v>
      </c>
      <c r="X677" s="333">
        <f t="shared" si="63"/>
        <v>0</v>
      </c>
      <c r="Y677" s="333">
        <f t="shared" si="64"/>
        <v>0</v>
      </c>
    </row>
    <row r="678" spans="1:25" s="2" customFormat="1" ht="21.95" customHeight="1">
      <c r="A678" s="82">
        <v>11</v>
      </c>
      <c r="B678" s="91" t="str">
        <f t="shared" si="65"/>
        <v>5A.T</v>
      </c>
      <c r="C678" s="83" t="s">
        <v>363</v>
      </c>
      <c r="D678" s="81" t="s">
        <v>512</v>
      </c>
      <c r="E678" s="48">
        <v>100670</v>
      </c>
      <c r="F678" s="30" t="s">
        <v>1573</v>
      </c>
      <c r="G678" s="29" t="s">
        <v>108</v>
      </c>
      <c r="H678" s="30" t="s">
        <v>1565</v>
      </c>
      <c r="I678" s="78"/>
      <c r="J678" s="20"/>
      <c r="K678" s="20"/>
      <c r="L678" s="20"/>
      <c r="M678" s="20"/>
      <c r="N678" s="179" t="s">
        <v>502</v>
      </c>
      <c r="O678" s="70">
        <v>0</v>
      </c>
      <c r="P678" s="70">
        <v>0</v>
      </c>
      <c r="Q678" s="70">
        <f t="shared" si="60"/>
        <v>0</v>
      </c>
      <c r="R678" s="70"/>
      <c r="S678" s="67"/>
      <c r="T678" s="2" t="str">
        <f t="shared" si="61"/>
        <v>Lê Dương Ân_11AT3</v>
      </c>
      <c r="U678" s="28">
        <f t="array" ref="U678">IFERROR(VLOOKUP($T678,'Nghi hoc T12'!$H$7:$I$160,2,0),0)</f>
        <v>0</v>
      </c>
      <c r="V678" s="28">
        <f>IFERROR(VLOOKUP($T678,No_HP!$B$2:$C$514,2,0),0)</f>
        <v>0</v>
      </c>
      <c r="W678" s="28">
        <f t="shared" si="62"/>
        <v>0</v>
      </c>
      <c r="X678" s="333">
        <f t="shared" si="63"/>
        <v>0</v>
      </c>
      <c r="Y678" s="333">
        <f t="shared" si="64"/>
        <v>0</v>
      </c>
    </row>
    <row r="679" spans="1:25" s="2" customFormat="1" ht="21.95" customHeight="1">
      <c r="A679" s="82">
        <v>12</v>
      </c>
      <c r="B679" s="91" t="str">
        <f t="shared" si="65"/>
        <v>5A.T</v>
      </c>
      <c r="C679" s="83" t="s">
        <v>363</v>
      </c>
      <c r="D679" s="81" t="s">
        <v>512</v>
      </c>
      <c r="E679" s="48">
        <v>100671</v>
      </c>
      <c r="F679" s="30" t="s">
        <v>301</v>
      </c>
      <c r="G679" s="29" t="s">
        <v>83</v>
      </c>
      <c r="H679" s="30" t="s">
        <v>1567</v>
      </c>
      <c r="I679" s="78"/>
      <c r="J679" s="20"/>
      <c r="K679" s="20"/>
      <c r="L679" s="20"/>
      <c r="M679" s="20"/>
      <c r="N679" s="179" t="s">
        <v>502</v>
      </c>
      <c r="O679" s="70">
        <v>0</v>
      </c>
      <c r="P679" s="70">
        <v>0</v>
      </c>
      <c r="Q679" s="70">
        <f t="shared" si="60"/>
        <v>0</v>
      </c>
      <c r="R679" s="70"/>
      <c r="S679" s="67"/>
      <c r="T679" s="2" t="str">
        <f t="shared" si="61"/>
        <v>Nguyễn Hoài Bảo_11AT4</v>
      </c>
      <c r="U679" s="28">
        <f t="array" ref="U679">IFERROR(VLOOKUP($T679,'Nghi hoc T12'!$H$7:$I$160,2,0),0)</f>
        <v>0</v>
      </c>
      <c r="V679" s="28">
        <f>IFERROR(VLOOKUP($T679,No_HP!$B$2:$C$514,2,0),0)</f>
        <v>0</v>
      </c>
      <c r="W679" s="28">
        <f t="shared" si="62"/>
        <v>0</v>
      </c>
      <c r="X679" s="333">
        <f t="shared" si="63"/>
        <v>0</v>
      </c>
      <c r="Y679" s="333">
        <f t="shared" si="64"/>
        <v>0</v>
      </c>
    </row>
    <row r="680" spans="1:25" s="2" customFormat="1" ht="21.95" customHeight="1">
      <c r="A680" s="82">
        <v>13</v>
      </c>
      <c r="B680" s="91" t="str">
        <f t="shared" si="65"/>
        <v>5A.T</v>
      </c>
      <c r="C680" s="83" t="s">
        <v>363</v>
      </c>
      <c r="D680" s="81" t="s">
        <v>512</v>
      </c>
      <c r="E680" s="48">
        <v>100672</v>
      </c>
      <c r="F680" s="30" t="s">
        <v>1574</v>
      </c>
      <c r="G680" s="29" t="s">
        <v>83</v>
      </c>
      <c r="H680" s="30" t="s">
        <v>1565</v>
      </c>
      <c r="I680" s="78"/>
      <c r="J680" s="20"/>
      <c r="K680" s="20"/>
      <c r="L680" s="20"/>
      <c r="M680" s="20"/>
      <c r="N680" s="179" t="s">
        <v>502</v>
      </c>
      <c r="O680" s="70">
        <v>0</v>
      </c>
      <c r="P680" s="70">
        <v>0</v>
      </c>
      <c r="Q680" s="70">
        <f t="shared" si="60"/>
        <v>0</v>
      </c>
      <c r="R680" s="70"/>
      <c r="S680" s="67"/>
      <c r="T680" s="2" t="str">
        <f t="shared" si="61"/>
        <v>Phan Gia Bảo_11AT3</v>
      </c>
      <c r="U680" s="28">
        <f t="array" ref="U680">IFERROR(VLOOKUP($T680,'Nghi hoc T12'!$H$7:$I$160,2,0),0)</f>
        <v>0</v>
      </c>
      <c r="V680" s="28">
        <f>IFERROR(VLOOKUP($T680,No_HP!$B$2:$C$514,2,0),0)</f>
        <v>0</v>
      </c>
      <c r="W680" s="28">
        <f t="shared" si="62"/>
        <v>0</v>
      </c>
      <c r="X680" s="333">
        <f t="shared" si="63"/>
        <v>0</v>
      </c>
      <c r="Y680" s="333">
        <f t="shared" si="64"/>
        <v>0</v>
      </c>
    </row>
    <row r="681" spans="1:25" s="2" customFormat="1" ht="21.95" customHeight="1">
      <c r="A681" s="82">
        <v>14</v>
      </c>
      <c r="B681" s="91" t="str">
        <f t="shared" si="65"/>
        <v>5A.T</v>
      </c>
      <c r="C681" s="83" t="s">
        <v>363</v>
      </c>
      <c r="D681" s="81" t="s">
        <v>512</v>
      </c>
      <c r="E681" s="48">
        <v>100673</v>
      </c>
      <c r="F681" s="30" t="s">
        <v>222</v>
      </c>
      <c r="G681" s="29" t="s">
        <v>169</v>
      </c>
      <c r="H681" s="30" t="s">
        <v>1567</v>
      </c>
      <c r="I681" s="78"/>
      <c r="J681" s="20"/>
      <c r="K681" s="20"/>
      <c r="L681" s="20"/>
      <c r="M681" s="20"/>
      <c r="N681" s="179" t="s">
        <v>502</v>
      </c>
      <c r="O681" s="70">
        <v>0</v>
      </c>
      <c r="P681" s="70">
        <v>0</v>
      </c>
      <c r="Q681" s="70">
        <f t="shared" si="60"/>
        <v>0</v>
      </c>
      <c r="R681" s="70"/>
      <c r="S681" s="67"/>
      <c r="T681" s="2" t="str">
        <f t="shared" si="61"/>
        <v>Nguyễn Ngọc Bích_11AT4</v>
      </c>
      <c r="U681" s="28">
        <f t="array" ref="U681">IFERROR(VLOOKUP($T681,'Nghi hoc T12'!$H$7:$I$160,2,0),0)</f>
        <v>0</v>
      </c>
      <c r="V681" s="28">
        <f>IFERROR(VLOOKUP($T681,No_HP!$B$2:$C$514,2,0),0)</f>
        <v>0</v>
      </c>
      <c r="W681" s="28">
        <f t="shared" si="62"/>
        <v>0</v>
      </c>
      <c r="X681" s="333">
        <f t="shared" si="63"/>
        <v>0</v>
      </c>
      <c r="Y681" s="333">
        <f t="shared" si="64"/>
        <v>0</v>
      </c>
    </row>
    <row r="682" spans="1:25" s="2" customFormat="1" ht="21.95" customHeight="1">
      <c r="A682" s="82">
        <v>15</v>
      </c>
      <c r="B682" s="91" t="str">
        <f t="shared" si="65"/>
        <v>5A.T</v>
      </c>
      <c r="C682" s="83" t="s">
        <v>363</v>
      </c>
      <c r="D682" s="81" t="s">
        <v>512</v>
      </c>
      <c r="E682" s="48">
        <v>100674</v>
      </c>
      <c r="F682" s="30" t="s">
        <v>1575</v>
      </c>
      <c r="G682" s="29" t="s">
        <v>89</v>
      </c>
      <c r="H682" s="30" t="s">
        <v>1565</v>
      </c>
      <c r="I682" s="78"/>
      <c r="J682" s="20"/>
      <c r="K682" s="20"/>
      <c r="L682" s="20"/>
      <c r="M682" s="20"/>
      <c r="N682" s="179" t="s">
        <v>502</v>
      </c>
      <c r="O682" s="70">
        <v>0</v>
      </c>
      <c r="P682" s="70">
        <v>0</v>
      </c>
      <c r="Q682" s="70">
        <f t="shared" si="60"/>
        <v>0</v>
      </c>
      <c r="R682" s="70"/>
      <c r="S682" s="67"/>
      <c r="T682" s="2" t="str">
        <f t="shared" si="61"/>
        <v>Hoàng Việt Danh_11AT3</v>
      </c>
      <c r="U682" s="28">
        <f t="array" ref="U682">IFERROR(VLOOKUP($T682,'Nghi hoc T12'!$H$7:$I$160,2,0),0)</f>
        <v>0</v>
      </c>
      <c r="V682" s="28">
        <f>IFERROR(VLOOKUP($T682,No_HP!$B$2:$C$514,2,0),0)</f>
        <v>0</v>
      </c>
      <c r="W682" s="28">
        <f t="shared" si="62"/>
        <v>0</v>
      </c>
      <c r="X682" s="333">
        <f t="shared" si="63"/>
        <v>0</v>
      </c>
      <c r="Y682" s="333">
        <f t="shared" si="64"/>
        <v>0</v>
      </c>
    </row>
    <row r="683" spans="1:25" s="2" customFormat="1" ht="21.95" customHeight="1">
      <c r="A683" s="82">
        <v>16</v>
      </c>
      <c r="B683" s="91" t="str">
        <f t="shared" si="65"/>
        <v>5A.T</v>
      </c>
      <c r="C683" s="83" t="s">
        <v>363</v>
      </c>
      <c r="D683" s="81" t="s">
        <v>512</v>
      </c>
      <c r="E683" s="48">
        <v>100675</v>
      </c>
      <c r="F683" s="30" t="s">
        <v>1576</v>
      </c>
      <c r="G683" s="29" t="s">
        <v>65</v>
      </c>
      <c r="H683" s="30" t="s">
        <v>1565</v>
      </c>
      <c r="I683" s="78"/>
      <c r="J683" s="20"/>
      <c r="K683" s="20"/>
      <c r="L683" s="20"/>
      <c r="M683" s="20"/>
      <c r="N683" s="179" t="s">
        <v>502</v>
      </c>
      <c r="O683" s="70">
        <v>0</v>
      </c>
      <c r="P683" s="70">
        <v>0</v>
      </c>
      <c r="Q683" s="70">
        <f t="shared" si="60"/>
        <v>0</v>
      </c>
      <c r="R683" s="70"/>
      <c r="S683" s="67"/>
      <c r="T683" s="2" t="str">
        <f t="shared" si="61"/>
        <v>Mã Quốc Duy_11AT3</v>
      </c>
      <c r="U683" s="28">
        <f t="array" ref="U683">IFERROR(VLOOKUP($T683,'Nghi hoc T12'!$H$7:$I$160,2,0),0)</f>
        <v>0</v>
      </c>
      <c r="V683" s="28">
        <f>IFERROR(VLOOKUP($T683,No_HP!$B$2:$C$514,2,0),0)</f>
        <v>0</v>
      </c>
      <c r="W683" s="28">
        <f t="shared" si="62"/>
        <v>0</v>
      </c>
      <c r="X683" s="333">
        <f t="shared" si="63"/>
        <v>0</v>
      </c>
      <c r="Y683" s="333">
        <f t="shared" si="64"/>
        <v>0</v>
      </c>
    </row>
    <row r="684" spans="1:25" s="2" customFormat="1" ht="21.95" customHeight="1">
      <c r="A684" s="82">
        <v>17</v>
      </c>
      <c r="B684" s="91" t="str">
        <f t="shared" si="65"/>
        <v>5A.T</v>
      </c>
      <c r="C684" s="83" t="s">
        <v>363</v>
      </c>
      <c r="D684" s="81" t="s">
        <v>512</v>
      </c>
      <c r="E684" s="48">
        <v>100676</v>
      </c>
      <c r="F684" s="30" t="s">
        <v>1577</v>
      </c>
      <c r="G684" s="29" t="s">
        <v>53</v>
      </c>
      <c r="H684" s="30" t="s">
        <v>1567</v>
      </c>
      <c r="I684" s="78"/>
      <c r="J684" s="20"/>
      <c r="K684" s="20"/>
      <c r="L684" s="20"/>
      <c r="M684" s="20"/>
      <c r="N684" s="179" t="s">
        <v>502</v>
      </c>
      <c r="O684" s="70">
        <v>0</v>
      </c>
      <c r="P684" s="70">
        <v>0</v>
      </c>
      <c r="Q684" s="70">
        <f t="shared" si="60"/>
        <v>0</v>
      </c>
      <c r="R684" s="70"/>
      <c r="S684" s="67"/>
      <c r="T684" s="2" t="str">
        <f t="shared" si="61"/>
        <v>Nguyễn Bình Dương_11AT4</v>
      </c>
      <c r="U684" s="28">
        <f t="array" ref="U684">IFERROR(VLOOKUP($T684,'Nghi hoc T12'!$H$7:$I$160,2,0),0)</f>
        <v>0</v>
      </c>
      <c r="V684" s="28">
        <f>IFERROR(VLOOKUP($T684,No_HP!$B$2:$C$514,2,0),0)</f>
        <v>0</v>
      </c>
      <c r="W684" s="28">
        <f t="shared" si="62"/>
        <v>0</v>
      </c>
      <c r="X684" s="333">
        <f t="shared" si="63"/>
        <v>0</v>
      </c>
      <c r="Y684" s="333">
        <f t="shared" si="64"/>
        <v>0</v>
      </c>
    </row>
    <row r="685" spans="1:25" s="2" customFormat="1" ht="21.95" customHeight="1">
      <c r="A685" s="82">
        <v>18</v>
      </c>
      <c r="B685" s="91" t="str">
        <f t="shared" si="65"/>
        <v>5A.T</v>
      </c>
      <c r="C685" s="83" t="s">
        <v>363</v>
      </c>
      <c r="D685" s="81" t="s">
        <v>512</v>
      </c>
      <c r="E685" s="48">
        <v>100677</v>
      </c>
      <c r="F685" s="30" t="s">
        <v>424</v>
      </c>
      <c r="G685" s="29" t="s">
        <v>36</v>
      </c>
      <c r="H685" s="30" t="s">
        <v>1567</v>
      </c>
      <c r="I685" s="78"/>
      <c r="J685" s="20"/>
      <c r="K685" s="20"/>
      <c r="L685" s="20"/>
      <c r="M685" s="20"/>
      <c r="N685" s="179" t="s">
        <v>502</v>
      </c>
      <c r="O685" s="70">
        <v>0</v>
      </c>
      <c r="P685" s="70">
        <v>0</v>
      </c>
      <c r="Q685" s="70">
        <f t="shared" si="60"/>
        <v>0</v>
      </c>
      <c r="R685" s="70"/>
      <c r="S685" s="67"/>
      <c r="T685" s="2" t="str">
        <f t="shared" si="61"/>
        <v>Lê Xuân Đức_11AT4</v>
      </c>
      <c r="U685" s="28">
        <f t="array" ref="U685">IFERROR(VLOOKUP($T685,'Nghi hoc T12'!$H$7:$I$160,2,0),0)</f>
        <v>0</v>
      </c>
      <c r="V685" s="28">
        <f>IFERROR(VLOOKUP($T685,No_HP!$B$2:$C$514,2,0),0)</f>
        <v>0</v>
      </c>
      <c r="W685" s="28">
        <f t="shared" si="62"/>
        <v>0</v>
      </c>
      <c r="X685" s="333">
        <f t="shared" si="63"/>
        <v>0</v>
      </c>
      <c r="Y685" s="333">
        <f t="shared" si="64"/>
        <v>0</v>
      </c>
    </row>
    <row r="686" spans="1:25" s="2" customFormat="1" ht="21.95" customHeight="1">
      <c r="A686" s="82">
        <v>19</v>
      </c>
      <c r="B686" s="91" t="str">
        <f t="shared" si="65"/>
        <v>5A.T</v>
      </c>
      <c r="C686" s="83" t="s">
        <v>363</v>
      </c>
      <c r="D686" s="81" t="s">
        <v>512</v>
      </c>
      <c r="E686" s="48">
        <v>100678</v>
      </c>
      <c r="F686" s="30" t="s">
        <v>186</v>
      </c>
      <c r="G686" s="29" t="s">
        <v>36</v>
      </c>
      <c r="H686" s="30" t="s">
        <v>1565</v>
      </c>
      <c r="I686" s="78"/>
      <c r="J686" s="20"/>
      <c r="K686" s="20"/>
      <c r="L686" s="20"/>
      <c r="M686" s="20"/>
      <c r="N686" s="179" t="s">
        <v>502</v>
      </c>
      <c r="O686" s="70">
        <v>0</v>
      </c>
      <c r="P686" s="70">
        <v>0</v>
      </c>
      <c r="Q686" s="70">
        <f t="shared" si="60"/>
        <v>0</v>
      </c>
      <c r="R686" s="70"/>
      <c r="S686" s="67"/>
      <c r="T686" s="2" t="str">
        <f t="shared" si="61"/>
        <v>Nguyễn Minh Đức_11AT3</v>
      </c>
      <c r="U686" s="28">
        <f t="array" ref="U686">IFERROR(VLOOKUP($T686,'Nghi hoc T12'!$H$7:$I$160,2,0),0)</f>
        <v>0</v>
      </c>
      <c r="V686" s="28">
        <f>IFERROR(VLOOKUP($T686,No_HP!$B$2:$C$514,2,0),0)</f>
        <v>0</v>
      </c>
      <c r="W686" s="28">
        <f t="shared" si="62"/>
        <v>0</v>
      </c>
      <c r="X686" s="333">
        <f t="shared" si="63"/>
        <v>0</v>
      </c>
      <c r="Y686" s="333">
        <f t="shared" si="64"/>
        <v>0</v>
      </c>
    </row>
    <row r="687" spans="1:25" s="2" customFormat="1" ht="21.95" customHeight="1">
      <c r="A687" s="82">
        <v>20</v>
      </c>
      <c r="B687" s="91" t="str">
        <f t="shared" si="65"/>
        <v>5A.T</v>
      </c>
      <c r="C687" s="83" t="s">
        <v>363</v>
      </c>
      <c r="D687" s="81" t="s">
        <v>512</v>
      </c>
      <c r="E687" s="48">
        <v>100679</v>
      </c>
      <c r="F687" s="30" t="s">
        <v>1578</v>
      </c>
      <c r="G687" s="29" t="s">
        <v>171</v>
      </c>
      <c r="H687" s="30" t="s">
        <v>1567</v>
      </c>
      <c r="I687" s="78"/>
      <c r="J687" s="20"/>
      <c r="K687" s="20"/>
      <c r="L687" s="20"/>
      <c r="M687" s="20"/>
      <c r="N687" s="179" t="s">
        <v>502</v>
      </c>
      <c r="O687" s="70">
        <v>0</v>
      </c>
      <c r="P687" s="70">
        <v>0</v>
      </c>
      <c r="Q687" s="70">
        <f t="shared" si="60"/>
        <v>0</v>
      </c>
      <c r="R687" s="70"/>
      <c r="S687" s="67"/>
      <c r="T687" s="2" t="str">
        <f t="shared" si="61"/>
        <v>Thân Lê Hoàng Hải_11AT4</v>
      </c>
      <c r="U687" s="28">
        <f t="array" ref="U687">IFERROR(VLOOKUP($T687,'Nghi hoc T12'!$H$7:$I$160,2,0),0)</f>
        <v>0</v>
      </c>
      <c r="V687" s="28">
        <f>IFERROR(VLOOKUP($T687,No_HP!$B$2:$C$514,2,0),0)</f>
        <v>0</v>
      </c>
      <c r="W687" s="28">
        <f t="shared" si="62"/>
        <v>0</v>
      </c>
      <c r="X687" s="333">
        <f t="shared" si="63"/>
        <v>0</v>
      </c>
      <c r="Y687" s="333">
        <f t="shared" si="64"/>
        <v>0</v>
      </c>
    </row>
    <row r="688" spans="1:25" s="2" customFormat="1" ht="21.95" customHeight="1">
      <c r="A688" s="82">
        <v>21</v>
      </c>
      <c r="B688" s="91" t="str">
        <f t="shared" si="65"/>
        <v>5A.T</v>
      </c>
      <c r="C688" s="83" t="s">
        <v>363</v>
      </c>
      <c r="D688" s="81" t="s">
        <v>512</v>
      </c>
      <c r="E688" s="48">
        <v>100680</v>
      </c>
      <c r="F688" s="30" t="s">
        <v>1579</v>
      </c>
      <c r="G688" s="29" t="s">
        <v>78</v>
      </c>
      <c r="H688" s="30" t="s">
        <v>1565</v>
      </c>
      <c r="I688" s="78"/>
      <c r="J688" s="20"/>
      <c r="K688" s="20"/>
      <c r="L688" s="20"/>
      <c r="M688" s="20"/>
      <c r="N688" s="179" t="s">
        <v>502</v>
      </c>
      <c r="O688" s="70">
        <v>0</v>
      </c>
      <c r="P688" s="70">
        <v>0</v>
      </c>
      <c r="Q688" s="70">
        <f t="shared" si="60"/>
        <v>0</v>
      </c>
      <c r="R688" s="70"/>
      <c r="S688" s="67"/>
      <c r="T688" s="2" t="str">
        <f t="shared" si="61"/>
        <v>Nguyễn Hoàng Tấn Hào_11AT3</v>
      </c>
      <c r="U688" s="28">
        <f t="array" ref="U688">IFERROR(VLOOKUP($T688,'Nghi hoc T12'!$H$7:$I$160,2,0),0)</f>
        <v>0</v>
      </c>
      <c r="V688" s="28">
        <f>IFERROR(VLOOKUP($T688,No_HP!$B$2:$C$514,2,0),0)</f>
        <v>0</v>
      </c>
      <c r="W688" s="28">
        <f t="shared" si="62"/>
        <v>0</v>
      </c>
      <c r="X688" s="333">
        <f t="shared" si="63"/>
        <v>0</v>
      </c>
      <c r="Y688" s="333">
        <f t="shared" si="64"/>
        <v>0</v>
      </c>
    </row>
    <row r="689" spans="1:25" s="2" customFormat="1" ht="21.95" customHeight="1">
      <c r="A689" s="82">
        <v>22</v>
      </c>
      <c r="B689" s="91" t="str">
        <f t="shared" si="65"/>
        <v>5A.T</v>
      </c>
      <c r="C689" s="83" t="s">
        <v>363</v>
      </c>
      <c r="D689" s="81" t="s">
        <v>512</v>
      </c>
      <c r="E689" s="48">
        <v>100681</v>
      </c>
      <c r="F689" s="30" t="s">
        <v>1580</v>
      </c>
      <c r="G689" s="29" t="s">
        <v>173</v>
      </c>
      <c r="H689" s="30" t="s">
        <v>1567</v>
      </c>
      <c r="I689" s="78"/>
      <c r="J689" s="20"/>
      <c r="K689" s="20"/>
      <c r="L689" s="20"/>
      <c r="M689" s="20"/>
      <c r="N689" s="179" t="s">
        <v>502</v>
      </c>
      <c r="O689" s="70">
        <v>0</v>
      </c>
      <c r="P689" s="70">
        <v>0</v>
      </c>
      <c r="Q689" s="70">
        <f t="shared" si="60"/>
        <v>0</v>
      </c>
      <c r="R689" s="70"/>
      <c r="S689" s="67"/>
      <c r="T689" s="2" t="str">
        <f t="shared" si="61"/>
        <v>Nguyễn Trương Mỹ Hằng_11AT4</v>
      </c>
      <c r="U689" s="28">
        <f t="array" ref="U689">IFERROR(VLOOKUP($T689,'Nghi hoc T12'!$H$7:$I$160,2,0),0)</f>
        <v>0</v>
      </c>
      <c r="V689" s="28">
        <f>IFERROR(VLOOKUP($T689,No_HP!$B$2:$C$514,2,0),0)</f>
        <v>0</v>
      </c>
      <c r="W689" s="28">
        <f t="shared" si="62"/>
        <v>0</v>
      </c>
      <c r="X689" s="333">
        <f t="shared" si="63"/>
        <v>0</v>
      </c>
      <c r="Y689" s="333">
        <f t="shared" si="64"/>
        <v>0</v>
      </c>
    </row>
    <row r="690" spans="1:25" s="2" customFormat="1" ht="21.95" customHeight="1">
      <c r="A690" s="82">
        <v>23</v>
      </c>
      <c r="B690" s="91" t="str">
        <f t="shared" si="65"/>
        <v>5A.T</v>
      </c>
      <c r="C690" s="83" t="s">
        <v>363</v>
      </c>
      <c r="D690" s="81" t="s">
        <v>512</v>
      </c>
      <c r="E690" s="48">
        <v>100682</v>
      </c>
      <c r="F690" s="30" t="s">
        <v>1581</v>
      </c>
      <c r="G690" s="29" t="s">
        <v>84</v>
      </c>
      <c r="H690" s="30" t="s">
        <v>1567</v>
      </c>
      <c r="I690" s="78"/>
      <c r="J690" s="20"/>
      <c r="K690" s="20"/>
      <c r="L690" s="20"/>
      <c r="M690" s="20"/>
      <c r="N690" s="179" t="s">
        <v>502</v>
      </c>
      <c r="O690" s="70">
        <v>0</v>
      </c>
      <c r="P690" s="70">
        <v>0</v>
      </c>
      <c r="Q690" s="70">
        <f t="shared" si="60"/>
        <v>0</v>
      </c>
      <c r="R690" s="70"/>
      <c r="S690" s="67"/>
      <c r="T690" s="2" t="str">
        <f t="shared" si="61"/>
        <v>Vũ Ngọc Hân_11AT4</v>
      </c>
      <c r="U690" s="28">
        <f t="array" ref="U690">IFERROR(VLOOKUP($T690,'Nghi hoc T12'!$H$7:$I$160,2,0),0)</f>
        <v>0</v>
      </c>
      <c r="V690" s="28">
        <f>IFERROR(VLOOKUP($T690,No_HP!$B$2:$C$514,2,0),0)</f>
        <v>0</v>
      </c>
      <c r="W690" s="28">
        <f t="shared" si="62"/>
        <v>0</v>
      </c>
      <c r="X690" s="333">
        <f t="shared" si="63"/>
        <v>0</v>
      </c>
      <c r="Y690" s="333">
        <f t="shared" si="64"/>
        <v>0</v>
      </c>
    </row>
    <row r="691" spans="1:25" s="2" customFormat="1" ht="21.95" customHeight="1">
      <c r="A691" s="82">
        <v>24</v>
      </c>
      <c r="B691" s="91" t="str">
        <f t="shared" si="65"/>
        <v>5A.T</v>
      </c>
      <c r="C691" s="83" t="s">
        <v>363</v>
      </c>
      <c r="D691" s="81" t="s">
        <v>512</v>
      </c>
      <c r="E691" s="48">
        <v>100683</v>
      </c>
      <c r="F691" s="30" t="s">
        <v>314</v>
      </c>
      <c r="G691" s="29" t="s">
        <v>85</v>
      </c>
      <c r="H691" s="30" t="s">
        <v>1565</v>
      </c>
      <c r="I691" s="78"/>
      <c r="J691" s="20"/>
      <c r="K691" s="20"/>
      <c r="L691" s="20"/>
      <c r="M691" s="20"/>
      <c r="N691" s="179" t="s">
        <v>502</v>
      </c>
      <c r="O691" s="70">
        <v>0</v>
      </c>
      <c r="P691" s="70">
        <v>0</v>
      </c>
      <c r="Q691" s="70">
        <f t="shared" si="60"/>
        <v>0</v>
      </c>
      <c r="R691" s="70"/>
      <c r="S691" s="67"/>
      <c r="T691" s="2" t="str">
        <f t="shared" si="61"/>
        <v>Phạm Minh Hiển_11AT3</v>
      </c>
      <c r="U691" s="28">
        <f t="array" ref="U691">IFERROR(VLOOKUP($T691,'Nghi hoc T12'!$H$7:$I$160,2,0),0)</f>
        <v>0</v>
      </c>
      <c r="V691" s="28">
        <f>IFERROR(VLOOKUP($T691,No_HP!$B$2:$C$514,2,0),0)</f>
        <v>0</v>
      </c>
      <c r="W691" s="28">
        <f t="shared" si="62"/>
        <v>0</v>
      </c>
      <c r="X691" s="333">
        <f t="shared" si="63"/>
        <v>0</v>
      </c>
      <c r="Y691" s="333">
        <f t="shared" si="64"/>
        <v>0</v>
      </c>
    </row>
    <row r="692" spans="1:25" s="2" customFormat="1" ht="21.95" customHeight="1">
      <c r="A692" s="82">
        <v>25</v>
      </c>
      <c r="B692" s="91" t="str">
        <f t="shared" si="65"/>
        <v>5A.T</v>
      </c>
      <c r="C692" s="83" t="s">
        <v>363</v>
      </c>
      <c r="D692" s="81" t="s">
        <v>512</v>
      </c>
      <c r="E692" s="48">
        <v>100684</v>
      </c>
      <c r="F692" s="30" t="s">
        <v>1582</v>
      </c>
      <c r="G692" s="29" t="s">
        <v>9</v>
      </c>
      <c r="H692" s="30" t="s">
        <v>1567</v>
      </c>
      <c r="I692" s="78"/>
      <c r="J692" s="20"/>
      <c r="K692" s="20"/>
      <c r="L692" s="20"/>
      <c r="M692" s="20"/>
      <c r="N692" s="179" t="s">
        <v>502</v>
      </c>
      <c r="O692" s="70">
        <v>0</v>
      </c>
      <c r="P692" s="70">
        <v>0</v>
      </c>
      <c r="Q692" s="70">
        <f t="shared" si="60"/>
        <v>0</v>
      </c>
      <c r="R692" s="70"/>
      <c r="S692" s="67"/>
      <c r="T692" s="2" t="str">
        <f t="shared" si="61"/>
        <v>Đỗ Huỳnh Thanh Hiếu_11AT4</v>
      </c>
      <c r="U692" s="28">
        <f t="array" ref="U692">IFERROR(VLOOKUP($T692,'Nghi hoc T12'!$H$7:$I$160,2,0),0)</f>
        <v>0</v>
      </c>
      <c r="V692" s="28">
        <f>IFERROR(VLOOKUP($T692,No_HP!$B$2:$C$514,2,0),0)</f>
        <v>0</v>
      </c>
      <c r="W692" s="28">
        <f t="shared" si="62"/>
        <v>0</v>
      </c>
      <c r="X692" s="333">
        <f t="shared" si="63"/>
        <v>0</v>
      </c>
      <c r="Y692" s="333">
        <f t="shared" si="64"/>
        <v>0</v>
      </c>
    </row>
    <row r="693" spans="1:25" s="2" customFormat="1" ht="21.95" customHeight="1">
      <c r="A693" s="82">
        <v>26</v>
      </c>
      <c r="B693" s="91" t="str">
        <f t="shared" si="65"/>
        <v>5A.T</v>
      </c>
      <c r="C693" s="83" t="s">
        <v>363</v>
      </c>
      <c r="D693" s="81" t="s">
        <v>512</v>
      </c>
      <c r="E693" s="48">
        <v>100685</v>
      </c>
      <c r="F693" s="30" t="s">
        <v>1583</v>
      </c>
      <c r="G693" s="29" t="s">
        <v>1128</v>
      </c>
      <c r="H693" s="30" t="s">
        <v>1565</v>
      </c>
      <c r="I693" s="78"/>
      <c r="J693" s="20"/>
      <c r="K693" s="20"/>
      <c r="L693" s="20"/>
      <c r="M693" s="20"/>
      <c r="N693" s="179" t="s">
        <v>502</v>
      </c>
      <c r="O693" s="70">
        <v>0</v>
      </c>
      <c r="P693" s="70">
        <v>0</v>
      </c>
      <c r="Q693" s="70">
        <f t="shared" si="60"/>
        <v>0</v>
      </c>
      <c r="R693" s="70"/>
      <c r="S693" s="67"/>
      <c r="T693" s="2" t="str">
        <f t="shared" si="61"/>
        <v>Lưu Ngọc Quỳnh Hoa_11AT3</v>
      </c>
      <c r="U693" s="28">
        <f t="array" ref="U693">IFERROR(VLOOKUP($T693,'Nghi hoc T12'!$H$7:$I$160,2,0),0)</f>
        <v>0</v>
      </c>
      <c r="V693" s="28">
        <f>IFERROR(VLOOKUP($T693,No_HP!$B$2:$C$514,2,0),0)</f>
        <v>0</v>
      </c>
      <c r="W693" s="28">
        <f t="shared" si="62"/>
        <v>0</v>
      </c>
      <c r="X693" s="333">
        <f t="shared" si="63"/>
        <v>0</v>
      </c>
      <c r="Y693" s="333">
        <f t="shared" si="64"/>
        <v>0</v>
      </c>
    </row>
    <row r="694" spans="1:25" s="2" customFormat="1" ht="21.95" customHeight="1">
      <c r="A694" s="82">
        <v>27</v>
      </c>
      <c r="B694" s="91" t="str">
        <f t="shared" si="65"/>
        <v>5A.T</v>
      </c>
      <c r="C694" s="83" t="s">
        <v>363</v>
      </c>
      <c r="D694" s="81" t="s">
        <v>512</v>
      </c>
      <c r="E694" s="48">
        <v>100686</v>
      </c>
      <c r="F694" s="30" t="s">
        <v>1584</v>
      </c>
      <c r="G694" s="29" t="s">
        <v>90</v>
      </c>
      <c r="H694" s="30" t="s">
        <v>1565</v>
      </c>
      <c r="I694" s="78"/>
      <c r="J694" s="20"/>
      <c r="K694" s="20"/>
      <c r="L694" s="20"/>
      <c r="M694" s="20"/>
      <c r="N694" s="179" t="s">
        <v>502</v>
      </c>
      <c r="O694" s="70">
        <v>0</v>
      </c>
      <c r="P694" s="70">
        <v>0</v>
      </c>
      <c r="Q694" s="70">
        <f t="shared" si="60"/>
        <v>0</v>
      </c>
      <c r="R694" s="70"/>
      <c r="S694" s="67"/>
      <c r="T694" s="2" t="str">
        <f t="shared" si="61"/>
        <v>Đặng Thị Mỹ Hòa_11AT3</v>
      </c>
      <c r="U694" s="28">
        <f t="array" ref="U694">IFERROR(VLOOKUP($T694,'Nghi hoc T12'!$H$7:$I$160,2,0),0)</f>
        <v>0</v>
      </c>
      <c r="V694" s="28">
        <f>IFERROR(VLOOKUP($T694,No_HP!$B$2:$C$514,2,0),0)</f>
        <v>0</v>
      </c>
      <c r="W694" s="28">
        <f t="shared" si="62"/>
        <v>0</v>
      </c>
      <c r="X694" s="333">
        <f t="shared" si="63"/>
        <v>0</v>
      </c>
      <c r="Y694" s="333">
        <f t="shared" si="64"/>
        <v>0</v>
      </c>
    </row>
    <row r="695" spans="1:25" s="2" customFormat="1" ht="21.95" customHeight="1">
      <c r="A695" s="82">
        <v>28</v>
      </c>
      <c r="B695" s="91" t="str">
        <f t="shared" si="65"/>
        <v>5A.T</v>
      </c>
      <c r="C695" s="83" t="s">
        <v>363</v>
      </c>
      <c r="D695" s="81" t="s">
        <v>512</v>
      </c>
      <c r="E695" s="48">
        <v>100687</v>
      </c>
      <c r="F695" s="30" t="s">
        <v>64</v>
      </c>
      <c r="G695" s="29" t="s">
        <v>1585</v>
      </c>
      <c r="H695" s="30" t="s">
        <v>1565</v>
      </c>
      <c r="I695" s="78"/>
      <c r="J695" s="20"/>
      <c r="K695" s="20"/>
      <c r="L695" s="20"/>
      <c r="M695" s="20"/>
      <c r="N695" s="179" t="s">
        <v>502</v>
      </c>
      <c r="O695" s="70">
        <v>0</v>
      </c>
      <c r="P695" s="70">
        <v>0</v>
      </c>
      <c r="Q695" s="70">
        <f t="shared" si="60"/>
        <v>0</v>
      </c>
      <c r="R695" s="70"/>
      <c r="S695" s="67"/>
      <c r="T695" s="2" t="str">
        <f t="shared" si="61"/>
        <v>Nguyễn Xuân Hợp_11AT3</v>
      </c>
      <c r="U695" s="28">
        <f t="array" ref="U695">IFERROR(VLOOKUP($T695,'Nghi hoc T12'!$H$7:$I$160,2,0),0)</f>
        <v>0</v>
      </c>
      <c r="V695" s="28">
        <f>IFERROR(VLOOKUP($T695,No_HP!$B$2:$C$514,2,0),0)</f>
        <v>0</v>
      </c>
      <c r="W695" s="28">
        <f t="shared" si="62"/>
        <v>0</v>
      </c>
      <c r="X695" s="333">
        <f t="shared" si="63"/>
        <v>0</v>
      </c>
      <c r="Y695" s="333">
        <f t="shared" si="64"/>
        <v>0</v>
      </c>
    </row>
    <row r="696" spans="1:25" s="2" customFormat="1" ht="21.95" customHeight="1">
      <c r="A696" s="82">
        <v>29</v>
      </c>
      <c r="B696" s="91" t="str">
        <f t="shared" si="65"/>
        <v>5A.T</v>
      </c>
      <c r="C696" s="83" t="s">
        <v>363</v>
      </c>
      <c r="D696" s="81" t="s">
        <v>512</v>
      </c>
      <c r="E696" s="48">
        <v>100688</v>
      </c>
      <c r="F696" s="30" t="s">
        <v>172</v>
      </c>
      <c r="G696" s="29" t="s">
        <v>11</v>
      </c>
      <c r="H696" s="30" t="s">
        <v>1565</v>
      </c>
      <c r="I696" s="78"/>
      <c r="J696" s="20"/>
      <c r="K696" s="20"/>
      <c r="L696" s="20"/>
      <c r="M696" s="20"/>
      <c r="N696" s="179" t="s">
        <v>502</v>
      </c>
      <c r="O696" s="70">
        <v>0</v>
      </c>
      <c r="P696" s="70">
        <v>0</v>
      </c>
      <c r="Q696" s="70">
        <f t="shared" si="60"/>
        <v>0</v>
      </c>
      <c r="R696" s="70"/>
      <c r="S696" s="67"/>
      <c r="T696" s="2" t="str">
        <f t="shared" si="61"/>
        <v>Vũ Đức Huy_11AT3</v>
      </c>
      <c r="U696" s="28">
        <f t="array" ref="U696">IFERROR(VLOOKUP($T696,'Nghi hoc T12'!$H$7:$I$160,2,0),0)</f>
        <v>0</v>
      </c>
      <c r="V696" s="28">
        <f>IFERROR(VLOOKUP($T696,No_HP!$B$2:$C$514,2,0),0)</f>
        <v>0</v>
      </c>
      <c r="W696" s="28">
        <f t="shared" si="62"/>
        <v>0</v>
      </c>
      <c r="X696" s="333">
        <f t="shared" si="63"/>
        <v>0</v>
      </c>
      <c r="Y696" s="333">
        <f t="shared" si="64"/>
        <v>0</v>
      </c>
    </row>
    <row r="697" spans="1:25" s="2" customFormat="1" ht="21.95" customHeight="1">
      <c r="A697" s="82">
        <v>30</v>
      </c>
      <c r="B697" s="91" t="str">
        <f t="shared" si="65"/>
        <v>5A.T</v>
      </c>
      <c r="C697" s="83" t="s">
        <v>363</v>
      </c>
      <c r="D697" s="81" t="s">
        <v>512</v>
      </c>
      <c r="E697" s="48">
        <v>100689</v>
      </c>
      <c r="F697" s="30" t="s">
        <v>1586</v>
      </c>
      <c r="G697" s="29" t="s">
        <v>54</v>
      </c>
      <c r="H697" s="30" t="s">
        <v>1565</v>
      </c>
      <c r="I697" s="78"/>
      <c r="J697" s="20"/>
      <c r="K697" s="20"/>
      <c r="L697" s="20"/>
      <c r="M697" s="20"/>
      <c r="N697" s="179" t="s">
        <v>502</v>
      </c>
      <c r="O697" s="70">
        <v>0</v>
      </c>
      <c r="P697" s="70">
        <v>0</v>
      </c>
      <c r="Q697" s="70">
        <f t="shared" si="60"/>
        <v>0</v>
      </c>
      <c r="R697" s="70"/>
      <c r="S697" s="67"/>
      <c r="T697" s="2" t="str">
        <f t="shared" si="61"/>
        <v>Phạm Thiên Hương_11AT3</v>
      </c>
      <c r="U697" s="28">
        <f t="array" ref="U697">IFERROR(VLOOKUP($T697,'Nghi hoc T12'!$H$7:$I$160,2,0),0)</f>
        <v>0</v>
      </c>
      <c r="V697" s="28">
        <f>IFERROR(VLOOKUP($T697,No_HP!$B$2:$C$514,2,0),0)</f>
        <v>0</v>
      </c>
      <c r="W697" s="28">
        <f t="shared" si="62"/>
        <v>0</v>
      </c>
      <c r="X697" s="333">
        <f t="shared" si="63"/>
        <v>0</v>
      </c>
      <c r="Y697" s="333">
        <f t="shared" si="64"/>
        <v>0</v>
      </c>
    </row>
    <row r="698" spans="1:25" s="2" customFormat="1" ht="21.95" customHeight="1">
      <c r="A698" s="82">
        <v>31</v>
      </c>
      <c r="B698" s="91" t="str">
        <f t="shared" si="65"/>
        <v>5A.T</v>
      </c>
      <c r="C698" s="83" t="s">
        <v>363</v>
      </c>
      <c r="D698" s="81" t="s">
        <v>512</v>
      </c>
      <c r="E698" s="48">
        <v>100690</v>
      </c>
      <c r="F698" s="30" t="s">
        <v>1574</v>
      </c>
      <c r="G698" s="29" t="s">
        <v>79</v>
      </c>
      <c r="H698" s="30" t="s">
        <v>1565</v>
      </c>
      <c r="I698" s="78"/>
      <c r="J698" s="20"/>
      <c r="K698" s="20"/>
      <c r="L698" s="20"/>
      <c r="M698" s="20"/>
      <c r="N698" s="179" t="s">
        <v>502</v>
      </c>
      <c r="O698" s="70">
        <v>0</v>
      </c>
      <c r="P698" s="70">
        <v>0</v>
      </c>
      <c r="Q698" s="70">
        <f t="shared" si="60"/>
        <v>0</v>
      </c>
      <c r="R698" s="70"/>
      <c r="S698" s="67"/>
      <c r="T698" s="2" t="str">
        <f t="shared" si="61"/>
        <v>Phan Gia Khang_11AT3</v>
      </c>
      <c r="U698" s="28">
        <f t="array" ref="U698">IFERROR(VLOOKUP($T698,'Nghi hoc T12'!$H$7:$I$160,2,0),0)</f>
        <v>0</v>
      </c>
      <c r="V698" s="28">
        <f>IFERROR(VLOOKUP($T698,No_HP!$B$2:$C$514,2,0),0)</f>
        <v>0</v>
      </c>
      <c r="W698" s="28">
        <f t="shared" si="62"/>
        <v>0</v>
      </c>
      <c r="X698" s="333">
        <f t="shared" si="63"/>
        <v>0</v>
      </c>
      <c r="Y698" s="333">
        <f t="shared" si="64"/>
        <v>0</v>
      </c>
    </row>
    <row r="699" spans="1:25" s="2" customFormat="1" ht="21.95" customHeight="1">
      <c r="A699" s="200">
        <v>1</v>
      </c>
      <c r="B699" s="91" t="str">
        <f t="shared" si="65"/>
        <v>6A.T</v>
      </c>
      <c r="C699" s="185" t="s">
        <v>363</v>
      </c>
      <c r="D699" s="186" t="s">
        <v>513</v>
      </c>
      <c r="E699" s="187">
        <v>100691</v>
      </c>
      <c r="F699" s="188" t="s">
        <v>349</v>
      </c>
      <c r="G699" s="189" t="s">
        <v>1132</v>
      </c>
      <c r="H699" s="188" t="s">
        <v>1567</v>
      </c>
      <c r="I699" s="190"/>
      <c r="J699" s="191"/>
      <c r="K699" s="191"/>
      <c r="L699" s="191"/>
      <c r="M699" s="191"/>
      <c r="N699" s="179" t="s">
        <v>502</v>
      </c>
      <c r="O699" s="70">
        <v>0</v>
      </c>
      <c r="P699" s="70">
        <v>0</v>
      </c>
      <c r="Q699" s="70">
        <f t="shared" si="60"/>
        <v>0</v>
      </c>
      <c r="R699" s="70"/>
      <c r="S699" s="67"/>
      <c r="T699" s="2" t="str">
        <f t="shared" si="61"/>
        <v>Phan Hoàng Kiên_11AT4</v>
      </c>
      <c r="U699" s="28">
        <f t="array" ref="U699">IFERROR(VLOOKUP($T699,'Nghi hoc T12'!$H$7:$I$160,2,0),0)</f>
        <v>0</v>
      </c>
      <c r="V699" s="28">
        <f>IFERROR(VLOOKUP($T699,No_HP!$B$2:$C$514,2,0),0)</f>
        <v>0</v>
      </c>
      <c r="W699" s="28">
        <f t="shared" si="62"/>
        <v>0</v>
      </c>
      <c r="X699" s="333">
        <f t="shared" si="63"/>
        <v>0</v>
      </c>
      <c r="Y699" s="333">
        <f t="shared" si="64"/>
        <v>0</v>
      </c>
    </row>
    <row r="700" spans="1:25" s="2" customFormat="1" ht="21.95" customHeight="1">
      <c r="A700" s="82">
        <v>2</v>
      </c>
      <c r="B700" s="91" t="str">
        <f t="shared" si="65"/>
        <v>6A.T</v>
      </c>
      <c r="C700" s="83" t="s">
        <v>363</v>
      </c>
      <c r="D700" s="81" t="s">
        <v>513</v>
      </c>
      <c r="E700" s="48">
        <v>100692</v>
      </c>
      <c r="F700" s="30" t="s">
        <v>1587</v>
      </c>
      <c r="G700" s="29" t="s">
        <v>92</v>
      </c>
      <c r="H700" s="30" t="s">
        <v>1567</v>
      </c>
      <c r="I700" s="78"/>
      <c r="J700" s="20"/>
      <c r="K700" s="20"/>
      <c r="L700" s="20"/>
      <c r="M700" s="20"/>
      <c r="N700" s="179" t="s">
        <v>502</v>
      </c>
      <c r="O700" s="70">
        <v>0</v>
      </c>
      <c r="P700" s="70">
        <v>0</v>
      </c>
      <c r="Q700" s="70">
        <f t="shared" si="60"/>
        <v>0</v>
      </c>
      <c r="R700" s="70"/>
      <c r="S700" s="67"/>
      <c r="T700" s="2" t="str">
        <f t="shared" si="61"/>
        <v>Tăng Văn Lâm_11AT4</v>
      </c>
      <c r="U700" s="28">
        <f t="array" ref="U700">IFERROR(VLOOKUP($T700,'Nghi hoc T12'!$H$7:$I$160,2,0),0)</f>
        <v>0</v>
      </c>
      <c r="V700" s="28">
        <f>IFERROR(VLOOKUP($T700,No_HP!$B$2:$C$514,2,0),0)</f>
        <v>0</v>
      </c>
      <c r="W700" s="28">
        <f t="shared" si="62"/>
        <v>0</v>
      </c>
      <c r="X700" s="333">
        <f t="shared" si="63"/>
        <v>0</v>
      </c>
      <c r="Y700" s="333">
        <f t="shared" si="64"/>
        <v>0</v>
      </c>
    </row>
    <row r="701" spans="1:25" s="2" customFormat="1" ht="21.95" customHeight="1">
      <c r="A701" s="82">
        <v>3</v>
      </c>
      <c r="B701" s="91" t="str">
        <f t="shared" si="65"/>
        <v>6A.T</v>
      </c>
      <c r="C701" s="83" t="s">
        <v>363</v>
      </c>
      <c r="D701" s="81" t="s">
        <v>513</v>
      </c>
      <c r="E701" s="48">
        <v>100693</v>
      </c>
      <c r="F701" s="30" t="s">
        <v>1588</v>
      </c>
      <c r="G701" s="29" t="s">
        <v>479</v>
      </c>
      <c r="H701" s="30" t="s">
        <v>1567</v>
      </c>
      <c r="I701" s="78"/>
      <c r="J701" s="20"/>
      <c r="K701" s="20"/>
      <c r="L701" s="20"/>
      <c r="M701" s="20"/>
      <c r="N701" s="179" t="s">
        <v>502</v>
      </c>
      <c r="O701" s="70">
        <v>0</v>
      </c>
      <c r="P701" s="70">
        <v>0</v>
      </c>
      <c r="Q701" s="70">
        <f t="shared" si="60"/>
        <v>0</v>
      </c>
      <c r="R701" s="70"/>
      <c r="S701" s="67"/>
      <c r="T701" s="2" t="str">
        <f t="shared" si="61"/>
        <v>Võ Thị Trúc Lệ_11AT4</v>
      </c>
      <c r="U701" s="28">
        <f t="array" ref="U701">IFERROR(VLOOKUP($T701,'Nghi hoc T12'!$H$7:$I$160,2,0),0)</f>
        <v>0</v>
      </c>
      <c r="V701" s="28">
        <f>IFERROR(VLOOKUP($T701,No_HP!$B$2:$C$514,2,0),0)</f>
        <v>0</v>
      </c>
      <c r="W701" s="28">
        <f t="shared" si="62"/>
        <v>0</v>
      </c>
      <c r="X701" s="333">
        <f t="shared" si="63"/>
        <v>0</v>
      </c>
      <c r="Y701" s="333">
        <f t="shared" si="64"/>
        <v>0</v>
      </c>
    </row>
    <row r="702" spans="1:25" s="2" customFormat="1" ht="21.95" customHeight="1">
      <c r="A702" s="82">
        <v>4</v>
      </c>
      <c r="B702" s="91" t="str">
        <f t="shared" si="65"/>
        <v>6A.T</v>
      </c>
      <c r="C702" s="83" t="s">
        <v>363</v>
      </c>
      <c r="D702" s="81" t="s">
        <v>513</v>
      </c>
      <c r="E702" s="48">
        <v>100694</v>
      </c>
      <c r="F702" s="30" t="s">
        <v>1589</v>
      </c>
      <c r="G702" s="29" t="s">
        <v>38</v>
      </c>
      <c r="H702" s="30" t="s">
        <v>1567</v>
      </c>
      <c r="I702" s="78"/>
      <c r="J702" s="20"/>
      <c r="K702" s="20"/>
      <c r="L702" s="20"/>
      <c r="M702" s="20"/>
      <c r="N702" s="179" t="s">
        <v>502</v>
      </c>
      <c r="O702" s="70">
        <v>0</v>
      </c>
      <c r="P702" s="70">
        <v>0</v>
      </c>
      <c r="Q702" s="70">
        <f t="shared" si="60"/>
        <v>0</v>
      </c>
      <c r="R702" s="70"/>
      <c r="S702" s="67"/>
      <c r="T702" s="2" t="str">
        <f t="shared" si="61"/>
        <v>Phạm Bùi Phương Linh_11AT4</v>
      </c>
      <c r="U702" s="28">
        <f t="array" ref="U702">IFERROR(VLOOKUP($T702,'Nghi hoc T12'!$H$7:$I$160,2,0),0)</f>
        <v>0</v>
      </c>
      <c r="V702" s="28">
        <f>IFERROR(VLOOKUP($T702,No_HP!$B$2:$C$514,2,0),0)</f>
        <v>0</v>
      </c>
      <c r="W702" s="28">
        <f t="shared" si="62"/>
        <v>0</v>
      </c>
      <c r="X702" s="333">
        <f t="shared" si="63"/>
        <v>0</v>
      </c>
      <c r="Y702" s="333">
        <f t="shared" si="64"/>
        <v>0</v>
      </c>
    </row>
    <row r="703" spans="1:25" s="2" customFormat="1" ht="21.95" customHeight="1">
      <c r="A703" s="82">
        <v>5</v>
      </c>
      <c r="B703" s="91" t="str">
        <f t="shared" si="65"/>
        <v>6A.T</v>
      </c>
      <c r="C703" s="83" t="s">
        <v>363</v>
      </c>
      <c r="D703" s="81" t="s">
        <v>513</v>
      </c>
      <c r="E703" s="48">
        <v>100695</v>
      </c>
      <c r="F703" s="30" t="s">
        <v>1590</v>
      </c>
      <c r="G703" s="29" t="s">
        <v>38</v>
      </c>
      <c r="H703" s="30" t="s">
        <v>1567</v>
      </c>
      <c r="I703" s="78"/>
      <c r="J703" s="20"/>
      <c r="K703" s="20"/>
      <c r="L703" s="20"/>
      <c r="M703" s="20"/>
      <c r="N703" s="179" t="s">
        <v>502</v>
      </c>
      <c r="O703" s="70">
        <v>0</v>
      </c>
      <c r="P703" s="70">
        <v>0</v>
      </c>
      <c r="Q703" s="70">
        <f t="shared" si="60"/>
        <v>0</v>
      </c>
      <c r="R703" s="70"/>
      <c r="S703" s="67"/>
      <c r="T703" s="2" t="str">
        <f t="shared" si="61"/>
        <v>Trần Trúc Linh_11AT4</v>
      </c>
      <c r="U703" s="28">
        <f t="array" ref="U703">IFERROR(VLOOKUP($T703,'Nghi hoc T12'!$H$7:$I$160,2,0),0)</f>
        <v>0</v>
      </c>
      <c r="V703" s="28">
        <f>IFERROR(VLOOKUP($T703,No_HP!$B$2:$C$514,2,0),0)</f>
        <v>0</v>
      </c>
      <c r="W703" s="28">
        <f t="shared" si="62"/>
        <v>0</v>
      </c>
      <c r="X703" s="333">
        <f t="shared" si="63"/>
        <v>0</v>
      </c>
      <c r="Y703" s="333">
        <f t="shared" si="64"/>
        <v>0</v>
      </c>
    </row>
    <row r="704" spans="1:25" s="2" customFormat="1" ht="21.95" customHeight="1">
      <c r="A704" s="82">
        <v>6</v>
      </c>
      <c r="B704" s="91" t="str">
        <f t="shared" si="65"/>
        <v>6A.T</v>
      </c>
      <c r="C704" s="83" t="s">
        <v>363</v>
      </c>
      <c r="D704" s="81" t="s">
        <v>513</v>
      </c>
      <c r="E704" s="48">
        <v>100696</v>
      </c>
      <c r="F704" s="30" t="s">
        <v>1591</v>
      </c>
      <c r="G704" s="29" t="s">
        <v>1592</v>
      </c>
      <c r="H704" s="30" t="s">
        <v>1567</v>
      </c>
      <c r="I704" s="78"/>
      <c r="J704" s="20"/>
      <c r="K704" s="20"/>
      <c r="L704" s="20"/>
      <c r="M704" s="20"/>
      <c r="N704" s="179" t="s">
        <v>502</v>
      </c>
      <c r="O704" s="70">
        <v>0</v>
      </c>
      <c r="P704" s="70">
        <v>0</v>
      </c>
      <c r="Q704" s="70">
        <f t="shared" si="60"/>
        <v>0</v>
      </c>
      <c r="R704" s="70"/>
      <c r="S704" s="67"/>
      <c r="T704" s="2" t="str">
        <f t="shared" si="61"/>
        <v>Trần Huệ Mi_11AT4</v>
      </c>
      <c r="U704" s="28">
        <f t="array" ref="U704">IFERROR(VLOOKUP($T704,'Nghi hoc T12'!$H$7:$I$160,2,0),0)</f>
        <v>0</v>
      </c>
      <c r="V704" s="28">
        <f>IFERROR(VLOOKUP($T704,No_HP!$B$2:$C$514,2,0),0)</f>
        <v>0</v>
      </c>
      <c r="W704" s="28">
        <f t="shared" si="62"/>
        <v>0</v>
      </c>
      <c r="X704" s="333">
        <f t="shared" si="63"/>
        <v>0</v>
      </c>
      <c r="Y704" s="333">
        <f t="shared" si="64"/>
        <v>0</v>
      </c>
    </row>
    <row r="705" spans="1:25" s="2" customFormat="1" ht="21.95" customHeight="1">
      <c r="A705" s="82">
        <v>7</v>
      </c>
      <c r="B705" s="91" t="str">
        <f t="shared" si="65"/>
        <v>6A.T</v>
      </c>
      <c r="C705" s="83" t="s">
        <v>363</v>
      </c>
      <c r="D705" s="81" t="s">
        <v>513</v>
      </c>
      <c r="E705" s="48">
        <v>100697</v>
      </c>
      <c r="F705" s="30" t="s">
        <v>268</v>
      </c>
      <c r="G705" s="29" t="s">
        <v>16</v>
      </c>
      <c r="H705" s="30" t="s">
        <v>1567</v>
      </c>
      <c r="I705" s="78"/>
      <c r="J705" s="20"/>
      <c r="K705" s="20"/>
      <c r="L705" s="20"/>
      <c r="M705" s="20"/>
      <c r="N705" s="179" t="s">
        <v>502</v>
      </c>
      <c r="O705" s="70">
        <v>0</v>
      </c>
      <c r="P705" s="70">
        <v>0</v>
      </c>
      <c r="Q705" s="70">
        <f t="shared" si="60"/>
        <v>0</v>
      </c>
      <c r="R705" s="70"/>
      <c r="S705" s="67"/>
      <c r="T705" s="2" t="str">
        <f t="shared" si="61"/>
        <v>Nguyễn Văn Minh_11AT4</v>
      </c>
      <c r="U705" s="28">
        <f t="array" ref="U705">IFERROR(VLOOKUP($T705,'Nghi hoc T12'!$H$7:$I$160,2,0),0)</f>
        <v>0</v>
      </c>
      <c r="V705" s="28">
        <f>IFERROR(VLOOKUP($T705,No_HP!$B$2:$C$514,2,0),0)</f>
        <v>0</v>
      </c>
      <c r="W705" s="28">
        <f t="shared" si="62"/>
        <v>0</v>
      </c>
      <c r="X705" s="333">
        <f t="shared" si="63"/>
        <v>0</v>
      </c>
      <c r="Y705" s="333">
        <f t="shared" si="64"/>
        <v>0</v>
      </c>
    </row>
    <row r="706" spans="1:25" s="2" customFormat="1" ht="21.95" customHeight="1">
      <c r="A706" s="82">
        <v>8</v>
      </c>
      <c r="B706" s="91" t="str">
        <f t="shared" si="65"/>
        <v>6A.T</v>
      </c>
      <c r="C706" s="83" t="s">
        <v>363</v>
      </c>
      <c r="D706" s="81" t="s">
        <v>513</v>
      </c>
      <c r="E706" s="48">
        <v>100698</v>
      </c>
      <c r="F706" s="30" t="s">
        <v>1593</v>
      </c>
      <c r="G706" s="29" t="s">
        <v>40</v>
      </c>
      <c r="H706" s="30" t="s">
        <v>1565</v>
      </c>
      <c r="I706" s="78"/>
      <c r="J706" s="20"/>
      <c r="K706" s="20"/>
      <c r="L706" s="20"/>
      <c r="M706" s="20"/>
      <c r="N706" s="179" t="s">
        <v>502</v>
      </c>
      <c r="O706" s="70">
        <v>0</v>
      </c>
      <c r="P706" s="70">
        <v>0</v>
      </c>
      <c r="Q706" s="70">
        <f t="shared" si="60"/>
        <v>0</v>
      </c>
      <c r="R706" s="70"/>
      <c r="S706" s="67"/>
      <c r="T706" s="2" t="str">
        <f t="shared" si="61"/>
        <v>Hà Thị Diễm My_11AT3</v>
      </c>
      <c r="U706" s="28">
        <f t="array" ref="U706">IFERROR(VLOOKUP($T706,'Nghi hoc T12'!$H$7:$I$160,2,0),0)</f>
        <v>0</v>
      </c>
      <c r="V706" s="28">
        <f>IFERROR(VLOOKUP($T706,No_HP!$B$2:$C$514,2,0),0)</f>
        <v>0</v>
      </c>
      <c r="W706" s="28">
        <f t="shared" si="62"/>
        <v>0</v>
      </c>
      <c r="X706" s="333">
        <f t="shared" si="63"/>
        <v>0</v>
      </c>
      <c r="Y706" s="333">
        <f t="shared" si="64"/>
        <v>0</v>
      </c>
    </row>
    <row r="707" spans="1:25" s="2" customFormat="1" ht="21.95" customHeight="1">
      <c r="A707" s="82">
        <v>9</v>
      </c>
      <c r="B707" s="91" t="str">
        <f t="shared" si="65"/>
        <v>6A.T</v>
      </c>
      <c r="C707" s="83" t="s">
        <v>363</v>
      </c>
      <c r="D707" s="81" t="s">
        <v>513</v>
      </c>
      <c r="E707" s="48">
        <v>100699</v>
      </c>
      <c r="F707" s="30" t="s">
        <v>1594</v>
      </c>
      <c r="G707" s="29" t="s">
        <v>40</v>
      </c>
      <c r="H707" s="30" t="s">
        <v>1567</v>
      </c>
      <c r="I707" s="78"/>
      <c r="J707" s="20"/>
      <c r="K707" s="20"/>
      <c r="L707" s="20"/>
      <c r="M707" s="20"/>
      <c r="N707" s="179" t="s">
        <v>502</v>
      </c>
      <c r="O707" s="70">
        <v>0</v>
      </c>
      <c r="P707" s="70">
        <v>0</v>
      </c>
      <c r="Q707" s="70">
        <f t="shared" si="60"/>
        <v>0</v>
      </c>
      <c r="R707" s="70"/>
      <c r="S707" s="67"/>
      <c r="T707" s="2" t="str">
        <f t="shared" si="61"/>
        <v>Vương Thị Trà My_11AT4</v>
      </c>
      <c r="U707" s="28">
        <f t="array" ref="U707">IFERROR(VLOOKUP($T707,'Nghi hoc T12'!$H$7:$I$160,2,0),0)</f>
        <v>0</v>
      </c>
      <c r="V707" s="28">
        <f>IFERROR(VLOOKUP($T707,No_HP!$B$2:$C$514,2,0),0)</f>
        <v>0</v>
      </c>
      <c r="W707" s="28">
        <f t="shared" si="62"/>
        <v>0</v>
      </c>
      <c r="X707" s="333">
        <f t="shared" si="63"/>
        <v>0</v>
      </c>
      <c r="Y707" s="333">
        <f t="shared" si="64"/>
        <v>0</v>
      </c>
    </row>
    <row r="708" spans="1:25" s="2" customFormat="1" ht="21.95" customHeight="1">
      <c r="A708" s="82">
        <v>10</v>
      </c>
      <c r="B708" s="91" t="str">
        <f t="shared" si="65"/>
        <v>6A.T</v>
      </c>
      <c r="C708" s="83" t="s">
        <v>363</v>
      </c>
      <c r="D708" s="81" t="s">
        <v>513</v>
      </c>
      <c r="E708" s="48">
        <v>100700</v>
      </c>
      <c r="F708" s="30" t="s">
        <v>1595</v>
      </c>
      <c r="G708" s="29" t="s">
        <v>17</v>
      </c>
      <c r="H708" s="30" t="s">
        <v>1567</v>
      </c>
      <c r="I708" s="78"/>
      <c r="J708" s="20"/>
      <c r="K708" s="20"/>
      <c r="L708" s="20"/>
      <c r="M708" s="20"/>
      <c r="N708" s="179" t="s">
        <v>502</v>
      </c>
      <c r="O708" s="70">
        <v>0</v>
      </c>
      <c r="P708" s="70">
        <v>0</v>
      </c>
      <c r="Q708" s="70">
        <f t="shared" si="60"/>
        <v>0</v>
      </c>
      <c r="R708" s="70"/>
      <c r="S708" s="67"/>
      <c r="T708" s="2" t="str">
        <f t="shared" si="61"/>
        <v>Đào Ngọc Nam_11AT4</v>
      </c>
      <c r="U708" s="28">
        <f t="array" ref="U708">IFERROR(VLOOKUP($T708,'Nghi hoc T12'!$H$7:$I$160,2,0),0)</f>
        <v>0</v>
      </c>
      <c r="V708" s="28">
        <f>IFERROR(VLOOKUP($T708,No_HP!$B$2:$C$514,2,0),0)</f>
        <v>0</v>
      </c>
      <c r="W708" s="28">
        <f t="shared" si="62"/>
        <v>0</v>
      </c>
      <c r="X708" s="333">
        <f t="shared" si="63"/>
        <v>0</v>
      </c>
      <c r="Y708" s="333">
        <f t="shared" si="64"/>
        <v>0</v>
      </c>
    </row>
    <row r="709" spans="1:25" s="2" customFormat="1" ht="21.95" customHeight="1">
      <c r="A709" s="82">
        <v>11</v>
      </c>
      <c r="B709" s="91" t="str">
        <f t="shared" si="65"/>
        <v>6A.T</v>
      </c>
      <c r="C709" s="83" t="s">
        <v>363</v>
      </c>
      <c r="D709" s="81" t="s">
        <v>513</v>
      </c>
      <c r="E709" s="48">
        <v>100701</v>
      </c>
      <c r="F709" s="30" t="s">
        <v>1378</v>
      </c>
      <c r="G709" s="29" t="s">
        <v>17</v>
      </c>
      <c r="H709" s="30" t="s">
        <v>1565</v>
      </c>
      <c r="I709" s="78"/>
      <c r="J709" s="20"/>
      <c r="K709" s="20"/>
      <c r="L709" s="20"/>
      <c r="M709" s="20"/>
      <c r="N709" s="179" t="s">
        <v>502</v>
      </c>
      <c r="O709" s="70">
        <v>0</v>
      </c>
      <c r="P709" s="70">
        <v>0</v>
      </c>
      <c r="Q709" s="70">
        <f t="shared" si="60"/>
        <v>0</v>
      </c>
      <c r="R709" s="70"/>
      <c r="S709" s="67"/>
      <c r="T709" s="2" t="str">
        <f t="shared" si="61"/>
        <v>Hoàng Bảo Nam_11AT3</v>
      </c>
      <c r="U709" s="28">
        <f t="array" ref="U709">IFERROR(VLOOKUP($T709,'Nghi hoc T12'!$H$7:$I$160,2,0),0)</f>
        <v>0</v>
      </c>
      <c r="V709" s="28">
        <f>IFERROR(VLOOKUP($T709,No_HP!$B$2:$C$514,2,0),0)</f>
        <v>0</v>
      </c>
      <c r="W709" s="28">
        <f t="shared" si="62"/>
        <v>0</v>
      </c>
      <c r="X709" s="333">
        <f t="shared" si="63"/>
        <v>0</v>
      </c>
      <c r="Y709" s="333">
        <f t="shared" si="64"/>
        <v>0</v>
      </c>
    </row>
    <row r="710" spans="1:25" s="2" customFormat="1" ht="21.95" customHeight="1">
      <c r="A710" s="82">
        <v>12</v>
      </c>
      <c r="B710" s="91" t="str">
        <f t="shared" si="65"/>
        <v>6A.T</v>
      </c>
      <c r="C710" s="83" t="s">
        <v>363</v>
      </c>
      <c r="D710" s="81" t="s">
        <v>513</v>
      </c>
      <c r="E710" s="48">
        <v>100702</v>
      </c>
      <c r="F710" s="30" t="s">
        <v>1596</v>
      </c>
      <c r="G710" s="29" t="s">
        <v>19</v>
      </c>
      <c r="H710" s="30" t="s">
        <v>1567</v>
      </c>
      <c r="I710" s="78"/>
      <c r="J710" s="20"/>
      <c r="K710" s="20"/>
      <c r="L710" s="20"/>
      <c r="M710" s="20"/>
      <c r="N710" s="179" t="s">
        <v>502</v>
      </c>
      <c r="O710" s="70">
        <v>0</v>
      </c>
      <c r="P710" s="70">
        <v>0</v>
      </c>
      <c r="Q710" s="70">
        <f t="shared" si="60"/>
        <v>0</v>
      </c>
      <c r="R710" s="70"/>
      <c r="S710" s="67"/>
      <c r="T710" s="2" t="str">
        <f t="shared" si="61"/>
        <v>Huỳnh Thị Mỹ Ngọc_11AT4</v>
      </c>
      <c r="U710" s="28">
        <f t="array" ref="U710">IFERROR(VLOOKUP($T710,'Nghi hoc T12'!$H$7:$I$160,2,0),0)</f>
        <v>0</v>
      </c>
      <c r="V710" s="28">
        <f>IFERROR(VLOOKUP($T710,No_HP!$B$2:$C$514,2,0),0)</f>
        <v>0</v>
      </c>
      <c r="W710" s="28">
        <f t="shared" si="62"/>
        <v>0</v>
      </c>
      <c r="X710" s="333">
        <f t="shared" si="63"/>
        <v>0</v>
      </c>
      <c r="Y710" s="333">
        <f t="shared" si="64"/>
        <v>0</v>
      </c>
    </row>
    <row r="711" spans="1:25" s="2" customFormat="1" ht="21.95" customHeight="1">
      <c r="A711" s="82">
        <v>13</v>
      </c>
      <c r="B711" s="91" t="str">
        <f t="shared" si="65"/>
        <v>6A.T</v>
      </c>
      <c r="C711" s="83" t="s">
        <v>363</v>
      </c>
      <c r="D711" s="81" t="s">
        <v>513</v>
      </c>
      <c r="E711" s="48">
        <v>100703</v>
      </c>
      <c r="F711" s="30" t="s">
        <v>1597</v>
      </c>
      <c r="G711" s="29" t="s">
        <v>19</v>
      </c>
      <c r="H711" s="30" t="s">
        <v>1565</v>
      </c>
      <c r="I711" s="78"/>
      <c r="J711" s="20"/>
      <c r="K711" s="20"/>
      <c r="L711" s="20"/>
      <c r="M711" s="20"/>
      <c r="N711" s="179" t="s">
        <v>502</v>
      </c>
      <c r="O711" s="70">
        <v>0</v>
      </c>
      <c r="P711" s="70">
        <v>0</v>
      </c>
      <c r="Q711" s="70">
        <f t="shared" si="60"/>
        <v>0</v>
      </c>
      <c r="R711" s="70"/>
      <c r="S711" s="67"/>
      <c r="T711" s="2" t="str">
        <f t="shared" si="61"/>
        <v>Lê Trần Bảo Ngọc_11AT3</v>
      </c>
      <c r="U711" s="28">
        <f t="array" ref="U711">IFERROR(VLOOKUP($T711,'Nghi hoc T12'!$H$7:$I$160,2,0),0)</f>
        <v>0</v>
      </c>
      <c r="V711" s="28">
        <f>IFERROR(VLOOKUP($T711,No_HP!$B$2:$C$514,2,0),0)</f>
        <v>0</v>
      </c>
      <c r="W711" s="28">
        <f t="shared" si="62"/>
        <v>0</v>
      </c>
      <c r="X711" s="333">
        <f t="shared" si="63"/>
        <v>0</v>
      </c>
      <c r="Y711" s="333">
        <f t="shared" si="64"/>
        <v>0</v>
      </c>
    </row>
    <row r="712" spans="1:25" s="2" customFormat="1" ht="21.95" customHeight="1">
      <c r="A712" s="82">
        <v>14</v>
      </c>
      <c r="B712" s="91" t="str">
        <f t="shared" si="65"/>
        <v>6A.T</v>
      </c>
      <c r="C712" s="83" t="s">
        <v>363</v>
      </c>
      <c r="D712" s="81" t="s">
        <v>513</v>
      </c>
      <c r="E712" s="48">
        <v>100704</v>
      </c>
      <c r="F712" s="30" t="s">
        <v>1598</v>
      </c>
      <c r="G712" s="29" t="s">
        <v>19</v>
      </c>
      <c r="H712" s="30" t="s">
        <v>1567</v>
      </c>
      <c r="I712" s="78"/>
      <c r="J712" s="20"/>
      <c r="K712" s="20"/>
      <c r="L712" s="20"/>
      <c r="M712" s="20"/>
      <c r="N712" s="179" t="s">
        <v>502</v>
      </c>
      <c r="O712" s="70">
        <v>0</v>
      </c>
      <c r="P712" s="70">
        <v>0</v>
      </c>
      <c r="Q712" s="70">
        <f t="shared" si="60"/>
        <v>0</v>
      </c>
      <c r="R712" s="70"/>
      <c r="S712" s="67"/>
      <c r="T712" s="2" t="str">
        <f t="shared" si="61"/>
        <v>Nguyễn Ánh Dương Ngọc_11AT4</v>
      </c>
      <c r="U712" s="28">
        <f t="array" ref="U712">IFERROR(VLOOKUP($T712,'Nghi hoc T12'!$H$7:$I$160,2,0),0)</f>
        <v>0</v>
      </c>
      <c r="V712" s="28">
        <f>IFERROR(VLOOKUP($T712,No_HP!$B$2:$C$514,2,0),0)</f>
        <v>0</v>
      </c>
      <c r="W712" s="28">
        <f t="shared" si="62"/>
        <v>0</v>
      </c>
      <c r="X712" s="333">
        <f t="shared" si="63"/>
        <v>0</v>
      </c>
      <c r="Y712" s="333">
        <f t="shared" si="64"/>
        <v>0</v>
      </c>
    </row>
    <row r="713" spans="1:25" s="2" customFormat="1" ht="21.95" customHeight="1">
      <c r="A713" s="82">
        <v>15</v>
      </c>
      <c r="B713" s="91" t="str">
        <f t="shared" si="65"/>
        <v>6A.T</v>
      </c>
      <c r="C713" s="83" t="s">
        <v>363</v>
      </c>
      <c r="D713" s="81" t="s">
        <v>513</v>
      </c>
      <c r="E713" s="48">
        <v>100705</v>
      </c>
      <c r="F713" s="30" t="s">
        <v>298</v>
      </c>
      <c r="G713" s="29" t="s">
        <v>19</v>
      </c>
      <c r="H713" s="30" t="s">
        <v>1565</v>
      </c>
      <c r="I713" s="78"/>
      <c r="J713" s="20"/>
      <c r="K713" s="20"/>
      <c r="L713" s="20"/>
      <c r="M713" s="20"/>
      <c r="N713" s="179" t="s">
        <v>502</v>
      </c>
      <c r="O713" s="70">
        <v>0</v>
      </c>
      <c r="P713" s="70">
        <v>0</v>
      </c>
      <c r="Q713" s="70">
        <f t="shared" si="60"/>
        <v>0</v>
      </c>
      <c r="R713" s="70"/>
      <c r="S713" s="67"/>
      <c r="T713" s="2" t="str">
        <f t="shared" si="61"/>
        <v>Nguyễn Thị Khánh Ngọc_11AT3</v>
      </c>
      <c r="U713" s="28">
        <f t="array" ref="U713">IFERROR(VLOOKUP($T713,'Nghi hoc T12'!$H$7:$I$160,2,0),0)</f>
        <v>0</v>
      </c>
      <c r="V713" s="28">
        <f>IFERROR(VLOOKUP($T713,No_HP!$B$2:$C$514,2,0),0)</f>
        <v>0</v>
      </c>
      <c r="W713" s="28">
        <f t="shared" si="62"/>
        <v>0</v>
      </c>
      <c r="X713" s="333">
        <f t="shared" si="63"/>
        <v>0</v>
      </c>
      <c r="Y713" s="333">
        <f t="shared" si="64"/>
        <v>0</v>
      </c>
    </row>
    <row r="714" spans="1:25" s="2" customFormat="1" ht="21.95" customHeight="1">
      <c r="A714" s="82">
        <v>16</v>
      </c>
      <c r="B714" s="91" t="str">
        <f t="shared" si="65"/>
        <v>6A.T</v>
      </c>
      <c r="C714" s="83" t="s">
        <v>363</v>
      </c>
      <c r="D714" s="81" t="s">
        <v>513</v>
      </c>
      <c r="E714" s="48">
        <v>100706</v>
      </c>
      <c r="F714" s="30" t="s">
        <v>1599</v>
      </c>
      <c r="G714" s="29" t="s">
        <v>20</v>
      </c>
      <c r="H714" s="30" t="s">
        <v>1567</v>
      </c>
      <c r="I714" s="78"/>
      <c r="J714" s="20"/>
      <c r="K714" s="20"/>
      <c r="L714" s="20"/>
      <c r="M714" s="20"/>
      <c r="N714" s="179" t="s">
        <v>502</v>
      </c>
      <c r="O714" s="70">
        <v>0</v>
      </c>
      <c r="P714" s="70">
        <v>0</v>
      </c>
      <c r="Q714" s="70">
        <f t="shared" ref="Q714:Q777" si="66">U714</f>
        <v>0</v>
      </c>
      <c r="R714" s="70"/>
      <c r="S714" s="67"/>
      <c r="T714" s="2" t="str">
        <f t="shared" ref="T714:T777" si="67">TRIM(F714&amp;" "&amp;G714&amp;"_"&amp;H714)</f>
        <v>Đinh Hoàng Yến Nhi_11AT4</v>
      </c>
      <c r="U714" s="28">
        <f t="array" ref="U714">IFERROR(VLOOKUP($T714,'Nghi hoc T12'!$H$7:$I$160,2,0),0)</f>
        <v>0</v>
      </c>
      <c r="V714" s="28">
        <f>IFERROR(VLOOKUP($T714,No_HP!$B$2:$C$514,2,0),0)</f>
        <v>0</v>
      </c>
      <c r="W714" s="28">
        <f t="shared" ref="W714:W777" si="68">I714</f>
        <v>0</v>
      </c>
      <c r="X714" s="333">
        <f t="shared" ref="X714:X777" si="69">O714</f>
        <v>0</v>
      </c>
      <c r="Y714" s="333">
        <f t="shared" ref="Y714:Y777" si="70">P714</f>
        <v>0</v>
      </c>
    </row>
    <row r="715" spans="1:25" s="2" customFormat="1" ht="21.95" customHeight="1">
      <c r="A715" s="82">
        <v>17</v>
      </c>
      <c r="B715" s="91" t="str">
        <f t="shared" ref="B715:B778" si="71">RIGHT(D715,LEN(D715)-2)&amp;"."&amp;LEFT(N715,1)</f>
        <v>6A.T</v>
      </c>
      <c r="C715" s="83" t="s">
        <v>363</v>
      </c>
      <c r="D715" s="81" t="s">
        <v>513</v>
      </c>
      <c r="E715" s="48">
        <v>100707</v>
      </c>
      <c r="F715" s="30" t="s">
        <v>1600</v>
      </c>
      <c r="G715" s="29" t="s">
        <v>20</v>
      </c>
      <c r="H715" s="30" t="s">
        <v>1565</v>
      </c>
      <c r="I715" s="78"/>
      <c r="J715" s="20"/>
      <c r="K715" s="20"/>
      <c r="L715" s="20"/>
      <c r="M715" s="20"/>
      <c r="N715" s="179" t="s">
        <v>502</v>
      </c>
      <c r="O715" s="70">
        <v>0</v>
      </c>
      <c r="P715" s="70">
        <v>0</v>
      </c>
      <c r="Q715" s="70">
        <f t="shared" si="66"/>
        <v>0</v>
      </c>
      <c r="R715" s="70"/>
      <c r="S715" s="67"/>
      <c r="T715" s="2" t="str">
        <f t="shared" si="67"/>
        <v>Nguyễn Ngọc Yến Nhi_11AT3</v>
      </c>
      <c r="U715" s="28">
        <f t="array" ref="U715">IFERROR(VLOOKUP($T715,'Nghi hoc T12'!$H$7:$I$160,2,0),0)</f>
        <v>0</v>
      </c>
      <c r="V715" s="28">
        <f>IFERROR(VLOOKUP($T715,No_HP!$B$2:$C$514,2,0),0)</f>
        <v>0</v>
      </c>
      <c r="W715" s="28">
        <f t="shared" si="68"/>
        <v>0</v>
      </c>
      <c r="X715" s="333">
        <f t="shared" si="69"/>
        <v>0</v>
      </c>
      <c r="Y715" s="333">
        <f t="shared" si="70"/>
        <v>0</v>
      </c>
    </row>
    <row r="716" spans="1:25" s="2" customFormat="1" ht="21.95" customHeight="1">
      <c r="A716" s="82">
        <v>18</v>
      </c>
      <c r="B716" s="91" t="str">
        <f t="shared" si="71"/>
        <v>6A.T</v>
      </c>
      <c r="C716" s="83" t="s">
        <v>363</v>
      </c>
      <c r="D716" s="81" t="s">
        <v>513</v>
      </c>
      <c r="E716" s="48">
        <v>100708</v>
      </c>
      <c r="F716" s="30" t="s">
        <v>1214</v>
      </c>
      <c r="G716" s="29" t="s">
        <v>20</v>
      </c>
      <c r="H716" s="30" t="s">
        <v>1567</v>
      </c>
      <c r="I716" s="78"/>
      <c r="J716" s="20"/>
      <c r="K716" s="20"/>
      <c r="L716" s="20"/>
      <c r="M716" s="20"/>
      <c r="N716" s="179" t="s">
        <v>502</v>
      </c>
      <c r="O716" s="70">
        <v>0</v>
      </c>
      <c r="P716" s="70">
        <v>0</v>
      </c>
      <c r="Q716" s="70">
        <f t="shared" si="66"/>
        <v>0</v>
      </c>
      <c r="R716" s="70"/>
      <c r="S716" s="67"/>
      <c r="T716" s="2" t="str">
        <f t="shared" si="67"/>
        <v>Nguyễn Thị Hoài Nhi_11AT4</v>
      </c>
      <c r="U716" s="28">
        <f t="array" ref="U716">IFERROR(VLOOKUP($T716,'Nghi hoc T12'!$H$7:$I$160,2,0),0)</f>
        <v>0</v>
      </c>
      <c r="V716" s="28">
        <f>IFERROR(VLOOKUP($T716,No_HP!$B$2:$C$514,2,0),0)</f>
        <v>0</v>
      </c>
      <c r="W716" s="28">
        <f t="shared" si="68"/>
        <v>0</v>
      </c>
      <c r="X716" s="333">
        <f t="shared" si="69"/>
        <v>0</v>
      </c>
      <c r="Y716" s="333">
        <f t="shared" si="70"/>
        <v>0</v>
      </c>
    </row>
    <row r="717" spans="1:25" s="2" customFormat="1" ht="21.95" customHeight="1">
      <c r="A717" s="82">
        <v>19</v>
      </c>
      <c r="B717" s="91" t="str">
        <f t="shared" si="71"/>
        <v>6A.T</v>
      </c>
      <c r="C717" s="83" t="s">
        <v>363</v>
      </c>
      <c r="D717" s="81" t="s">
        <v>513</v>
      </c>
      <c r="E717" s="48">
        <v>100709</v>
      </c>
      <c r="F717" s="30" t="s">
        <v>225</v>
      </c>
      <c r="G717" s="29" t="s">
        <v>1601</v>
      </c>
      <c r="H717" s="30" t="s">
        <v>1565</v>
      </c>
      <c r="I717" s="78"/>
      <c r="J717" s="20"/>
      <c r="K717" s="20"/>
      <c r="L717" s="20"/>
      <c r="M717" s="20"/>
      <c r="N717" s="179" t="s">
        <v>502</v>
      </c>
      <c r="O717" s="70">
        <v>0</v>
      </c>
      <c r="P717" s="70">
        <v>0</v>
      </c>
      <c r="Q717" s="70">
        <f t="shared" si="66"/>
        <v>0</v>
      </c>
      <c r="R717" s="70"/>
      <c r="S717" s="67"/>
      <c r="T717" s="2" t="str">
        <f t="shared" si="67"/>
        <v>Trần Ngọc Nhiên_11AT3</v>
      </c>
      <c r="U717" s="28">
        <f t="array" ref="U717">IFERROR(VLOOKUP($T717,'Nghi hoc T12'!$H$7:$I$160,2,0),0)</f>
        <v>0</v>
      </c>
      <c r="V717" s="28">
        <f>IFERROR(VLOOKUP($T717,No_HP!$B$2:$C$514,2,0),0)</f>
        <v>0</v>
      </c>
      <c r="W717" s="28">
        <f t="shared" si="68"/>
        <v>0</v>
      </c>
      <c r="X717" s="333">
        <f t="shared" si="69"/>
        <v>0</v>
      </c>
      <c r="Y717" s="333">
        <f t="shared" si="70"/>
        <v>0</v>
      </c>
    </row>
    <row r="718" spans="1:25" s="2" customFormat="1" ht="21.95" customHeight="1">
      <c r="A718" s="82">
        <v>20</v>
      </c>
      <c r="B718" s="91" t="str">
        <f t="shared" si="71"/>
        <v>6A.T</v>
      </c>
      <c r="C718" s="83" t="s">
        <v>363</v>
      </c>
      <c r="D718" s="81" t="s">
        <v>513</v>
      </c>
      <c r="E718" s="48">
        <v>100710</v>
      </c>
      <c r="F718" s="30" t="s">
        <v>446</v>
      </c>
      <c r="G718" s="29" t="s">
        <v>21</v>
      </c>
      <c r="H718" s="30" t="s">
        <v>1567</v>
      </c>
      <c r="I718" s="78"/>
      <c r="J718" s="20"/>
      <c r="K718" s="20"/>
      <c r="L718" s="20"/>
      <c r="M718" s="20"/>
      <c r="N718" s="179" t="s">
        <v>502</v>
      </c>
      <c r="O718" s="70">
        <v>0</v>
      </c>
      <c r="P718" s="70">
        <v>0</v>
      </c>
      <c r="Q718" s="70">
        <f t="shared" si="66"/>
        <v>0</v>
      </c>
      <c r="R718" s="70"/>
      <c r="S718" s="67"/>
      <c r="T718" s="2" t="str">
        <f t="shared" si="67"/>
        <v>Nguyễn Ngọc Quỳnh Như_11AT4</v>
      </c>
      <c r="U718" s="28">
        <f t="array" ref="U718">IFERROR(VLOOKUP($T718,'Nghi hoc T12'!$H$7:$I$160,2,0),0)</f>
        <v>0</v>
      </c>
      <c r="V718" s="28">
        <f>IFERROR(VLOOKUP($T718,No_HP!$B$2:$C$514,2,0),0)</f>
        <v>0</v>
      </c>
      <c r="W718" s="28">
        <f t="shared" si="68"/>
        <v>0</v>
      </c>
      <c r="X718" s="333">
        <f t="shared" si="69"/>
        <v>0</v>
      </c>
      <c r="Y718" s="333">
        <f t="shared" si="70"/>
        <v>0</v>
      </c>
    </row>
    <row r="719" spans="1:25" s="2" customFormat="1" ht="21.95" customHeight="1">
      <c r="A719" s="82">
        <v>21</v>
      </c>
      <c r="B719" s="91" t="str">
        <f t="shared" si="71"/>
        <v>6A.T</v>
      </c>
      <c r="C719" s="83" t="s">
        <v>363</v>
      </c>
      <c r="D719" s="81" t="s">
        <v>513</v>
      </c>
      <c r="E719" s="48">
        <v>100711</v>
      </c>
      <c r="F719" s="30" t="s">
        <v>291</v>
      </c>
      <c r="G719" s="29" t="s">
        <v>21</v>
      </c>
      <c r="H719" s="30" t="s">
        <v>1567</v>
      </c>
      <c r="I719" s="78"/>
      <c r="J719" s="20"/>
      <c r="K719" s="20"/>
      <c r="L719" s="20"/>
      <c r="M719" s="20"/>
      <c r="N719" s="179" t="s">
        <v>502</v>
      </c>
      <c r="O719" s="70">
        <v>0</v>
      </c>
      <c r="P719" s="70">
        <v>0</v>
      </c>
      <c r="Q719" s="70">
        <f t="shared" si="66"/>
        <v>0</v>
      </c>
      <c r="R719" s="70"/>
      <c r="S719" s="67"/>
      <c r="T719" s="2" t="str">
        <f t="shared" si="67"/>
        <v>Trần Ngọc Thiên Như_11AT4</v>
      </c>
      <c r="U719" s="28">
        <f t="array" ref="U719">IFERROR(VLOOKUP($T719,'Nghi hoc T12'!$H$7:$I$160,2,0),0)</f>
        <v>0</v>
      </c>
      <c r="V719" s="28">
        <f>IFERROR(VLOOKUP($T719,No_HP!$B$2:$C$514,2,0),0)</f>
        <v>0</v>
      </c>
      <c r="W719" s="28">
        <f t="shared" si="68"/>
        <v>0</v>
      </c>
      <c r="X719" s="333">
        <f t="shared" si="69"/>
        <v>0</v>
      </c>
      <c r="Y719" s="333">
        <f t="shared" si="70"/>
        <v>0</v>
      </c>
    </row>
    <row r="720" spans="1:25" s="2" customFormat="1" ht="21.95" customHeight="1">
      <c r="A720" s="82">
        <v>22</v>
      </c>
      <c r="B720" s="91" t="str">
        <f t="shared" si="71"/>
        <v>6A.T</v>
      </c>
      <c r="C720" s="83" t="s">
        <v>363</v>
      </c>
      <c r="D720" s="81" t="s">
        <v>513</v>
      </c>
      <c r="E720" s="48">
        <v>100712</v>
      </c>
      <c r="F720" s="30" t="s">
        <v>1602</v>
      </c>
      <c r="G720" s="29" t="s">
        <v>70</v>
      </c>
      <c r="H720" s="30" t="s">
        <v>1565</v>
      </c>
      <c r="I720" s="78"/>
      <c r="J720" s="20"/>
      <c r="K720" s="20"/>
      <c r="L720" s="20"/>
      <c r="M720" s="20"/>
      <c r="N720" s="179" t="s">
        <v>502</v>
      </c>
      <c r="O720" s="70">
        <v>0</v>
      </c>
      <c r="P720" s="70">
        <v>0</v>
      </c>
      <c r="Q720" s="70">
        <f t="shared" si="66"/>
        <v>0</v>
      </c>
      <c r="R720" s="70"/>
      <c r="S720" s="67"/>
      <c r="T720" s="2" t="str">
        <f t="shared" si="67"/>
        <v>Trần Phong_11AT3</v>
      </c>
      <c r="U720" s="28">
        <f t="array" ref="U720">IFERROR(VLOOKUP($T720,'Nghi hoc T12'!$H$7:$I$160,2,0),0)</f>
        <v>0</v>
      </c>
      <c r="V720" s="28">
        <f>IFERROR(VLOOKUP($T720,No_HP!$B$2:$C$514,2,0),0)</f>
        <v>0</v>
      </c>
      <c r="W720" s="28">
        <f t="shared" si="68"/>
        <v>0</v>
      </c>
      <c r="X720" s="333">
        <f t="shared" si="69"/>
        <v>0</v>
      </c>
      <c r="Y720" s="333">
        <f t="shared" si="70"/>
        <v>0</v>
      </c>
    </row>
    <row r="721" spans="1:25" s="2" customFormat="1" ht="21.95" customHeight="1">
      <c r="A721" s="82">
        <v>23</v>
      </c>
      <c r="B721" s="91" t="str">
        <f t="shared" si="71"/>
        <v>6A.T</v>
      </c>
      <c r="C721" s="83" t="s">
        <v>363</v>
      </c>
      <c r="D721" s="81" t="s">
        <v>513</v>
      </c>
      <c r="E721" s="48">
        <v>100713</v>
      </c>
      <c r="F721" s="30" t="s">
        <v>1603</v>
      </c>
      <c r="G721" s="29" t="s">
        <v>71</v>
      </c>
      <c r="H721" s="30" t="s">
        <v>1565</v>
      </c>
      <c r="I721" s="78"/>
      <c r="J721" s="20"/>
      <c r="K721" s="20"/>
      <c r="L721" s="20"/>
      <c r="M721" s="20"/>
      <c r="N721" s="179" t="s">
        <v>502</v>
      </c>
      <c r="O721" s="70">
        <v>0</v>
      </c>
      <c r="P721" s="70">
        <v>0</v>
      </c>
      <c r="Q721" s="70">
        <f t="shared" si="66"/>
        <v>0</v>
      </c>
      <c r="R721" s="70"/>
      <c r="S721" s="67"/>
      <c r="T721" s="2" t="str">
        <f t="shared" si="67"/>
        <v>Nguyễn Vĩnh Thiên Phúc_11AT3</v>
      </c>
      <c r="U721" s="28">
        <f t="array" ref="U721">IFERROR(VLOOKUP($T721,'Nghi hoc T12'!$H$7:$I$160,2,0),0)</f>
        <v>0</v>
      </c>
      <c r="V721" s="28">
        <f>IFERROR(VLOOKUP($T721,No_HP!$B$2:$C$514,2,0),0)</f>
        <v>0</v>
      </c>
      <c r="W721" s="28">
        <f t="shared" si="68"/>
        <v>0</v>
      </c>
      <c r="X721" s="333">
        <f t="shared" si="69"/>
        <v>0</v>
      </c>
      <c r="Y721" s="333">
        <f t="shared" si="70"/>
        <v>0</v>
      </c>
    </row>
    <row r="722" spans="1:25" s="2" customFormat="1" ht="21.95" customHeight="1">
      <c r="A722" s="82">
        <v>24</v>
      </c>
      <c r="B722" s="91" t="str">
        <f t="shared" si="71"/>
        <v>6A.T</v>
      </c>
      <c r="C722" s="83" t="s">
        <v>363</v>
      </c>
      <c r="D722" s="81" t="s">
        <v>513</v>
      </c>
      <c r="E722" s="48">
        <v>100714</v>
      </c>
      <c r="F722" s="30" t="s">
        <v>199</v>
      </c>
      <c r="G722" s="29" t="s">
        <v>71</v>
      </c>
      <c r="H722" s="30" t="s">
        <v>1567</v>
      </c>
      <c r="I722" s="78"/>
      <c r="J722" s="20"/>
      <c r="K722" s="20"/>
      <c r="L722" s="20"/>
      <c r="M722" s="20"/>
      <c r="N722" s="179" t="s">
        <v>502</v>
      </c>
      <c r="O722" s="70">
        <v>0</v>
      </c>
      <c r="P722" s="70">
        <v>0</v>
      </c>
      <c r="Q722" s="70">
        <f t="shared" si="66"/>
        <v>0</v>
      </c>
      <c r="R722" s="70"/>
      <c r="S722" s="67"/>
      <c r="T722" s="2" t="str">
        <f t="shared" si="67"/>
        <v>Phạm Hữu Phúc_11AT4</v>
      </c>
      <c r="U722" s="28">
        <f t="array" ref="U722">IFERROR(VLOOKUP($T722,'Nghi hoc T12'!$H$7:$I$160,2,0),0)</f>
        <v>0</v>
      </c>
      <c r="V722" s="28">
        <f>IFERROR(VLOOKUP($T722,No_HP!$B$2:$C$514,2,0),0)</f>
        <v>0</v>
      </c>
      <c r="W722" s="28">
        <f t="shared" si="68"/>
        <v>0</v>
      </c>
      <c r="X722" s="333">
        <f t="shared" si="69"/>
        <v>0</v>
      </c>
      <c r="Y722" s="333">
        <f t="shared" si="70"/>
        <v>0</v>
      </c>
    </row>
    <row r="723" spans="1:25" s="2" customFormat="1" ht="21.95" customHeight="1">
      <c r="A723" s="82">
        <v>25</v>
      </c>
      <c r="B723" s="91" t="str">
        <f t="shared" si="71"/>
        <v>6A.T</v>
      </c>
      <c r="C723" s="83" t="s">
        <v>363</v>
      </c>
      <c r="D723" s="81" t="s">
        <v>513</v>
      </c>
      <c r="E723" s="48">
        <v>100715</v>
      </c>
      <c r="F723" s="30" t="s">
        <v>10</v>
      </c>
      <c r="G723" s="29" t="s">
        <v>284</v>
      </c>
      <c r="H723" s="30" t="s">
        <v>1567</v>
      </c>
      <c r="I723" s="78"/>
      <c r="J723" s="20"/>
      <c r="K723" s="20"/>
      <c r="L723" s="20"/>
      <c r="M723" s="20"/>
      <c r="N723" s="179" t="s">
        <v>502</v>
      </c>
      <c r="O723" s="70">
        <v>0</v>
      </c>
      <c r="P723" s="70">
        <v>0</v>
      </c>
      <c r="Q723" s="70">
        <f t="shared" si="66"/>
        <v>0</v>
      </c>
      <c r="R723" s="70"/>
      <c r="S723" s="67"/>
      <c r="T723" s="2" t="str">
        <f t="shared" si="67"/>
        <v>Hoàng Phước_11AT4</v>
      </c>
      <c r="U723" s="28">
        <f t="array" ref="U723">IFERROR(VLOOKUP($T723,'Nghi hoc T12'!$H$7:$I$160,2,0),0)</f>
        <v>0</v>
      </c>
      <c r="V723" s="28">
        <f>IFERROR(VLOOKUP($T723,No_HP!$B$2:$C$514,2,0),0)</f>
        <v>0</v>
      </c>
      <c r="W723" s="28">
        <f t="shared" si="68"/>
        <v>0</v>
      </c>
      <c r="X723" s="333">
        <f t="shared" si="69"/>
        <v>0</v>
      </c>
      <c r="Y723" s="333">
        <f t="shared" si="70"/>
        <v>0</v>
      </c>
    </row>
    <row r="724" spans="1:25" s="2" customFormat="1" ht="21.95" customHeight="1">
      <c r="A724" s="82">
        <v>26</v>
      </c>
      <c r="B724" s="91" t="str">
        <f t="shared" si="71"/>
        <v>6A.T</v>
      </c>
      <c r="C724" s="83" t="s">
        <v>363</v>
      </c>
      <c r="D724" s="81" t="s">
        <v>513</v>
      </c>
      <c r="E724" s="48">
        <v>100716</v>
      </c>
      <c r="F724" s="30" t="s">
        <v>488</v>
      </c>
      <c r="G724" s="29" t="s">
        <v>43</v>
      </c>
      <c r="H724" s="30" t="s">
        <v>1567</v>
      </c>
      <c r="I724" s="78"/>
      <c r="J724" s="20"/>
      <c r="K724" s="20"/>
      <c r="L724" s="20"/>
      <c r="M724" s="20"/>
      <c r="N724" s="179" t="s">
        <v>502</v>
      </c>
      <c r="O724" s="70">
        <v>0</v>
      </c>
      <c r="P724" s="70">
        <v>0</v>
      </c>
      <c r="Q724" s="70">
        <f t="shared" si="66"/>
        <v>0</v>
      </c>
      <c r="R724" s="70"/>
      <c r="S724" s="67"/>
      <c r="T724" s="2" t="str">
        <f t="shared" si="67"/>
        <v>Nguyễn Mai Phương_11AT4</v>
      </c>
      <c r="U724" s="28">
        <f t="array" ref="U724">IFERROR(VLOOKUP($T724,'Nghi hoc T12'!$H$7:$I$160,2,0),0)</f>
        <v>0</v>
      </c>
      <c r="V724" s="28">
        <f>IFERROR(VLOOKUP($T724,No_HP!$B$2:$C$514,2,0),0)</f>
        <v>0</v>
      </c>
      <c r="W724" s="28">
        <f t="shared" si="68"/>
        <v>0</v>
      </c>
      <c r="X724" s="333">
        <f t="shared" si="69"/>
        <v>0</v>
      </c>
      <c r="Y724" s="333">
        <f t="shared" si="70"/>
        <v>0</v>
      </c>
    </row>
    <row r="725" spans="1:25" s="2" customFormat="1" ht="21.95" customHeight="1">
      <c r="A725" s="82">
        <v>27</v>
      </c>
      <c r="B725" s="91" t="str">
        <f t="shared" si="71"/>
        <v>6A.T</v>
      </c>
      <c r="C725" s="83" t="s">
        <v>363</v>
      </c>
      <c r="D725" s="81" t="s">
        <v>513</v>
      </c>
      <c r="E725" s="48">
        <v>100717</v>
      </c>
      <c r="F725" s="30" t="s">
        <v>239</v>
      </c>
      <c r="G725" s="29" t="s">
        <v>43</v>
      </c>
      <c r="H725" s="30" t="s">
        <v>1565</v>
      </c>
      <c r="I725" s="78"/>
      <c r="J725" s="20"/>
      <c r="K725" s="20"/>
      <c r="L725" s="20"/>
      <c r="M725" s="20"/>
      <c r="N725" s="179" t="s">
        <v>502</v>
      </c>
      <c r="O725" s="70">
        <v>0</v>
      </c>
      <c r="P725" s="70">
        <v>0</v>
      </c>
      <c r="Q725" s="70">
        <f t="shared" si="66"/>
        <v>0</v>
      </c>
      <c r="R725" s="70"/>
      <c r="S725" s="67"/>
      <c r="T725" s="2" t="str">
        <f t="shared" si="67"/>
        <v>Nguyễn Ngọc Anh Phương_11AT3</v>
      </c>
      <c r="U725" s="28">
        <f t="array" ref="U725">IFERROR(VLOOKUP($T725,'Nghi hoc T12'!$H$7:$I$160,2,0),0)</f>
        <v>0</v>
      </c>
      <c r="V725" s="28">
        <f>IFERROR(VLOOKUP($T725,No_HP!$B$2:$C$514,2,0),0)</f>
        <v>0</v>
      </c>
      <c r="W725" s="28">
        <f t="shared" si="68"/>
        <v>0</v>
      </c>
      <c r="X725" s="333">
        <f t="shared" si="69"/>
        <v>0</v>
      </c>
      <c r="Y725" s="333">
        <f t="shared" si="70"/>
        <v>0</v>
      </c>
    </row>
    <row r="726" spans="1:25" s="2" customFormat="1" ht="21.95" customHeight="1">
      <c r="A726" s="82">
        <v>28</v>
      </c>
      <c r="B726" s="91" t="str">
        <f t="shared" si="71"/>
        <v>6A.T</v>
      </c>
      <c r="C726" s="83" t="s">
        <v>363</v>
      </c>
      <c r="D726" s="81" t="s">
        <v>513</v>
      </c>
      <c r="E726" s="48">
        <v>100718</v>
      </c>
      <c r="F726" s="30" t="s">
        <v>1604</v>
      </c>
      <c r="G726" s="29" t="s">
        <v>43</v>
      </c>
      <c r="H726" s="30" t="s">
        <v>1565</v>
      </c>
      <c r="I726" s="78"/>
      <c r="J726" s="20"/>
      <c r="K726" s="20"/>
      <c r="L726" s="20"/>
      <c r="M726" s="20"/>
      <c r="N726" s="179" t="s">
        <v>502</v>
      </c>
      <c r="O726" s="70">
        <v>0</v>
      </c>
      <c r="P726" s="70">
        <v>0</v>
      </c>
      <c r="Q726" s="70">
        <f t="shared" si="66"/>
        <v>0</v>
      </c>
      <c r="R726" s="70"/>
      <c r="S726" s="67"/>
      <c r="T726" s="2" t="str">
        <f t="shared" si="67"/>
        <v>Nguyễn Phúc Xuyên Phương_11AT3</v>
      </c>
      <c r="U726" s="28">
        <f t="array" ref="U726">IFERROR(VLOOKUP($T726,'Nghi hoc T12'!$H$7:$I$160,2,0),0)</f>
        <v>0</v>
      </c>
      <c r="V726" s="28">
        <f>IFERROR(VLOOKUP($T726,No_HP!$B$2:$C$514,2,0),0)</f>
        <v>0</v>
      </c>
      <c r="W726" s="28">
        <f t="shared" si="68"/>
        <v>0</v>
      </c>
      <c r="X726" s="333">
        <f t="shared" si="69"/>
        <v>0</v>
      </c>
      <c r="Y726" s="333">
        <f t="shared" si="70"/>
        <v>0</v>
      </c>
    </row>
    <row r="727" spans="1:25" s="2" customFormat="1" ht="21.95" customHeight="1">
      <c r="A727" s="82">
        <v>29</v>
      </c>
      <c r="B727" s="91" t="str">
        <f t="shared" si="71"/>
        <v>6A.T</v>
      </c>
      <c r="C727" s="83" t="s">
        <v>363</v>
      </c>
      <c r="D727" s="81" t="s">
        <v>513</v>
      </c>
      <c r="E727" s="48">
        <v>100719</v>
      </c>
      <c r="F727" s="30" t="s">
        <v>1287</v>
      </c>
      <c r="G727" s="29" t="s">
        <v>44</v>
      </c>
      <c r="H727" s="30" t="s">
        <v>1565</v>
      </c>
      <c r="I727" s="78"/>
      <c r="J727" s="20"/>
      <c r="K727" s="20"/>
      <c r="L727" s="20"/>
      <c r="M727" s="20"/>
      <c r="N727" s="179" t="s">
        <v>502</v>
      </c>
      <c r="O727" s="70">
        <v>0</v>
      </c>
      <c r="P727" s="70">
        <v>0</v>
      </c>
      <c r="Q727" s="70">
        <f t="shared" si="66"/>
        <v>0</v>
      </c>
      <c r="R727" s="70"/>
      <c r="S727" s="67"/>
      <c r="T727" s="2" t="str">
        <f t="shared" si="67"/>
        <v>Huỳnh Thanh Quang_11AT3</v>
      </c>
      <c r="U727" s="28">
        <f t="array" ref="U727">IFERROR(VLOOKUP($T727,'Nghi hoc T12'!$H$7:$I$160,2,0),0)</f>
        <v>0</v>
      </c>
      <c r="V727" s="28">
        <f>IFERROR(VLOOKUP($T727,No_HP!$B$2:$C$514,2,0),0)</f>
        <v>0</v>
      </c>
      <c r="W727" s="28">
        <f t="shared" si="68"/>
        <v>0</v>
      </c>
      <c r="X727" s="333">
        <f t="shared" si="69"/>
        <v>0</v>
      </c>
      <c r="Y727" s="333">
        <f t="shared" si="70"/>
        <v>0</v>
      </c>
    </row>
    <row r="728" spans="1:25" s="2" customFormat="1" ht="21.95" customHeight="1">
      <c r="A728" s="82">
        <v>30</v>
      </c>
      <c r="B728" s="91" t="str">
        <f t="shared" si="71"/>
        <v>6A.T</v>
      </c>
      <c r="C728" s="83" t="s">
        <v>363</v>
      </c>
      <c r="D728" s="81" t="s">
        <v>513</v>
      </c>
      <c r="E728" s="48">
        <v>100720</v>
      </c>
      <c r="F728" s="30" t="s">
        <v>354</v>
      </c>
      <c r="G728" s="29" t="s">
        <v>57</v>
      </c>
      <c r="H728" s="30" t="s">
        <v>1565</v>
      </c>
      <c r="I728" s="78"/>
      <c r="J728" s="20"/>
      <c r="K728" s="20"/>
      <c r="L728" s="20"/>
      <c r="M728" s="20"/>
      <c r="N728" s="179" t="s">
        <v>502</v>
      </c>
      <c r="O728" s="70">
        <v>0</v>
      </c>
      <c r="P728" s="70">
        <v>0</v>
      </c>
      <c r="Q728" s="70">
        <f t="shared" si="66"/>
        <v>0</v>
      </c>
      <c r="R728" s="70"/>
      <c r="S728" s="67"/>
      <c r="T728" s="2" t="str">
        <f t="shared" si="67"/>
        <v>Trần Hoàng Quân_11AT3</v>
      </c>
      <c r="U728" s="28">
        <f t="array" ref="U728">IFERROR(VLOOKUP($T728,'Nghi hoc T12'!$H$7:$I$160,2,0),0)</f>
        <v>0</v>
      </c>
      <c r="V728" s="28">
        <f>IFERROR(VLOOKUP($T728,No_HP!$B$2:$C$514,2,0),0)</f>
        <v>0</v>
      </c>
      <c r="W728" s="28">
        <f t="shared" si="68"/>
        <v>0</v>
      </c>
      <c r="X728" s="333">
        <f t="shared" si="69"/>
        <v>0</v>
      </c>
      <c r="Y728" s="333">
        <f t="shared" si="70"/>
        <v>0</v>
      </c>
    </row>
    <row r="729" spans="1:25" s="2" customFormat="1" ht="21.95" customHeight="1">
      <c r="A729" s="200">
        <v>1</v>
      </c>
      <c r="B729" s="91" t="str">
        <f t="shared" si="71"/>
        <v>7A.T</v>
      </c>
      <c r="C729" s="185" t="s">
        <v>363</v>
      </c>
      <c r="D729" s="186" t="s">
        <v>1605</v>
      </c>
      <c r="E729" s="187">
        <v>100721</v>
      </c>
      <c r="F729" s="188" t="s">
        <v>344</v>
      </c>
      <c r="G729" s="189" t="s">
        <v>1606</v>
      </c>
      <c r="H729" s="188" t="s">
        <v>1567</v>
      </c>
      <c r="I729" s="190"/>
      <c r="J729" s="191"/>
      <c r="K729" s="191"/>
      <c r="L729" s="191"/>
      <c r="M729" s="191"/>
      <c r="N729" s="179" t="s">
        <v>502</v>
      </c>
      <c r="O729" s="70">
        <v>0</v>
      </c>
      <c r="P729" s="70">
        <v>0</v>
      </c>
      <c r="Q729" s="70">
        <f t="shared" si="66"/>
        <v>0</v>
      </c>
      <c r="R729" s="70"/>
      <c r="S729" s="67"/>
      <c r="T729" s="2" t="str">
        <f t="shared" si="67"/>
        <v>Lê Duy Quyết_11AT4</v>
      </c>
      <c r="U729" s="28">
        <f t="array" ref="U729">IFERROR(VLOOKUP($T729,'Nghi hoc T12'!$H$7:$I$160,2,0),0)</f>
        <v>0</v>
      </c>
      <c r="V729" s="28">
        <f>IFERROR(VLOOKUP($T729,No_HP!$B$2:$C$514,2,0),0)</f>
        <v>0</v>
      </c>
      <c r="W729" s="28">
        <f t="shared" si="68"/>
        <v>0</v>
      </c>
      <c r="X729" s="333">
        <f t="shared" si="69"/>
        <v>0</v>
      </c>
      <c r="Y729" s="333">
        <f t="shared" si="70"/>
        <v>0</v>
      </c>
    </row>
    <row r="730" spans="1:25" s="2" customFormat="1" ht="21.95" customHeight="1">
      <c r="A730" s="82">
        <v>2</v>
      </c>
      <c r="B730" s="91" t="str">
        <f t="shared" si="71"/>
        <v>7A.T</v>
      </c>
      <c r="C730" s="83" t="s">
        <v>363</v>
      </c>
      <c r="D730" s="81" t="s">
        <v>1605</v>
      </c>
      <c r="E730" s="48">
        <v>100722</v>
      </c>
      <c r="F730" s="30" t="s">
        <v>1607</v>
      </c>
      <c r="G730" s="29" t="s">
        <v>22</v>
      </c>
      <c r="H730" s="30" t="s">
        <v>1567</v>
      </c>
      <c r="I730" s="78"/>
      <c r="J730" s="20"/>
      <c r="K730" s="20"/>
      <c r="L730" s="20"/>
      <c r="M730" s="20"/>
      <c r="N730" s="179" t="s">
        <v>502</v>
      </c>
      <c r="O730" s="70">
        <v>0</v>
      </c>
      <c r="P730" s="70">
        <v>0</v>
      </c>
      <c r="Q730" s="70">
        <f t="shared" si="66"/>
        <v>0</v>
      </c>
      <c r="R730" s="70"/>
      <c r="S730" s="67"/>
      <c r="T730" s="2" t="str">
        <f t="shared" si="67"/>
        <v>Phạm Đinh Ngọc Nhã Quỳnh_11AT4</v>
      </c>
      <c r="U730" s="28">
        <f t="array" ref="U730">IFERROR(VLOOKUP($T730,'Nghi hoc T12'!$H$7:$I$160,2,0),0)</f>
        <v>0</v>
      </c>
      <c r="V730" s="28">
        <f>IFERROR(VLOOKUP($T730,No_HP!$B$2:$C$514,2,0),0)</f>
        <v>0</v>
      </c>
      <c r="W730" s="28">
        <f t="shared" si="68"/>
        <v>0</v>
      </c>
      <c r="X730" s="333">
        <f t="shared" si="69"/>
        <v>0</v>
      </c>
      <c r="Y730" s="333">
        <f t="shared" si="70"/>
        <v>0</v>
      </c>
    </row>
    <row r="731" spans="1:25" s="2" customFormat="1" ht="21.95" customHeight="1">
      <c r="A731" s="82">
        <v>3</v>
      </c>
      <c r="B731" s="91" t="str">
        <f t="shared" si="71"/>
        <v>7A.T</v>
      </c>
      <c r="C731" s="83" t="s">
        <v>363</v>
      </c>
      <c r="D731" s="81" t="s">
        <v>1605</v>
      </c>
      <c r="E731" s="48">
        <v>100723</v>
      </c>
      <c r="F731" s="30" t="s">
        <v>142</v>
      </c>
      <c r="G731" s="29" t="s">
        <v>47</v>
      </c>
      <c r="H731" s="30" t="s">
        <v>1565</v>
      </c>
      <c r="I731" s="78"/>
      <c r="J731" s="20"/>
      <c r="K731" s="20"/>
      <c r="L731" s="20"/>
      <c r="M731" s="20"/>
      <c r="N731" s="179" t="s">
        <v>502</v>
      </c>
      <c r="O731" s="70">
        <v>0</v>
      </c>
      <c r="P731" s="70">
        <v>0</v>
      </c>
      <c r="Q731" s="70">
        <f t="shared" si="66"/>
        <v>0</v>
      </c>
      <c r="R731" s="70"/>
      <c r="S731" s="67"/>
      <c r="T731" s="2" t="str">
        <f t="shared" si="67"/>
        <v>Nguyễn Tấn Sang_11AT3</v>
      </c>
      <c r="U731" s="28">
        <f t="array" ref="U731">IFERROR(VLOOKUP($T731,'Nghi hoc T12'!$H$7:$I$160,2,0),0)</f>
        <v>0</v>
      </c>
      <c r="V731" s="28">
        <f>IFERROR(VLOOKUP($T731,No_HP!$B$2:$C$514,2,0),0)</f>
        <v>0</v>
      </c>
      <c r="W731" s="28">
        <f t="shared" si="68"/>
        <v>0</v>
      </c>
      <c r="X731" s="333">
        <f t="shared" si="69"/>
        <v>0</v>
      </c>
      <c r="Y731" s="333">
        <f t="shared" si="70"/>
        <v>0</v>
      </c>
    </row>
    <row r="732" spans="1:25" s="2" customFormat="1" ht="21.95" customHeight="1">
      <c r="A732" s="82">
        <v>4</v>
      </c>
      <c r="B732" s="91" t="str">
        <f t="shared" si="71"/>
        <v>7A.T</v>
      </c>
      <c r="C732" s="83" t="s">
        <v>363</v>
      </c>
      <c r="D732" s="81" t="s">
        <v>1605</v>
      </c>
      <c r="E732" s="48">
        <v>100724</v>
      </c>
      <c r="F732" s="30" t="s">
        <v>1608</v>
      </c>
      <c r="G732" s="29" t="s">
        <v>47</v>
      </c>
      <c r="H732" s="30" t="s">
        <v>1567</v>
      </c>
      <c r="I732" s="78"/>
      <c r="J732" s="20"/>
      <c r="K732" s="20"/>
      <c r="L732" s="20"/>
      <c r="M732" s="20"/>
      <c r="N732" s="179" t="s">
        <v>502</v>
      </c>
      <c r="O732" s="70">
        <v>0</v>
      </c>
      <c r="P732" s="70">
        <v>0</v>
      </c>
      <c r="Q732" s="70">
        <f t="shared" si="66"/>
        <v>0</v>
      </c>
      <c r="R732" s="70"/>
      <c r="S732" s="67"/>
      <c r="T732" s="2" t="str">
        <f t="shared" si="67"/>
        <v>Thạch Phan Minh Sang_11AT4</v>
      </c>
      <c r="U732" s="28">
        <f t="array" ref="U732">IFERROR(VLOOKUP($T732,'Nghi hoc T12'!$H$7:$I$160,2,0),0)</f>
        <v>0</v>
      </c>
      <c r="V732" s="28">
        <f>IFERROR(VLOOKUP($T732,No_HP!$B$2:$C$514,2,0),0)</f>
        <v>0</v>
      </c>
      <c r="W732" s="28">
        <f t="shared" si="68"/>
        <v>0</v>
      </c>
      <c r="X732" s="333">
        <f t="shared" si="69"/>
        <v>0</v>
      </c>
      <c r="Y732" s="333">
        <f t="shared" si="70"/>
        <v>0</v>
      </c>
    </row>
    <row r="733" spans="1:25" s="2" customFormat="1" ht="21.95" customHeight="1">
      <c r="A733" s="82">
        <v>5</v>
      </c>
      <c r="B733" s="91" t="str">
        <f t="shared" si="71"/>
        <v>7A.T</v>
      </c>
      <c r="C733" s="83" t="s">
        <v>363</v>
      </c>
      <c r="D733" s="81" t="s">
        <v>1605</v>
      </c>
      <c r="E733" s="48">
        <v>100725</v>
      </c>
      <c r="F733" s="30" t="s">
        <v>1609</v>
      </c>
      <c r="G733" s="29" t="s">
        <v>97</v>
      </c>
      <c r="H733" s="30" t="s">
        <v>1567</v>
      </c>
      <c r="I733" s="78"/>
      <c r="J733" s="20"/>
      <c r="K733" s="20"/>
      <c r="L733" s="20"/>
      <c r="M733" s="20"/>
      <c r="N733" s="179" t="s">
        <v>502</v>
      </c>
      <c r="O733" s="70">
        <v>0</v>
      </c>
      <c r="P733" s="70">
        <v>0</v>
      </c>
      <c r="Q733" s="70">
        <f t="shared" si="66"/>
        <v>0</v>
      </c>
      <c r="R733" s="70"/>
      <c r="S733" s="67"/>
      <c r="T733" s="2" t="str">
        <f t="shared" si="67"/>
        <v>Lý Lã Nhật Tân_11AT4</v>
      </c>
      <c r="U733" s="28">
        <f t="array" ref="U733">IFERROR(VLOOKUP($T733,'Nghi hoc T12'!$H$7:$I$160,2,0),0)</f>
        <v>0</v>
      </c>
      <c r="V733" s="28">
        <f>IFERROR(VLOOKUP($T733,No_HP!$B$2:$C$514,2,0),0)</f>
        <v>0</v>
      </c>
      <c r="W733" s="28">
        <f t="shared" si="68"/>
        <v>0</v>
      </c>
      <c r="X733" s="333">
        <f t="shared" si="69"/>
        <v>0</v>
      </c>
      <c r="Y733" s="333">
        <f t="shared" si="70"/>
        <v>0</v>
      </c>
    </row>
    <row r="734" spans="1:25" s="2" customFormat="1" ht="21.95" customHeight="1">
      <c r="A734" s="82">
        <v>6</v>
      </c>
      <c r="B734" s="91" t="str">
        <f t="shared" si="71"/>
        <v>7A.T</v>
      </c>
      <c r="C734" s="83" t="s">
        <v>363</v>
      </c>
      <c r="D734" s="81" t="s">
        <v>1605</v>
      </c>
      <c r="E734" s="48">
        <v>100726</v>
      </c>
      <c r="F734" s="30" t="s">
        <v>1139</v>
      </c>
      <c r="G734" s="29" t="s">
        <v>26</v>
      </c>
      <c r="H734" s="30" t="s">
        <v>1565</v>
      </c>
      <c r="I734" s="78"/>
      <c r="J734" s="20"/>
      <c r="K734" s="20"/>
      <c r="L734" s="20"/>
      <c r="M734" s="20"/>
      <c r="N734" s="179" t="s">
        <v>502</v>
      </c>
      <c r="O734" s="70">
        <v>0</v>
      </c>
      <c r="P734" s="70">
        <v>0</v>
      </c>
      <c r="Q734" s="70">
        <f t="shared" si="66"/>
        <v>0</v>
      </c>
      <c r="R734" s="70"/>
      <c r="S734" s="67"/>
      <c r="T734" s="2" t="str">
        <f t="shared" si="67"/>
        <v>Trần Bảo Thanh_11AT3</v>
      </c>
      <c r="U734" s="28">
        <f t="array" ref="U734">IFERROR(VLOOKUP($T734,'Nghi hoc T12'!$H$7:$I$160,2,0),0)</f>
        <v>0</v>
      </c>
      <c r="V734" s="28">
        <f>IFERROR(VLOOKUP($T734,No_HP!$B$2:$C$514,2,0),0)</f>
        <v>0</v>
      </c>
      <c r="W734" s="28">
        <f t="shared" si="68"/>
        <v>0</v>
      </c>
      <c r="X734" s="333">
        <f t="shared" si="69"/>
        <v>0</v>
      </c>
      <c r="Y734" s="333">
        <f t="shared" si="70"/>
        <v>0</v>
      </c>
    </row>
    <row r="735" spans="1:25" s="2" customFormat="1" ht="21.95" customHeight="1">
      <c r="A735" s="82">
        <v>7</v>
      </c>
      <c r="B735" s="91" t="str">
        <f t="shared" si="71"/>
        <v>7A.T</v>
      </c>
      <c r="C735" s="83" t="s">
        <v>363</v>
      </c>
      <c r="D735" s="81" t="s">
        <v>1605</v>
      </c>
      <c r="E735" s="48">
        <v>100727</v>
      </c>
      <c r="F735" s="30" t="s">
        <v>1610</v>
      </c>
      <c r="G735" s="29" t="s">
        <v>49</v>
      </c>
      <c r="H735" s="30" t="s">
        <v>1565</v>
      </c>
      <c r="I735" s="78"/>
      <c r="J735" s="20"/>
      <c r="K735" s="20"/>
      <c r="L735" s="20"/>
      <c r="M735" s="20"/>
      <c r="N735" s="179" t="s">
        <v>502</v>
      </c>
      <c r="O735" s="70">
        <v>0</v>
      </c>
      <c r="P735" s="70">
        <v>0</v>
      </c>
      <c r="Q735" s="70">
        <f t="shared" si="66"/>
        <v>0</v>
      </c>
      <c r="R735" s="70"/>
      <c r="S735" s="67"/>
      <c r="T735" s="2" t="str">
        <f t="shared" si="67"/>
        <v>Lê Thị Hoài Thảo_11AT3</v>
      </c>
      <c r="U735" s="28">
        <f t="array" ref="U735">IFERROR(VLOOKUP($T735,'Nghi hoc T12'!$H$7:$I$160,2,0),0)</f>
        <v>0</v>
      </c>
      <c r="V735" s="28">
        <f>IFERROR(VLOOKUP($T735,No_HP!$B$2:$C$514,2,0),0)</f>
        <v>0</v>
      </c>
      <c r="W735" s="28">
        <f t="shared" si="68"/>
        <v>0</v>
      </c>
      <c r="X735" s="333">
        <f t="shared" si="69"/>
        <v>0</v>
      </c>
      <c r="Y735" s="333">
        <f t="shared" si="70"/>
        <v>0</v>
      </c>
    </row>
    <row r="736" spans="1:25" s="2" customFormat="1" ht="21.95" customHeight="1">
      <c r="A736" s="82">
        <v>8</v>
      </c>
      <c r="B736" s="91" t="str">
        <f t="shared" si="71"/>
        <v>7A.T</v>
      </c>
      <c r="C736" s="83" t="s">
        <v>363</v>
      </c>
      <c r="D736" s="81" t="s">
        <v>1605</v>
      </c>
      <c r="E736" s="48">
        <v>100728</v>
      </c>
      <c r="F736" s="30" t="s">
        <v>1611</v>
      </c>
      <c r="G736" s="29" t="s">
        <v>431</v>
      </c>
      <c r="H736" s="30" t="s">
        <v>1565</v>
      </c>
      <c r="I736" s="78"/>
      <c r="J736" s="20"/>
      <c r="K736" s="20"/>
      <c r="L736" s="20"/>
      <c r="M736" s="20"/>
      <c r="N736" s="179" t="s">
        <v>502</v>
      </c>
      <c r="O736" s="70">
        <v>0</v>
      </c>
      <c r="P736" s="70">
        <v>0</v>
      </c>
      <c r="Q736" s="70">
        <f t="shared" si="66"/>
        <v>0</v>
      </c>
      <c r="R736" s="70"/>
      <c r="S736" s="67"/>
      <c r="T736" s="2" t="str">
        <f t="shared" si="67"/>
        <v>Lê Cao Chánh Thông_11AT3</v>
      </c>
      <c r="U736" s="28">
        <f t="array" ref="U736">IFERROR(VLOOKUP($T736,'Nghi hoc T12'!$H$7:$I$160,2,0),0)</f>
        <v>0</v>
      </c>
      <c r="V736" s="28">
        <f>IFERROR(VLOOKUP($T736,No_HP!$B$2:$C$514,2,0),0)</f>
        <v>0</v>
      </c>
      <c r="W736" s="28">
        <f t="shared" si="68"/>
        <v>0</v>
      </c>
      <c r="X736" s="333">
        <f t="shared" si="69"/>
        <v>0</v>
      </c>
      <c r="Y736" s="333">
        <f t="shared" si="70"/>
        <v>0</v>
      </c>
    </row>
    <row r="737" spans="1:25" s="2" customFormat="1" ht="21.95" customHeight="1">
      <c r="A737" s="82">
        <v>9</v>
      </c>
      <c r="B737" s="91" t="str">
        <f t="shared" si="71"/>
        <v>7A.T</v>
      </c>
      <c r="C737" s="83" t="s">
        <v>363</v>
      </c>
      <c r="D737" s="81" t="s">
        <v>1605</v>
      </c>
      <c r="E737" s="48">
        <v>100729</v>
      </c>
      <c r="F737" s="30" t="s">
        <v>275</v>
      </c>
      <c r="G737" s="29" t="s">
        <v>238</v>
      </c>
      <c r="H737" s="30" t="s">
        <v>1567</v>
      </c>
      <c r="I737" s="78"/>
      <c r="J737" s="20"/>
      <c r="K737" s="20"/>
      <c r="L737" s="20"/>
      <c r="M737" s="20"/>
      <c r="N737" s="179" t="s">
        <v>502</v>
      </c>
      <c r="O737" s="70">
        <v>0</v>
      </c>
      <c r="P737" s="70">
        <v>0</v>
      </c>
      <c r="Q737" s="70">
        <f t="shared" si="66"/>
        <v>0</v>
      </c>
      <c r="R737" s="70"/>
      <c r="S737" s="67"/>
      <c r="T737" s="2" t="str">
        <f t="shared" si="67"/>
        <v>Lê Thị Thủy_11AT4</v>
      </c>
      <c r="U737" s="28">
        <f t="array" ref="U737">IFERROR(VLOOKUP($T737,'Nghi hoc T12'!$H$7:$I$160,2,0),0)</f>
        <v>0</v>
      </c>
      <c r="V737" s="28">
        <f>IFERROR(VLOOKUP($T737,No_HP!$B$2:$C$514,2,0),0)</f>
        <v>0</v>
      </c>
      <c r="W737" s="28">
        <f t="shared" si="68"/>
        <v>0</v>
      </c>
      <c r="X737" s="333">
        <f t="shared" si="69"/>
        <v>0</v>
      </c>
      <c r="Y737" s="333">
        <f t="shared" si="70"/>
        <v>0</v>
      </c>
    </row>
    <row r="738" spans="1:25" s="2" customFormat="1" ht="21.95" customHeight="1">
      <c r="A738" s="82">
        <v>10</v>
      </c>
      <c r="B738" s="91" t="str">
        <f t="shared" si="71"/>
        <v>7A.T</v>
      </c>
      <c r="C738" s="83" t="s">
        <v>363</v>
      </c>
      <c r="D738" s="81" t="s">
        <v>1605</v>
      </c>
      <c r="E738" s="48">
        <v>100730</v>
      </c>
      <c r="F738" s="30" t="s">
        <v>239</v>
      </c>
      <c r="G738" s="29" t="s">
        <v>28</v>
      </c>
      <c r="H738" s="30" t="s">
        <v>1565</v>
      </c>
      <c r="I738" s="78"/>
      <c r="J738" s="20"/>
      <c r="K738" s="20"/>
      <c r="L738" s="20"/>
      <c r="M738" s="20"/>
      <c r="N738" s="179" t="s">
        <v>502</v>
      </c>
      <c r="O738" s="70">
        <v>0</v>
      </c>
      <c r="P738" s="70">
        <v>0</v>
      </c>
      <c r="Q738" s="70">
        <f t="shared" si="66"/>
        <v>0</v>
      </c>
      <c r="R738" s="70"/>
      <c r="S738" s="67"/>
      <c r="T738" s="2" t="str">
        <f t="shared" si="67"/>
        <v>Nguyễn Ngọc Anh Thư_11AT3</v>
      </c>
      <c r="U738" s="28">
        <f t="array" ref="U738">IFERROR(VLOOKUP($T738,'Nghi hoc T12'!$H$7:$I$160,2,0),0)</f>
        <v>0</v>
      </c>
      <c r="V738" s="28">
        <f>IFERROR(VLOOKUP($T738,No_HP!$B$2:$C$514,2,0),0)</f>
        <v>0</v>
      </c>
      <c r="W738" s="28">
        <f t="shared" si="68"/>
        <v>0</v>
      </c>
      <c r="X738" s="333">
        <f t="shared" si="69"/>
        <v>0</v>
      </c>
      <c r="Y738" s="333">
        <f t="shared" si="70"/>
        <v>0</v>
      </c>
    </row>
    <row r="739" spans="1:25" s="2" customFormat="1" ht="21.95" customHeight="1">
      <c r="A739" s="82">
        <v>11</v>
      </c>
      <c r="B739" s="91" t="str">
        <f t="shared" si="71"/>
        <v>7A.T</v>
      </c>
      <c r="C739" s="83" t="s">
        <v>363</v>
      </c>
      <c r="D739" s="81" t="s">
        <v>1605</v>
      </c>
      <c r="E739" s="48">
        <v>100731</v>
      </c>
      <c r="F739" s="30" t="s">
        <v>319</v>
      </c>
      <c r="G739" s="29" t="s">
        <v>28</v>
      </c>
      <c r="H739" s="30" t="s">
        <v>1565</v>
      </c>
      <c r="I739" s="78"/>
      <c r="J739" s="20"/>
      <c r="K739" s="20"/>
      <c r="L739" s="20"/>
      <c r="M739" s="20"/>
      <c r="N739" s="179" t="s">
        <v>502</v>
      </c>
      <c r="O739" s="70">
        <v>0</v>
      </c>
      <c r="P739" s="70">
        <v>0</v>
      </c>
      <c r="Q739" s="70">
        <f t="shared" si="66"/>
        <v>0</v>
      </c>
      <c r="R739" s="70"/>
      <c r="S739" s="67"/>
      <c r="T739" s="2" t="str">
        <f t="shared" si="67"/>
        <v>Phan Anh Thư_11AT3</v>
      </c>
      <c r="U739" s="28">
        <f t="array" ref="U739">IFERROR(VLOOKUP($T739,'Nghi hoc T12'!$H$7:$I$160,2,0),0)</f>
        <v>0</v>
      </c>
      <c r="V739" s="28">
        <f>IFERROR(VLOOKUP($T739,No_HP!$B$2:$C$514,2,0),0)</f>
        <v>0</v>
      </c>
      <c r="W739" s="28">
        <f t="shared" si="68"/>
        <v>0</v>
      </c>
      <c r="X739" s="333">
        <f t="shared" si="69"/>
        <v>0</v>
      </c>
      <c r="Y739" s="333">
        <f t="shared" si="70"/>
        <v>0</v>
      </c>
    </row>
    <row r="740" spans="1:25" s="2" customFormat="1" ht="21.95" customHeight="1">
      <c r="A740" s="82">
        <v>12</v>
      </c>
      <c r="B740" s="91" t="str">
        <f t="shared" si="71"/>
        <v>7A.T</v>
      </c>
      <c r="C740" s="83" t="s">
        <v>363</v>
      </c>
      <c r="D740" s="81" t="s">
        <v>1605</v>
      </c>
      <c r="E740" s="48">
        <v>100732</v>
      </c>
      <c r="F740" s="30" t="s">
        <v>1612</v>
      </c>
      <c r="G740" s="29" t="s">
        <v>80</v>
      </c>
      <c r="H740" s="30" t="s">
        <v>1567</v>
      </c>
      <c r="I740" s="78"/>
      <c r="J740" s="20"/>
      <c r="K740" s="20"/>
      <c r="L740" s="20"/>
      <c r="M740" s="20"/>
      <c r="N740" s="179" t="s">
        <v>502</v>
      </c>
      <c r="O740" s="70">
        <v>0</v>
      </c>
      <c r="P740" s="70">
        <v>0</v>
      </c>
      <c r="Q740" s="70">
        <f t="shared" si="66"/>
        <v>0</v>
      </c>
      <c r="R740" s="70"/>
      <c r="S740" s="67"/>
      <c r="T740" s="2" t="str">
        <f t="shared" si="67"/>
        <v>Phạm Lâm Thuỷ Tiên_11AT4</v>
      </c>
      <c r="U740" s="28">
        <f t="array" ref="U740">IFERROR(VLOOKUP($T740,'Nghi hoc T12'!$H$7:$I$160,2,0),0)</f>
        <v>0</v>
      </c>
      <c r="V740" s="28">
        <f>IFERROR(VLOOKUP($T740,No_HP!$B$2:$C$514,2,0),0)</f>
        <v>0</v>
      </c>
      <c r="W740" s="28">
        <f t="shared" si="68"/>
        <v>0</v>
      </c>
      <c r="X740" s="333">
        <f t="shared" si="69"/>
        <v>0</v>
      </c>
      <c r="Y740" s="333">
        <f t="shared" si="70"/>
        <v>0</v>
      </c>
    </row>
    <row r="741" spans="1:25" s="2" customFormat="1" ht="21.95" customHeight="1">
      <c r="A741" s="82">
        <v>13</v>
      </c>
      <c r="B741" s="91" t="str">
        <f t="shared" si="71"/>
        <v>7A.T</v>
      </c>
      <c r="C741" s="83" t="s">
        <v>363</v>
      </c>
      <c r="D741" s="81" t="s">
        <v>1605</v>
      </c>
      <c r="E741" s="48">
        <v>100733</v>
      </c>
      <c r="F741" s="30" t="s">
        <v>1613</v>
      </c>
      <c r="G741" s="29" t="s">
        <v>1614</v>
      </c>
      <c r="H741" s="30" t="s">
        <v>1567</v>
      </c>
      <c r="I741" s="78"/>
      <c r="J741" s="20"/>
      <c r="K741" s="20"/>
      <c r="L741" s="20"/>
      <c r="M741" s="20"/>
      <c r="N741" s="179" t="s">
        <v>502</v>
      </c>
      <c r="O741" s="70">
        <v>0</v>
      </c>
      <c r="P741" s="70">
        <v>0</v>
      </c>
      <c r="Q741" s="70">
        <f t="shared" si="66"/>
        <v>0</v>
      </c>
      <c r="R741" s="70"/>
      <c r="S741" s="67"/>
      <c r="T741" s="2" t="str">
        <f t="shared" si="67"/>
        <v>Huỳnh Văn Tiền_11AT4</v>
      </c>
      <c r="U741" s="28">
        <f t="array" ref="U741">IFERROR(VLOOKUP($T741,'Nghi hoc T12'!$H$7:$I$160,2,0),0)</f>
        <v>0</v>
      </c>
      <c r="V741" s="28">
        <f>IFERROR(VLOOKUP($T741,No_HP!$B$2:$C$514,2,0),0)</f>
        <v>0</v>
      </c>
      <c r="W741" s="28">
        <f t="shared" si="68"/>
        <v>0</v>
      </c>
      <c r="X741" s="333">
        <f t="shared" si="69"/>
        <v>0</v>
      </c>
      <c r="Y741" s="333">
        <f t="shared" si="70"/>
        <v>0</v>
      </c>
    </row>
    <row r="742" spans="1:25" s="2" customFormat="1" ht="21.95" customHeight="1">
      <c r="A742" s="82">
        <v>14</v>
      </c>
      <c r="B742" s="91" t="str">
        <f t="shared" si="71"/>
        <v>7A.T</v>
      </c>
      <c r="C742" s="83" t="s">
        <v>363</v>
      </c>
      <c r="D742" s="81" t="s">
        <v>1605</v>
      </c>
      <c r="E742" s="48">
        <v>100734</v>
      </c>
      <c r="F742" s="30" t="s">
        <v>1615</v>
      </c>
      <c r="G742" s="29" t="s">
        <v>81</v>
      </c>
      <c r="H742" s="30" t="s">
        <v>1565</v>
      </c>
      <c r="I742" s="78"/>
      <c r="J742" s="20"/>
      <c r="K742" s="20"/>
      <c r="L742" s="20"/>
      <c r="M742" s="20"/>
      <c r="N742" s="179" t="s">
        <v>502</v>
      </c>
      <c r="O742" s="70">
        <v>0</v>
      </c>
      <c r="P742" s="70">
        <v>0</v>
      </c>
      <c r="Q742" s="70">
        <f t="shared" si="66"/>
        <v>0</v>
      </c>
      <c r="R742" s="70"/>
      <c r="S742" s="67"/>
      <c r="T742" s="2" t="str">
        <f t="shared" si="67"/>
        <v>Phùng Bảo Trân_11AT3</v>
      </c>
      <c r="U742" s="28">
        <f t="array" ref="U742">IFERROR(VLOOKUP($T742,'Nghi hoc T12'!$H$7:$I$160,2,0),0)</f>
        <v>0</v>
      </c>
      <c r="V742" s="28">
        <f>IFERROR(VLOOKUP($T742,No_HP!$B$2:$C$514,2,0),0)</f>
        <v>0</v>
      </c>
      <c r="W742" s="28">
        <f t="shared" si="68"/>
        <v>0</v>
      </c>
      <c r="X742" s="333">
        <f t="shared" si="69"/>
        <v>0</v>
      </c>
      <c r="Y742" s="333">
        <f t="shared" si="70"/>
        <v>0</v>
      </c>
    </row>
    <row r="743" spans="1:25" s="2" customFormat="1" ht="21.95" customHeight="1">
      <c r="A743" s="82">
        <v>15</v>
      </c>
      <c r="B743" s="91" t="str">
        <f t="shared" si="71"/>
        <v>7A.T</v>
      </c>
      <c r="C743" s="83" t="s">
        <v>363</v>
      </c>
      <c r="D743" s="81" t="s">
        <v>1605</v>
      </c>
      <c r="E743" s="48">
        <v>100735</v>
      </c>
      <c r="F743" s="30" t="s">
        <v>331</v>
      </c>
      <c r="G743" s="29" t="s">
        <v>82</v>
      </c>
      <c r="H743" s="30" t="s">
        <v>1565</v>
      </c>
      <c r="I743" s="78"/>
      <c r="J743" s="20"/>
      <c r="K743" s="20"/>
      <c r="L743" s="20"/>
      <c r="M743" s="20"/>
      <c r="N743" s="179" t="s">
        <v>502</v>
      </c>
      <c r="O743" s="70">
        <v>0</v>
      </c>
      <c r="P743" s="70">
        <v>0</v>
      </c>
      <c r="Q743" s="70">
        <f t="shared" si="66"/>
        <v>0</v>
      </c>
      <c r="R743" s="70"/>
      <c r="S743" s="67"/>
      <c r="T743" s="2" t="str">
        <f t="shared" si="67"/>
        <v>Lê Đức Trọng_11AT3</v>
      </c>
      <c r="U743" s="28">
        <f t="array" ref="U743">IFERROR(VLOOKUP($T743,'Nghi hoc T12'!$H$7:$I$160,2,0),0)</f>
        <v>0</v>
      </c>
      <c r="V743" s="28">
        <f>IFERROR(VLOOKUP($T743,No_HP!$B$2:$C$514,2,0),0)</f>
        <v>0</v>
      </c>
      <c r="W743" s="28">
        <f t="shared" si="68"/>
        <v>0</v>
      </c>
      <c r="X743" s="333">
        <f t="shared" si="69"/>
        <v>0</v>
      </c>
      <c r="Y743" s="333">
        <f t="shared" si="70"/>
        <v>0</v>
      </c>
    </row>
    <row r="744" spans="1:25" s="2" customFormat="1" ht="21.95" customHeight="1">
      <c r="A744" s="82">
        <v>16</v>
      </c>
      <c r="B744" s="91" t="str">
        <f t="shared" si="71"/>
        <v>7A.T</v>
      </c>
      <c r="C744" s="83" t="s">
        <v>363</v>
      </c>
      <c r="D744" s="81" t="s">
        <v>1605</v>
      </c>
      <c r="E744" s="48">
        <v>100736</v>
      </c>
      <c r="F744" s="30" t="s">
        <v>156</v>
      </c>
      <c r="G744" s="29" t="s">
        <v>164</v>
      </c>
      <c r="H744" s="30" t="s">
        <v>1567</v>
      </c>
      <c r="I744" s="78" t="s">
        <v>529</v>
      </c>
      <c r="J744" s="20"/>
      <c r="K744" s="20"/>
      <c r="L744" s="20"/>
      <c r="M744" s="20"/>
      <c r="N744" s="179" t="s">
        <v>502</v>
      </c>
      <c r="O744" s="70">
        <v>0</v>
      </c>
      <c r="P744" s="70">
        <v>0</v>
      </c>
      <c r="Q744" s="70" t="str">
        <f t="shared" si="66"/>
        <v>NgiH</v>
      </c>
      <c r="R744" s="70"/>
      <c r="S744" s="67"/>
      <c r="T744" s="2" t="str">
        <f t="shared" si="67"/>
        <v>Trần Minh Trường_11AT4</v>
      </c>
      <c r="U744" s="28" t="s">
        <v>3334</v>
      </c>
      <c r="V744" s="28">
        <f>IFERROR(VLOOKUP($T744,No_HP!$B$2:$C$514,2,0),0)</f>
        <v>0</v>
      </c>
      <c r="W744" s="28" t="str">
        <f t="shared" si="68"/>
        <v>Nghỉ học</v>
      </c>
      <c r="X744" s="333">
        <f t="shared" si="69"/>
        <v>0</v>
      </c>
      <c r="Y744" s="333">
        <f t="shared" si="70"/>
        <v>0</v>
      </c>
    </row>
    <row r="745" spans="1:25" s="2" customFormat="1" ht="21.95" customHeight="1">
      <c r="A745" s="82">
        <v>17</v>
      </c>
      <c r="B745" s="91" t="str">
        <f t="shared" si="71"/>
        <v>7A.T</v>
      </c>
      <c r="C745" s="83" t="s">
        <v>363</v>
      </c>
      <c r="D745" s="81" t="s">
        <v>1605</v>
      </c>
      <c r="E745" s="48">
        <v>100737</v>
      </c>
      <c r="F745" s="30" t="s">
        <v>1616</v>
      </c>
      <c r="G745" s="29" t="s">
        <v>164</v>
      </c>
      <c r="H745" s="30" t="s">
        <v>1565</v>
      </c>
      <c r="I745" s="78"/>
      <c r="J745" s="20"/>
      <c r="K745" s="20"/>
      <c r="L745" s="20"/>
      <c r="M745" s="20"/>
      <c r="N745" s="179" t="s">
        <v>502</v>
      </c>
      <c r="O745" s="70">
        <v>0</v>
      </c>
      <c r="P745" s="70">
        <v>0</v>
      </c>
      <c r="Q745" s="70">
        <f t="shared" si="66"/>
        <v>0</v>
      </c>
      <c r="R745" s="70"/>
      <c r="S745" s="67"/>
      <c r="T745" s="2" t="str">
        <f t="shared" si="67"/>
        <v>Trịnh Công Trường_11AT3</v>
      </c>
      <c r="U745" s="28">
        <f t="array" ref="U745">IFERROR(VLOOKUP($T745,'Nghi hoc T12'!$H$7:$I$160,2,0),0)</f>
        <v>0</v>
      </c>
      <c r="V745" s="28">
        <f>IFERROR(VLOOKUP($T745,No_HP!$B$2:$C$514,2,0),0)</f>
        <v>0</v>
      </c>
      <c r="W745" s="28">
        <f t="shared" si="68"/>
        <v>0</v>
      </c>
      <c r="X745" s="333">
        <f t="shared" si="69"/>
        <v>0</v>
      </c>
      <c r="Y745" s="333">
        <f t="shared" si="70"/>
        <v>0</v>
      </c>
    </row>
    <row r="746" spans="1:25" s="2" customFormat="1" ht="21.95" customHeight="1">
      <c r="A746" s="82">
        <v>18</v>
      </c>
      <c r="B746" s="91" t="str">
        <f t="shared" si="71"/>
        <v>7A.T</v>
      </c>
      <c r="C746" s="83" t="s">
        <v>363</v>
      </c>
      <c r="D746" s="81" t="s">
        <v>1605</v>
      </c>
      <c r="E746" s="48">
        <v>100738</v>
      </c>
      <c r="F746" s="30" t="s">
        <v>183</v>
      </c>
      <c r="G746" s="29" t="s">
        <v>51</v>
      </c>
      <c r="H746" s="30" t="s">
        <v>1565</v>
      </c>
      <c r="I746" s="78"/>
      <c r="J746" s="20"/>
      <c r="K746" s="20"/>
      <c r="L746" s="20"/>
      <c r="M746" s="20"/>
      <c r="N746" s="179" t="s">
        <v>502</v>
      </c>
      <c r="O746" s="70">
        <v>0</v>
      </c>
      <c r="P746" s="70">
        <v>0</v>
      </c>
      <c r="Q746" s="70">
        <f t="shared" si="66"/>
        <v>0</v>
      </c>
      <c r="R746" s="70"/>
      <c r="S746" s="67"/>
      <c r="T746" s="2" t="str">
        <f t="shared" si="67"/>
        <v>Nguyễn Thanh Tú_11AT3</v>
      </c>
      <c r="U746" s="28">
        <f t="array" ref="U746">IFERROR(VLOOKUP($T746,'Nghi hoc T12'!$H$7:$I$160,2,0),0)</f>
        <v>0</v>
      </c>
      <c r="V746" s="28">
        <f>IFERROR(VLOOKUP($T746,No_HP!$B$2:$C$514,2,0),0)</f>
        <v>0</v>
      </c>
      <c r="W746" s="28">
        <f t="shared" si="68"/>
        <v>0</v>
      </c>
      <c r="X746" s="333">
        <f t="shared" si="69"/>
        <v>0</v>
      </c>
      <c r="Y746" s="333">
        <f t="shared" si="70"/>
        <v>0</v>
      </c>
    </row>
    <row r="747" spans="1:25" s="2" customFormat="1" ht="21.95" customHeight="1">
      <c r="A747" s="82">
        <v>19</v>
      </c>
      <c r="B747" s="91" t="str">
        <f t="shared" si="71"/>
        <v>7A.T</v>
      </c>
      <c r="C747" s="83" t="s">
        <v>363</v>
      </c>
      <c r="D747" s="81" t="s">
        <v>1605</v>
      </c>
      <c r="E747" s="48">
        <v>100739</v>
      </c>
      <c r="F747" s="30" t="s">
        <v>1617</v>
      </c>
      <c r="G747" s="29" t="s">
        <v>51</v>
      </c>
      <c r="H747" s="30" t="s">
        <v>1567</v>
      </c>
      <c r="I747" s="78"/>
      <c r="J747" s="20"/>
      <c r="K747" s="20"/>
      <c r="L747" s="20"/>
      <c r="M747" s="20"/>
      <c r="N747" s="179" t="s">
        <v>502</v>
      </c>
      <c r="O747" s="70">
        <v>0</v>
      </c>
      <c r="P747" s="70">
        <v>0</v>
      </c>
      <c r="Q747" s="70">
        <f t="shared" si="66"/>
        <v>0</v>
      </c>
      <c r="R747" s="70"/>
      <c r="S747" s="67"/>
      <c r="T747" s="2" t="str">
        <f t="shared" si="67"/>
        <v>Trần Thị Cẩm Tú_11AT4</v>
      </c>
      <c r="U747" s="28">
        <f t="array" ref="U747">IFERROR(VLOOKUP($T747,'Nghi hoc T12'!$H$7:$I$160,2,0),0)</f>
        <v>0</v>
      </c>
      <c r="V747" s="28">
        <f>IFERROR(VLOOKUP($T747,No_HP!$B$2:$C$514,2,0),0)</f>
        <v>0</v>
      </c>
      <c r="W747" s="28">
        <f t="shared" si="68"/>
        <v>0</v>
      </c>
      <c r="X747" s="333">
        <f t="shared" si="69"/>
        <v>0</v>
      </c>
      <c r="Y747" s="333">
        <f t="shared" si="70"/>
        <v>0</v>
      </c>
    </row>
    <row r="748" spans="1:25" s="2" customFormat="1" ht="21.95" customHeight="1">
      <c r="A748" s="82">
        <v>20</v>
      </c>
      <c r="B748" s="91" t="str">
        <f t="shared" si="71"/>
        <v>7A.T</v>
      </c>
      <c r="C748" s="83" t="s">
        <v>363</v>
      </c>
      <c r="D748" s="81" t="s">
        <v>1605</v>
      </c>
      <c r="E748" s="48">
        <v>100740</v>
      </c>
      <c r="F748" s="30" t="s">
        <v>438</v>
      </c>
      <c r="G748" s="29" t="s">
        <v>52</v>
      </c>
      <c r="H748" s="30" t="s">
        <v>1567</v>
      </c>
      <c r="I748" s="78"/>
      <c r="J748" s="20"/>
      <c r="K748" s="20"/>
      <c r="L748" s="20"/>
      <c r="M748" s="20"/>
      <c r="N748" s="179" t="s">
        <v>502</v>
      </c>
      <c r="O748" s="70">
        <v>0</v>
      </c>
      <c r="P748" s="70">
        <v>0</v>
      </c>
      <c r="Q748" s="70">
        <f t="shared" si="66"/>
        <v>0</v>
      </c>
      <c r="R748" s="70"/>
      <c r="S748" s="67"/>
      <c r="T748" s="2" t="str">
        <f t="shared" si="67"/>
        <v>Bùi Anh Tuấn_11AT4</v>
      </c>
      <c r="U748" s="28">
        <f t="array" ref="U748">IFERROR(VLOOKUP($T748,'Nghi hoc T12'!$H$7:$I$160,2,0),0)</f>
        <v>0</v>
      </c>
      <c r="V748" s="28">
        <f>IFERROR(VLOOKUP($T748,No_HP!$B$2:$C$514,2,0),0)</f>
        <v>0</v>
      </c>
      <c r="W748" s="28">
        <f t="shared" si="68"/>
        <v>0</v>
      </c>
      <c r="X748" s="333">
        <f t="shared" si="69"/>
        <v>0</v>
      </c>
      <c r="Y748" s="333">
        <f t="shared" si="70"/>
        <v>0</v>
      </c>
    </row>
    <row r="749" spans="1:25" s="2" customFormat="1" ht="21.95" customHeight="1">
      <c r="A749" s="82">
        <v>21</v>
      </c>
      <c r="B749" s="91" t="str">
        <f t="shared" si="71"/>
        <v>7A.T</v>
      </c>
      <c r="C749" s="83" t="s">
        <v>363</v>
      </c>
      <c r="D749" s="81" t="s">
        <v>1605</v>
      </c>
      <c r="E749" s="48">
        <v>100741</v>
      </c>
      <c r="F749" s="30" t="s">
        <v>1618</v>
      </c>
      <c r="G749" s="29" t="s">
        <v>52</v>
      </c>
      <c r="H749" s="30" t="s">
        <v>1565</v>
      </c>
      <c r="I749" s="78"/>
      <c r="J749" s="20"/>
      <c r="K749" s="20"/>
      <c r="L749" s="20"/>
      <c r="M749" s="20"/>
      <c r="N749" s="179" t="s">
        <v>502</v>
      </c>
      <c r="O749" s="70">
        <v>0</v>
      </c>
      <c r="P749" s="70">
        <v>0</v>
      </c>
      <c r="Q749" s="70">
        <f t="shared" si="66"/>
        <v>0</v>
      </c>
      <c r="R749" s="70"/>
      <c r="S749" s="67"/>
      <c r="T749" s="2" t="str">
        <f t="shared" si="67"/>
        <v>Lâm Văn Tuấn_11AT3</v>
      </c>
      <c r="U749" s="28">
        <f t="array" ref="U749">IFERROR(VLOOKUP($T749,'Nghi hoc T12'!$H$7:$I$160,2,0),0)</f>
        <v>0</v>
      </c>
      <c r="V749" s="28">
        <f>IFERROR(VLOOKUP($T749,No_HP!$B$2:$C$514,2,0),0)</f>
        <v>0</v>
      </c>
      <c r="W749" s="28">
        <f t="shared" si="68"/>
        <v>0</v>
      </c>
      <c r="X749" s="333">
        <f t="shared" si="69"/>
        <v>0</v>
      </c>
      <c r="Y749" s="333">
        <f t="shared" si="70"/>
        <v>0</v>
      </c>
    </row>
    <row r="750" spans="1:25" s="2" customFormat="1" ht="21.95" customHeight="1">
      <c r="A750" s="82">
        <v>22</v>
      </c>
      <c r="B750" s="91" t="str">
        <f t="shared" si="71"/>
        <v>7A.T</v>
      </c>
      <c r="C750" s="83" t="s">
        <v>363</v>
      </c>
      <c r="D750" s="81" t="s">
        <v>1605</v>
      </c>
      <c r="E750" s="48">
        <v>100742</v>
      </c>
      <c r="F750" s="30" t="s">
        <v>1619</v>
      </c>
      <c r="G750" s="29" t="s">
        <v>52</v>
      </c>
      <c r="H750" s="30" t="s">
        <v>1567</v>
      </c>
      <c r="I750" s="78"/>
      <c r="J750" s="20"/>
      <c r="K750" s="20"/>
      <c r="L750" s="20"/>
      <c r="M750" s="20"/>
      <c r="N750" s="179" t="s">
        <v>502</v>
      </c>
      <c r="O750" s="70">
        <v>0</v>
      </c>
      <c r="P750" s="70">
        <v>0</v>
      </c>
      <c r="Q750" s="70">
        <f t="shared" si="66"/>
        <v>0</v>
      </c>
      <c r="R750" s="70"/>
      <c r="S750" s="67"/>
      <c r="T750" s="2" t="str">
        <f t="shared" si="67"/>
        <v>Võ Anh Tuấn_11AT4</v>
      </c>
      <c r="U750" s="28">
        <f t="array" ref="U750">IFERROR(VLOOKUP($T750,'Nghi hoc T12'!$H$7:$I$160,2,0),0)</f>
        <v>0</v>
      </c>
      <c r="V750" s="28">
        <f>IFERROR(VLOOKUP($T750,No_HP!$B$2:$C$514,2,0),0)</f>
        <v>0</v>
      </c>
      <c r="W750" s="28">
        <f t="shared" si="68"/>
        <v>0</v>
      </c>
      <c r="X750" s="333">
        <f t="shared" si="69"/>
        <v>0</v>
      </c>
      <c r="Y750" s="333">
        <f t="shared" si="70"/>
        <v>0</v>
      </c>
    </row>
    <row r="751" spans="1:25" s="2" customFormat="1" ht="21.95" customHeight="1">
      <c r="A751" s="82">
        <v>23</v>
      </c>
      <c r="B751" s="91" t="str">
        <f t="shared" si="71"/>
        <v>7A.T</v>
      </c>
      <c r="C751" s="83" t="s">
        <v>363</v>
      </c>
      <c r="D751" s="81" t="s">
        <v>1605</v>
      </c>
      <c r="E751" s="48">
        <v>100743</v>
      </c>
      <c r="F751" s="30" t="s">
        <v>1620</v>
      </c>
      <c r="G751" s="29" t="s">
        <v>110</v>
      </c>
      <c r="H751" s="30" t="s">
        <v>1567</v>
      </c>
      <c r="I751" s="78"/>
      <c r="J751" s="20"/>
      <c r="K751" s="20"/>
      <c r="L751" s="20"/>
      <c r="M751" s="20"/>
      <c r="N751" s="179" t="s">
        <v>502</v>
      </c>
      <c r="O751" s="70">
        <v>0</v>
      </c>
      <c r="P751" s="70">
        <v>0</v>
      </c>
      <c r="Q751" s="70">
        <f t="shared" si="66"/>
        <v>0</v>
      </c>
      <c r="R751" s="70"/>
      <c r="S751" s="67"/>
      <c r="T751" s="2" t="str">
        <f t="shared" si="67"/>
        <v>Vũ Ngọc Huy Tùng_11AT4</v>
      </c>
      <c r="U751" s="28">
        <f t="array" ref="U751">IFERROR(VLOOKUP($T751,'Nghi hoc T12'!$H$7:$I$160,2,0),0)</f>
        <v>0</v>
      </c>
      <c r="V751" s="28">
        <f>IFERROR(VLOOKUP($T751,No_HP!$B$2:$C$514,2,0),0)</f>
        <v>0</v>
      </c>
      <c r="W751" s="28">
        <f t="shared" si="68"/>
        <v>0</v>
      </c>
      <c r="X751" s="333">
        <f t="shared" si="69"/>
        <v>0</v>
      </c>
      <c r="Y751" s="333">
        <f t="shared" si="70"/>
        <v>0</v>
      </c>
    </row>
    <row r="752" spans="1:25" s="2" customFormat="1" ht="21.95" customHeight="1">
      <c r="A752" s="82">
        <v>24</v>
      </c>
      <c r="B752" s="91" t="str">
        <f t="shared" si="71"/>
        <v>7A.T</v>
      </c>
      <c r="C752" s="83" t="s">
        <v>363</v>
      </c>
      <c r="D752" s="81" t="s">
        <v>1605</v>
      </c>
      <c r="E752" s="48">
        <v>100744</v>
      </c>
      <c r="F752" s="30" t="s">
        <v>1621</v>
      </c>
      <c r="G752" s="29" t="s">
        <v>73</v>
      </c>
      <c r="H752" s="30" t="s">
        <v>1565</v>
      </c>
      <c r="I752" s="78"/>
      <c r="J752" s="20"/>
      <c r="K752" s="20"/>
      <c r="L752" s="20"/>
      <c r="M752" s="20"/>
      <c r="N752" s="179" t="s">
        <v>502</v>
      </c>
      <c r="O752" s="70">
        <v>0</v>
      </c>
      <c r="P752" s="70">
        <v>0</v>
      </c>
      <c r="Q752" s="70">
        <f t="shared" si="66"/>
        <v>0</v>
      </c>
      <c r="R752" s="70"/>
      <c r="S752" s="67"/>
      <c r="T752" s="2" t="str">
        <f t="shared" si="67"/>
        <v>Nguyễn Thị Cát Tuyền_11AT3</v>
      </c>
      <c r="U752" s="28">
        <f t="array" ref="U752">IFERROR(VLOOKUP($T752,'Nghi hoc T12'!$H$7:$I$160,2,0),0)</f>
        <v>0</v>
      </c>
      <c r="V752" s="28">
        <f>IFERROR(VLOOKUP($T752,No_HP!$B$2:$C$514,2,0),0)</f>
        <v>0</v>
      </c>
      <c r="W752" s="28">
        <f t="shared" si="68"/>
        <v>0</v>
      </c>
      <c r="X752" s="333">
        <f t="shared" si="69"/>
        <v>0</v>
      </c>
      <c r="Y752" s="333">
        <f t="shared" si="70"/>
        <v>0</v>
      </c>
    </row>
    <row r="753" spans="1:25" s="2" customFormat="1" ht="21.95" customHeight="1">
      <c r="A753" s="82">
        <v>25</v>
      </c>
      <c r="B753" s="91" t="str">
        <f t="shared" si="71"/>
        <v>7A.T</v>
      </c>
      <c r="C753" s="83" t="s">
        <v>363</v>
      </c>
      <c r="D753" s="81" t="s">
        <v>1605</v>
      </c>
      <c r="E753" s="48">
        <v>100745</v>
      </c>
      <c r="F753" s="30" t="s">
        <v>1549</v>
      </c>
      <c r="G753" s="29" t="s">
        <v>95</v>
      </c>
      <c r="H753" s="30" t="s">
        <v>1565</v>
      </c>
      <c r="I753" s="78"/>
      <c r="J753" s="20"/>
      <c r="K753" s="20"/>
      <c r="L753" s="20"/>
      <c r="M753" s="20"/>
      <c r="N753" s="179" t="s">
        <v>502</v>
      </c>
      <c r="O753" s="70">
        <v>0</v>
      </c>
      <c r="P753" s="70">
        <v>0</v>
      </c>
      <c r="Q753" s="70">
        <f t="shared" si="66"/>
        <v>0</v>
      </c>
      <c r="R753" s="70"/>
      <c r="S753" s="67"/>
      <c r="T753" s="2" t="str">
        <f t="shared" si="67"/>
        <v>Vũ Ngọc Minh Tuyết_11AT3</v>
      </c>
      <c r="U753" s="28">
        <f t="array" ref="U753">IFERROR(VLOOKUP($T753,'Nghi hoc T12'!$H$7:$I$160,2,0),0)</f>
        <v>0</v>
      </c>
      <c r="V753" s="28">
        <f>IFERROR(VLOOKUP($T753,No_HP!$B$2:$C$514,2,0),0)</f>
        <v>0</v>
      </c>
      <c r="W753" s="28">
        <f t="shared" si="68"/>
        <v>0</v>
      </c>
      <c r="X753" s="333">
        <f t="shared" si="69"/>
        <v>0</v>
      </c>
      <c r="Y753" s="333">
        <f t="shared" si="70"/>
        <v>0</v>
      </c>
    </row>
    <row r="754" spans="1:25" s="2" customFormat="1" ht="21.95" customHeight="1">
      <c r="A754" s="82">
        <v>26</v>
      </c>
      <c r="B754" s="91" t="str">
        <f t="shared" si="71"/>
        <v>7A.T</v>
      </c>
      <c r="C754" s="83" t="s">
        <v>363</v>
      </c>
      <c r="D754" s="81" t="s">
        <v>1605</v>
      </c>
      <c r="E754" s="48">
        <v>100746</v>
      </c>
      <c r="F754" s="30" t="s">
        <v>336</v>
      </c>
      <c r="G754" s="29" t="s">
        <v>188</v>
      </c>
      <c r="H754" s="30" t="s">
        <v>1565</v>
      </c>
      <c r="I754" s="78"/>
      <c r="J754" s="20"/>
      <c r="K754" s="20"/>
      <c r="L754" s="20"/>
      <c r="M754" s="20"/>
      <c r="N754" s="179" t="s">
        <v>502</v>
      </c>
      <c r="O754" s="70">
        <v>0</v>
      </c>
      <c r="P754" s="70">
        <v>0</v>
      </c>
      <c r="Q754" s="70">
        <f t="shared" si="66"/>
        <v>0</v>
      </c>
      <c r="R754" s="70"/>
      <c r="S754" s="67"/>
      <c r="T754" s="2" t="str">
        <f t="shared" si="67"/>
        <v>Phạm Phương Uyên_11AT3</v>
      </c>
      <c r="U754" s="28">
        <f t="array" ref="U754">IFERROR(VLOOKUP($T754,'Nghi hoc T12'!$H$7:$I$160,2,0),0)</f>
        <v>0</v>
      </c>
      <c r="V754" s="28">
        <f>IFERROR(VLOOKUP($T754,No_HP!$B$2:$C$514,2,0),0)</f>
        <v>0</v>
      </c>
      <c r="W754" s="28">
        <f t="shared" si="68"/>
        <v>0</v>
      </c>
      <c r="X754" s="333">
        <f t="shared" si="69"/>
        <v>0</v>
      </c>
      <c r="Y754" s="333">
        <f t="shared" si="70"/>
        <v>0</v>
      </c>
    </row>
    <row r="755" spans="1:25" s="2" customFormat="1" ht="21.95" customHeight="1">
      <c r="A755" s="82">
        <v>27</v>
      </c>
      <c r="B755" s="91" t="str">
        <f t="shared" si="71"/>
        <v>7A.T</v>
      </c>
      <c r="C755" s="83" t="s">
        <v>363</v>
      </c>
      <c r="D755" s="81" t="s">
        <v>1605</v>
      </c>
      <c r="E755" s="48">
        <v>100747</v>
      </c>
      <c r="F755" s="30" t="s">
        <v>1446</v>
      </c>
      <c r="G755" s="29" t="s">
        <v>60</v>
      </c>
      <c r="H755" s="30" t="s">
        <v>1567</v>
      </c>
      <c r="I755" s="78"/>
      <c r="J755" s="20"/>
      <c r="K755" s="20"/>
      <c r="L755" s="20"/>
      <c r="M755" s="20"/>
      <c r="N755" s="179" t="s">
        <v>502</v>
      </c>
      <c r="O755" s="70">
        <v>0</v>
      </c>
      <c r="P755" s="70">
        <v>0</v>
      </c>
      <c r="Q755" s="70">
        <f t="shared" si="66"/>
        <v>0</v>
      </c>
      <c r="R755" s="70"/>
      <c r="S755" s="67"/>
      <c r="T755" s="2" t="str">
        <f t="shared" si="67"/>
        <v>Nguyễn Thảo Vân_11AT4</v>
      </c>
      <c r="U755" s="28">
        <f t="array" ref="U755">IFERROR(VLOOKUP($T755,'Nghi hoc T12'!$H$7:$I$160,2,0),0)</f>
        <v>0</v>
      </c>
      <c r="V755" s="28">
        <f>IFERROR(VLOOKUP($T755,No_HP!$B$2:$C$514,2,0),0)</f>
        <v>0</v>
      </c>
      <c r="W755" s="28">
        <f t="shared" si="68"/>
        <v>0</v>
      </c>
      <c r="X755" s="333">
        <f t="shared" si="69"/>
        <v>0</v>
      </c>
      <c r="Y755" s="333">
        <f t="shared" si="70"/>
        <v>0</v>
      </c>
    </row>
    <row r="756" spans="1:25" s="2" customFormat="1" ht="21.95" customHeight="1">
      <c r="A756" s="82">
        <v>28</v>
      </c>
      <c r="B756" s="91" t="str">
        <f t="shared" si="71"/>
        <v>7A.T</v>
      </c>
      <c r="C756" s="83" t="s">
        <v>363</v>
      </c>
      <c r="D756" s="81" t="s">
        <v>1605</v>
      </c>
      <c r="E756" s="48">
        <v>100748</v>
      </c>
      <c r="F756" s="30" t="s">
        <v>1622</v>
      </c>
      <c r="G756" s="29" t="s">
        <v>74</v>
      </c>
      <c r="H756" s="30" t="s">
        <v>1565</v>
      </c>
      <c r="I756" s="78" t="s">
        <v>529</v>
      </c>
      <c r="J756" s="20"/>
      <c r="K756" s="20"/>
      <c r="L756" s="20"/>
      <c r="M756" s="20"/>
      <c r="N756" s="179" t="s">
        <v>502</v>
      </c>
      <c r="O756" s="70">
        <v>0</v>
      </c>
      <c r="P756" s="70">
        <v>0</v>
      </c>
      <c r="Q756" s="70" t="str">
        <f t="shared" si="66"/>
        <v>NgiH</v>
      </c>
      <c r="R756" s="70"/>
      <c r="S756" s="67"/>
      <c r="T756" s="2" t="str">
        <f t="shared" si="67"/>
        <v>Vũ Tường Vi_11AT3</v>
      </c>
      <c r="U756" s="28" t="str">
        <f t="array" ref="U756">IFERROR(VLOOKUP($T756,'Nghi hoc T12'!$H$7:$I$160,2,0),0)</f>
        <v>NgiH</v>
      </c>
      <c r="V756" s="28">
        <f>IFERROR(VLOOKUP($T756,No_HP!$B$2:$C$514,2,0),0)</f>
        <v>0</v>
      </c>
      <c r="W756" s="28" t="str">
        <f t="shared" si="68"/>
        <v>Nghỉ học</v>
      </c>
      <c r="X756" s="333">
        <f t="shared" si="69"/>
        <v>0</v>
      </c>
      <c r="Y756" s="333">
        <f t="shared" si="70"/>
        <v>0</v>
      </c>
    </row>
    <row r="757" spans="1:25" s="2" customFormat="1" ht="21.95" customHeight="1">
      <c r="A757" s="82">
        <v>29</v>
      </c>
      <c r="B757" s="91" t="str">
        <f t="shared" si="71"/>
        <v>7A.T</v>
      </c>
      <c r="C757" s="83" t="s">
        <v>363</v>
      </c>
      <c r="D757" s="81" t="s">
        <v>1605</v>
      </c>
      <c r="E757" s="48">
        <v>100749</v>
      </c>
      <c r="F757" s="30" t="s">
        <v>1623</v>
      </c>
      <c r="G757" s="29" t="s">
        <v>1624</v>
      </c>
      <c r="H757" s="30" t="s">
        <v>1565</v>
      </c>
      <c r="I757" s="78"/>
      <c r="J757" s="20"/>
      <c r="K757" s="20"/>
      <c r="L757" s="20"/>
      <c r="M757" s="20"/>
      <c r="N757" s="179" t="s">
        <v>502</v>
      </c>
      <c r="O757" s="70">
        <v>0</v>
      </c>
      <c r="P757" s="70">
        <v>0</v>
      </c>
      <c r="Q757" s="70">
        <f t="shared" si="66"/>
        <v>0</v>
      </c>
      <c r="R757" s="70"/>
      <c r="S757" s="67"/>
      <c r="T757" s="2" t="str">
        <f t="shared" si="67"/>
        <v>Tô Vỹ_11AT3</v>
      </c>
      <c r="U757" s="28">
        <f t="array" ref="U757">IFERROR(VLOOKUP($T757,'Nghi hoc T12'!$H$7:$I$160,2,0),0)</f>
        <v>0</v>
      </c>
      <c r="V757" s="28">
        <f>IFERROR(VLOOKUP($T757,No_HP!$B$2:$C$514,2,0),0)</f>
        <v>0</v>
      </c>
      <c r="W757" s="28">
        <f t="shared" si="68"/>
        <v>0</v>
      </c>
      <c r="X757" s="333">
        <f t="shared" si="69"/>
        <v>0</v>
      </c>
      <c r="Y757" s="333">
        <f t="shared" si="70"/>
        <v>0</v>
      </c>
    </row>
    <row r="758" spans="1:25" s="2" customFormat="1" ht="21.95" customHeight="1">
      <c r="A758" s="82">
        <v>30</v>
      </c>
      <c r="B758" s="91" t="str">
        <f t="shared" si="71"/>
        <v>7A.T</v>
      </c>
      <c r="C758" s="83" t="s">
        <v>363</v>
      </c>
      <c r="D758" s="81" t="s">
        <v>1605</v>
      </c>
      <c r="E758" s="48">
        <v>100750</v>
      </c>
      <c r="F758" s="30" t="s">
        <v>245</v>
      </c>
      <c r="G758" s="29" t="s">
        <v>62</v>
      </c>
      <c r="H758" s="30" t="s">
        <v>1567</v>
      </c>
      <c r="I758" s="78"/>
      <c r="J758" s="20"/>
      <c r="K758" s="20"/>
      <c r="L758" s="20"/>
      <c r="M758" s="20"/>
      <c r="N758" s="179" t="s">
        <v>502</v>
      </c>
      <c r="O758" s="70">
        <v>0</v>
      </c>
      <c r="P758" s="70">
        <v>0</v>
      </c>
      <c r="Q758" s="70">
        <f t="shared" si="66"/>
        <v>0</v>
      </c>
      <c r="R758" s="70"/>
      <c r="S758" s="67"/>
      <c r="T758" s="2" t="str">
        <f t="shared" si="67"/>
        <v>Nguyễn Thị Kim Yến_11AT4</v>
      </c>
      <c r="U758" s="28">
        <f t="array" ref="U758">IFERROR(VLOOKUP($T758,'Nghi hoc T12'!$H$7:$I$160,2,0),0)</f>
        <v>0</v>
      </c>
      <c r="V758" s="28">
        <f>IFERROR(VLOOKUP($T758,No_HP!$B$2:$C$514,2,0),0)</f>
        <v>0</v>
      </c>
      <c r="W758" s="28">
        <f t="shared" si="68"/>
        <v>0</v>
      </c>
      <c r="X758" s="333">
        <f t="shared" si="69"/>
        <v>0</v>
      </c>
      <c r="Y758" s="333">
        <f t="shared" si="70"/>
        <v>0</v>
      </c>
    </row>
    <row r="759" spans="1:25" s="2" customFormat="1" ht="21.95" customHeight="1">
      <c r="A759" s="200">
        <v>1</v>
      </c>
      <c r="B759" s="91" t="str">
        <f t="shared" si="71"/>
        <v>9A.T</v>
      </c>
      <c r="C759" s="185" t="s">
        <v>364</v>
      </c>
      <c r="D759" s="186" t="s">
        <v>514</v>
      </c>
      <c r="E759" s="187">
        <v>100751</v>
      </c>
      <c r="F759" s="188" t="s">
        <v>1625</v>
      </c>
      <c r="G759" s="189" t="s">
        <v>63</v>
      </c>
      <c r="H759" s="188" t="s">
        <v>1626</v>
      </c>
      <c r="I759" s="190"/>
      <c r="J759" s="191"/>
      <c r="K759" s="191"/>
      <c r="L759" s="191"/>
      <c r="M759" s="191"/>
      <c r="N759" s="179" t="s">
        <v>502</v>
      </c>
      <c r="O759" s="70">
        <v>0</v>
      </c>
      <c r="P759" s="70">
        <v>0</v>
      </c>
      <c r="Q759" s="70">
        <f t="shared" si="66"/>
        <v>0</v>
      </c>
      <c r="R759" s="70"/>
      <c r="S759" s="67"/>
      <c r="T759" s="2" t="str">
        <f t="shared" si="67"/>
        <v>Nguyễn Hoàng Nhã An_11AT5</v>
      </c>
      <c r="U759" s="28">
        <f t="array" ref="U759">IFERROR(VLOOKUP($T759,'Nghi hoc T12'!$H$7:$I$160,2,0),0)</f>
        <v>0</v>
      </c>
      <c r="V759" s="28">
        <f>IFERROR(VLOOKUP($T759,No_HP!$B$2:$C$514,2,0),0)</f>
        <v>0</v>
      </c>
      <c r="W759" s="28">
        <f t="shared" si="68"/>
        <v>0</v>
      </c>
      <c r="X759" s="333">
        <f t="shared" si="69"/>
        <v>0</v>
      </c>
      <c r="Y759" s="333">
        <f t="shared" si="70"/>
        <v>0</v>
      </c>
    </row>
    <row r="760" spans="1:25" s="2" customFormat="1" ht="21.95" customHeight="1">
      <c r="A760" s="82">
        <v>2</v>
      </c>
      <c r="B760" s="91" t="str">
        <f t="shared" si="71"/>
        <v>9A.T</v>
      </c>
      <c r="C760" s="83" t="s">
        <v>364</v>
      </c>
      <c r="D760" s="81" t="s">
        <v>514</v>
      </c>
      <c r="E760" s="48">
        <v>100752</v>
      </c>
      <c r="F760" s="30" t="s">
        <v>1627</v>
      </c>
      <c r="G760" s="29" t="s">
        <v>5</v>
      </c>
      <c r="H760" s="30" t="s">
        <v>1626</v>
      </c>
      <c r="I760" s="78"/>
      <c r="J760" s="20"/>
      <c r="K760" s="20"/>
      <c r="L760" s="20"/>
      <c r="M760" s="20"/>
      <c r="N760" s="179" t="s">
        <v>502</v>
      </c>
      <c r="O760" s="70">
        <v>0</v>
      </c>
      <c r="P760" s="70">
        <v>0</v>
      </c>
      <c r="Q760" s="70">
        <f t="shared" si="66"/>
        <v>0</v>
      </c>
      <c r="R760" s="70"/>
      <c r="S760" s="67"/>
      <c r="T760" s="2" t="str">
        <f t="shared" si="67"/>
        <v>Huỳnh Thị Diệu Anh_11AT5</v>
      </c>
      <c r="U760" s="28">
        <f t="array" ref="U760">IFERROR(VLOOKUP($T760,'Nghi hoc T12'!$H$7:$I$160,2,0),0)</f>
        <v>0</v>
      </c>
      <c r="V760" s="28">
        <f>IFERROR(VLOOKUP($T760,No_HP!$B$2:$C$514,2,0),0)</f>
        <v>0</v>
      </c>
      <c r="W760" s="28">
        <f t="shared" si="68"/>
        <v>0</v>
      </c>
      <c r="X760" s="333">
        <f t="shared" si="69"/>
        <v>0</v>
      </c>
      <c r="Y760" s="333">
        <f t="shared" si="70"/>
        <v>0</v>
      </c>
    </row>
    <row r="761" spans="1:25" s="2" customFormat="1" ht="21.95" customHeight="1">
      <c r="A761" s="82">
        <v>3</v>
      </c>
      <c r="B761" s="91" t="str">
        <f t="shared" si="71"/>
        <v>9A.T</v>
      </c>
      <c r="C761" s="83" t="s">
        <v>364</v>
      </c>
      <c r="D761" s="81" t="s">
        <v>514</v>
      </c>
      <c r="E761" s="48">
        <v>100753</v>
      </c>
      <c r="F761" s="30" t="s">
        <v>222</v>
      </c>
      <c r="G761" s="29" t="s">
        <v>5</v>
      </c>
      <c r="H761" s="30" t="s">
        <v>1628</v>
      </c>
      <c r="I761" s="78"/>
      <c r="J761" s="20"/>
      <c r="K761" s="20"/>
      <c r="L761" s="20"/>
      <c r="M761" s="20"/>
      <c r="N761" s="179" t="s">
        <v>502</v>
      </c>
      <c r="O761" s="70">
        <v>0</v>
      </c>
      <c r="P761" s="70">
        <v>0</v>
      </c>
      <c r="Q761" s="70">
        <f t="shared" si="66"/>
        <v>0</v>
      </c>
      <c r="R761" s="70"/>
      <c r="S761" s="67"/>
      <c r="T761" s="2" t="str">
        <f t="shared" si="67"/>
        <v>Nguyễn Ngọc Anh_11AT6</v>
      </c>
      <c r="U761" s="28">
        <f t="array" ref="U761">IFERROR(VLOOKUP($T761,'Nghi hoc T12'!$H$7:$I$160,2,0),0)</f>
        <v>0</v>
      </c>
      <c r="V761" s="28">
        <f>IFERROR(VLOOKUP($T761,No_HP!$B$2:$C$514,2,0),0)</f>
        <v>0</v>
      </c>
      <c r="W761" s="28">
        <f t="shared" si="68"/>
        <v>0</v>
      </c>
      <c r="X761" s="333">
        <f t="shared" si="69"/>
        <v>0</v>
      </c>
      <c r="Y761" s="333">
        <f t="shared" si="70"/>
        <v>0</v>
      </c>
    </row>
    <row r="762" spans="1:25" s="2" customFormat="1" ht="21.95" customHeight="1">
      <c r="A762" s="82">
        <v>4</v>
      </c>
      <c r="B762" s="91" t="str">
        <f t="shared" si="71"/>
        <v>9A.T</v>
      </c>
      <c r="C762" s="83" t="s">
        <v>364</v>
      </c>
      <c r="D762" s="81" t="s">
        <v>514</v>
      </c>
      <c r="E762" s="48">
        <v>100754</v>
      </c>
      <c r="F762" s="30" t="s">
        <v>1629</v>
      </c>
      <c r="G762" s="29" t="s">
        <v>5</v>
      </c>
      <c r="H762" s="30" t="s">
        <v>1626</v>
      </c>
      <c r="I762" s="78"/>
      <c r="J762" s="20"/>
      <c r="K762" s="20"/>
      <c r="L762" s="20"/>
      <c r="M762" s="20"/>
      <c r="N762" s="179" t="s">
        <v>502</v>
      </c>
      <c r="O762" s="70">
        <v>0</v>
      </c>
      <c r="P762" s="70">
        <v>0</v>
      </c>
      <c r="Q762" s="70">
        <f t="shared" si="66"/>
        <v>0</v>
      </c>
      <c r="R762" s="70"/>
      <c r="S762" s="67"/>
      <c r="T762" s="2" t="str">
        <f t="shared" si="67"/>
        <v>Võ Nguyễn Minh Anh_11AT5</v>
      </c>
      <c r="U762" s="28">
        <f t="array" ref="U762">IFERROR(VLOOKUP($T762,'Nghi hoc T12'!$H$7:$I$160,2,0),0)</f>
        <v>0</v>
      </c>
      <c r="V762" s="28">
        <f>IFERROR(VLOOKUP($T762,No_HP!$B$2:$C$514,2,0),0)</f>
        <v>0</v>
      </c>
      <c r="W762" s="28">
        <f t="shared" si="68"/>
        <v>0</v>
      </c>
      <c r="X762" s="333">
        <f t="shared" si="69"/>
        <v>0</v>
      </c>
      <c r="Y762" s="333">
        <f t="shared" si="70"/>
        <v>0</v>
      </c>
    </row>
    <row r="763" spans="1:25" s="2" customFormat="1" ht="21.95" customHeight="1">
      <c r="A763" s="82">
        <v>5</v>
      </c>
      <c r="B763" s="91" t="str">
        <f t="shared" si="71"/>
        <v>9A.T</v>
      </c>
      <c r="C763" s="83" t="s">
        <v>364</v>
      </c>
      <c r="D763" s="81" t="s">
        <v>514</v>
      </c>
      <c r="E763" s="48">
        <v>100755</v>
      </c>
      <c r="F763" s="30" t="s">
        <v>227</v>
      </c>
      <c r="G763" s="29" t="s">
        <v>1630</v>
      </c>
      <c r="H763" s="30" t="s">
        <v>1628</v>
      </c>
      <c r="I763" s="78"/>
      <c r="J763" s="20"/>
      <c r="K763" s="20"/>
      <c r="L763" s="20"/>
      <c r="M763" s="20"/>
      <c r="N763" s="179" t="s">
        <v>502</v>
      </c>
      <c r="O763" s="70">
        <v>0</v>
      </c>
      <c r="P763" s="70">
        <v>0</v>
      </c>
      <c r="Q763" s="70">
        <f t="shared" si="66"/>
        <v>0</v>
      </c>
      <c r="R763" s="70"/>
      <c r="S763" s="67"/>
      <c r="T763" s="2" t="str">
        <f t="shared" si="67"/>
        <v>Nguyễn Thị Biển_11AT6</v>
      </c>
      <c r="U763" s="28">
        <f t="array" ref="U763">IFERROR(VLOOKUP($T763,'Nghi hoc T12'!$H$7:$I$160,2,0),0)</f>
        <v>0</v>
      </c>
      <c r="V763" s="28">
        <f>IFERROR(VLOOKUP($T763,No_HP!$B$2:$C$514,2,0),0)</f>
        <v>0</v>
      </c>
      <c r="W763" s="28">
        <f t="shared" si="68"/>
        <v>0</v>
      </c>
      <c r="X763" s="333">
        <f t="shared" si="69"/>
        <v>0</v>
      </c>
      <c r="Y763" s="333">
        <f t="shared" si="70"/>
        <v>0</v>
      </c>
    </row>
    <row r="764" spans="1:25" s="2" customFormat="1" ht="21.95" customHeight="1">
      <c r="A764" s="82">
        <v>6</v>
      </c>
      <c r="B764" s="91" t="str">
        <f t="shared" si="71"/>
        <v>9A.T</v>
      </c>
      <c r="C764" s="83" t="s">
        <v>364</v>
      </c>
      <c r="D764" s="81" t="s">
        <v>514</v>
      </c>
      <c r="E764" s="48">
        <v>100756</v>
      </c>
      <c r="F764" s="30" t="s">
        <v>154</v>
      </c>
      <c r="G764" s="29" t="s">
        <v>107</v>
      </c>
      <c r="H764" s="30" t="s">
        <v>1628</v>
      </c>
      <c r="I764" s="78"/>
      <c r="J764" s="20"/>
      <c r="K764" s="20"/>
      <c r="L764" s="20"/>
      <c r="M764" s="20"/>
      <c r="N764" s="179" t="s">
        <v>502</v>
      </c>
      <c r="O764" s="70">
        <v>0</v>
      </c>
      <c r="P764" s="70">
        <v>0</v>
      </c>
      <c r="Q764" s="70">
        <f t="shared" si="66"/>
        <v>0</v>
      </c>
      <c r="R764" s="70"/>
      <c r="S764" s="67"/>
      <c r="T764" s="2" t="str">
        <f t="shared" si="67"/>
        <v>Nguyễn Bảo Châu_11AT6</v>
      </c>
      <c r="U764" s="28">
        <f t="array" ref="U764">IFERROR(VLOOKUP($T764,'Nghi hoc T12'!$H$7:$I$160,2,0),0)</f>
        <v>0</v>
      </c>
      <c r="V764" s="28">
        <f>IFERROR(VLOOKUP($T764,No_HP!$B$2:$C$514,2,0),0)</f>
        <v>0</v>
      </c>
      <c r="W764" s="28">
        <f t="shared" si="68"/>
        <v>0</v>
      </c>
      <c r="X764" s="333">
        <f t="shared" si="69"/>
        <v>0</v>
      </c>
      <c r="Y764" s="333">
        <f t="shared" si="70"/>
        <v>0</v>
      </c>
    </row>
    <row r="765" spans="1:25" s="2" customFormat="1" ht="21.95" customHeight="1">
      <c r="A765" s="82">
        <v>7</v>
      </c>
      <c r="B765" s="91" t="str">
        <f t="shared" si="71"/>
        <v>9A.T</v>
      </c>
      <c r="C765" s="83" t="s">
        <v>364</v>
      </c>
      <c r="D765" s="81" t="s">
        <v>514</v>
      </c>
      <c r="E765" s="48">
        <v>100757</v>
      </c>
      <c r="F765" s="30" t="s">
        <v>249</v>
      </c>
      <c r="G765" s="29" t="s">
        <v>437</v>
      </c>
      <c r="H765" s="30" t="s">
        <v>1628</v>
      </c>
      <c r="I765" s="78"/>
      <c r="J765" s="20"/>
      <c r="K765" s="20"/>
      <c r="L765" s="20"/>
      <c r="M765" s="20"/>
      <c r="N765" s="179" t="s">
        <v>502</v>
      </c>
      <c r="O765" s="70">
        <v>0</v>
      </c>
      <c r="P765" s="70">
        <v>0</v>
      </c>
      <c r="Q765" s="70">
        <f t="shared" si="66"/>
        <v>0</v>
      </c>
      <c r="R765" s="70"/>
      <c r="S765" s="67"/>
      <c r="T765" s="2" t="str">
        <f t="shared" si="67"/>
        <v>Nguyễn Thiên Cơ_11AT6</v>
      </c>
      <c r="U765" s="28">
        <f t="array" ref="U765">IFERROR(VLOOKUP($T765,'Nghi hoc T12'!$H$7:$I$160,2,0),0)</f>
        <v>0</v>
      </c>
      <c r="V765" s="28">
        <f>IFERROR(VLOOKUP($T765,No_HP!$B$2:$C$514,2,0),0)</f>
        <v>0</v>
      </c>
      <c r="W765" s="28">
        <f t="shared" si="68"/>
        <v>0</v>
      </c>
      <c r="X765" s="333">
        <f t="shared" si="69"/>
        <v>0</v>
      </c>
      <c r="Y765" s="333">
        <f t="shared" si="70"/>
        <v>0</v>
      </c>
    </row>
    <row r="766" spans="1:25" s="2" customFormat="1" ht="21.95" customHeight="1">
      <c r="A766" s="82">
        <v>8</v>
      </c>
      <c r="B766" s="91" t="str">
        <f t="shared" si="71"/>
        <v>9A.T</v>
      </c>
      <c r="C766" s="83" t="s">
        <v>364</v>
      </c>
      <c r="D766" s="81" t="s">
        <v>514</v>
      </c>
      <c r="E766" s="48">
        <v>100758</v>
      </c>
      <c r="F766" s="30" t="s">
        <v>1631</v>
      </c>
      <c r="G766" s="29" t="s">
        <v>193</v>
      </c>
      <c r="H766" s="30" t="s">
        <v>1626</v>
      </c>
      <c r="I766" s="78"/>
      <c r="J766" s="20"/>
      <c r="K766" s="20"/>
      <c r="L766" s="20"/>
      <c r="M766" s="20"/>
      <c r="N766" s="179" t="s">
        <v>502</v>
      </c>
      <c r="O766" s="70">
        <v>0</v>
      </c>
      <c r="P766" s="70">
        <v>0</v>
      </c>
      <c r="Q766" s="70">
        <f t="shared" si="66"/>
        <v>0</v>
      </c>
      <c r="R766" s="70"/>
      <c r="S766" s="67"/>
      <c r="T766" s="2" t="str">
        <f t="shared" si="67"/>
        <v>Nguyễn Thị Huyền Diệu_11AT5</v>
      </c>
      <c r="U766" s="28">
        <f t="array" ref="U766">IFERROR(VLOOKUP($T766,'Nghi hoc T12'!$H$7:$I$160,2,0),0)</f>
        <v>0</v>
      </c>
      <c r="V766" s="28">
        <f>IFERROR(VLOOKUP($T766,No_HP!$B$2:$C$514,2,0),0)</f>
        <v>0</v>
      </c>
      <c r="W766" s="28">
        <f t="shared" si="68"/>
        <v>0</v>
      </c>
      <c r="X766" s="333">
        <f t="shared" si="69"/>
        <v>0</v>
      </c>
      <c r="Y766" s="333">
        <f t="shared" si="70"/>
        <v>0</v>
      </c>
    </row>
    <row r="767" spans="1:25" s="2" customFormat="1" ht="21.95" customHeight="1">
      <c r="A767" s="82">
        <v>9</v>
      </c>
      <c r="B767" s="91" t="str">
        <f t="shared" si="71"/>
        <v>9A.T</v>
      </c>
      <c r="C767" s="83" t="s">
        <v>364</v>
      </c>
      <c r="D767" s="81" t="s">
        <v>514</v>
      </c>
      <c r="E767" s="48">
        <v>100759</v>
      </c>
      <c r="F767" s="30" t="s">
        <v>221</v>
      </c>
      <c r="G767" s="29" t="s">
        <v>1632</v>
      </c>
      <c r="H767" s="30" t="s">
        <v>1626</v>
      </c>
      <c r="I767" s="78"/>
      <c r="J767" s="20"/>
      <c r="K767" s="20"/>
      <c r="L767" s="20"/>
      <c r="M767" s="20"/>
      <c r="N767" s="179" t="s">
        <v>502</v>
      </c>
      <c r="O767" s="70">
        <v>0</v>
      </c>
      <c r="P767" s="70">
        <v>0</v>
      </c>
      <c r="Q767" s="70">
        <f t="shared" si="66"/>
        <v>0</v>
      </c>
      <c r="R767" s="70"/>
      <c r="S767" s="67"/>
      <c r="T767" s="2" t="str">
        <f t="shared" si="67"/>
        <v>Nguyễn Tiến Dủng_11AT5</v>
      </c>
      <c r="U767" s="28">
        <f t="array" ref="U767">IFERROR(VLOOKUP($T767,'Nghi hoc T12'!$H$7:$I$160,2,0),0)</f>
        <v>0</v>
      </c>
      <c r="V767" s="28">
        <f>IFERROR(VLOOKUP($T767,No_HP!$B$2:$C$514,2,0),0)</f>
        <v>0</v>
      </c>
      <c r="W767" s="28">
        <f t="shared" si="68"/>
        <v>0</v>
      </c>
      <c r="X767" s="333">
        <f t="shared" si="69"/>
        <v>0</v>
      </c>
      <c r="Y767" s="333">
        <f t="shared" si="70"/>
        <v>0</v>
      </c>
    </row>
    <row r="768" spans="1:25" s="2" customFormat="1" ht="21.95" customHeight="1">
      <c r="A768" s="82">
        <v>10</v>
      </c>
      <c r="B768" s="91" t="str">
        <f t="shared" si="71"/>
        <v>9A.T</v>
      </c>
      <c r="C768" s="83" t="s">
        <v>364</v>
      </c>
      <c r="D768" s="81" t="s">
        <v>514</v>
      </c>
      <c r="E768" s="48">
        <v>100760</v>
      </c>
      <c r="F768" s="30" t="s">
        <v>1633</v>
      </c>
      <c r="G768" s="29" t="s">
        <v>53</v>
      </c>
      <c r="H768" s="30" t="s">
        <v>1626</v>
      </c>
      <c r="I768" s="78"/>
      <c r="J768" s="20"/>
      <c r="K768" s="20"/>
      <c r="L768" s="20"/>
      <c r="M768" s="20"/>
      <c r="N768" s="179" t="s">
        <v>502</v>
      </c>
      <c r="O768" s="70">
        <v>0</v>
      </c>
      <c r="P768" s="70">
        <v>0</v>
      </c>
      <c r="Q768" s="70">
        <f t="shared" si="66"/>
        <v>0</v>
      </c>
      <c r="R768" s="70"/>
      <c r="S768" s="67"/>
      <c r="T768" s="2" t="str">
        <f t="shared" si="67"/>
        <v>Nguyễn Trần Nam Dương_11AT5</v>
      </c>
      <c r="U768" s="28">
        <f t="array" ref="U768">IFERROR(VLOOKUP($T768,'Nghi hoc T12'!$H$7:$I$160,2,0),0)</f>
        <v>0</v>
      </c>
      <c r="V768" s="28">
        <f>IFERROR(VLOOKUP($T768,No_HP!$B$2:$C$514,2,0),0)</f>
        <v>0</v>
      </c>
      <c r="W768" s="28">
        <f t="shared" si="68"/>
        <v>0</v>
      </c>
      <c r="X768" s="333">
        <f t="shared" si="69"/>
        <v>0</v>
      </c>
      <c r="Y768" s="333">
        <f t="shared" si="70"/>
        <v>0</v>
      </c>
    </row>
    <row r="769" spans="1:25" s="2" customFormat="1" ht="21.95" customHeight="1">
      <c r="A769" s="82">
        <v>11</v>
      </c>
      <c r="B769" s="91" t="str">
        <f t="shared" si="71"/>
        <v>9A.T</v>
      </c>
      <c r="C769" s="83" t="s">
        <v>364</v>
      </c>
      <c r="D769" s="81" t="s">
        <v>514</v>
      </c>
      <c r="E769" s="48">
        <v>100761</v>
      </c>
      <c r="F769" s="30" t="s">
        <v>1634</v>
      </c>
      <c r="G769" s="29" t="s">
        <v>7</v>
      </c>
      <c r="H769" s="30" t="s">
        <v>1628</v>
      </c>
      <c r="I769" s="78"/>
      <c r="J769" s="20"/>
      <c r="K769" s="20"/>
      <c r="L769" s="20"/>
      <c r="M769" s="20"/>
      <c r="N769" s="179" t="s">
        <v>502</v>
      </c>
      <c r="O769" s="70">
        <v>0</v>
      </c>
      <c r="P769" s="70">
        <v>0</v>
      </c>
      <c r="Q769" s="70">
        <f t="shared" si="66"/>
        <v>0</v>
      </c>
      <c r="R769" s="70"/>
      <c r="S769" s="67"/>
      <c r="T769" s="2" t="str">
        <f t="shared" si="67"/>
        <v>Nguyễn Hoàng Quốc Đạt_11AT6</v>
      </c>
      <c r="U769" s="28">
        <f t="array" ref="U769">IFERROR(VLOOKUP($T769,'Nghi hoc T12'!$H$7:$I$160,2,0),0)</f>
        <v>0</v>
      </c>
      <c r="V769" s="28">
        <f>IFERROR(VLOOKUP($T769,No_HP!$B$2:$C$514,2,0),0)</f>
        <v>0</v>
      </c>
      <c r="W769" s="28">
        <f t="shared" si="68"/>
        <v>0</v>
      </c>
      <c r="X769" s="333">
        <f t="shared" si="69"/>
        <v>0</v>
      </c>
      <c r="Y769" s="333">
        <f t="shared" si="70"/>
        <v>0</v>
      </c>
    </row>
    <row r="770" spans="1:25" s="2" customFormat="1" ht="21.95" customHeight="1">
      <c r="A770" s="82">
        <v>12</v>
      </c>
      <c r="B770" s="91" t="str">
        <f t="shared" si="71"/>
        <v>9A.T</v>
      </c>
      <c r="C770" s="83" t="s">
        <v>364</v>
      </c>
      <c r="D770" s="81" t="s">
        <v>514</v>
      </c>
      <c r="E770" s="48">
        <v>100762</v>
      </c>
      <c r="F770" s="30" t="s">
        <v>1346</v>
      </c>
      <c r="G770" s="29" t="s">
        <v>7</v>
      </c>
      <c r="H770" s="30" t="s">
        <v>1626</v>
      </c>
      <c r="I770" s="78"/>
      <c r="J770" s="20"/>
      <c r="K770" s="20"/>
      <c r="L770" s="20"/>
      <c r="M770" s="20"/>
      <c r="N770" s="179" t="s">
        <v>502</v>
      </c>
      <c r="O770" s="70">
        <v>0</v>
      </c>
      <c r="P770" s="70">
        <v>0</v>
      </c>
      <c r="Q770" s="70">
        <f t="shared" si="66"/>
        <v>0</v>
      </c>
      <c r="R770" s="70"/>
      <c r="S770" s="67"/>
      <c r="T770" s="2" t="str">
        <f t="shared" si="67"/>
        <v>Trịnh Quốc Đạt_11AT5</v>
      </c>
      <c r="U770" s="28">
        <f t="array" ref="U770">IFERROR(VLOOKUP($T770,'Nghi hoc T12'!$H$7:$I$160,2,0),0)</f>
        <v>0</v>
      </c>
      <c r="V770" s="28">
        <f>IFERROR(VLOOKUP($T770,No_HP!$B$2:$C$514,2,0),0)</f>
        <v>0</v>
      </c>
      <c r="W770" s="28">
        <f t="shared" si="68"/>
        <v>0</v>
      </c>
      <c r="X770" s="333">
        <f t="shared" si="69"/>
        <v>0</v>
      </c>
      <c r="Y770" s="333">
        <f t="shared" si="70"/>
        <v>0</v>
      </c>
    </row>
    <row r="771" spans="1:25" s="2" customFormat="1" ht="21.95" customHeight="1">
      <c r="A771" s="82">
        <v>13</v>
      </c>
      <c r="B771" s="91" t="str">
        <f t="shared" si="71"/>
        <v>9A.T</v>
      </c>
      <c r="C771" s="83" t="s">
        <v>364</v>
      </c>
      <c r="D771" s="81" t="s">
        <v>514</v>
      </c>
      <c r="E771" s="48">
        <v>100763</v>
      </c>
      <c r="F771" s="30" t="s">
        <v>1635</v>
      </c>
      <c r="G771" s="29" t="s">
        <v>143</v>
      </c>
      <c r="H771" s="30" t="s">
        <v>1626</v>
      </c>
      <c r="I771" s="78"/>
      <c r="J771" s="20"/>
      <c r="K771" s="20"/>
      <c r="L771" s="20"/>
      <c r="M771" s="20"/>
      <c r="N771" s="179" t="s">
        <v>502</v>
      </c>
      <c r="O771" s="70">
        <v>0</v>
      </c>
      <c r="P771" s="70">
        <v>0</v>
      </c>
      <c r="Q771" s="70">
        <f t="shared" si="66"/>
        <v>0</v>
      </c>
      <c r="R771" s="70"/>
      <c r="S771" s="67"/>
      <c r="T771" s="2" t="str">
        <f t="shared" si="67"/>
        <v>Cao Thị Thu Hà_11AT5</v>
      </c>
      <c r="U771" s="28">
        <f t="array" ref="U771">IFERROR(VLOOKUP($T771,'Nghi hoc T12'!$H$7:$I$160,2,0),0)</f>
        <v>0</v>
      </c>
      <c r="V771" s="28">
        <f>IFERROR(VLOOKUP($T771,No_HP!$B$2:$C$514,2,0),0)</f>
        <v>0</v>
      </c>
      <c r="W771" s="28">
        <f t="shared" si="68"/>
        <v>0</v>
      </c>
      <c r="X771" s="333">
        <f t="shared" si="69"/>
        <v>0</v>
      </c>
      <c r="Y771" s="333">
        <f t="shared" si="70"/>
        <v>0</v>
      </c>
    </row>
    <row r="772" spans="1:25" s="2" customFormat="1" ht="21.95" customHeight="1">
      <c r="A772" s="82">
        <v>14</v>
      </c>
      <c r="B772" s="91" t="str">
        <f t="shared" si="71"/>
        <v>9A.T</v>
      </c>
      <c r="C772" s="83" t="s">
        <v>364</v>
      </c>
      <c r="D772" s="81" t="s">
        <v>514</v>
      </c>
      <c r="E772" s="48">
        <v>100764</v>
      </c>
      <c r="F772" s="30" t="s">
        <v>1636</v>
      </c>
      <c r="G772" s="29" t="s">
        <v>78</v>
      </c>
      <c r="H772" s="30" t="s">
        <v>1628</v>
      </c>
      <c r="I772" s="78"/>
      <c r="J772" s="20"/>
      <c r="K772" s="20"/>
      <c r="L772" s="20"/>
      <c r="M772" s="20"/>
      <c r="N772" s="179" t="s">
        <v>502</v>
      </c>
      <c r="O772" s="70">
        <v>0</v>
      </c>
      <c r="P772" s="70">
        <v>0</v>
      </c>
      <c r="Q772" s="70">
        <f t="shared" si="66"/>
        <v>0</v>
      </c>
      <c r="R772" s="70"/>
      <c r="S772" s="67"/>
      <c r="T772" s="2" t="str">
        <f t="shared" si="67"/>
        <v>Lương Văn Hào_11AT6</v>
      </c>
      <c r="U772" s="28">
        <f t="array" ref="U772">IFERROR(VLOOKUP($T772,'Nghi hoc T12'!$H$7:$I$160,2,0),0)</f>
        <v>0</v>
      </c>
      <c r="V772" s="28">
        <f>IFERROR(VLOOKUP($T772,No_HP!$B$2:$C$514,2,0),0)</f>
        <v>0</v>
      </c>
      <c r="W772" s="28">
        <f t="shared" si="68"/>
        <v>0</v>
      </c>
      <c r="X772" s="333">
        <f t="shared" si="69"/>
        <v>0</v>
      </c>
      <c r="Y772" s="333">
        <f t="shared" si="70"/>
        <v>0</v>
      </c>
    </row>
    <row r="773" spans="1:25" s="2" customFormat="1" ht="21.95" customHeight="1">
      <c r="A773" s="82">
        <v>15</v>
      </c>
      <c r="B773" s="91" t="str">
        <f t="shared" si="71"/>
        <v>9A.T</v>
      </c>
      <c r="C773" s="83" t="s">
        <v>364</v>
      </c>
      <c r="D773" s="81" t="s">
        <v>514</v>
      </c>
      <c r="E773" s="48">
        <v>100765</v>
      </c>
      <c r="F773" s="30" t="s">
        <v>148</v>
      </c>
      <c r="G773" s="29" t="s">
        <v>78</v>
      </c>
      <c r="H773" s="30" t="s">
        <v>1626</v>
      </c>
      <c r="I773" s="78"/>
      <c r="J773" s="20"/>
      <c r="K773" s="20"/>
      <c r="L773" s="20"/>
      <c r="M773" s="20"/>
      <c r="N773" s="179" t="s">
        <v>502</v>
      </c>
      <c r="O773" s="70">
        <v>0</v>
      </c>
      <c r="P773" s="70">
        <v>0</v>
      </c>
      <c r="Q773" s="70">
        <f t="shared" si="66"/>
        <v>0</v>
      </c>
      <c r="R773" s="70"/>
      <c r="S773" s="67"/>
      <c r="T773" s="2" t="str">
        <f t="shared" si="67"/>
        <v>Nguyễn Anh Hào_11AT5</v>
      </c>
      <c r="U773" s="28">
        <f t="array" ref="U773">IFERROR(VLOOKUP($T773,'Nghi hoc T12'!$H$7:$I$160,2,0),0)</f>
        <v>0</v>
      </c>
      <c r="V773" s="28">
        <f>IFERROR(VLOOKUP($T773,No_HP!$B$2:$C$514,2,0),0)</f>
        <v>0</v>
      </c>
      <c r="W773" s="28">
        <f t="shared" si="68"/>
        <v>0</v>
      </c>
      <c r="X773" s="333">
        <f t="shared" si="69"/>
        <v>0</v>
      </c>
      <c r="Y773" s="333">
        <f t="shared" si="70"/>
        <v>0</v>
      </c>
    </row>
    <row r="774" spans="1:25" s="2" customFormat="1" ht="21.95" customHeight="1">
      <c r="A774" s="82">
        <v>16</v>
      </c>
      <c r="B774" s="91" t="str">
        <f t="shared" si="71"/>
        <v>9A.T</v>
      </c>
      <c r="C774" s="83" t="s">
        <v>364</v>
      </c>
      <c r="D774" s="81" t="s">
        <v>514</v>
      </c>
      <c r="E774" s="48">
        <v>100766</v>
      </c>
      <c r="F774" s="30" t="s">
        <v>1584</v>
      </c>
      <c r="G774" s="29" t="s">
        <v>173</v>
      </c>
      <c r="H774" s="30" t="s">
        <v>1628</v>
      </c>
      <c r="I774" s="78"/>
      <c r="J774" s="20"/>
      <c r="K774" s="20"/>
      <c r="L774" s="20"/>
      <c r="M774" s="20"/>
      <c r="N774" s="179" t="s">
        <v>502</v>
      </c>
      <c r="O774" s="70">
        <v>0</v>
      </c>
      <c r="P774" s="70">
        <v>0</v>
      </c>
      <c r="Q774" s="70">
        <f t="shared" si="66"/>
        <v>0</v>
      </c>
      <c r="R774" s="70"/>
      <c r="S774" s="67"/>
      <c r="T774" s="2" t="str">
        <f t="shared" si="67"/>
        <v>Đặng Thị Mỹ Hằng_11AT6</v>
      </c>
      <c r="U774" s="28">
        <f t="array" ref="U774">IFERROR(VLOOKUP($T774,'Nghi hoc T12'!$H$7:$I$160,2,0),0)</f>
        <v>0</v>
      </c>
      <c r="V774" s="28">
        <f>IFERROR(VLOOKUP($T774,No_HP!$B$2:$C$514,2,0),0)</f>
        <v>0</v>
      </c>
      <c r="W774" s="28">
        <f t="shared" si="68"/>
        <v>0</v>
      </c>
      <c r="X774" s="333">
        <f t="shared" si="69"/>
        <v>0</v>
      </c>
      <c r="Y774" s="333">
        <f t="shared" si="70"/>
        <v>0</v>
      </c>
    </row>
    <row r="775" spans="1:25" s="2" customFormat="1" ht="21.95" customHeight="1">
      <c r="A775" s="82">
        <v>17</v>
      </c>
      <c r="B775" s="91" t="str">
        <f t="shared" si="71"/>
        <v>9A.T</v>
      </c>
      <c r="C775" s="83" t="s">
        <v>364</v>
      </c>
      <c r="D775" s="81" t="s">
        <v>514</v>
      </c>
      <c r="E775" s="48">
        <v>100767</v>
      </c>
      <c r="F775" s="30" t="s">
        <v>429</v>
      </c>
      <c r="G775" s="29" t="s">
        <v>84</v>
      </c>
      <c r="H775" s="30" t="s">
        <v>1626</v>
      </c>
      <c r="I775" s="78"/>
      <c r="J775" s="20"/>
      <c r="K775" s="20"/>
      <c r="L775" s="20"/>
      <c r="M775" s="20"/>
      <c r="N775" s="179" t="s">
        <v>502</v>
      </c>
      <c r="O775" s="70">
        <v>0</v>
      </c>
      <c r="P775" s="70">
        <v>0</v>
      </c>
      <c r="Q775" s="70">
        <f t="shared" si="66"/>
        <v>0</v>
      </c>
      <c r="R775" s="70"/>
      <c r="S775" s="67"/>
      <c r="T775" s="2" t="str">
        <f t="shared" si="67"/>
        <v>Hoàng Gia Hân_11AT5</v>
      </c>
      <c r="U775" s="28">
        <f t="array" ref="U775">IFERROR(VLOOKUP($T775,'Nghi hoc T12'!$H$7:$I$160,2,0),0)</f>
        <v>0</v>
      </c>
      <c r="V775" s="28">
        <f>IFERROR(VLOOKUP($T775,No_HP!$B$2:$C$514,2,0),0)</f>
        <v>0</v>
      </c>
      <c r="W775" s="28">
        <f t="shared" si="68"/>
        <v>0</v>
      </c>
      <c r="X775" s="333">
        <f t="shared" si="69"/>
        <v>0</v>
      </c>
      <c r="Y775" s="333">
        <f t="shared" si="70"/>
        <v>0</v>
      </c>
    </row>
    <row r="776" spans="1:25" s="2" customFormat="1" ht="21.95" customHeight="1">
      <c r="A776" s="82">
        <v>18</v>
      </c>
      <c r="B776" s="91" t="str">
        <f t="shared" si="71"/>
        <v>9A.T</v>
      </c>
      <c r="C776" s="83" t="s">
        <v>364</v>
      </c>
      <c r="D776" s="81" t="s">
        <v>514</v>
      </c>
      <c r="E776" s="48">
        <v>100768</v>
      </c>
      <c r="F776" s="30" t="s">
        <v>1124</v>
      </c>
      <c r="G776" s="29" t="s">
        <v>84</v>
      </c>
      <c r="H776" s="30" t="s">
        <v>1628</v>
      </c>
      <c r="I776" s="78"/>
      <c r="J776" s="20"/>
      <c r="K776" s="20"/>
      <c r="L776" s="20"/>
      <c r="M776" s="20"/>
      <c r="N776" s="179" t="s">
        <v>502</v>
      </c>
      <c r="O776" s="70">
        <v>0</v>
      </c>
      <c r="P776" s="70">
        <v>0</v>
      </c>
      <c r="Q776" s="70">
        <f t="shared" si="66"/>
        <v>0</v>
      </c>
      <c r="R776" s="70"/>
      <c r="S776" s="67"/>
      <c r="T776" s="2" t="str">
        <f t="shared" si="67"/>
        <v>Lê Nguyễn Ngọc Hân_11AT6</v>
      </c>
      <c r="U776" s="28">
        <f t="array" ref="U776">IFERROR(VLOOKUP($T776,'Nghi hoc T12'!$H$7:$I$160,2,0),0)</f>
        <v>0</v>
      </c>
      <c r="V776" s="28">
        <f>IFERROR(VLOOKUP($T776,No_HP!$B$2:$C$514,2,0),0)</f>
        <v>0</v>
      </c>
      <c r="W776" s="28">
        <f t="shared" si="68"/>
        <v>0</v>
      </c>
      <c r="X776" s="333">
        <f t="shared" si="69"/>
        <v>0</v>
      </c>
      <c r="Y776" s="333">
        <f t="shared" si="70"/>
        <v>0</v>
      </c>
    </row>
    <row r="777" spans="1:25" s="2" customFormat="1" ht="21.95" customHeight="1">
      <c r="A777" s="82">
        <v>19</v>
      </c>
      <c r="B777" s="91" t="str">
        <f t="shared" si="71"/>
        <v>9A.T</v>
      </c>
      <c r="C777" s="83" t="s">
        <v>364</v>
      </c>
      <c r="D777" s="81" t="s">
        <v>514</v>
      </c>
      <c r="E777" s="48">
        <v>100769</v>
      </c>
      <c r="F777" s="30" t="s">
        <v>222</v>
      </c>
      <c r="G777" s="29" t="s">
        <v>84</v>
      </c>
      <c r="H777" s="30" t="s">
        <v>1626</v>
      </c>
      <c r="I777" s="78"/>
      <c r="J777" s="20"/>
      <c r="K777" s="20"/>
      <c r="L777" s="20"/>
      <c r="M777" s="20"/>
      <c r="N777" s="179" t="s">
        <v>502</v>
      </c>
      <c r="O777" s="70">
        <v>0</v>
      </c>
      <c r="P777" s="70">
        <v>0</v>
      </c>
      <c r="Q777" s="70">
        <f t="shared" si="66"/>
        <v>0</v>
      </c>
      <c r="R777" s="70"/>
      <c r="S777" s="67"/>
      <c r="T777" s="2" t="str">
        <f t="shared" si="67"/>
        <v>Nguyễn Ngọc Hân_11AT5</v>
      </c>
      <c r="U777" s="28">
        <f t="array" ref="U777">IFERROR(VLOOKUP($T777,'Nghi hoc T12'!$H$7:$I$160,2,0),0)</f>
        <v>0</v>
      </c>
      <c r="V777" s="28">
        <f>IFERROR(VLOOKUP($T777,No_HP!$B$2:$C$514,2,0),0)</f>
        <v>0</v>
      </c>
      <c r="W777" s="28">
        <f t="shared" si="68"/>
        <v>0</v>
      </c>
      <c r="X777" s="333">
        <f t="shared" si="69"/>
        <v>0</v>
      </c>
      <c r="Y777" s="333">
        <f t="shared" si="70"/>
        <v>0</v>
      </c>
    </row>
    <row r="778" spans="1:25" s="2" customFormat="1" ht="21.95" customHeight="1">
      <c r="A778" s="82">
        <v>20</v>
      </c>
      <c r="B778" s="91" t="str">
        <f t="shared" si="71"/>
        <v>9A.T</v>
      </c>
      <c r="C778" s="83" t="s">
        <v>364</v>
      </c>
      <c r="D778" s="81" t="s">
        <v>514</v>
      </c>
      <c r="E778" s="48">
        <v>100770</v>
      </c>
      <c r="F778" s="30" t="s">
        <v>228</v>
      </c>
      <c r="G778" s="29" t="s">
        <v>84</v>
      </c>
      <c r="H778" s="30" t="s">
        <v>1626</v>
      </c>
      <c r="I778" s="78"/>
      <c r="J778" s="20"/>
      <c r="K778" s="20"/>
      <c r="L778" s="20"/>
      <c r="M778" s="20"/>
      <c r="N778" s="179" t="s">
        <v>502</v>
      </c>
      <c r="O778" s="70">
        <v>0</v>
      </c>
      <c r="P778" s="70">
        <v>0</v>
      </c>
      <c r="Q778" s="70">
        <f t="shared" ref="Q778:Q841" si="72">U778</f>
        <v>0</v>
      </c>
      <c r="R778" s="70"/>
      <c r="S778" s="67"/>
      <c r="T778" s="2" t="str">
        <f t="shared" ref="T778:T841" si="73">TRIM(F778&amp;" "&amp;G778&amp;"_"&amp;H778)</f>
        <v>Nguyễn Trần Bảo Hân_11AT5</v>
      </c>
      <c r="U778" s="28">
        <f t="array" ref="U778">IFERROR(VLOOKUP($T778,'Nghi hoc T12'!$H$7:$I$160,2,0),0)</f>
        <v>0</v>
      </c>
      <c r="V778" s="28">
        <f>IFERROR(VLOOKUP($T778,No_HP!$B$2:$C$514,2,0),0)</f>
        <v>0</v>
      </c>
      <c r="W778" s="28">
        <f t="shared" ref="W778:W841" si="74">I778</f>
        <v>0</v>
      </c>
      <c r="X778" s="333">
        <f t="shared" ref="X778:X841" si="75">O778</f>
        <v>0</v>
      </c>
      <c r="Y778" s="333">
        <f t="shared" ref="Y778:Y841" si="76">P778</f>
        <v>0</v>
      </c>
    </row>
    <row r="779" spans="1:25" s="2" customFormat="1" ht="21.95" customHeight="1">
      <c r="A779" s="82">
        <v>21</v>
      </c>
      <c r="B779" s="91" t="str">
        <f t="shared" ref="B779:B842" si="77">RIGHT(D779,LEN(D779)-2)&amp;"."&amp;LEFT(N779,1)</f>
        <v>9A.T</v>
      </c>
      <c r="C779" s="83" t="s">
        <v>364</v>
      </c>
      <c r="D779" s="81" t="s">
        <v>514</v>
      </c>
      <c r="E779" s="48">
        <v>100771</v>
      </c>
      <c r="F779" s="30" t="s">
        <v>148</v>
      </c>
      <c r="G779" s="29" t="s">
        <v>1637</v>
      </c>
      <c r="H779" s="30" t="s">
        <v>1626</v>
      </c>
      <c r="I779" s="78"/>
      <c r="J779" s="20"/>
      <c r="K779" s="20"/>
      <c r="L779" s="20"/>
      <c r="M779" s="20"/>
      <c r="N779" s="179" t="s">
        <v>502</v>
      </c>
      <c r="O779" s="70">
        <v>0</v>
      </c>
      <c r="P779" s="70">
        <v>0</v>
      </c>
      <c r="Q779" s="70">
        <f t="shared" si="72"/>
        <v>0</v>
      </c>
      <c r="R779" s="70"/>
      <c r="S779" s="67"/>
      <c r="T779" s="2" t="str">
        <f t="shared" si="73"/>
        <v>Nguyễn Anh Hồ_11AT5</v>
      </c>
      <c r="U779" s="28">
        <f t="array" ref="U779">IFERROR(VLOOKUP($T779,'Nghi hoc T12'!$H$7:$I$160,2,0),0)</f>
        <v>0</v>
      </c>
      <c r="V779" s="28">
        <f>IFERROR(VLOOKUP($T779,No_HP!$B$2:$C$514,2,0),0)</f>
        <v>0</v>
      </c>
      <c r="W779" s="28">
        <f t="shared" si="74"/>
        <v>0</v>
      </c>
      <c r="X779" s="333">
        <f t="shared" si="75"/>
        <v>0</v>
      </c>
      <c r="Y779" s="333">
        <f t="shared" si="76"/>
        <v>0</v>
      </c>
    </row>
    <row r="780" spans="1:25" s="2" customFormat="1" ht="21.95" customHeight="1">
      <c r="A780" s="82">
        <v>22</v>
      </c>
      <c r="B780" s="91" t="str">
        <f t="shared" si="77"/>
        <v>9A.T</v>
      </c>
      <c r="C780" s="83" t="s">
        <v>364</v>
      </c>
      <c r="D780" s="81" t="s">
        <v>514</v>
      </c>
      <c r="E780" s="48">
        <v>100772</v>
      </c>
      <c r="F780" s="30" t="s">
        <v>201</v>
      </c>
      <c r="G780" s="29" t="s">
        <v>1638</v>
      </c>
      <c r="H780" s="30" t="s">
        <v>1626</v>
      </c>
      <c r="I780" s="78"/>
      <c r="J780" s="20"/>
      <c r="K780" s="20"/>
      <c r="L780" s="20"/>
      <c r="M780" s="20"/>
      <c r="N780" s="179" t="s">
        <v>502</v>
      </c>
      <c r="O780" s="70">
        <v>0</v>
      </c>
      <c r="P780" s="70">
        <v>0</v>
      </c>
      <c r="Q780" s="70">
        <f t="shared" si="72"/>
        <v>0</v>
      </c>
      <c r="R780" s="70"/>
      <c r="S780" s="67"/>
      <c r="T780" s="2" t="str">
        <f t="shared" si="73"/>
        <v>Nguyễn Hữu Huân_11AT5</v>
      </c>
      <c r="U780" s="28">
        <f t="array" ref="U780">IFERROR(VLOOKUP($T780,'Nghi hoc T12'!$H$7:$I$160,2,0),0)</f>
        <v>0</v>
      </c>
      <c r="V780" s="28">
        <f>IFERROR(VLOOKUP($T780,No_HP!$B$2:$C$514,2,0),0)</f>
        <v>0</v>
      </c>
      <c r="W780" s="28">
        <f t="shared" si="74"/>
        <v>0</v>
      </c>
      <c r="X780" s="333">
        <f t="shared" si="75"/>
        <v>0</v>
      </c>
      <c r="Y780" s="333">
        <f t="shared" si="76"/>
        <v>0</v>
      </c>
    </row>
    <row r="781" spans="1:25" s="2" customFormat="1" ht="21.95" customHeight="1">
      <c r="A781" s="82">
        <v>23</v>
      </c>
      <c r="B781" s="91" t="str">
        <f t="shared" si="77"/>
        <v>9A.T</v>
      </c>
      <c r="C781" s="83" t="s">
        <v>364</v>
      </c>
      <c r="D781" s="81" t="s">
        <v>514</v>
      </c>
      <c r="E781" s="48">
        <v>100773</v>
      </c>
      <c r="F781" s="30" t="s">
        <v>1639</v>
      </c>
      <c r="G781" s="29" t="s">
        <v>11</v>
      </c>
      <c r="H781" s="30" t="s">
        <v>1626</v>
      </c>
      <c r="I781" s="78"/>
      <c r="J781" s="20"/>
      <c r="K781" s="20"/>
      <c r="L781" s="20"/>
      <c r="M781" s="20"/>
      <c r="N781" s="179" t="s">
        <v>502</v>
      </c>
      <c r="O781" s="70">
        <v>0</v>
      </c>
      <c r="P781" s="70">
        <v>0</v>
      </c>
      <c r="Q781" s="70">
        <f t="shared" si="72"/>
        <v>0</v>
      </c>
      <c r="R781" s="70"/>
      <c r="S781" s="67"/>
      <c r="T781" s="2" t="str">
        <f t="shared" si="73"/>
        <v>Bùi Quang Huy_11AT5</v>
      </c>
      <c r="U781" s="28">
        <f t="array" ref="U781">IFERROR(VLOOKUP($T781,'Nghi hoc T12'!$H$7:$I$160,2,0),0)</f>
        <v>0</v>
      </c>
      <c r="V781" s="28">
        <f>IFERROR(VLOOKUP($T781,No_HP!$B$2:$C$514,2,0),0)</f>
        <v>0</v>
      </c>
      <c r="W781" s="28">
        <f t="shared" si="74"/>
        <v>0</v>
      </c>
      <c r="X781" s="333">
        <f t="shared" si="75"/>
        <v>0</v>
      </c>
      <c r="Y781" s="333">
        <f t="shared" si="76"/>
        <v>0</v>
      </c>
    </row>
    <row r="782" spans="1:25" s="2" customFormat="1" ht="21.95" customHeight="1">
      <c r="A782" s="82">
        <v>24</v>
      </c>
      <c r="B782" s="91" t="str">
        <f t="shared" si="77"/>
        <v>9A.T</v>
      </c>
      <c r="C782" s="83" t="s">
        <v>364</v>
      </c>
      <c r="D782" s="81" t="s">
        <v>514</v>
      </c>
      <c r="E782" s="48">
        <v>100774</v>
      </c>
      <c r="F782" s="30" t="s">
        <v>1315</v>
      </c>
      <c r="G782" s="29" t="s">
        <v>11</v>
      </c>
      <c r="H782" s="30" t="s">
        <v>1628</v>
      </c>
      <c r="I782" s="78"/>
      <c r="J782" s="20"/>
      <c r="K782" s="20"/>
      <c r="L782" s="20"/>
      <c r="M782" s="20"/>
      <c r="N782" s="179" t="s">
        <v>502</v>
      </c>
      <c r="O782" s="70">
        <v>0</v>
      </c>
      <c r="P782" s="70">
        <v>0</v>
      </c>
      <c r="Q782" s="70">
        <f t="shared" si="72"/>
        <v>0</v>
      </c>
      <c r="R782" s="70"/>
      <c r="S782" s="67"/>
      <c r="T782" s="2" t="str">
        <f t="shared" si="73"/>
        <v>Nguyễn Viết Huy_11AT6</v>
      </c>
      <c r="U782" s="28">
        <f t="array" ref="U782">IFERROR(VLOOKUP($T782,'Nghi hoc T12'!$H$7:$I$160,2,0),0)</f>
        <v>0</v>
      </c>
      <c r="V782" s="28">
        <f>IFERROR(VLOOKUP($T782,No_HP!$B$2:$C$514,2,0),0)</f>
        <v>0</v>
      </c>
      <c r="W782" s="28">
        <f t="shared" si="74"/>
        <v>0</v>
      </c>
      <c r="X782" s="333">
        <f t="shared" si="75"/>
        <v>0</v>
      </c>
      <c r="Y782" s="333">
        <f t="shared" si="76"/>
        <v>0</v>
      </c>
    </row>
    <row r="783" spans="1:25" s="2" customFormat="1" ht="21.95" customHeight="1">
      <c r="A783" s="82">
        <v>25</v>
      </c>
      <c r="B783" s="91" t="str">
        <f t="shared" si="77"/>
        <v>9A.T</v>
      </c>
      <c r="C783" s="83" t="s">
        <v>364</v>
      </c>
      <c r="D783" s="81" t="s">
        <v>514</v>
      </c>
      <c r="E783" s="48">
        <v>100775</v>
      </c>
      <c r="F783" s="30" t="s">
        <v>1640</v>
      </c>
      <c r="G783" s="29" t="s">
        <v>91</v>
      </c>
      <c r="H783" s="30" t="s">
        <v>1626</v>
      </c>
      <c r="I783" s="78"/>
      <c r="J783" s="20"/>
      <c r="K783" s="20"/>
      <c r="L783" s="20"/>
      <c r="M783" s="20"/>
      <c r="N783" s="179" t="s">
        <v>502</v>
      </c>
      <c r="O783" s="70">
        <v>0</v>
      </c>
      <c r="P783" s="70">
        <v>0</v>
      </c>
      <c r="Q783" s="70">
        <f t="shared" si="72"/>
        <v>0</v>
      </c>
      <c r="R783" s="70"/>
      <c r="S783" s="67"/>
      <c r="T783" s="2" t="str">
        <f t="shared" si="73"/>
        <v>Đoàn Vĩnh Hưng_11AT5</v>
      </c>
      <c r="U783" s="28">
        <f t="array" ref="U783">IFERROR(VLOOKUP($T783,'Nghi hoc T12'!$H$7:$I$160,2,0),0)</f>
        <v>0</v>
      </c>
      <c r="V783" s="28">
        <f>IFERROR(VLOOKUP($T783,No_HP!$B$2:$C$514,2,0),0)</f>
        <v>0</v>
      </c>
      <c r="W783" s="28">
        <f t="shared" si="74"/>
        <v>0</v>
      </c>
      <c r="X783" s="333">
        <f t="shared" si="75"/>
        <v>0</v>
      </c>
      <c r="Y783" s="333">
        <f t="shared" si="76"/>
        <v>0</v>
      </c>
    </row>
    <row r="784" spans="1:25" s="2" customFormat="1" ht="21.95" customHeight="1">
      <c r="A784" s="82">
        <v>26</v>
      </c>
      <c r="B784" s="91" t="str">
        <f t="shared" si="77"/>
        <v>9A.T</v>
      </c>
      <c r="C784" s="83" t="s">
        <v>364</v>
      </c>
      <c r="D784" s="81" t="s">
        <v>514</v>
      </c>
      <c r="E784" s="48">
        <v>100776</v>
      </c>
      <c r="F784" s="30" t="s">
        <v>222</v>
      </c>
      <c r="G784" s="29" t="s">
        <v>54</v>
      </c>
      <c r="H784" s="30" t="s">
        <v>1628</v>
      </c>
      <c r="I784" s="78"/>
      <c r="J784" s="20"/>
      <c r="K784" s="20"/>
      <c r="L784" s="20"/>
      <c r="M784" s="20"/>
      <c r="N784" s="179" t="s">
        <v>502</v>
      </c>
      <c r="O784" s="70">
        <v>0</v>
      </c>
      <c r="P784" s="70">
        <v>0</v>
      </c>
      <c r="Q784" s="70">
        <f t="shared" si="72"/>
        <v>0</v>
      </c>
      <c r="R784" s="70"/>
      <c r="S784" s="67"/>
      <c r="T784" s="2" t="str">
        <f t="shared" si="73"/>
        <v>Nguyễn Ngọc Hương_11AT6</v>
      </c>
      <c r="U784" s="28">
        <f t="array" ref="U784">IFERROR(VLOOKUP($T784,'Nghi hoc T12'!$H$7:$I$160,2,0),0)</f>
        <v>0</v>
      </c>
      <c r="V784" s="28">
        <f>IFERROR(VLOOKUP($T784,No_HP!$B$2:$C$514,2,0),0)</f>
        <v>0</v>
      </c>
      <c r="W784" s="28">
        <f t="shared" si="74"/>
        <v>0</v>
      </c>
      <c r="X784" s="333">
        <f t="shared" si="75"/>
        <v>0</v>
      </c>
      <c r="Y784" s="333">
        <f t="shared" si="76"/>
        <v>0</v>
      </c>
    </row>
    <row r="785" spans="1:25" s="2" customFormat="1" ht="21.95" customHeight="1">
      <c r="A785" s="82">
        <v>27</v>
      </c>
      <c r="B785" s="91" t="str">
        <f t="shared" si="77"/>
        <v>9A.T</v>
      </c>
      <c r="C785" s="83" t="s">
        <v>364</v>
      </c>
      <c r="D785" s="81" t="s">
        <v>514</v>
      </c>
      <c r="E785" s="48">
        <v>100777</v>
      </c>
      <c r="F785" s="30" t="s">
        <v>133</v>
      </c>
      <c r="G785" s="29" t="s">
        <v>54</v>
      </c>
      <c r="H785" s="30" t="s">
        <v>1626</v>
      </c>
      <c r="I785" s="78"/>
      <c r="J785" s="20"/>
      <c r="K785" s="20"/>
      <c r="L785" s="20"/>
      <c r="M785" s="20"/>
      <c r="N785" s="179" t="s">
        <v>502</v>
      </c>
      <c r="O785" s="70">
        <v>0</v>
      </c>
      <c r="P785" s="70">
        <v>0</v>
      </c>
      <c r="Q785" s="70">
        <f t="shared" si="72"/>
        <v>0</v>
      </c>
      <c r="R785" s="70"/>
      <c r="S785" s="67"/>
      <c r="T785" s="2" t="str">
        <f t="shared" si="73"/>
        <v>Phạm Thị Thu Hương_11AT5</v>
      </c>
      <c r="U785" s="28">
        <f t="array" ref="U785">IFERROR(VLOOKUP($T785,'Nghi hoc T12'!$H$7:$I$160,2,0),0)</f>
        <v>0</v>
      </c>
      <c r="V785" s="28">
        <f>IFERROR(VLOOKUP($T785,No_HP!$B$2:$C$514,2,0),0)</f>
        <v>0</v>
      </c>
      <c r="W785" s="28">
        <f t="shared" si="74"/>
        <v>0</v>
      </c>
      <c r="X785" s="333">
        <f t="shared" si="75"/>
        <v>0</v>
      </c>
      <c r="Y785" s="333">
        <f t="shared" si="76"/>
        <v>0</v>
      </c>
    </row>
    <row r="786" spans="1:25" s="2" customFormat="1" ht="21.95" customHeight="1">
      <c r="A786" s="82">
        <v>28</v>
      </c>
      <c r="B786" s="91" t="str">
        <f t="shared" si="77"/>
        <v>9A.T</v>
      </c>
      <c r="C786" s="83" t="s">
        <v>364</v>
      </c>
      <c r="D786" s="81" t="s">
        <v>514</v>
      </c>
      <c r="E786" s="48">
        <v>100778</v>
      </c>
      <c r="F786" s="30" t="s">
        <v>1641</v>
      </c>
      <c r="G786" s="29" t="s">
        <v>79</v>
      </c>
      <c r="H786" s="30" t="s">
        <v>1626</v>
      </c>
      <c r="I786" s="78"/>
      <c r="J786" s="20"/>
      <c r="K786" s="20"/>
      <c r="L786" s="20"/>
      <c r="M786" s="20"/>
      <c r="N786" s="179" t="s">
        <v>502</v>
      </c>
      <c r="O786" s="70">
        <v>0</v>
      </c>
      <c r="P786" s="70">
        <v>0</v>
      </c>
      <c r="Q786" s="70">
        <f t="shared" si="72"/>
        <v>0</v>
      </c>
      <c r="R786" s="70"/>
      <c r="S786" s="67"/>
      <c r="T786" s="2" t="str">
        <f t="shared" si="73"/>
        <v>Huỳnh Bá Khang_11AT5</v>
      </c>
      <c r="U786" s="28">
        <f t="array" ref="U786">IFERROR(VLOOKUP($T786,'Nghi hoc T12'!$H$7:$I$160,2,0),0)</f>
        <v>0</v>
      </c>
      <c r="V786" s="28">
        <f>IFERROR(VLOOKUP($T786,No_HP!$B$2:$C$514,2,0),0)</f>
        <v>0</v>
      </c>
      <c r="W786" s="28">
        <f t="shared" si="74"/>
        <v>0</v>
      </c>
      <c r="X786" s="333">
        <f t="shared" si="75"/>
        <v>0</v>
      </c>
      <c r="Y786" s="333">
        <f t="shared" si="76"/>
        <v>0</v>
      </c>
    </row>
    <row r="787" spans="1:25" s="2" customFormat="1" ht="21.95" customHeight="1">
      <c r="A787" s="82">
        <v>29</v>
      </c>
      <c r="B787" s="91" t="str">
        <f t="shared" si="77"/>
        <v>9A.T</v>
      </c>
      <c r="C787" s="83" t="s">
        <v>364</v>
      </c>
      <c r="D787" s="81" t="s">
        <v>514</v>
      </c>
      <c r="E787" s="48">
        <v>100779</v>
      </c>
      <c r="F787" s="30" t="s">
        <v>1642</v>
      </c>
      <c r="G787" s="29" t="s">
        <v>1643</v>
      </c>
      <c r="H787" s="30" t="s">
        <v>1628</v>
      </c>
      <c r="I787" s="78"/>
      <c r="J787" s="20"/>
      <c r="K787" s="20"/>
      <c r="L787" s="20"/>
      <c r="M787" s="20"/>
      <c r="N787" s="179" t="s">
        <v>502</v>
      </c>
      <c r="O787" s="70">
        <v>0</v>
      </c>
      <c r="P787" s="70">
        <v>0</v>
      </c>
      <c r="Q787" s="70">
        <f t="shared" si="72"/>
        <v>0</v>
      </c>
      <c r="R787" s="70"/>
      <c r="S787" s="67"/>
      <c r="T787" s="2" t="str">
        <f t="shared" si="73"/>
        <v>Bùi Lê Ngọc Khuê_11AT6</v>
      </c>
      <c r="U787" s="28">
        <f t="array" ref="U787">IFERROR(VLOOKUP($T787,'Nghi hoc T12'!$H$7:$I$160,2,0),0)</f>
        <v>0</v>
      </c>
      <c r="V787" s="28">
        <f>IFERROR(VLOOKUP($T787,No_HP!$B$2:$C$514,2,0),0)</f>
        <v>0</v>
      </c>
      <c r="W787" s="28">
        <f t="shared" si="74"/>
        <v>0</v>
      </c>
      <c r="X787" s="333">
        <f t="shared" si="75"/>
        <v>0</v>
      </c>
      <c r="Y787" s="333">
        <f t="shared" si="76"/>
        <v>0</v>
      </c>
    </row>
    <row r="788" spans="1:25" s="2" customFormat="1" ht="21.95" customHeight="1">
      <c r="A788" s="82">
        <v>30</v>
      </c>
      <c r="B788" s="91" t="str">
        <f t="shared" si="77"/>
        <v>9A.T</v>
      </c>
      <c r="C788" s="83" t="s">
        <v>364</v>
      </c>
      <c r="D788" s="81" t="s">
        <v>514</v>
      </c>
      <c r="E788" s="48">
        <v>100780</v>
      </c>
      <c r="F788" s="30" t="s">
        <v>1644</v>
      </c>
      <c r="G788" s="29" t="s">
        <v>113</v>
      </c>
      <c r="H788" s="30" t="s">
        <v>1626</v>
      </c>
      <c r="I788" s="78"/>
      <c r="J788" s="20"/>
      <c r="K788" s="20"/>
      <c r="L788" s="20"/>
      <c r="M788" s="20"/>
      <c r="N788" s="179" t="s">
        <v>502</v>
      </c>
      <c r="O788" s="70">
        <v>0</v>
      </c>
      <c r="P788" s="70">
        <v>0</v>
      </c>
      <c r="Q788" s="70">
        <f t="shared" si="72"/>
        <v>0</v>
      </c>
      <c r="R788" s="70"/>
      <c r="S788" s="67"/>
      <c r="T788" s="2" t="str">
        <f t="shared" si="73"/>
        <v>Hồ Yến Lan_11AT5</v>
      </c>
      <c r="U788" s="28">
        <f t="array" ref="U788">IFERROR(VLOOKUP($T788,'Nghi hoc T12'!$H$7:$I$160,2,0),0)</f>
        <v>0</v>
      </c>
      <c r="V788" s="28">
        <f>IFERROR(VLOOKUP($T788,No_HP!$B$2:$C$514,2,0),0)</f>
        <v>0</v>
      </c>
      <c r="W788" s="28">
        <f t="shared" si="74"/>
        <v>0</v>
      </c>
      <c r="X788" s="333">
        <f t="shared" si="75"/>
        <v>0</v>
      </c>
      <c r="Y788" s="333">
        <f t="shared" si="76"/>
        <v>0</v>
      </c>
    </row>
    <row r="789" spans="1:25" s="2" customFormat="1" ht="21.95" customHeight="1">
      <c r="A789" s="82">
        <v>31</v>
      </c>
      <c r="B789" s="91" t="str">
        <f t="shared" si="77"/>
        <v>9A.T</v>
      </c>
      <c r="C789" s="83" t="s">
        <v>364</v>
      </c>
      <c r="D789" s="81" t="s">
        <v>514</v>
      </c>
      <c r="E789" s="48">
        <v>100781</v>
      </c>
      <c r="F789" s="30" t="s">
        <v>1645</v>
      </c>
      <c r="G789" s="29" t="s">
        <v>38</v>
      </c>
      <c r="H789" s="30" t="s">
        <v>1626</v>
      </c>
      <c r="I789" s="78"/>
      <c r="J789" s="20"/>
      <c r="K789" s="20"/>
      <c r="L789" s="20"/>
      <c r="M789" s="20"/>
      <c r="N789" s="179" t="s">
        <v>502</v>
      </c>
      <c r="O789" s="70">
        <v>0</v>
      </c>
      <c r="P789" s="70">
        <v>0</v>
      </c>
      <c r="Q789" s="70">
        <f t="shared" si="72"/>
        <v>0</v>
      </c>
      <c r="R789" s="70"/>
      <c r="S789" s="67"/>
      <c r="T789" s="2" t="str">
        <f t="shared" si="73"/>
        <v>Đặng Phương Linh_11AT5</v>
      </c>
      <c r="U789" s="28">
        <f t="array" ref="U789">IFERROR(VLOOKUP($T789,'Nghi hoc T12'!$H$7:$I$160,2,0),0)</f>
        <v>0</v>
      </c>
      <c r="V789" s="28">
        <f>IFERROR(VLOOKUP($T789,No_HP!$B$2:$C$514,2,0),0)</f>
        <v>0</v>
      </c>
      <c r="W789" s="28">
        <f t="shared" si="74"/>
        <v>0</v>
      </c>
      <c r="X789" s="333">
        <f t="shared" si="75"/>
        <v>0</v>
      </c>
      <c r="Y789" s="333">
        <f t="shared" si="76"/>
        <v>0</v>
      </c>
    </row>
    <row r="790" spans="1:25" s="2" customFormat="1" ht="21.95" customHeight="1">
      <c r="A790" s="82">
        <v>32</v>
      </c>
      <c r="B790" s="91" t="str">
        <f t="shared" si="77"/>
        <v>9A.T</v>
      </c>
      <c r="C790" s="83" t="s">
        <v>364</v>
      </c>
      <c r="D790" s="81" t="s">
        <v>514</v>
      </c>
      <c r="E790" s="48">
        <v>100782</v>
      </c>
      <c r="F790" s="30" t="s">
        <v>231</v>
      </c>
      <c r="G790" s="29" t="s">
        <v>38</v>
      </c>
      <c r="H790" s="30" t="s">
        <v>1628</v>
      </c>
      <c r="I790" s="78"/>
      <c r="J790" s="20"/>
      <c r="K790" s="20"/>
      <c r="L790" s="20"/>
      <c r="M790" s="20"/>
      <c r="N790" s="179" t="s">
        <v>502</v>
      </c>
      <c r="O790" s="70">
        <v>0</v>
      </c>
      <c r="P790" s="70">
        <v>0</v>
      </c>
      <c r="Q790" s="70">
        <f t="shared" si="72"/>
        <v>0</v>
      </c>
      <c r="R790" s="70"/>
      <c r="S790" s="67"/>
      <c r="T790" s="2" t="str">
        <f t="shared" si="73"/>
        <v>Nguyễn Thị Phương Linh_11AT6</v>
      </c>
      <c r="U790" s="28">
        <f t="array" ref="U790">IFERROR(VLOOKUP($T790,'Nghi hoc T12'!$H$7:$I$160,2,0),0)</f>
        <v>0</v>
      </c>
      <c r="V790" s="28">
        <f>IFERROR(VLOOKUP($T790,No_HP!$B$2:$C$514,2,0),0)</f>
        <v>0</v>
      </c>
      <c r="W790" s="28">
        <f t="shared" si="74"/>
        <v>0</v>
      </c>
      <c r="X790" s="333">
        <f t="shared" si="75"/>
        <v>0</v>
      </c>
      <c r="Y790" s="333">
        <f t="shared" si="76"/>
        <v>0</v>
      </c>
    </row>
    <row r="791" spans="1:25" s="2" customFormat="1" ht="21.95" customHeight="1">
      <c r="A791" s="200">
        <v>1</v>
      </c>
      <c r="B791" s="91" t="str">
        <f t="shared" si="77"/>
        <v>10A.T</v>
      </c>
      <c r="C791" s="185" t="s">
        <v>364</v>
      </c>
      <c r="D791" s="186" t="s">
        <v>515</v>
      </c>
      <c r="E791" s="187">
        <v>100783</v>
      </c>
      <c r="F791" s="188" t="s">
        <v>1646</v>
      </c>
      <c r="G791" s="189" t="s">
        <v>38</v>
      </c>
      <c r="H791" s="188" t="s">
        <v>1626</v>
      </c>
      <c r="I791" s="190"/>
      <c r="J791" s="191"/>
      <c r="K791" s="191"/>
      <c r="L791" s="191"/>
      <c r="M791" s="191"/>
      <c r="N791" s="179" t="s">
        <v>502</v>
      </c>
      <c r="O791" s="70">
        <v>0</v>
      </c>
      <c r="P791" s="70">
        <v>0</v>
      </c>
      <c r="Q791" s="70">
        <f t="shared" si="72"/>
        <v>0</v>
      </c>
      <c r="R791" s="70"/>
      <c r="S791" s="67"/>
      <c r="T791" s="2" t="str">
        <f t="shared" si="73"/>
        <v>Phan Hoài Trúc Linh_11AT5</v>
      </c>
      <c r="U791" s="28">
        <f t="array" ref="U791">IFERROR(VLOOKUP($T791,'Nghi hoc T12'!$H$7:$I$160,2,0),0)</f>
        <v>0</v>
      </c>
      <c r="V791" s="28">
        <f>IFERROR(VLOOKUP($T791,No_HP!$B$2:$C$514,2,0),0)</f>
        <v>0</v>
      </c>
      <c r="W791" s="28">
        <f t="shared" si="74"/>
        <v>0</v>
      </c>
      <c r="X791" s="333">
        <f t="shared" si="75"/>
        <v>0</v>
      </c>
      <c r="Y791" s="333">
        <f t="shared" si="76"/>
        <v>0</v>
      </c>
    </row>
    <row r="792" spans="1:25" s="2" customFormat="1" ht="21.95" customHeight="1">
      <c r="A792" s="82">
        <v>2</v>
      </c>
      <c r="B792" s="91" t="str">
        <f t="shared" si="77"/>
        <v>10A.T</v>
      </c>
      <c r="C792" s="83" t="s">
        <v>364</v>
      </c>
      <c r="D792" s="81" t="s">
        <v>515</v>
      </c>
      <c r="E792" s="48">
        <v>100784</v>
      </c>
      <c r="F792" s="30" t="s">
        <v>1647</v>
      </c>
      <c r="G792" s="29" t="s">
        <v>38</v>
      </c>
      <c r="H792" s="30" t="s">
        <v>1628</v>
      </c>
      <c r="I792" s="78"/>
      <c r="J792" s="20"/>
      <c r="K792" s="20"/>
      <c r="L792" s="20"/>
      <c r="M792" s="20"/>
      <c r="N792" s="179" t="s">
        <v>502</v>
      </c>
      <c r="O792" s="70">
        <v>0</v>
      </c>
      <c r="P792" s="70">
        <v>0</v>
      </c>
      <c r="Q792" s="70">
        <f t="shared" si="72"/>
        <v>0</v>
      </c>
      <c r="R792" s="70"/>
      <c r="S792" s="67"/>
      <c r="T792" s="2" t="str">
        <f t="shared" si="73"/>
        <v>Trần Thị Thùy Linh_11AT6</v>
      </c>
      <c r="U792" s="28">
        <f t="array" ref="U792">IFERROR(VLOOKUP($T792,'Nghi hoc T12'!$H$7:$I$160,2,0),0)</f>
        <v>0</v>
      </c>
      <c r="V792" s="28">
        <f>IFERROR(VLOOKUP($T792,No_HP!$B$2:$C$514,2,0),0)</f>
        <v>0</v>
      </c>
      <c r="W792" s="28">
        <f t="shared" si="74"/>
        <v>0</v>
      </c>
      <c r="X792" s="333">
        <f t="shared" si="75"/>
        <v>0</v>
      </c>
      <c r="Y792" s="333">
        <f t="shared" si="76"/>
        <v>0</v>
      </c>
    </row>
    <row r="793" spans="1:25" s="2" customFormat="1" ht="21.95" customHeight="1">
      <c r="A793" s="82">
        <v>3</v>
      </c>
      <c r="B793" s="91" t="str">
        <f t="shared" si="77"/>
        <v>10A.T</v>
      </c>
      <c r="C793" s="83" t="s">
        <v>364</v>
      </c>
      <c r="D793" s="81" t="s">
        <v>515</v>
      </c>
      <c r="E793" s="48">
        <v>100785</v>
      </c>
      <c r="F793" s="30" t="s">
        <v>154</v>
      </c>
      <c r="G793" s="29" t="s">
        <v>153</v>
      </c>
      <c r="H793" s="30" t="s">
        <v>1628</v>
      </c>
      <c r="I793" s="78"/>
      <c r="J793" s="20"/>
      <c r="K793" s="20"/>
      <c r="L793" s="20"/>
      <c r="M793" s="20"/>
      <c r="N793" s="179" t="s">
        <v>502</v>
      </c>
      <c r="O793" s="70">
        <v>0</v>
      </c>
      <c r="P793" s="70">
        <v>0</v>
      </c>
      <c r="Q793" s="70">
        <f t="shared" si="72"/>
        <v>0</v>
      </c>
      <c r="R793" s="70"/>
      <c r="S793" s="67"/>
      <c r="T793" s="2" t="str">
        <f t="shared" si="73"/>
        <v>Nguyễn Bảo Luân_11AT6</v>
      </c>
      <c r="U793" s="28">
        <f t="array" ref="U793">IFERROR(VLOOKUP($T793,'Nghi hoc T12'!$H$7:$I$160,2,0),0)</f>
        <v>0</v>
      </c>
      <c r="V793" s="28">
        <f>IFERROR(VLOOKUP($T793,No_HP!$B$2:$C$514,2,0),0)</f>
        <v>0</v>
      </c>
      <c r="W793" s="28">
        <f t="shared" si="74"/>
        <v>0</v>
      </c>
      <c r="X793" s="333">
        <f t="shared" si="75"/>
        <v>0</v>
      </c>
      <c r="Y793" s="333">
        <f t="shared" si="76"/>
        <v>0</v>
      </c>
    </row>
    <row r="794" spans="1:25" s="2" customFormat="1" ht="21.95" customHeight="1">
      <c r="A794" s="82">
        <v>4</v>
      </c>
      <c r="B794" s="91" t="str">
        <f t="shared" si="77"/>
        <v>10A.T</v>
      </c>
      <c r="C794" s="83" t="s">
        <v>364</v>
      </c>
      <c r="D794" s="81" t="s">
        <v>515</v>
      </c>
      <c r="E794" s="48">
        <v>100786</v>
      </c>
      <c r="F794" s="30" t="s">
        <v>1648</v>
      </c>
      <c r="G794" s="29" t="s">
        <v>233</v>
      </c>
      <c r="H794" s="30" t="s">
        <v>1628</v>
      </c>
      <c r="I794" s="78"/>
      <c r="J794" s="20"/>
      <c r="K794" s="20"/>
      <c r="L794" s="20"/>
      <c r="M794" s="20"/>
      <c r="N794" s="179" t="s">
        <v>502</v>
      </c>
      <c r="O794" s="70">
        <v>0</v>
      </c>
      <c r="P794" s="70">
        <v>0</v>
      </c>
      <c r="Q794" s="70">
        <f t="shared" si="72"/>
        <v>0</v>
      </c>
      <c r="R794" s="70"/>
      <c r="S794" s="67"/>
      <c r="T794" s="2" t="str">
        <f t="shared" si="73"/>
        <v>Vũ Tiến Mạnh_11AT6</v>
      </c>
      <c r="U794" s="28">
        <f t="array" ref="U794">IFERROR(VLOOKUP($T794,'Nghi hoc T12'!$H$7:$I$160,2,0),0)</f>
        <v>0</v>
      </c>
      <c r="V794" s="28">
        <f>IFERROR(VLOOKUP($T794,No_HP!$B$2:$C$514,2,0),0)</f>
        <v>0</v>
      </c>
      <c r="W794" s="28">
        <f t="shared" si="74"/>
        <v>0</v>
      </c>
      <c r="X794" s="333">
        <f t="shared" si="75"/>
        <v>0</v>
      </c>
      <c r="Y794" s="333">
        <f t="shared" si="76"/>
        <v>0</v>
      </c>
    </row>
    <row r="795" spans="1:25" s="2" customFormat="1" ht="21.95" customHeight="1">
      <c r="A795" s="82">
        <v>5</v>
      </c>
      <c r="B795" s="91" t="str">
        <f t="shared" si="77"/>
        <v>10A.T</v>
      </c>
      <c r="C795" s="83" t="s">
        <v>364</v>
      </c>
      <c r="D795" s="81" t="s">
        <v>515</v>
      </c>
      <c r="E795" s="48">
        <v>100787</v>
      </c>
      <c r="F795" s="30" t="s">
        <v>1375</v>
      </c>
      <c r="G795" s="29" t="s">
        <v>1592</v>
      </c>
      <c r="H795" s="30" t="s">
        <v>1628</v>
      </c>
      <c r="I795" s="78"/>
      <c r="J795" s="20"/>
      <c r="K795" s="20"/>
      <c r="L795" s="20"/>
      <c r="M795" s="20"/>
      <c r="N795" s="179" t="s">
        <v>502</v>
      </c>
      <c r="O795" s="70">
        <v>0</v>
      </c>
      <c r="P795" s="70">
        <v>0</v>
      </c>
      <c r="Q795" s="70">
        <f t="shared" si="72"/>
        <v>0</v>
      </c>
      <c r="R795" s="70"/>
      <c r="S795" s="67"/>
      <c r="T795" s="2" t="str">
        <f t="shared" si="73"/>
        <v>Nguyễn Thị Diễm Mi_11AT6</v>
      </c>
      <c r="U795" s="28">
        <f t="array" ref="U795">IFERROR(VLOOKUP($T795,'Nghi hoc T12'!$H$7:$I$160,2,0),0)</f>
        <v>0</v>
      </c>
      <c r="V795" s="28">
        <f>IFERROR(VLOOKUP($T795,No_HP!$B$2:$C$514,2,0),0)</f>
        <v>0</v>
      </c>
      <c r="W795" s="28">
        <f t="shared" si="74"/>
        <v>0</v>
      </c>
      <c r="X795" s="333">
        <f t="shared" si="75"/>
        <v>0</v>
      </c>
      <c r="Y795" s="333">
        <f t="shared" si="76"/>
        <v>0</v>
      </c>
    </row>
    <row r="796" spans="1:25" s="2" customFormat="1" ht="21.95" customHeight="1">
      <c r="A796" s="82">
        <v>6</v>
      </c>
      <c r="B796" s="91" t="str">
        <f t="shared" si="77"/>
        <v>10A.T</v>
      </c>
      <c r="C796" s="83" t="s">
        <v>364</v>
      </c>
      <c r="D796" s="81" t="s">
        <v>515</v>
      </c>
      <c r="E796" s="48">
        <v>100788</v>
      </c>
      <c r="F796" s="30" t="s">
        <v>1649</v>
      </c>
      <c r="G796" s="29" t="s">
        <v>16</v>
      </c>
      <c r="H796" s="30" t="s">
        <v>1626</v>
      </c>
      <c r="I796" s="78"/>
      <c r="J796" s="20"/>
      <c r="K796" s="20"/>
      <c r="L796" s="20"/>
      <c r="M796" s="20"/>
      <c r="N796" s="179" t="s">
        <v>502</v>
      </c>
      <c r="O796" s="70">
        <v>0</v>
      </c>
      <c r="P796" s="70">
        <v>0</v>
      </c>
      <c r="Q796" s="70">
        <f t="shared" si="72"/>
        <v>0</v>
      </c>
      <c r="R796" s="70"/>
      <c r="S796" s="67"/>
      <c r="T796" s="2" t="str">
        <f t="shared" si="73"/>
        <v>Mai Thị Ngọc Minh_11AT5</v>
      </c>
      <c r="U796" s="28">
        <f t="array" ref="U796">IFERROR(VLOOKUP($T796,'Nghi hoc T12'!$H$7:$I$160,2,0),0)</f>
        <v>0</v>
      </c>
      <c r="V796" s="28">
        <f>IFERROR(VLOOKUP($T796,No_HP!$B$2:$C$514,2,0),0)</f>
        <v>0</v>
      </c>
      <c r="W796" s="28">
        <f t="shared" si="74"/>
        <v>0</v>
      </c>
      <c r="X796" s="333">
        <f t="shared" si="75"/>
        <v>0</v>
      </c>
      <c r="Y796" s="333">
        <f t="shared" si="76"/>
        <v>0</v>
      </c>
    </row>
    <row r="797" spans="1:25" s="2" customFormat="1" ht="21.95" customHeight="1">
      <c r="A797" s="82">
        <v>7</v>
      </c>
      <c r="B797" s="91" t="str">
        <f t="shared" si="77"/>
        <v>10A.T</v>
      </c>
      <c r="C797" s="83" t="s">
        <v>364</v>
      </c>
      <c r="D797" s="81" t="s">
        <v>515</v>
      </c>
      <c r="E797" s="48">
        <v>100789</v>
      </c>
      <c r="F797" s="30" t="s">
        <v>1650</v>
      </c>
      <c r="G797" s="29" t="s">
        <v>96</v>
      </c>
      <c r="H797" s="30" t="s">
        <v>1626</v>
      </c>
      <c r="I797" s="78"/>
      <c r="J797" s="20"/>
      <c r="K797" s="20"/>
      <c r="L797" s="20"/>
      <c r="M797" s="20"/>
      <c r="N797" s="179" t="s">
        <v>502</v>
      </c>
      <c r="O797" s="70">
        <v>0</v>
      </c>
      <c r="P797" s="70">
        <v>0</v>
      </c>
      <c r="Q797" s="70">
        <f t="shared" si="72"/>
        <v>0</v>
      </c>
      <c r="R797" s="70"/>
      <c r="S797" s="67"/>
      <c r="T797" s="2" t="str">
        <f t="shared" si="73"/>
        <v>Nguyễn Tín Nghĩa_11AT5</v>
      </c>
      <c r="U797" s="28">
        <f t="array" ref="U797">IFERROR(VLOOKUP($T797,'Nghi hoc T12'!$H$7:$I$160,2,0),0)</f>
        <v>0</v>
      </c>
      <c r="V797" s="28">
        <f>IFERROR(VLOOKUP($T797,No_HP!$B$2:$C$514,2,0),0)</f>
        <v>0</v>
      </c>
      <c r="W797" s="28">
        <f t="shared" si="74"/>
        <v>0</v>
      </c>
      <c r="X797" s="333">
        <f t="shared" si="75"/>
        <v>0</v>
      </c>
      <c r="Y797" s="333">
        <f t="shared" si="76"/>
        <v>0</v>
      </c>
    </row>
    <row r="798" spans="1:25" s="2" customFormat="1" ht="21.95" customHeight="1">
      <c r="A798" s="82">
        <v>8</v>
      </c>
      <c r="B798" s="91" t="str">
        <f t="shared" si="77"/>
        <v>10A.T</v>
      </c>
      <c r="C798" s="83" t="s">
        <v>364</v>
      </c>
      <c r="D798" s="81" t="s">
        <v>515</v>
      </c>
      <c r="E798" s="48">
        <v>100790</v>
      </c>
      <c r="F798" s="30" t="s">
        <v>1651</v>
      </c>
      <c r="G798" s="29" t="s">
        <v>96</v>
      </c>
      <c r="H798" s="30" t="s">
        <v>1628</v>
      </c>
      <c r="I798" s="78"/>
      <c r="J798" s="20"/>
      <c r="K798" s="20"/>
      <c r="L798" s="20"/>
      <c r="M798" s="20"/>
      <c r="N798" s="179" t="s">
        <v>502</v>
      </c>
      <c r="O798" s="70">
        <v>0</v>
      </c>
      <c r="P798" s="70">
        <v>0</v>
      </c>
      <c r="Q798" s="70">
        <f t="shared" si="72"/>
        <v>0</v>
      </c>
      <c r="R798" s="70"/>
      <c r="S798" s="67"/>
      <c r="T798" s="2" t="str">
        <f t="shared" si="73"/>
        <v>Trần Đại Nghĩa_11AT6</v>
      </c>
      <c r="U798" s="28">
        <f t="array" ref="U798">IFERROR(VLOOKUP($T798,'Nghi hoc T12'!$H$7:$I$160,2,0),0)</f>
        <v>0</v>
      </c>
      <c r="V798" s="28">
        <f>IFERROR(VLOOKUP($T798,No_HP!$B$2:$C$514,2,0),0)</f>
        <v>0</v>
      </c>
      <c r="W798" s="28">
        <f t="shared" si="74"/>
        <v>0</v>
      </c>
      <c r="X798" s="333">
        <f t="shared" si="75"/>
        <v>0</v>
      </c>
      <c r="Y798" s="333">
        <f t="shared" si="76"/>
        <v>0</v>
      </c>
    </row>
    <row r="799" spans="1:25" s="2" customFormat="1" ht="21.95" customHeight="1">
      <c r="A799" s="82">
        <v>9</v>
      </c>
      <c r="B799" s="91" t="str">
        <f t="shared" si="77"/>
        <v>10A.T</v>
      </c>
      <c r="C799" s="83" t="s">
        <v>364</v>
      </c>
      <c r="D799" s="81" t="s">
        <v>515</v>
      </c>
      <c r="E799" s="48">
        <v>100791</v>
      </c>
      <c r="F799" s="30" t="s">
        <v>1652</v>
      </c>
      <c r="G799" s="29" t="s">
        <v>96</v>
      </c>
      <c r="H799" s="30" t="s">
        <v>1626</v>
      </c>
      <c r="I799" s="78"/>
      <c r="J799" s="20"/>
      <c r="K799" s="20"/>
      <c r="L799" s="20"/>
      <c r="M799" s="20"/>
      <c r="N799" s="179" t="s">
        <v>502</v>
      </c>
      <c r="O799" s="70">
        <v>0</v>
      </c>
      <c r="P799" s="70">
        <v>0</v>
      </c>
      <c r="Q799" s="70">
        <f t="shared" si="72"/>
        <v>0</v>
      </c>
      <c r="R799" s="70"/>
      <c r="S799" s="67"/>
      <c r="T799" s="2" t="str">
        <f t="shared" si="73"/>
        <v>Trịnh Trọng Nghĩa_11AT5</v>
      </c>
      <c r="U799" s="28">
        <f t="array" ref="U799">IFERROR(VLOOKUP($T799,'Nghi hoc T12'!$H$7:$I$160,2,0),0)</f>
        <v>0</v>
      </c>
      <c r="V799" s="28">
        <f>IFERROR(VLOOKUP($T799,No_HP!$B$2:$C$514,2,0),0)</f>
        <v>0</v>
      </c>
      <c r="W799" s="28">
        <f t="shared" si="74"/>
        <v>0</v>
      </c>
      <c r="X799" s="333">
        <f t="shared" si="75"/>
        <v>0</v>
      </c>
      <c r="Y799" s="333">
        <f t="shared" si="76"/>
        <v>0</v>
      </c>
    </row>
    <row r="800" spans="1:25" s="2" customFormat="1" ht="21.95" customHeight="1">
      <c r="A800" s="82">
        <v>10</v>
      </c>
      <c r="B800" s="91" t="str">
        <f t="shared" si="77"/>
        <v>10A.T</v>
      </c>
      <c r="C800" s="83" t="s">
        <v>364</v>
      </c>
      <c r="D800" s="81" t="s">
        <v>515</v>
      </c>
      <c r="E800" s="48">
        <v>100792</v>
      </c>
      <c r="F800" s="30" t="s">
        <v>1653</v>
      </c>
      <c r="G800" s="29" t="s">
        <v>19</v>
      </c>
      <c r="H800" s="30" t="s">
        <v>1628</v>
      </c>
      <c r="I800" s="78"/>
      <c r="J800" s="20"/>
      <c r="K800" s="20"/>
      <c r="L800" s="20"/>
      <c r="M800" s="20"/>
      <c r="N800" s="179" t="s">
        <v>502</v>
      </c>
      <c r="O800" s="70">
        <v>0</v>
      </c>
      <c r="P800" s="70">
        <v>0</v>
      </c>
      <c r="Q800" s="70">
        <f t="shared" si="72"/>
        <v>0</v>
      </c>
      <c r="R800" s="70"/>
      <c r="S800" s="67"/>
      <c r="T800" s="2" t="str">
        <f t="shared" si="73"/>
        <v>Mai Khánh Ngọc_11AT6</v>
      </c>
      <c r="U800" s="28">
        <f t="array" ref="U800">IFERROR(VLOOKUP($T800,'Nghi hoc T12'!$H$7:$I$160,2,0),0)</f>
        <v>0</v>
      </c>
      <c r="V800" s="28">
        <f>IFERROR(VLOOKUP($T800,No_HP!$B$2:$C$514,2,0),0)</f>
        <v>0</v>
      </c>
      <c r="W800" s="28">
        <f t="shared" si="74"/>
        <v>0</v>
      </c>
      <c r="X800" s="333">
        <f t="shared" si="75"/>
        <v>0</v>
      </c>
      <c r="Y800" s="333">
        <f t="shared" si="76"/>
        <v>0</v>
      </c>
    </row>
    <row r="801" spans="1:25" s="2" customFormat="1" ht="21.95" customHeight="1">
      <c r="A801" s="82">
        <v>11</v>
      </c>
      <c r="B801" s="91" t="str">
        <f t="shared" si="77"/>
        <v>10A.T</v>
      </c>
      <c r="C801" s="83" t="s">
        <v>364</v>
      </c>
      <c r="D801" s="81" t="s">
        <v>515</v>
      </c>
      <c r="E801" s="48">
        <v>100793</v>
      </c>
      <c r="F801" s="30" t="s">
        <v>1654</v>
      </c>
      <c r="G801" s="29" t="s">
        <v>19</v>
      </c>
      <c r="H801" s="30" t="s">
        <v>1628</v>
      </c>
      <c r="I801" s="78"/>
      <c r="J801" s="20"/>
      <c r="K801" s="20"/>
      <c r="L801" s="20"/>
      <c r="M801" s="20"/>
      <c r="N801" s="179" t="s">
        <v>502</v>
      </c>
      <c r="O801" s="70">
        <v>0</v>
      </c>
      <c r="P801" s="70">
        <v>0</v>
      </c>
      <c r="Q801" s="70">
        <f t="shared" si="72"/>
        <v>0</v>
      </c>
      <c r="R801" s="70"/>
      <c r="S801" s="67"/>
      <c r="T801" s="2" t="str">
        <f t="shared" si="73"/>
        <v>Nguyễn Ngô Nguyên Ngọc_11AT6</v>
      </c>
      <c r="U801" s="28">
        <f t="array" ref="U801">IFERROR(VLOOKUP($T801,'Nghi hoc T12'!$H$7:$I$160,2,0),0)</f>
        <v>0</v>
      </c>
      <c r="V801" s="28">
        <f>IFERROR(VLOOKUP($T801,No_HP!$B$2:$C$514,2,0),0)</f>
        <v>0</v>
      </c>
      <c r="W801" s="28">
        <f t="shared" si="74"/>
        <v>0</v>
      </c>
      <c r="X801" s="333">
        <f t="shared" si="75"/>
        <v>0</v>
      </c>
      <c r="Y801" s="333">
        <f t="shared" si="76"/>
        <v>0</v>
      </c>
    </row>
    <row r="802" spans="1:25" s="2" customFormat="1" ht="21.95" customHeight="1">
      <c r="A802" s="82">
        <v>12</v>
      </c>
      <c r="B802" s="91" t="str">
        <f t="shared" si="77"/>
        <v>10A.T</v>
      </c>
      <c r="C802" s="83" t="s">
        <v>364</v>
      </c>
      <c r="D802" s="81" t="s">
        <v>515</v>
      </c>
      <c r="E802" s="48">
        <v>100794</v>
      </c>
      <c r="F802" s="30" t="s">
        <v>41</v>
      </c>
      <c r="G802" s="29" t="s">
        <v>19</v>
      </c>
      <c r="H802" s="30" t="s">
        <v>1626</v>
      </c>
      <c r="I802" s="78"/>
      <c r="J802" s="20"/>
      <c r="K802" s="20"/>
      <c r="L802" s="20"/>
      <c r="M802" s="20"/>
      <c r="N802" s="179" t="s">
        <v>502</v>
      </c>
      <c r="O802" s="70">
        <v>0</v>
      </c>
      <c r="P802" s="70">
        <v>0</v>
      </c>
      <c r="Q802" s="70">
        <f t="shared" si="72"/>
        <v>0</v>
      </c>
      <c r="R802" s="70"/>
      <c r="S802" s="67"/>
      <c r="T802" s="2" t="str">
        <f t="shared" si="73"/>
        <v>Nguyễn Thị Hồng Ngọc_11AT5</v>
      </c>
      <c r="U802" s="28">
        <f t="array" ref="U802">IFERROR(VLOOKUP($T802,'Nghi hoc T12'!$H$7:$I$160,2,0),0)</f>
        <v>0</v>
      </c>
      <c r="V802" s="28">
        <f>IFERROR(VLOOKUP($T802,No_HP!$B$2:$C$514,2,0),0)</f>
        <v>0</v>
      </c>
      <c r="W802" s="28">
        <f t="shared" si="74"/>
        <v>0</v>
      </c>
      <c r="X802" s="333">
        <f t="shared" si="75"/>
        <v>0</v>
      </c>
      <c r="Y802" s="333">
        <f t="shared" si="76"/>
        <v>0</v>
      </c>
    </row>
    <row r="803" spans="1:25" s="2" customFormat="1" ht="21.95" customHeight="1">
      <c r="A803" s="82">
        <v>13</v>
      </c>
      <c r="B803" s="91" t="str">
        <f t="shared" si="77"/>
        <v>10A.T</v>
      </c>
      <c r="C803" s="83" t="s">
        <v>364</v>
      </c>
      <c r="D803" s="81" t="s">
        <v>515</v>
      </c>
      <c r="E803" s="48">
        <v>100795</v>
      </c>
      <c r="F803" s="30" t="s">
        <v>281</v>
      </c>
      <c r="G803" s="29" t="s">
        <v>254</v>
      </c>
      <c r="H803" s="30" t="s">
        <v>1628</v>
      </c>
      <c r="I803" s="78"/>
      <c r="J803" s="20"/>
      <c r="K803" s="20"/>
      <c r="L803" s="20"/>
      <c r="M803" s="20"/>
      <c r="N803" s="179" t="s">
        <v>502</v>
      </c>
      <c r="O803" s="70">
        <v>0</v>
      </c>
      <c r="P803" s="70">
        <v>0</v>
      </c>
      <c r="Q803" s="70">
        <f t="shared" si="72"/>
        <v>0</v>
      </c>
      <c r="R803" s="70"/>
      <c r="S803" s="67"/>
      <c r="T803" s="2" t="str">
        <f t="shared" si="73"/>
        <v>Trần Khánh Nhật_11AT6</v>
      </c>
      <c r="U803" s="28">
        <f t="array" ref="U803">IFERROR(VLOOKUP($T803,'Nghi hoc T12'!$H$7:$I$160,2,0),0)</f>
        <v>0</v>
      </c>
      <c r="V803" s="28">
        <f>IFERROR(VLOOKUP($T803,No_HP!$B$2:$C$514,2,0),0)</f>
        <v>0</v>
      </c>
      <c r="W803" s="28">
        <f t="shared" si="74"/>
        <v>0</v>
      </c>
      <c r="X803" s="333">
        <f t="shared" si="75"/>
        <v>0</v>
      </c>
      <c r="Y803" s="333">
        <f t="shared" si="76"/>
        <v>0</v>
      </c>
    </row>
    <row r="804" spans="1:25" s="2" customFormat="1" ht="21.95" customHeight="1">
      <c r="A804" s="82">
        <v>14</v>
      </c>
      <c r="B804" s="91" t="str">
        <f t="shared" si="77"/>
        <v>10A.T</v>
      </c>
      <c r="C804" s="83" t="s">
        <v>364</v>
      </c>
      <c r="D804" s="81" t="s">
        <v>515</v>
      </c>
      <c r="E804" s="48">
        <v>100796</v>
      </c>
      <c r="F804" s="30" t="s">
        <v>451</v>
      </c>
      <c r="G804" s="29" t="s">
        <v>20</v>
      </c>
      <c r="H804" s="30" t="s">
        <v>1628</v>
      </c>
      <c r="I804" s="78"/>
      <c r="J804" s="20"/>
      <c r="K804" s="20"/>
      <c r="L804" s="20"/>
      <c r="M804" s="20"/>
      <c r="N804" s="179" t="s">
        <v>502</v>
      </c>
      <c r="O804" s="70">
        <v>0</v>
      </c>
      <c r="P804" s="70">
        <v>0</v>
      </c>
      <c r="Q804" s="70">
        <f t="shared" si="72"/>
        <v>0</v>
      </c>
      <c r="R804" s="70"/>
      <c r="S804" s="67"/>
      <c r="T804" s="2" t="str">
        <f t="shared" si="73"/>
        <v>Trần Thị Nhi_11AT6</v>
      </c>
      <c r="U804" s="28">
        <f t="array" ref="U804">IFERROR(VLOOKUP($T804,'Nghi hoc T12'!$H$7:$I$160,2,0),0)</f>
        <v>0</v>
      </c>
      <c r="V804" s="28">
        <f>IFERROR(VLOOKUP($T804,No_HP!$B$2:$C$514,2,0),0)</f>
        <v>0</v>
      </c>
      <c r="W804" s="28">
        <f t="shared" si="74"/>
        <v>0</v>
      </c>
      <c r="X804" s="333">
        <f t="shared" si="75"/>
        <v>0</v>
      </c>
      <c r="Y804" s="333">
        <f t="shared" si="76"/>
        <v>0</v>
      </c>
    </row>
    <row r="805" spans="1:25" s="2" customFormat="1" ht="21.95" customHeight="1">
      <c r="A805" s="82">
        <v>15</v>
      </c>
      <c r="B805" s="91" t="str">
        <f t="shared" si="77"/>
        <v>10A.T</v>
      </c>
      <c r="C805" s="83" t="s">
        <v>364</v>
      </c>
      <c r="D805" s="81" t="s">
        <v>515</v>
      </c>
      <c r="E805" s="48">
        <v>100797</v>
      </c>
      <c r="F805" s="30" t="s">
        <v>1211</v>
      </c>
      <c r="G805" s="29" t="s">
        <v>20</v>
      </c>
      <c r="H805" s="30" t="s">
        <v>1626</v>
      </c>
      <c r="I805" s="78"/>
      <c r="J805" s="20"/>
      <c r="K805" s="20"/>
      <c r="L805" s="20"/>
      <c r="M805" s="20"/>
      <c r="N805" s="179" t="s">
        <v>502</v>
      </c>
      <c r="O805" s="70">
        <v>0</v>
      </c>
      <c r="P805" s="70">
        <v>0</v>
      </c>
      <c r="Q805" s="70">
        <f t="shared" si="72"/>
        <v>0</v>
      </c>
      <c r="R805" s="70"/>
      <c r="S805" s="67"/>
      <c r="T805" s="2" t="str">
        <f t="shared" si="73"/>
        <v>Trần Thị Yến Nhi_11AT5</v>
      </c>
      <c r="U805" s="28">
        <f t="array" ref="U805">IFERROR(VLOOKUP($T805,'Nghi hoc T12'!$H$7:$I$160,2,0),0)</f>
        <v>0</v>
      </c>
      <c r="V805" s="28">
        <f>IFERROR(VLOOKUP($T805,No_HP!$B$2:$C$514,2,0),0)</f>
        <v>0</v>
      </c>
      <c r="W805" s="28">
        <f t="shared" si="74"/>
        <v>0</v>
      </c>
      <c r="X805" s="333">
        <f t="shared" si="75"/>
        <v>0</v>
      </c>
      <c r="Y805" s="333">
        <f t="shared" si="76"/>
        <v>0</v>
      </c>
    </row>
    <row r="806" spans="1:25" s="2" customFormat="1" ht="21.95" customHeight="1">
      <c r="A806" s="82">
        <v>16</v>
      </c>
      <c r="B806" s="91" t="str">
        <f t="shared" si="77"/>
        <v>10A.T</v>
      </c>
      <c r="C806" s="83" t="s">
        <v>364</v>
      </c>
      <c r="D806" s="81" t="s">
        <v>515</v>
      </c>
      <c r="E806" s="48">
        <v>100798</v>
      </c>
      <c r="F806" s="30" t="s">
        <v>1211</v>
      </c>
      <c r="G806" s="29" t="s">
        <v>20</v>
      </c>
      <c r="H806" s="30" t="s">
        <v>1628</v>
      </c>
      <c r="I806" s="78"/>
      <c r="J806" s="20"/>
      <c r="K806" s="20"/>
      <c r="L806" s="20"/>
      <c r="M806" s="20"/>
      <c r="N806" s="179" t="s">
        <v>502</v>
      </c>
      <c r="O806" s="70">
        <v>0</v>
      </c>
      <c r="P806" s="70">
        <v>0</v>
      </c>
      <c r="Q806" s="70">
        <f t="shared" si="72"/>
        <v>0</v>
      </c>
      <c r="R806" s="70"/>
      <c r="S806" s="67"/>
      <c r="T806" s="2" t="str">
        <f t="shared" si="73"/>
        <v>Trần Thị Yến Nhi_11AT6</v>
      </c>
      <c r="U806" s="28">
        <f t="array" ref="U806">IFERROR(VLOOKUP($T806,'Nghi hoc T12'!$H$7:$I$160,2,0),0)</f>
        <v>0</v>
      </c>
      <c r="V806" s="28">
        <f>IFERROR(VLOOKUP($T806,No_HP!$B$2:$C$514,2,0),0)</f>
        <v>0</v>
      </c>
      <c r="W806" s="28">
        <f t="shared" si="74"/>
        <v>0</v>
      </c>
      <c r="X806" s="333">
        <f t="shared" si="75"/>
        <v>0</v>
      </c>
      <c r="Y806" s="333">
        <f t="shared" si="76"/>
        <v>0</v>
      </c>
    </row>
    <row r="807" spans="1:25" s="2" customFormat="1" ht="21.95" customHeight="1">
      <c r="A807" s="82">
        <v>17</v>
      </c>
      <c r="B807" s="91" t="str">
        <f t="shared" si="77"/>
        <v>10A.T</v>
      </c>
      <c r="C807" s="83" t="s">
        <v>364</v>
      </c>
      <c r="D807" s="81" t="s">
        <v>515</v>
      </c>
      <c r="E807" s="48">
        <v>100799</v>
      </c>
      <c r="F807" s="30" t="s">
        <v>1534</v>
      </c>
      <c r="G807" s="29" t="s">
        <v>20</v>
      </c>
      <c r="H807" s="30" t="s">
        <v>1626</v>
      </c>
      <c r="I807" s="78"/>
      <c r="J807" s="20"/>
      <c r="K807" s="20"/>
      <c r="L807" s="20"/>
      <c r="M807" s="20"/>
      <c r="N807" s="179" t="s">
        <v>502</v>
      </c>
      <c r="O807" s="70">
        <v>0</v>
      </c>
      <c r="P807" s="70">
        <v>0</v>
      </c>
      <c r="Q807" s="70">
        <f t="shared" si="72"/>
        <v>0</v>
      </c>
      <c r="R807" s="70"/>
      <c r="S807" s="67"/>
      <c r="T807" s="2" t="str">
        <f t="shared" si="73"/>
        <v>Vũ Ngọc Nguyệt Nhi_11AT5</v>
      </c>
      <c r="U807" s="28">
        <f t="array" ref="U807">IFERROR(VLOOKUP($T807,'Nghi hoc T12'!$H$7:$I$160,2,0),0)</f>
        <v>0</v>
      </c>
      <c r="V807" s="28">
        <f>IFERROR(VLOOKUP($T807,No_HP!$B$2:$C$514,2,0),0)</f>
        <v>0</v>
      </c>
      <c r="W807" s="28">
        <f t="shared" si="74"/>
        <v>0</v>
      </c>
      <c r="X807" s="333">
        <f t="shared" si="75"/>
        <v>0</v>
      </c>
      <c r="Y807" s="333">
        <f t="shared" si="76"/>
        <v>0</v>
      </c>
    </row>
    <row r="808" spans="1:25" s="2" customFormat="1" ht="21.95" customHeight="1">
      <c r="A808" s="82">
        <v>18</v>
      </c>
      <c r="B808" s="91" t="str">
        <f t="shared" si="77"/>
        <v>10A.T</v>
      </c>
      <c r="C808" s="83" t="s">
        <v>364</v>
      </c>
      <c r="D808" s="81" t="s">
        <v>515</v>
      </c>
      <c r="E808" s="48">
        <v>100800</v>
      </c>
      <c r="F808" s="30" t="s">
        <v>1655</v>
      </c>
      <c r="G808" s="29" t="s">
        <v>21</v>
      </c>
      <c r="H808" s="30" t="s">
        <v>1628</v>
      </c>
      <c r="I808" s="78"/>
      <c r="J808" s="20"/>
      <c r="K808" s="20"/>
      <c r="L808" s="20"/>
      <c r="M808" s="20"/>
      <c r="N808" s="179" t="s">
        <v>502</v>
      </c>
      <c r="O808" s="70">
        <v>0</v>
      </c>
      <c r="P808" s="70">
        <v>0</v>
      </c>
      <c r="Q808" s="70">
        <f t="shared" si="72"/>
        <v>0</v>
      </c>
      <c r="R808" s="70"/>
      <c r="S808" s="67"/>
      <c r="T808" s="2" t="str">
        <f t="shared" si="73"/>
        <v>Bùi Thị Hoàng Như_11AT6</v>
      </c>
      <c r="U808" s="28">
        <f t="array" ref="U808">IFERROR(VLOOKUP($T808,'Nghi hoc T12'!$H$7:$I$160,2,0),0)</f>
        <v>0</v>
      </c>
      <c r="V808" s="28">
        <f>IFERROR(VLOOKUP($T808,No_HP!$B$2:$C$514,2,0),0)</f>
        <v>0</v>
      </c>
      <c r="W808" s="28">
        <f t="shared" si="74"/>
        <v>0</v>
      </c>
      <c r="X808" s="333">
        <f t="shared" si="75"/>
        <v>0</v>
      </c>
      <c r="Y808" s="333">
        <f t="shared" si="76"/>
        <v>0</v>
      </c>
    </row>
    <row r="809" spans="1:25" s="2" customFormat="1" ht="21.95" customHeight="1">
      <c r="A809" s="82">
        <v>19</v>
      </c>
      <c r="B809" s="91" t="str">
        <f t="shared" si="77"/>
        <v>10A.T</v>
      </c>
      <c r="C809" s="83" t="s">
        <v>364</v>
      </c>
      <c r="D809" s="81" t="s">
        <v>515</v>
      </c>
      <c r="E809" s="48">
        <v>100801</v>
      </c>
      <c r="F809" s="30" t="s">
        <v>1656</v>
      </c>
      <c r="G809" s="29" t="s">
        <v>21</v>
      </c>
      <c r="H809" s="30" t="s">
        <v>1626</v>
      </c>
      <c r="I809" s="78"/>
      <c r="J809" s="20"/>
      <c r="K809" s="20"/>
      <c r="L809" s="20"/>
      <c r="M809" s="20"/>
      <c r="N809" s="179" t="s">
        <v>502</v>
      </c>
      <c r="O809" s="70">
        <v>0</v>
      </c>
      <c r="P809" s="70">
        <v>0</v>
      </c>
      <c r="Q809" s="70">
        <f t="shared" si="72"/>
        <v>0</v>
      </c>
      <c r="R809" s="70"/>
      <c r="S809" s="67"/>
      <c r="T809" s="2" t="str">
        <f t="shared" si="73"/>
        <v>Đào Thị Quỳnh Như_11AT5</v>
      </c>
      <c r="U809" s="28">
        <f t="array" ref="U809">IFERROR(VLOOKUP($T809,'Nghi hoc T12'!$H$7:$I$160,2,0),0)</f>
        <v>0</v>
      </c>
      <c r="V809" s="28">
        <f>IFERROR(VLOOKUP($T809,No_HP!$B$2:$C$514,2,0),0)</f>
        <v>0</v>
      </c>
      <c r="W809" s="28">
        <f t="shared" si="74"/>
        <v>0</v>
      </c>
      <c r="X809" s="333">
        <f t="shared" si="75"/>
        <v>0</v>
      </c>
      <c r="Y809" s="333">
        <f t="shared" si="76"/>
        <v>0</v>
      </c>
    </row>
    <row r="810" spans="1:25" s="2" customFormat="1" ht="21.95" customHeight="1">
      <c r="A810" s="82">
        <v>20</v>
      </c>
      <c r="B810" s="91" t="str">
        <f t="shared" si="77"/>
        <v>10A.T</v>
      </c>
      <c r="C810" s="83" t="s">
        <v>364</v>
      </c>
      <c r="D810" s="81" t="s">
        <v>515</v>
      </c>
      <c r="E810" s="48">
        <v>100802</v>
      </c>
      <c r="F810" s="30" t="s">
        <v>1401</v>
      </c>
      <c r="G810" s="29" t="s">
        <v>21</v>
      </c>
      <c r="H810" s="30" t="s">
        <v>1628</v>
      </c>
      <c r="I810" s="78"/>
      <c r="J810" s="20"/>
      <c r="K810" s="20"/>
      <c r="L810" s="20"/>
      <c r="M810" s="20"/>
      <c r="N810" s="179" t="s">
        <v>502</v>
      </c>
      <c r="O810" s="70">
        <v>0</v>
      </c>
      <c r="P810" s="70">
        <v>0</v>
      </c>
      <c r="Q810" s="70">
        <f t="shared" si="72"/>
        <v>0</v>
      </c>
      <c r="R810" s="70"/>
      <c r="S810" s="67"/>
      <c r="T810" s="2" t="str">
        <f t="shared" si="73"/>
        <v>Lê Ngọc Quỳnh Như_11AT6</v>
      </c>
      <c r="U810" s="28">
        <f t="array" ref="U810">IFERROR(VLOOKUP($T810,'Nghi hoc T12'!$H$7:$I$160,2,0),0)</f>
        <v>0</v>
      </c>
      <c r="V810" s="28">
        <f>IFERROR(VLOOKUP($T810,No_HP!$B$2:$C$514,2,0),0)</f>
        <v>0</v>
      </c>
      <c r="W810" s="28">
        <f t="shared" si="74"/>
        <v>0</v>
      </c>
      <c r="X810" s="333">
        <f t="shared" si="75"/>
        <v>0</v>
      </c>
      <c r="Y810" s="333">
        <f t="shared" si="76"/>
        <v>0</v>
      </c>
    </row>
    <row r="811" spans="1:25" s="2" customFormat="1" ht="21.95" customHeight="1">
      <c r="A811" s="82">
        <v>21</v>
      </c>
      <c r="B811" s="91" t="str">
        <f t="shared" si="77"/>
        <v>10A.T</v>
      </c>
      <c r="C811" s="83" t="s">
        <v>364</v>
      </c>
      <c r="D811" s="81" t="s">
        <v>515</v>
      </c>
      <c r="E811" s="48">
        <v>100803</v>
      </c>
      <c r="F811" s="30" t="s">
        <v>445</v>
      </c>
      <c r="G811" s="29" t="s">
        <v>21</v>
      </c>
      <c r="H811" s="30" t="s">
        <v>1626</v>
      </c>
      <c r="I811" s="78"/>
      <c r="J811" s="20"/>
      <c r="K811" s="20"/>
      <c r="L811" s="20"/>
      <c r="M811" s="20"/>
      <c r="N811" s="179" t="s">
        <v>502</v>
      </c>
      <c r="O811" s="70">
        <v>0</v>
      </c>
      <c r="P811" s="70">
        <v>0</v>
      </c>
      <c r="Q811" s="70">
        <f t="shared" si="72"/>
        <v>0</v>
      </c>
      <c r="R811" s="70"/>
      <c r="S811" s="67"/>
      <c r="T811" s="2" t="str">
        <f t="shared" si="73"/>
        <v>Lê Thị Quỳnh Như_11AT5</v>
      </c>
      <c r="U811" s="28">
        <f t="array" ref="U811">IFERROR(VLOOKUP($T811,'Nghi hoc T12'!$H$7:$I$160,2,0),0)</f>
        <v>0</v>
      </c>
      <c r="V811" s="28">
        <f>IFERROR(VLOOKUP($T811,No_HP!$B$2:$C$514,2,0),0)</f>
        <v>0</v>
      </c>
      <c r="W811" s="28">
        <f t="shared" si="74"/>
        <v>0</v>
      </c>
      <c r="X811" s="333">
        <f t="shared" si="75"/>
        <v>0</v>
      </c>
      <c r="Y811" s="333">
        <f t="shared" si="76"/>
        <v>0</v>
      </c>
    </row>
    <row r="812" spans="1:25" s="2" customFormat="1" ht="21.95" customHeight="1">
      <c r="A812" s="82">
        <v>22</v>
      </c>
      <c r="B812" s="91" t="str">
        <f t="shared" si="77"/>
        <v>10A.T</v>
      </c>
      <c r="C812" s="83" t="s">
        <v>364</v>
      </c>
      <c r="D812" s="81" t="s">
        <v>515</v>
      </c>
      <c r="E812" s="48">
        <v>100804</v>
      </c>
      <c r="F812" s="30" t="s">
        <v>1657</v>
      </c>
      <c r="G812" s="29" t="s">
        <v>21</v>
      </c>
      <c r="H812" s="30" t="s">
        <v>1628</v>
      </c>
      <c r="I812" s="78"/>
      <c r="J812" s="20"/>
      <c r="K812" s="20"/>
      <c r="L812" s="20"/>
      <c r="M812" s="20"/>
      <c r="N812" s="179" t="s">
        <v>502</v>
      </c>
      <c r="O812" s="70">
        <v>0</v>
      </c>
      <c r="P812" s="70">
        <v>0</v>
      </c>
      <c r="Q812" s="70">
        <f t="shared" si="72"/>
        <v>0</v>
      </c>
      <c r="R812" s="70"/>
      <c r="S812" s="67"/>
      <c r="T812" s="2" t="str">
        <f t="shared" si="73"/>
        <v>Trần Ngọc Tâm Như_11AT6</v>
      </c>
      <c r="U812" s="28">
        <f t="array" ref="U812">IFERROR(VLOOKUP($T812,'Nghi hoc T12'!$H$7:$I$160,2,0),0)</f>
        <v>0</v>
      </c>
      <c r="V812" s="28">
        <f>IFERROR(VLOOKUP($T812,No_HP!$B$2:$C$514,2,0),0)</f>
        <v>0</v>
      </c>
      <c r="W812" s="28">
        <f t="shared" si="74"/>
        <v>0</v>
      </c>
      <c r="X812" s="333">
        <f t="shared" si="75"/>
        <v>0</v>
      </c>
      <c r="Y812" s="333">
        <f t="shared" si="76"/>
        <v>0</v>
      </c>
    </row>
    <row r="813" spans="1:25" s="2" customFormat="1" ht="21.95" customHeight="1">
      <c r="A813" s="82">
        <v>23</v>
      </c>
      <c r="B813" s="91" t="str">
        <f t="shared" si="77"/>
        <v>10A.T</v>
      </c>
      <c r="C813" s="83" t="s">
        <v>364</v>
      </c>
      <c r="D813" s="81" t="s">
        <v>515</v>
      </c>
      <c r="E813" s="48">
        <v>100805</v>
      </c>
      <c r="F813" s="30" t="s">
        <v>1658</v>
      </c>
      <c r="G813" s="29" t="s">
        <v>271</v>
      </c>
      <c r="H813" s="30" t="s">
        <v>1628</v>
      </c>
      <c r="I813" s="78"/>
      <c r="J813" s="20"/>
      <c r="K813" s="20"/>
      <c r="L813" s="20"/>
      <c r="M813" s="20"/>
      <c r="N813" s="179" t="s">
        <v>502</v>
      </c>
      <c r="O813" s="70">
        <v>0</v>
      </c>
      <c r="P813" s="70">
        <v>0</v>
      </c>
      <c r="Q813" s="70">
        <f t="shared" si="72"/>
        <v>0</v>
      </c>
      <c r="R813" s="70"/>
      <c r="S813" s="67"/>
      <c r="T813" s="2" t="str">
        <f t="shared" si="73"/>
        <v>Nguyễn Thành Thuỷ Phi_11AT6</v>
      </c>
      <c r="U813" s="28">
        <f t="array" ref="U813">IFERROR(VLOOKUP($T813,'Nghi hoc T12'!$H$7:$I$160,2,0),0)</f>
        <v>0</v>
      </c>
      <c r="V813" s="28">
        <f>IFERROR(VLOOKUP($T813,No_HP!$B$2:$C$514,2,0),0)</f>
        <v>0</v>
      </c>
      <c r="W813" s="28">
        <f t="shared" si="74"/>
        <v>0</v>
      </c>
      <c r="X813" s="333">
        <f t="shared" si="75"/>
        <v>0</v>
      </c>
      <c r="Y813" s="333">
        <f t="shared" si="76"/>
        <v>0</v>
      </c>
    </row>
    <row r="814" spans="1:25" s="2" customFormat="1" ht="21.95" customHeight="1">
      <c r="A814" s="82">
        <v>24</v>
      </c>
      <c r="B814" s="91" t="str">
        <f t="shared" si="77"/>
        <v>10A.T</v>
      </c>
      <c r="C814" s="83" t="s">
        <v>364</v>
      </c>
      <c r="D814" s="81" t="s">
        <v>515</v>
      </c>
      <c r="E814" s="48">
        <v>100806</v>
      </c>
      <c r="F814" s="30" t="s">
        <v>259</v>
      </c>
      <c r="G814" s="29" t="s">
        <v>271</v>
      </c>
      <c r="H814" s="30" t="s">
        <v>1626</v>
      </c>
      <c r="I814" s="78"/>
      <c r="J814" s="20"/>
      <c r="K814" s="20"/>
      <c r="L814" s="20"/>
      <c r="M814" s="20"/>
      <c r="N814" s="179" t="s">
        <v>502</v>
      </c>
      <c r="O814" s="70">
        <v>0</v>
      </c>
      <c r="P814" s="70">
        <v>0</v>
      </c>
      <c r="Q814" s="70">
        <f t="shared" si="72"/>
        <v>0</v>
      </c>
      <c r="R814" s="70"/>
      <c r="S814" s="67"/>
      <c r="T814" s="2" t="str">
        <f t="shared" si="73"/>
        <v>Nguyễn Thiện Phi_11AT5</v>
      </c>
      <c r="U814" s="28">
        <f t="array" ref="U814">IFERROR(VLOOKUP($T814,'Nghi hoc T12'!$H$7:$I$160,2,0),0)</f>
        <v>0</v>
      </c>
      <c r="V814" s="28">
        <f>IFERROR(VLOOKUP($T814,No_HP!$B$2:$C$514,2,0),0)</f>
        <v>0</v>
      </c>
      <c r="W814" s="28">
        <f t="shared" si="74"/>
        <v>0</v>
      </c>
      <c r="X814" s="333">
        <f t="shared" si="75"/>
        <v>0</v>
      </c>
      <c r="Y814" s="333">
        <f t="shared" si="76"/>
        <v>0</v>
      </c>
    </row>
    <row r="815" spans="1:25" s="2" customFormat="1" ht="21.95" customHeight="1">
      <c r="A815" s="82">
        <v>25</v>
      </c>
      <c r="B815" s="91" t="str">
        <f t="shared" si="77"/>
        <v>10A.T</v>
      </c>
      <c r="C815" s="83" t="s">
        <v>364</v>
      </c>
      <c r="D815" s="81" t="s">
        <v>515</v>
      </c>
      <c r="E815" s="48">
        <v>100807</v>
      </c>
      <c r="F815" s="30" t="s">
        <v>201</v>
      </c>
      <c r="G815" s="29" t="s">
        <v>71</v>
      </c>
      <c r="H815" s="30" t="s">
        <v>1628</v>
      </c>
      <c r="I815" s="78"/>
      <c r="J815" s="20"/>
      <c r="K815" s="20"/>
      <c r="L815" s="20"/>
      <c r="M815" s="20"/>
      <c r="N815" s="179" t="s">
        <v>502</v>
      </c>
      <c r="O815" s="70">
        <v>0</v>
      </c>
      <c r="P815" s="70">
        <v>0</v>
      </c>
      <c r="Q815" s="70">
        <f t="shared" si="72"/>
        <v>0</v>
      </c>
      <c r="R815" s="70"/>
      <c r="S815" s="67"/>
      <c r="T815" s="2" t="str">
        <f t="shared" si="73"/>
        <v>Nguyễn Hữu Phúc_11AT6</v>
      </c>
      <c r="U815" s="28">
        <f t="array" ref="U815">IFERROR(VLOOKUP($T815,'Nghi hoc T12'!$H$7:$I$160,2,0),0)</f>
        <v>0</v>
      </c>
      <c r="V815" s="28">
        <f>IFERROR(VLOOKUP($T815,No_HP!$B$2:$C$514,2,0),0)</f>
        <v>0</v>
      </c>
      <c r="W815" s="28">
        <f t="shared" si="74"/>
        <v>0</v>
      </c>
      <c r="X815" s="333">
        <f t="shared" si="75"/>
        <v>0</v>
      </c>
      <c r="Y815" s="333">
        <f t="shared" si="76"/>
        <v>0</v>
      </c>
    </row>
    <row r="816" spans="1:25" s="2" customFormat="1" ht="21.95" customHeight="1">
      <c r="A816" s="82">
        <v>26</v>
      </c>
      <c r="B816" s="91" t="str">
        <f t="shared" si="77"/>
        <v>10A.T</v>
      </c>
      <c r="C816" s="83" t="s">
        <v>364</v>
      </c>
      <c r="D816" s="81" t="s">
        <v>515</v>
      </c>
      <c r="E816" s="48">
        <v>100808</v>
      </c>
      <c r="F816" s="30" t="s">
        <v>1659</v>
      </c>
      <c r="G816" s="29" t="s">
        <v>71</v>
      </c>
      <c r="H816" s="30" t="s">
        <v>1626</v>
      </c>
      <c r="I816" s="78"/>
      <c r="J816" s="20"/>
      <c r="K816" s="20"/>
      <c r="L816" s="20"/>
      <c r="M816" s="20"/>
      <c r="N816" s="179" t="s">
        <v>502</v>
      </c>
      <c r="O816" s="70">
        <v>0</v>
      </c>
      <c r="P816" s="70">
        <v>0</v>
      </c>
      <c r="Q816" s="70">
        <f t="shared" si="72"/>
        <v>0</v>
      </c>
      <c r="R816" s="70"/>
      <c r="S816" s="67"/>
      <c r="T816" s="2" t="str">
        <f t="shared" si="73"/>
        <v>Nguyễn Huỳnh Như Phúc_11AT5</v>
      </c>
      <c r="U816" s="28">
        <f t="array" ref="U816">IFERROR(VLOOKUP($T816,'Nghi hoc T12'!$H$7:$I$160,2,0),0)</f>
        <v>0</v>
      </c>
      <c r="V816" s="28">
        <f>IFERROR(VLOOKUP($T816,No_HP!$B$2:$C$514,2,0),0)</f>
        <v>0</v>
      </c>
      <c r="W816" s="28">
        <f t="shared" si="74"/>
        <v>0</v>
      </c>
      <c r="X816" s="333">
        <f t="shared" si="75"/>
        <v>0</v>
      </c>
      <c r="Y816" s="333">
        <f t="shared" si="76"/>
        <v>0</v>
      </c>
    </row>
    <row r="817" spans="1:25" s="2" customFormat="1" ht="21.95" customHeight="1">
      <c r="A817" s="82">
        <v>27</v>
      </c>
      <c r="B817" s="91" t="str">
        <f t="shared" si="77"/>
        <v>10A.T</v>
      </c>
      <c r="C817" s="83" t="s">
        <v>364</v>
      </c>
      <c r="D817" s="81" t="s">
        <v>515</v>
      </c>
      <c r="E817" s="48">
        <v>100809</v>
      </c>
      <c r="F817" s="30" t="s">
        <v>1214</v>
      </c>
      <c r="G817" s="29" t="s">
        <v>43</v>
      </c>
      <c r="H817" s="30" t="s">
        <v>1628</v>
      </c>
      <c r="I817" s="78"/>
      <c r="J817" s="20"/>
      <c r="K817" s="20"/>
      <c r="L817" s="20"/>
      <c r="M817" s="20"/>
      <c r="N817" s="179" t="s">
        <v>502</v>
      </c>
      <c r="O817" s="70">
        <v>0</v>
      </c>
      <c r="P817" s="70">
        <v>0</v>
      </c>
      <c r="Q817" s="70">
        <f t="shared" si="72"/>
        <v>0</v>
      </c>
      <c r="R817" s="70"/>
      <c r="S817" s="67"/>
      <c r="T817" s="2" t="str">
        <f t="shared" si="73"/>
        <v>Nguyễn Thị Hoài Phương_11AT6</v>
      </c>
      <c r="U817" s="28">
        <f t="array" ref="U817">IFERROR(VLOOKUP($T817,'Nghi hoc T12'!$H$7:$I$160,2,0),0)</f>
        <v>0</v>
      </c>
      <c r="V817" s="28">
        <f>IFERROR(VLOOKUP($T817,No_HP!$B$2:$C$514,2,0),0)</f>
        <v>0</v>
      </c>
      <c r="W817" s="28">
        <f t="shared" si="74"/>
        <v>0</v>
      </c>
      <c r="X817" s="333">
        <f t="shared" si="75"/>
        <v>0</v>
      </c>
      <c r="Y817" s="333">
        <f t="shared" si="76"/>
        <v>0</v>
      </c>
    </row>
    <row r="818" spans="1:25" s="2" customFormat="1" ht="21.95" customHeight="1">
      <c r="A818" s="82">
        <v>28</v>
      </c>
      <c r="B818" s="91" t="str">
        <f t="shared" si="77"/>
        <v>10A.T</v>
      </c>
      <c r="C818" s="83" t="s">
        <v>364</v>
      </c>
      <c r="D818" s="81" t="s">
        <v>515</v>
      </c>
      <c r="E818" s="48">
        <v>100810</v>
      </c>
      <c r="F818" s="30" t="s">
        <v>1660</v>
      </c>
      <c r="G818" s="29" t="s">
        <v>43</v>
      </c>
      <c r="H818" s="30" t="s">
        <v>1626</v>
      </c>
      <c r="I818" s="78"/>
      <c r="J818" s="20"/>
      <c r="K818" s="20"/>
      <c r="L818" s="20"/>
      <c r="M818" s="20"/>
      <c r="N818" s="179" t="s">
        <v>502</v>
      </c>
      <c r="O818" s="70">
        <v>0</v>
      </c>
      <c r="P818" s="70">
        <v>0</v>
      </c>
      <c r="Q818" s="70">
        <f t="shared" si="72"/>
        <v>0</v>
      </c>
      <c r="R818" s="70"/>
      <c r="S818" s="67"/>
      <c r="T818" s="2" t="str">
        <f t="shared" si="73"/>
        <v>Phạm Hoàng Yến Phương_11AT5</v>
      </c>
      <c r="U818" s="28">
        <f t="array" ref="U818">IFERROR(VLOOKUP($T818,'Nghi hoc T12'!$H$7:$I$160,2,0),0)</f>
        <v>0</v>
      </c>
      <c r="V818" s="28">
        <f>IFERROR(VLOOKUP($T818,No_HP!$B$2:$C$514,2,0),0)</f>
        <v>0</v>
      </c>
      <c r="W818" s="28">
        <f t="shared" si="74"/>
        <v>0</v>
      </c>
      <c r="X818" s="333">
        <f t="shared" si="75"/>
        <v>0</v>
      </c>
      <c r="Y818" s="333">
        <f t="shared" si="76"/>
        <v>0</v>
      </c>
    </row>
    <row r="819" spans="1:25" s="2" customFormat="1" ht="21.95" customHeight="1">
      <c r="A819" s="82">
        <v>29</v>
      </c>
      <c r="B819" s="91" t="str">
        <f t="shared" si="77"/>
        <v>10A.T</v>
      </c>
      <c r="C819" s="83" t="s">
        <v>364</v>
      </c>
      <c r="D819" s="81" t="s">
        <v>515</v>
      </c>
      <c r="E819" s="48">
        <v>100811</v>
      </c>
      <c r="F819" s="30" t="s">
        <v>1661</v>
      </c>
      <c r="G819" s="29" t="s">
        <v>305</v>
      </c>
      <c r="H819" s="30" t="s">
        <v>1628</v>
      </c>
      <c r="I819" s="78"/>
      <c r="J819" s="20"/>
      <c r="K819" s="20"/>
      <c r="L819" s="20"/>
      <c r="M819" s="20"/>
      <c r="N819" s="179" t="s">
        <v>502</v>
      </c>
      <c r="O819" s="70">
        <v>0</v>
      </c>
      <c r="P819" s="70">
        <v>0</v>
      </c>
      <c r="Q819" s="70">
        <f t="shared" si="72"/>
        <v>0</v>
      </c>
      <c r="R819" s="70"/>
      <c r="S819" s="67"/>
      <c r="T819" s="2" t="str">
        <f t="shared" si="73"/>
        <v>Huỳnh Trúc Quyên_11AT6</v>
      </c>
      <c r="U819" s="28">
        <f t="array" ref="U819">IFERROR(VLOOKUP($T819,'Nghi hoc T12'!$H$7:$I$160,2,0),0)</f>
        <v>0</v>
      </c>
      <c r="V819" s="28">
        <f>IFERROR(VLOOKUP($T819,No_HP!$B$2:$C$514,2,0),0)</f>
        <v>0</v>
      </c>
      <c r="W819" s="28">
        <f t="shared" si="74"/>
        <v>0</v>
      </c>
      <c r="X819" s="333">
        <f t="shared" si="75"/>
        <v>0</v>
      </c>
      <c r="Y819" s="333">
        <f t="shared" si="76"/>
        <v>0</v>
      </c>
    </row>
    <row r="820" spans="1:25" s="2" customFormat="1" ht="21.95" customHeight="1">
      <c r="A820" s="82">
        <v>30</v>
      </c>
      <c r="B820" s="91" t="str">
        <f t="shared" si="77"/>
        <v>10A.T</v>
      </c>
      <c r="C820" s="83" t="s">
        <v>364</v>
      </c>
      <c r="D820" s="81" t="s">
        <v>515</v>
      </c>
      <c r="E820" s="48">
        <v>100812</v>
      </c>
      <c r="F820" s="30" t="s">
        <v>1662</v>
      </c>
      <c r="G820" s="29" t="s">
        <v>305</v>
      </c>
      <c r="H820" s="30" t="s">
        <v>1626</v>
      </c>
      <c r="I820" s="78"/>
      <c r="J820" s="20"/>
      <c r="K820" s="20"/>
      <c r="L820" s="20"/>
      <c r="M820" s="20"/>
      <c r="N820" s="179" t="s">
        <v>502</v>
      </c>
      <c r="O820" s="70">
        <v>0</v>
      </c>
      <c r="P820" s="70">
        <v>0</v>
      </c>
      <c r="Q820" s="70">
        <f t="shared" si="72"/>
        <v>0</v>
      </c>
      <c r="R820" s="70"/>
      <c r="S820" s="67"/>
      <c r="T820" s="2" t="str">
        <f t="shared" si="73"/>
        <v>Trần Thị Thảo Quyên_11AT5</v>
      </c>
      <c r="U820" s="28">
        <f t="array" ref="U820">IFERROR(VLOOKUP($T820,'Nghi hoc T12'!$H$7:$I$160,2,0),0)</f>
        <v>0</v>
      </c>
      <c r="V820" s="28">
        <f>IFERROR(VLOOKUP($T820,No_HP!$B$2:$C$514,2,0),0)</f>
        <v>0</v>
      </c>
      <c r="W820" s="28">
        <f t="shared" si="74"/>
        <v>0</v>
      </c>
      <c r="X820" s="333">
        <f t="shared" si="75"/>
        <v>0</v>
      </c>
      <c r="Y820" s="333">
        <f t="shared" si="76"/>
        <v>0</v>
      </c>
    </row>
    <row r="821" spans="1:25" s="2" customFormat="1" ht="21.95" customHeight="1">
      <c r="A821" s="82">
        <v>31</v>
      </c>
      <c r="B821" s="91" t="str">
        <f t="shared" si="77"/>
        <v>10A.T</v>
      </c>
      <c r="C821" s="83" t="s">
        <v>364</v>
      </c>
      <c r="D821" s="81" t="s">
        <v>515</v>
      </c>
      <c r="E821" s="48">
        <v>100813</v>
      </c>
      <c r="F821" s="30" t="s">
        <v>1663</v>
      </c>
      <c r="G821" s="29" t="s">
        <v>305</v>
      </c>
      <c r="H821" s="30" t="s">
        <v>1628</v>
      </c>
      <c r="I821" s="78"/>
      <c r="J821" s="20"/>
      <c r="K821" s="20"/>
      <c r="L821" s="20"/>
      <c r="M821" s="20"/>
      <c r="N821" s="179" t="s">
        <v>502</v>
      </c>
      <c r="O821" s="70">
        <v>0</v>
      </c>
      <c r="P821" s="70">
        <v>0</v>
      </c>
      <c r="Q821" s="70">
        <f t="shared" si="72"/>
        <v>0</v>
      </c>
      <c r="R821" s="70"/>
      <c r="S821" s="67"/>
      <c r="T821" s="2" t="str">
        <f t="shared" si="73"/>
        <v>Trần Tố Quyên_11AT6</v>
      </c>
      <c r="U821" s="28">
        <f t="array" ref="U821">IFERROR(VLOOKUP($T821,'Nghi hoc T12'!$H$7:$I$160,2,0),0)</f>
        <v>0</v>
      </c>
      <c r="V821" s="28">
        <f>IFERROR(VLOOKUP($T821,No_HP!$B$2:$C$514,2,0),0)</f>
        <v>0</v>
      </c>
      <c r="W821" s="28">
        <f t="shared" si="74"/>
        <v>0</v>
      </c>
      <c r="X821" s="333">
        <f t="shared" si="75"/>
        <v>0</v>
      </c>
      <c r="Y821" s="333">
        <f t="shared" si="76"/>
        <v>0</v>
      </c>
    </row>
    <row r="822" spans="1:25" s="2" customFormat="1" ht="21.95" customHeight="1">
      <c r="A822" s="200">
        <v>1</v>
      </c>
      <c r="B822" s="91" t="str">
        <f t="shared" si="77"/>
        <v>11A.T</v>
      </c>
      <c r="C822" s="185" t="s">
        <v>364</v>
      </c>
      <c r="D822" s="186" t="s">
        <v>516</v>
      </c>
      <c r="E822" s="187">
        <v>100814</v>
      </c>
      <c r="F822" s="188" t="s">
        <v>186</v>
      </c>
      <c r="G822" s="189" t="s">
        <v>1664</v>
      </c>
      <c r="H822" s="188" t="s">
        <v>1628</v>
      </c>
      <c r="I822" s="190"/>
      <c r="J822" s="191"/>
      <c r="K822" s="191"/>
      <c r="L822" s="191"/>
      <c r="M822" s="191"/>
      <c r="N822" s="179" t="s">
        <v>502</v>
      </c>
      <c r="O822" s="70">
        <v>0</v>
      </c>
      <c r="P822" s="70">
        <v>0</v>
      </c>
      <c r="Q822" s="70">
        <f t="shared" si="72"/>
        <v>0</v>
      </c>
      <c r="R822" s="70"/>
      <c r="S822" s="67"/>
      <c r="T822" s="2" t="str">
        <f t="shared" si="73"/>
        <v>Nguyễn Minh Sỹ_11AT6</v>
      </c>
      <c r="U822" s="28">
        <f t="array" ref="U822">IFERROR(VLOOKUP($T822,'Nghi hoc T12'!$H$7:$I$160,2,0),0)</f>
        <v>0</v>
      </c>
      <c r="V822" s="28">
        <f>IFERROR(VLOOKUP($T822,No_HP!$B$2:$C$514,2,0),0)</f>
        <v>0</v>
      </c>
      <c r="W822" s="28">
        <f t="shared" si="74"/>
        <v>0</v>
      </c>
      <c r="X822" s="333">
        <f t="shared" si="75"/>
        <v>0</v>
      </c>
      <c r="Y822" s="333">
        <f t="shared" si="76"/>
        <v>0</v>
      </c>
    </row>
    <row r="823" spans="1:25" s="2" customFormat="1" ht="21.95" customHeight="1">
      <c r="A823" s="82">
        <v>2</v>
      </c>
      <c r="B823" s="91" t="str">
        <f t="shared" si="77"/>
        <v>11A.T</v>
      </c>
      <c r="C823" s="83" t="s">
        <v>364</v>
      </c>
      <c r="D823" s="81" t="s">
        <v>516</v>
      </c>
      <c r="E823" s="48">
        <v>100815</v>
      </c>
      <c r="F823" s="30" t="s">
        <v>148</v>
      </c>
      <c r="G823" s="29" t="s">
        <v>93</v>
      </c>
      <c r="H823" s="30" t="s">
        <v>1628</v>
      </c>
      <c r="I823" s="78"/>
      <c r="J823" s="20"/>
      <c r="K823" s="20"/>
      <c r="L823" s="20"/>
      <c r="M823" s="20"/>
      <c r="N823" s="179" t="s">
        <v>502</v>
      </c>
      <c r="O823" s="70">
        <v>0</v>
      </c>
      <c r="P823" s="70">
        <v>0</v>
      </c>
      <c r="Q823" s="70">
        <f t="shared" si="72"/>
        <v>0</v>
      </c>
      <c r="R823" s="70"/>
      <c r="S823" s="67"/>
      <c r="T823" s="2" t="str">
        <f t="shared" si="73"/>
        <v>Nguyễn Anh Tài_11AT6</v>
      </c>
      <c r="U823" s="28">
        <f t="array" ref="U823">IFERROR(VLOOKUP($T823,'Nghi hoc T12'!$H$7:$I$160,2,0),0)</f>
        <v>0</v>
      </c>
      <c r="V823" s="28">
        <f>IFERROR(VLOOKUP($T823,No_HP!$B$2:$C$514,2,0),0)</f>
        <v>0</v>
      </c>
      <c r="W823" s="28">
        <f t="shared" si="74"/>
        <v>0</v>
      </c>
      <c r="X823" s="333">
        <f t="shared" si="75"/>
        <v>0</v>
      </c>
      <c r="Y823" s="333">
        <f t="shared" si="76"/>
        <v>0</v>
      </c>
    </row>
    <row r="824" spans="1:25" s="2" customFormat="1" ht="21.95" customHeight="1">
      <c r="A824" s="82">
        <v>3</v>
      </c>
      <c r="B824" s="91" t="str">
        <f t="shared" si="77"/>
        <v>11A.T</v>
      </c>
      <c r="C824" s="83" t="s">
        <v>364</v>
      </c>
      <c r="D824" s="81" t="s">
        <v>516</v>
      </c>
      <c r="E824" s="48">
        <v>100816</v>
      </c>
      <c r="F824" s="30" t="s">
        <v>202</v>
      </c>
      <c r="G824" s="29" t="s">
        <v>26</v>
      </c>
      <c r="H824" s="30" t="s">
        <v>1628</v>
      </c>
      <c r="I824" s="78"/>
      <c r="J824" s="20"/>
      <c r="K824" s="20"/>
      <c r="L824" s="20"/>
      <c r="M824" s="20"/>
      <c r="N824" s="179" t="s">
        <v>502</v>
      </c>
      <c r="O824" s="70">
        <v>0</v>
      </c>
      <c r="P824" s="70">
        <v>0</v>
      </c>
      <c r="Q824" s="70">
        <f t="shared" si="72"/>
        <v>0</v>
      </c>
      <c r="R824" s="70"/>
      <c r="S824" s="67"/>
      <c r="T824" s="2" t="str">
        <f t="shared" si="73"/>
        <v>Nguyễn Chí Thanh_11AT6</v>
      </c>
      <c r="U824" s="28">
        <f t="array" ref="U824">IFERROR(VLOOKUP($T824,'Nghi hoc T12'!$H$7:$I$160,2,0),0)</f>
        <v>0</v>
      </c>
      <c r="V824" s="28">
        <f>IFERROR(VLOOKUP($T824,No_HP!$B$2:$C$514,2,0),0)</f>
        <v>0</v>
      </c>
      <c r="W824" s="28">
        <f t="shared" si="74"/>
        <v>0</v>
      </c>
      <c r="X824" s="333">
        <f t="shared" si="75"/>
        <v>0</v>
      </c>
      <c r="Y824" s="333">
        <f t="shared" si="76"/>
        <v>0</v>
      </c>
    </row>
    <row r="825" spans="1:25" s="2" customFormat="1" ht="21.95" customHeight="1">
      <c r="A825" s="82">
        <v>4</v>
      </c>
      <c r="B825" s="91" t="str">
        <f t="shared" si="77"/>
        <v>11A.T</v>
      </c>
      <c r="C825" s="83" t="s">
        <v>364</v>
      </c>
      <c r="D825" s="81" t="s">
        <v>516</v>
      </c>
      <c r="E825" s="48">
        <v>100817</v>
      </c>
      <c r="F825" s="30" t="s">
        <v>327</v>
      </c>
      <c r="G825" s="29" t="s">
        <v>49</v>
      </c>
      <c r="H825" s="30" t="s">
        <v>1626</v>
      </c>
      <c r="I825" s="78"/>
      <c r="J825" s="20"/>
      <c r="K825" s="20"/>
      <c r="L825" s="20"/>
      <c r="M825" s="20"/>
      <c r="N825" s="179" t="s">
        <v>502</v>
      </c>
      <c r="O825" s="70">
        <v>0</v>
      </c>
      <c r="P825" s="70">
        <v>0</v>
      </c>
      <c r="Q825" s="70">
        <f t="shared" si="72"/>
        <v>0</v>
      </c>
      <c r="R825" s="70"/>
      <c r="S825" s="67"/>
      <c r="T825" s="2" t="str">
        <f t="shared" si="73"/>
        <v>Nguyễn Phương Thảo_11AT5</v>
      </c>
      <c r="U825" s="28">
        <f t="array" ref="U825">IFERROR(VLOOKUP($T825,'Nghi hoc T12'!$H$7:$I$160,2,0),0)</f>
        <v>0</v>
      </c>
      <c r="V825" s="28">
        <f>IFERROR(VLOOKUP($T825,No_HP!$B$2:$C$514,2,0),0)</f>
        <v>0</v>
      </c>
      <c r="W825" s="28">
        <f t="shared" si="74"/>
        <v>0</v>
      </c>
      <c r="X825" s="333">
        <f t="shared" si="75"/>
        <v>0</v>
      </c>
      <c r="Y825" s="333">
        <f t="shared" si="76"/>
        <v>0</v>
      </c>
    </row>
    <row r="826" spans="1:25" s="2" customFormat="1" ht="21.95" customHeight="1">
      <c r="A826" s="82">
        <v>5</v>
      </c>
      <c r="B826" s="91" t="str">
        <f t="shared" si="77"/>
        <v>11A.T</v>
      </c>
      <c r="C826" s="83" t="s">
        <v>364</v>
      </c>
      <c r="D826" s="81" t="s">
        <v>516</v>
      </c>
      <c r="E826" s="48">
        <v>100818</v>
      </c>
      <c r="F826" s="30" t="s">
        <v>231</v>
      </c>
      <c r="G826" s="29" t="s">
        <v>49</v>
      </c>
      <c r="H826" s="30" t="s">
        <v>1628</v>
      </c>
      <c r="I826" s="78"/>
      <c r="J826" s="20"/>
      <c r="K826" s="20"/>
      <c r="L826" s="20"/>
      <c r="M826" s="20"/>
      <c r="N826" s="179" t="s">
        <v>502</v>
      </c>
      <c r="O826" s="70">
        <v>0</v>
      </c>
      <c r="P826" s="70">
        <v>0</v>
      </c>
      <c r="Q826" s="70">
        <f t="shared" si="72"/>
        <v>0</v>
      </c>
      <c r="R826" s="70"/>
      <c r="S826" s="67"/>
      <c r="T826" s="2" t="str">
        <f t="shared" si="73"/>
        <v>Nguyễn Thị Phương Thảo_11AT6</v>
      </c>
      <c r="U826" s="28">
        <f t="array" ref="U826">IFERROR(VLOOKUP($T826,'Nghi hoc T12'!$H$7:$I$160,2,0),0)</f>
        <v>0</v>
      </c>
      <c r="V826" s="28">
        <f>IFERROR(VLOOKUP($T826,No_HP!$B$2:$C$514,2,0),0)</f>
        <v>0</v>
      </c>
      <c r="W826" s="28">
        <f t="shared" si="74"/>
        <v>0</v>
      </c>
      <c r="X826" s="333">
        <f t="shared" si="75"/>
        <v>0</v>
      </c>
      <c r="Y826" s="333">
        <f t="shared" si="76"/>
        <v>0</v>
      </c>
    </row>
    <row r="827" spans="1:25" s="2" customFormat="1" ht="21.95" customHeight="1">
      <c r="A827" s="82">
        <v>6</v>
      </c>
      <c r="B827" s="91" t="str">
        <f t="shared" si="77"/>
        <v>11A.T</v>
      </c>
      <c r="C827" s="83" t="s">
        <v>364</v>
      </c>
      <c r="D827" s="81" t="s">
        <v>516</v>
      </c>
      <c r="E827" s="48">
        <v>100819</v>
      </c>
      <c r="F827" s="30" t="s">
        <v>1665</v>
      </c>
      <c r="G827" s="29" t="s">
        <v>48</v>
      </c>
      <c r="H827" s="30" t="s">
        <v>1628</v>
      </c>
      <c r="I827" s="78"/>
      <c r="J827" s="20"/>
      <c r="K827" s="20"/>
      <c r="L827" s="20"/>
      <c r="M827" s="20"/>
      <c r="N827" s="179" t="s">
        <v>502</v>
      </c>
      <c r="O827" s="70">
        <v>0</v>
      </c>
      <c r="P827" s="70">
        <v>0</v>
      </c>
      <c r="Q827" s="70">
        <f t="shared" si="72"/>
        <v>0</v>
      </c>
      <c r="R827" s="70"/>
      <c r="S827" s="67"/>
      <c r="T827" s="2" t="str">
        <f t="shared" si="73"/>
        <v>Đoàn Công Thắng_11AT6</v>
      </c>
      <c r="U827" s="28">
        <f t="array" ref="U827">IFERROR(VLOOKUP($T827,'Nghi hoc T12'!$H$7:$I$160,2,0),0)</f>
        <v>0</v>
      </c>
      <c r="V827" s="28">
        <f>IFERROR(VLOOKUP($T827,No_HP!$B$2:$C$514,2,0),0)</f>
        <v>0</v>
      </c>
      <c r="W827" s="28">
        <f t="shared" si="74"/>
        <v>0</v>
      </c>
      <c r="X827" s="333">
        <f t="shared" si="75"/>
        <v>0</v>
      </c>
      <c r="Y827" s="333">
        <f t="shared" si="76"/>
        <v>0</v>
      </c>
    </row>
    <row r="828" spans="1:25" s="2" customFormat="1" ht="21.95" customHeight="1">
      <c r="A828" s="82">
        <v>7</v>
      </c>
      <c r="B828" s="91" t="str">
        <f t="shared" si="77"/>
        <v>11A.T</v>
      </c>
      <c r="C828" s="83" t="s">
        <v>364</v>
      </c>
      <c r="D828" s="81" t="s">
        <v>516</v>
      </c>
      <c r="E828" s="48">
        <v>100820</v>
      </c>
      <c r="F828" s="30" t="s">
        <v>462</v>
      </c>
      <c r="G828" s="29" t="s">
        <v>1666</v>
      </c>
      <c r="H828" s="30" t="s">
        <v>1628</v>
      </c>
      <c r="I828" s="78"/>
      <c r="J828" s="20"/>
      <c r="K828" s="20"/>
      <c r="L828" s="20"/>
      <c r="M828" s="20"/>
      <c r="N828" s="179" t="s">
        <v>502</v>
      </c>
      <c r="O828" s="70">
        <v>0</v>
      </c>
      <c r="P828" s="70">
        <v>0</v>
      </c>
      <c r="Q828" s="70">
        <f t="shared" si="72"/>
        <v>0</v>
      </c>
      <c r="R828" s="70"/>
      <c r="S828" s="67"/>
      <c r="T828" s="2" t="str">
        <f t="shared" si="73"/>
        <v>Nguyễn Thị Minh Thoa_11AT6</v>
      </c>
      <c r="U828" s="28">
        <f t="array" ref="U828">IFERROR(VLOOKUP($T828,'Nghi hoc T12'!$H$7:$I$160,2,0),0)</f>
        <v>0</v>
      </c>
      <c r="V828" s="28">
        <f>IFERROR(VLOOKUP($T828,No_HP!$B$2:$C$514,2,0),0)</f>
        <v>0</v>
      </c>
      <c r="W828" s="28">
        <f t="shared" si="74"/>
        <v>0</v>
      </c>
      <c r="X828" s="333">
        <f t="shared" si="75"/>
        <v>0</v>
      </c>
      <c r="Y828" s="333">
        <f t="shared" si="76"/>
        <v>0</v>
      </c>
    </row>
    <row r="829" spans="1:25" s="2" customFormat="1" ht="21.95" customHeight="1">
      <c r="A829" s="82">
        <v>8</v>
      </c>
      <c r="B829" s="91" t="str">
        <f t="shared" si="77"/>
        <v>11A.T</v>
      </c>
      <c r="C829" s="83" t="s">
        <v>364</v>
      </c>
      <c r="D829" s="81" t="s">
        <v>516</v>
      </c>
      <c r="E829" s="48">
        <v>100821</v>
      </c>
      <c r="F829" s="30" t="s">
        <v>268</v>
      </c>
      <c r="G829" s="29" t="s">
        <v>59</v>
      </c>
      <c r="H829" s="30" t="s">
        <v>1626</v>
      </c>
      <c r="I829" s="78"/>
      <c r="J829" s="20"/>
      <c r="K829" s="20"/>
      <c r="L829" s="20"/>
      <c r="M829" s="20"/>
      <c r="N829" s="179" t="s">
        <v>502</v>
      </c>
      <c r="O829" s="70">
        <v>0</v>
      </c>
      <c r="P829" s="70">
        <v>0</v>
      </c>
      <c r="Q829" s="70">
        <f t="shared" si="72"/>
        <v>0</v>
      </c>
      <c r="R829" s="70"/>
      <c r="S829" s="67"/>
      <c r="T829" s="2" t="str">
        <f t="shared" si="73"/>
        <v>Nguyễn Văn Thuận_11AT5</v>
      </c>
      <c r="U829" s="28">
        <f t="array" ref="U829">IFERROR(VLOOKUP($T829,'Nghi hoc T12'!$H$7:$I$160,2,0),0)</f>
        <v>0</v>
      </c>
      <c r="V829" s="28">
        <f>IFERROR(VLOOKUP($T829,No_HP!$B$2:$C$514,2,0),0)</f>
        <v>0</v>
      </c>
      <c r="W829" s="28">
        <f t="shared" si="74"/>
        <v>0</v>
      </c>
      <c r="X829" s="333">
        <f t="shared" si="75"/>
        <v>0</v>
      </c>
      <c r="Y829" s="333">
        <f t="shared" si="76"/>
        <v>0</v>
      </c>
    </row>
    <row r="830" spans="1:25" s="2" customFormat="1" ht="21.95" customHeight="1">
      <c r="A830" s="82">
        <v>9</v>
      </c>
      <c r="B830" s="91" t="str">
        <f t="shared" si="77"/>
        <v>11A.T</v>
      </c>
      <c r="C830" s="83" t="s">
        <v>364</v>
      </c>
      <c r="D830" s="81" t="s">
        <v>516</v>
      </c>
      <c r="E830" s="48">
        <v>100822</v>
      </c>
      <c r="F830" s="30" t="s">
        <v>1667</v>
      </c>
      <c r="G830" s="29" t="s">
        <v>213</v>
      </c>
      <c r="H830" s="30" t="s">
        <v>1628</v>
      </c>
      <c r="I830" s="78"/>
      <c r="J830" s="20"/>
      <c r="K830" s="20"/>
      <c r="L830" s="20"/>
      <c r="M830" s="20"/>
      <c r="N830" s="179" t="s">
        <v>502</v>
      </c>
      <c r="O830" s="70">
        <v>0</v>
      </c>
      <c r="P830" s="70">
        <v>0</v>
      </c>
      <c r="Q830" s="70">
        <f t="shared" si="72"/>
        <v>0</v>
      </c>
      <c r="R830" s="70"/>
      <c r="S830" s="67"/>
      <c r="T830" s="2" t="str">
        <f t="shared" si="73"/>
        <v>Huỳnh Ngọc Bảo Thy_11AT6</v>
      </c>
      <c r="U830" s="28">
        <f t="array" ref="U830">IFERROR(VLOOKUP($T830,'Nghi hoc T12'!$H$7:$I$160,2,0),0)</f>
        <v>0</v>
      </c>
      <c r="V830" s="28">
        <f>IFERROR(VLOOKUP($T830,No_HP!$B$2:$C$514,2,0),0)</f>
        <v>0</v>
      </c>
      <c r="W830" s="28">
        <f t="shared" si="74"/>
        <v>0</v>
      </c>
      <c r="X830" s="333">
        <f t="shared" si="75"/>
        <v>0</v>
      </c>
      <c r="Y830" s="333">
        <f t="shared" si="76"/>
        <v>0</v>
      </c>
    </row>
    <row r="831" spans="1:25" s="2" customFormat="1" ht="21.95" customHeight="1">
      <c r="A831" s="82">
        <v>10</v>
      </c>
      <c r="B831" s="91" t="str">
        <f t="shared" si="77"/>
        <v>11A.T</v>
      </c>
      <c r="C831" s="83" t="s">
        <v>364</v>
      </c>
      <c r="D831" s="81" t="s">
        <v>516</v>
      </c>
      <c r="E831" s="48">
        <v>100823</v>
      </c>
      <c r="F831" s="30" t="s">
        <v>242</v>
      </c>
      <c r="G831" s="29" t="s">
        <v>213</v>
      </c>
      <c r="H831" s="30" t="s">
        <v>1626</v>
      </c>
      <c r="I831" s="78"/>
      <c r="J831" s="20"/>
      <c r="K831" s="20"/>
      <c r="L831" s="20"/>
      <c r="M831" s="20"/>
      <c r="N831" s="179" t="s">
        <v>502</v>
      </c>
      <c r="O831" s="70">
        <v>0</v>
      </c>
      <c r="P831" s="70">
        <v>0</v>
      </c>
      <c r="Q831" s="70">
        <f t="shared" si="72"/>
        <v>0</v>
      </c>
      <c r="R831" s="70"/>
      <c r="S831" s="67"/>
      <c r="T831" s="2" t="str">
        <f t="shared" si="73"/>
        <v>Nguyễn Ngọc Bảo Thy_11AT5</v>
      </c>
      <c r="U831" s="28">
        <f t="array" ref="U831">IFERROR(VLOOKUP($T831,'Nghi hoc T12'!$H$7:$I$160,2,0),0)</f>
        <v>0</v>
      </c>
      <c r="V831" s="28">
        <f>IFERROR(VLOOKUP($T831,No_HP!$B$2:$C$514,2,0),0)</f>
        <v>0</v>
      </c>
      <c r="W831" s="28">
        <f t="shared" si="74"/>
        <v>0</v>
      </c>
      <c r="X831" s="333">
        <f t="shared" si="75"/>
        <v>0</v>
      </c>
      <c r="Y831" s="333">
        <f t="shared" si="76"/>
        <v>0</v>
      </c>
    </row>
    <row r="832" spans="1:25" s="2" customFormat="1" ht="21.95" customHeight="1">
      <c r="A832" s="82">
        <v>11</v>
      </c>
      <c r="B832" s="91" t="str">
        <f t="shared" si="77"/>
        <v>11A.T</v>
      </c>
      <c r="C832" s="83" t="s">
        <v>364</v>
      </c>
      <c r="D832" s="81" t="s">
        <v>516</v>
      </c>
      <c r="E832" s="48">
        <v>100824</v>
      </c>
      <c r="F832" s="30" t="s">
        <v>1668</v>
      </c>
      <c r="G832" s="29" t="s">
        <v>213</v>
      </c>
      <c r="H832" s="30" t="s">
        <v>1628</v>
      </c>
      <c r="I832" s="78"/>
      <c r="J832" s="20"/>
      <c r="K832" s="20"/>
      <c r="L832" s="20"/>
      <c r="M832" s="20"/>
      <c r="N832" s="179" t="s">
        <v>502</v>
      </c>
      <c r="O832" s="70">
        <v>0</v>
      </c>
      <c r="P832" s="70">
        <v>0</v>
      </c>
      <c r="Q832" s="70">
        <f t="shared" si="72"/>
        <v>0</v>
      </c>
      <c r="R832" s="70"/>
      <c r="S832" s="67"/>
      <c r="T832" s="2" t="str">
        <f t="shared" si="73"/>
        <v>Trần Đặng Trúc Thy_11AT6</v>
      </c>
      <c r="U832" s="28">
        <f t="array" ref="U832">IFERROR(VLOOKUP($T832,'Nghi hoc T12'!$H$7:$I$160,2,0),0)</f>
        <v>0</v>
      </c>
      <c r="V832" s="28">
        <f>IFERROR(VLOOKUP($T832,No_HP!$B$2:$C$514,2,0),0)</f>
        <v>0</v>
      </c>
      <c r="W832" s="28">
        <f t="shared" si="74"/>
        <v>0</v>
      </c>
      <c r="X832" s="333">
        <f t="shared" si="75"/>
        <v>0</v>
      </c>
      <c r="Y832" s="333">
        <f t="shared" si="76"/>
        <v>0</v>
      </c>
    </row>
    <row r="833" spans="1:25" s="2" customFormat="1" ht="21.95" customHeight="1">
      <c r="A833" s="82">
        <v>12</v>
      </c>
      <c r="B833" s="91" t="str">
        <f t="shared" si="77"/>
        <v>11A.T</v>
      </c>
      <c r="C833" s="83" t="s">
        <v>364</v>
      </c>
      <c r="D833" s="81" t="s">
        <v>516</v>
      </c>
      <c r="E833" s="48">
        <v>100825</v>
      </c>
      <c r="F833" s="30" t="s">
        <v>1669</v>
      </c>
      <c r="G833" s="29" t="s">
        <v>80</v>
      </c>
      <c r="H833" s="30" t="s">
        <v>1628</v>
      </c>
      <c r="I833" s="78"/>
      <c r="J833" s="20"/>
      <c r="K833" s="20"/>
      <c r="L833" s="20"/>
      <c r="M833" s="20"/>
      <c r="N833" s="179" t="s">
        <v>502</v>
      </c>
      <c r="O833" s="70">
        <v>0</v>
      </c>
      <c r="P833" s="70">
        <v>0</v>
      </c>
      <c r="Q833" s="70">
        <f t="shared" si="72"/>
        <v>0</v>
      </c>
      <c r="R833" s="70"/>
      <c r="S833" s="67"/>
      <c r="T833" s="2" t="str">
        <f t="shared" si="73"/>
        <v>Hà Hải Khánh Tiên_11AT6</v>
      </c>
      <c r="U833" s="28">
        <f t="array" ref="U833">IFERROR(VLOOKUP($T833,'Nghi hoc T12'!$H$7:$I$160,2,0),0)</f>
        <v>0</v>
      </c>
      <c r="V833" s="28">
        <f>IFERROR(VLOOKUP($T833,No_HP!$B$2:$C$514,2,0),0)</f>
        <v>0</v>
      </c>
      <c r="W833" s="28">
        <f t="shared" si="74"/>
        <v>0</v>
      </c>
      <c r="X833" s="333">
        <f t="shared" si="75"/>
        <v>0</v>
      </c>
      <c r="Y833" s="333">
        <f t="shared" si="76"/>
        <v>0</v>
      </c>
    </row>
    <row r="834" spans="1:25" s="2" customFormat="1" ht="21.95" customHeight="1">
      <c r="A834" s="82">
        <v>13</v>
      </c>
      <c r="B834" s="91" t="str">
        <f t="shared" si="77"/>
        <v>11A.T</v>
      </c>
      <c r="C834" s="83" t="s">
        <v>364</v>
      </c>
      <c r="D834" s="81" t="s">
        <v>516</v>
      </c>
      <c r="E834" s="48">
        <v>100826</v>
      </c>
      <c r="F834" s="30" t="s">
        <v>1670</v>
      </c>
      <c r="G834" s="29" t="s">
        <v>80</v>
      </c>
      <c r="H834" s="30" t="s">
        <v>1626</v>
      </c>
      <c r="I834" s="78"/>
      <c r="J834" s="20"/>
      <c r="K834" s="20"/>
      <c r="L834" s="20"/>
      <c r="M834" s="20"/>
      <c r="N834" s="179" t="s">
        <v>502</v>
      </c>
      <c r="O834" s="70">
        <v>0</v>
      </c>
      <c r="P834" s="70">
        <v>0</v>
      </c>
      <c r="Q834" s="70">
        <f t="shared" si="72"/>
        <v>0</v>
      </c>
      <c r="R834" s="70"/>
      <c r="S834" s="67"/>
      <c r="T834" s="2" t="str">
        <f t="shared" si="73"/>
        <v>Nguyễn Đặng Mỹ Tiên_11AT5</v>
      </c>
      <c r="U834" s="28">
        <f t="array" ref="U834">IFERROR(VLOOKUP($T834,'Nghi hoc T12'!$H$7:$I$160,2,0),0)</f>
        <v>0</v>
      </c>
      <c r="V834" s="28">
        <f>IFERROR(VLOOKUP($T834,No_HP!$B$2:$C$514,2,0),0)</f>
        <v>0</v>
      </c>
      <c r="W834" s="28">
        <f t="shared" si="74"/>
        <v>0</v>
      </c>
      <c r="X834" s="333">
        <f t="shared" si="75"/>
        <v>0</v>
      </c>
      <c r="Y834" s="333">
        <f t="shared" si="76"/>
        <v>0</v>
      </c>
    </row>
    <row r="835" spans="1:25" s="2" customFormat="1" ht="21.95" customHeight="1">
      <c r="A835" s="82">
        <v>14</v>
      </c>
      <c r="B835" s="91" t="str">
        <f t="shared" si="77"/>
        <v>11A.T</v>
      </c>
      <c r="C835" s="83" t="s">
        <v>364</v>
      </c>
      <c r="D835" s="81" t="s">
        <v>516</v>
      </c>
      <c r="E835" s="48">
        <v>100827</v>
      </c>
      <c r="F835" s="30" t="s">
        <v>1671</v>
      </c>
      <c r="G835" s="29" t="s">
        <v>1672</v>
      </c>
      <c r="H835" s="30" t="s">
        <v>1626</v>
      </c>
      <c r="I835" s="78"/>
      <c r="J835" s="20"/>
      <c r="K835" s="20"/>
      <c r="L835" s="20"/>
      <c r="M835" s="20"/>
      <c r="N835" s="179" t="s">
        <v>502</v>
      </c>
      <c r="O835" s="70">
        <v>0</v>
      </c>
      <c r="P835" s="70">
        <v>0</v>
      </c>
      <c r="Q835" s="70">
        <f t="shared" si="72"/>
        <v>0</v>
      </c>
      <c r="R835" s="70"/>
      <c r="S835" s="67"/>
      <c r="T835" s="2" t="str">
        <f t="shared" si="73"/>
        <v>Thái Đỗ Hoàng Tổng_11AT5</v>
      </c>
      <c r="U835" s="28">
        <f t="array" ref="U835">IFERROR(VLOOKUP($T835,'Nghi hoc T12'!$H$7:$I$160,2,0),0)</f>
        <v>0</v>
      </c>
      <c r="V835" s="28">
        <f>IFERROR(VLOOKUP($T835,No_HP!$B$2:$C$514,2,0),0)</f>
        <v>0</v>
      </c>
      <c r="W835" s="28">
        <f t="shared" si="74"/>
        <v>0</v>
      </c>
      <c r="X835" s="333">
        <f t="shared" si="75"/>
        <v>0</v>
      </c>
      <c r="Y835" s="333">
        <f t="shared" si="76"/>
        <v>0</v>
      </c>
    </row>
    <row r="836" spans="1:25" s="2" customFormat="1" ht="21.95" customHeight="1">
      <c r="A836" s="82">
        <v>15</v>
      </c>
      <c r="B836" s="91" t="str">
        <f t="shared" si="77"/>
        <v>11A.T</v>
      </c>
      <c r="C836" s="83" t="s">
        <v>364</v>
      </c>
      <c r="D836" s="81" t="s">
        <v>516</v>
      </c>
      <c r="E836" s="48">
        <v>100828</v>
      </c>
      <c r="F836" s="30" t="s">
        <v>1673</v>
      </c>
      <c r="G836" s="29" t="s">
        <v>30</v>
      </c>
      <c r="H836" s="30" t="s">
        <v>1628</v>
      </c>
      <c r="I836" s="78"/>
      <c r="J836" s="20"/>
      <c r="K836" s="20"/>
      <c r="L836" s="20"/>
      <c r="M836" s="20"/>
      <c r="N836" s="179" t="s">
        <v>502</v>
      </c>
      <c r="O836" s="70">
        <v>0</v>
      </c>
      <c r="P836" s="70">
        <v>0</v>
      </c>
      <c r="Q836" s="70">
        <f t="shared" si="72"/>
        <v>0</v>
      </c>
      <c r="R836" s="70"/>
      <c r="S836" s="67"/>
      <c r="T836" s="2" t="str">
        <f t="shared" si="73"/>
        <v>Nguyễn Thị Hiền Trang_11AT6</v>
      </c>
      <c r="U836" s="28">
        <f t="array" ref="U836">IFERROR(VLOOKUP($T836,'Nghi hoc T12'!$H$7:$I$160,2,0),0)</f>
        <v>0</v>
      </c>
      <c r="V836" s="28">
        <f>IFERROR(VLOOKUP($T836,No_HP!$B$2:$C$514,2,0),0)</f>
        <v>0</v>
      </c>
      <c r="W836" s="28">
        <f t="shared" si="74"/>
        <v>0</v>
      </c>
      <c r="X836" s="333">
        <f t="shared" si="75"/>
        <v>0</v>
      </c>
      <c r="Y836" s="333">
        <f t="shared" si="76"/>
        <v>0</v>
      </c>
    </row>
    <row r="837" spans="1:25" s="2" customFormat="1" ht="21.95" customHeight="1">
      <c r="A837" s="82">
        <v>16</v>
      </c>
      <c r="B837" s="91" t="str">
        <f t="shared" si="77"/>
        <v>11A.T</v>
      </c>
      <c r="C837" s="83" t="s">
        <v>364</v>
      </c>
      <c r="D837" s="81" t="s">
        <v>516</v>
      </c>
      <c r="E837" s="48">
        <v>100829</v>
      </c>
      <c r="F837" s="30" t="s">
        <v>56</v>
      </c>
      <c r="G837" s="29" t="s">
        <v>30</v>
      </c>
      <c r="H837" s="30" t="s">
        <v>1626</v>
      </c>
      <c r="I837" s="78"/>
      <c r="J837" s="20"/>
      <c r="K837" s="20"/>
      <c r="L837" s="20"/>
      <c r="M837" s="20"/>
      <c r="N837" s="179" t="s">
        <v>502</v>
      </c>
      <c r="O837" s="70">
        <v>0</v>
      </c>
      <c r="P837" s="70">
        <v>0</v>
      </c>
      <c r="Q837" s="70">
        <f t="shared" si="72"/>
        <v>0</v>
      </c>
      <c r="R837" s="70"/>
      <c r="S837" s="67"/>
      <c r="T837" s="2" t="str">
        <f t="shared" si="73"/>
        <v>Nguyễn Thị Thu Trang_11AT5</v>
      </c>
      <c r="U837" s="28">
        <f t="array" ref="U837">IFERROR(VLOOKUP($T837,'Nghi hoc T12'!$H$7:$I$160,2,0),0)</f>
        <v>0</v>
      </c>
      <c r="V837" s="28">
        <f>IFERROR(VLOOKUP($T837,No_HP!$B$2:$C$514,2,0),0)</f>
        <v>0</v>
      </c>
      <c r="W837" s="28">
        <f t="shared" si="74"/>
        <v>0</v>
      </c>
      <c r="X837" s="333">
        <f t="shared" si="75"/>
        <v>0</v>
      </c>
      <c r="Y837" s="333">
        <f t="shared" si="76"/>
        <v>0</v>
      </c>
    </row>
    <row r="838" spans="1:25" s="2" customFormat="1" ht="21.95" customHeight="1">
      <c r="A838" s="82">
        <v>17</v>
      </c>
      <c r="B838" s="91" t="str">
        <f t="shared" si="77"/>
        <v>11A.T</v>
      </c>
      <c r="C838" s="83" t="s">
        <v>364</v>
      </c>
      <c r="D838" s="81" t="s">
        <v>516</v>
      </c>
      <c r="E838" s="48">
        <v>100830</v>
      </c>
      <c r="F838" s="30" t="s">
        <v>474</v>
      </c>
      <c r="G838" s="29" t="s">
        <v>29</v>
      </c>
      <c r="H838" s="30" t="s">
        <v>1626</v>
      </c>
      <c r="I838" s="78"/>
      <c r="J838" s="20"/>
      <c r="K838" s="20"/>
      <c r="L838" s="20"/>
      <c r="M838" s="20"/>
      <c r="N838" s="179" t="s">
        <v>502</v>
      </c>
      <c r="O838" s="70">
        <v>0</v>
      </c>
      <c r="P838" s="70">
        <v>0</v>
      </c>
      <c r="Q838" s="70">
        <f t="shared" si="72"/>
        <v>0</v>
      </c>
      <c r="R838" s="70"/>
      <c r="S838" s="67"/>
      <c r="T838" s="2" t="str">
        <f t="shared" si="73"/>
        <v>Trần Huyền Trâm_11AT5</v>
      </c>
      <c r="U838" s="28">
        <f t="array" ref="U838">IFERROR(VLOOKUP($T838,'Nghi hoc T12'!$H$7:$I$160,2,0),0)</f>
        <v>0</v>
      </c>
      <c r="V838" s="28">
        <f>IFERROR(VLOOKUP($T838,No_HP!$B$2:$C$514,2,0),0)</f>
        <v>0</v>
      </c>
      <c r="W838" s="28">
        <f t="shared" si="74"/>
        <v>0</v>
      </c>
      <c r="X838" s="333">
        <f t="shared" si="75"/>
        <v>0</v>
      </c>
      <c r="Y838" s="333">
        <f t="shared" si="76"/>
        <v>0</v>
      </c>
    </row>
    <row r="839" spans="1:25" s="2" customFormat="1" ht="21.95" customHeight="1">
      <c r="A839" s="82">
        <v>18</v>
      </c>
      <c r="B839" s="91" t="str">
        <f t="shared" si="77"/>
        <v>11A.T</v>
      </c>
      <c r="C839" s="83" t="s">
        <v>364</v>
      </c>
      <c r="D839" s="81" t="s">
        <v>516</v>
      </c>
      <c r="E839" s="48">
        <v>100831</v>
      </c>
      <c r="F839" s="30" t="s">
        <v>180</v>
      </c>
      <c r="G839" s="29" t="s">
        <v>81</v>
      </c>
      <c r="H839" s="30" t="s">
        <v>1628</v>
      </c>
      <c r="I839" s="78"/>
      <c r="J839" s="20"/>
      <c r="K839" s="20"/>
      <c r="L839" s="20"/>
      <c r="M839" s="20"/>
      <c r="N839" s="179" t="s">
        <v>502</v>
      </c>
      <c r="O839" s="70">
        <v>0</v>
      </c>
      <c r="P839" s="70">
        <v>0</v>
      </c>
      <c r="Q839" s="70">
        <f t="shared" si="72"/>
        <v>0</v>
      </c>
      <c r="R839" s="70"/>
      <c r="S839" s="67"/>
      <c r="T839" s="2" t="str">
        <f t="shared" si="73"/>
        <v>Nguyễn Thị Bảo Trân_11AT6</v>
      </c>
      <c r="U839" s="28">
        <f t="array" ref="U839">IFERROR(VLOOKUP($T839,'Nghi hoc T12'!$H$7:$I$160,2,0),0)</f>
        <v>0</v>
      </c>
      <c r="V839" s="28">
        <f>IFERROR(VLOOKUP($T839,No_HP!$B$2:$C$514,2,0),0)</f>
        <v>0</v>
      </c>
      <c r="W839" s="28">
        <f t="shared" si="74"/>
        <v>0</v>
      </c>
      <c r="X839" s="333">
        <f t="shared" si="75"/>
        <v>0</v>
      </c>
      <c r="Y839" s="333">
        <f t="shared" si="76"/>
        <v>0</v>
      </c>
    </row>
    <row r="840" spans="1:25" s="2" customFormat="1" ht="21.95" customHeight="1">
      <c r="A840" s="82">
        <v>19</v>
      </c>
      <c r="B840" s="91" t="str">
        <f t="shared" si="77"/>
        <v>11A.T</v>
      </c>
      <c r="C840" s="83" t="s">
        <v>364</v>
      </c>
      <c r="D840" s="81" t="s">
        <v>516</v>
      </c>
      <c r="E840" s="48">
        <v>100832</v>
      </c>
      <c r="F840" s="30" t="s">
        <v>352</v>
      </c>
      <c r="G840" s="29" t="s">
        <v>98</v>
      </c>
      <c r="H840" s="30" t="s">
        <v>1626</v>
      </c>
      <c r="I840" s="78"/>
      <c r="J840" s="20"/>
      <c r="K840" s="20"/>
      <c r="L840" s="20"/>
      <c r="M840" s="20"/>
      <c r="N840" s="179" t="s">
        <v>502</v>
      </c>
      <c r="O840" s="70">
        <v>0</v>
      </c>
      <c r="P840" s="70">
        <v>0</v>
      </c>
      <c r="Q840" s="70">
        <f t="shared" si="72"/>
        <v>0</v>
      </c>
      <c r="R840" s="70"/>
      <c r="S840" s="67"/>
      <c r="T840" s="2" t="str">
        <f t="shared" si="73"/>
        <v>Nguyễn Kiều Trinh_11AT5</v>
      </c>
      <c r="U840" s="28">
        <f t="array" ref="U840">IFERROR(VLOOKUP($T840,'Nghi hoc T12'!$H$7:$I$160,2,0),0)</f>
        <v>0</v>
      </c>
      <c r="V840" s="28">
        <f>IFERROR(VLOOKUP($T840,No_HP!$B$2:$C$514,2,0),0)</f>
        <v>0</v>
      </c>
      <c r="W840" s="28">
        <f t="shared" si="74"/>
        <v>0</v>
      </c>
      <c r="X840" s="333">
        <f t="shared" si="75"/>
        <v>0</v>
      </c>
      <c r="Y840" s="333">
        <f t="shared" si="76"/>
        <v>0</v>
      </c>
    </row>
    <row r="841" spans="1:25" s="2" customFormat="1" ht="21.95" customHeight="1">
      <c r="A841" s="82">
        <v>20</v>
      </c>
      <c r="B841" s="91" t="str">
        <f t="shared" si="77"/>
        <v>11A.T</v>
      </c>
      <c r="C841" s="83" t="s">
        <v>364</v>
      </c>
      <c r="D841" s="81" t="s">
        <v>516</v>
      </c>
      <c r="E841" s="48">
        <v>100833</v>
      </c>
      <c r="F841" s="30" t="s">
        <v>356</v>
      </c>
      <c r="G841" s="29" t="s">
        <v>98</v>
      </c>
      <c r="H841" s="30" t="s">
        <v>1628</v>
      </c>
      <c r="I841" s="78"/>
      <c r="J841" s="20"/>
      <c r="K841" s="20"/>
      <c r="L841" s="20"/>
      <c r="M841" s="20"/>
      <c r="N841" s="179" t="s">
        <v>502</v>
      </c>
      <c r="O841" s="70">
        <v>0</v>
      </c>
      <c r="P841" s="70">
        <v>0</v>
      </c>
      <c r="Q841" s="70">
        <f t="shared" si="72"/>
        <v>0</v>
      </c>
      <c r="R841" s="70"/>
      <c r="S841" s="67"/>
      <c r="T841" s="2" t="str">
        <f t="shared" si="73"/>
        <v>Nguyễn Thị Kiều Trinh_11AT6</v>
      </c>
      <c r="U841" s="28">
        <f t="array" ref="U841">IFERROR(VLOOKUP($T841,'Nghi hoc T12'!$H$7:$I$160,2,0),0)</f>
        <v>0</v>
      </c>
      <c r="V841" s="28">
        <f>IFERROR(VLOOKUP($T841,No_HP!$B$2:$C$514,2,0),0)</f>
        <v>0</v>
      </c>
      <c r="W841" s="28">
        <f t="shared" si="74"/>
        <v>0</v>
      </c>
      <c r="X841" s="333">
        <f t="shared" si="75"/>
        <v>0</v>
      </c>
      <c r="Y841" s="333">
        <f t="shared" si="76"/>
        <v>0</v>
      </c>
    </row>
    <row r="842" spans="1:25" s="2" customFormat="1" ht="21.95" customHeight="1">
      <c r="A842" s="82">
        <v>21</v>
      </c>
      <c r="B842" s="91" t="str">
        <f t="shared" si="77"/>
        <v>11A.T</v>
      </c>
      <c r="C842" s="83" t="s">
        <v>364</v>
      </c>
      <c r="D842" s="81" t="s">
        <v>516</v>
      </c>
      <c r="E842" s="48">
        <v>100834</v>
      </c>
      <c r="F842" s="30" t="s">
        <v>1674</v>
      </c>
      <c r="G842" s="29" t="s">
        <v>164</v>
      </c>
      <c r="H842" s="30" t="s">
        <v>1628</v>
      </c>
      <c r="I842" s="78"/>
      <c r="J842" s="20"/>
      <c r="K842" s="20"/>
      <c r="L842" s="20"/>
      <c r="M842" s="20"/>
      <c r="N842" s="179" t="s">
        <v>502</v>
      </c>
      <c r="O842" s="70">
        <v>0</v>
      </c>
      <c r="P842" s="70">
        <v>0</v>
      </c>
      <c r="Q842" s="70">
        <f t="shared" ref="Q842:Q852" si="78">U842</f>
        <v>0</v>
      </c>
      <c r="R842" s="70"/>
      <c r="S842" s="67"/>
      <c r="T842" s="2" t="str">
        <f t="shared" ref="T842:T905" si="79">TRIM(F842&amp;" "&amp;G842&amp;"_"&amp;H842)</f>
        <v>Nguyễn Huy Mạnh Trường_11AT6</v>
      </c>
      <c r="U842" s="28">
        <f t="array" ref="U842">IFERROR(VLOOKUP($T842,'Nghi hoc T12'!$H$7:$I$160,2,0),0)</f>
        <v>0</v>
      </c>
      <c r="V842" s="28">
        <f>IFERROR(VLOOKUP($T842,No_HP!$B$2:$C$514,2,0),0)</f>
        <v>0</v>
      </c>
      <c r="W842" s="28">
        <f t="shared" ref="W842:W905" si="80">I842</f>
        <v>0</v>
      </c>
      <c r="X842" s="333">
        <f t="shared" ref="X842:X905" si="81">O842</f>
        <v>0</v>
      </c>
      <c r="Y842" s="333">
        <f t="shared" ref="Y842:Y905" si="82">P842</f>
        <v>0</v>
      </c>
    </row>
    <row r="843" spans="1:25" s="2" customFormat="1" ht="21.95" customHeight="1">
      <c r="A843" s="82">
        <v>22</v>
      </c>
      <c r="B843" s="91" t="str">
        <f t="shared" ref="B843:B906" si="83">RIGHT(D843,LEN(D843)-2)&amp;"."&amp;LEFT(N843,1)</f>
        <v>11A.T</v>
      </c>
      <c r="C843" s="83" t="s">
        <v>364</v>
      </c>
      <c r="D843" s="81" t="s">
        <v>516</v>
      </c>
      <c r="E843" s="48">
        <v>100835</v>
      </c>
      <c r="F843" s="30" t="s">
        <v>1675</v>
      </c>
      <c r="G843" s="29" t="s">
        <v>51</v>
      </c>
      <c r="H843" s="30" t="s">
        <v>1626</v>
      </c>
      <c r="I843" s="78"/>
      <c r="J843" s="20"/>
      <c r="K843" s="20"/>
      <c r="L843" s="20"/>
      <c r="M843" s="20"/>
      <c r="N843" s="179" t="s">
        <v>502</v>
      </c>
      <c r="O843" s="70">
        <v>0</v>
      </c>
      <c r="P843" s="70">
        <v>0</v>
      </c>
      <c r="Q843" s="70">
        <f t="shared" si="78"/>
        <v>0</v>
      </c>
      <c r="R843" s="70"/>
      <c r="S843" s="67"/>
      <c r="T843" s="2" t="str">
        <f t="shared" si="79"/>
        <v>Lữ Huỳnh Tinh Tú_11AT5</v>
      </c>
      <c r="U843" s="28">
        <f t="array" ref="U843">IFERROR(VLOOKUP($T843,'Nghi hoc T12'!$H$7:$I$160,2,0),0)</f>
        <v>0</v>
      </c>
      <c r="V843" s="28">
        <f>IFERROR(VLOOKUP($T843,No_HP!$B$2:$C$514,2,0),0)</f>
        <v>0</v>
      </c>
      <c r="W843" s="28">
        <f t="shared" si="80"/>
        <v>0</v>
      </c>
      <c r="X843" s="333">
        <f t="shared" si="81"/>
        <v>0</v>
      </c>
      <c r="Y843" s="333">
        <f t="shared" si="82"/>
        <v>0</v>
      </c>
    </row>
    <row r="844" spans="1:25" s="2" customFormat="1" ht="21.95" customHeight="1">
      <c r="A844" s="82">
        <v>23</v>
      </c>
      <c r="B844" s="91" t="str">
        <f t="shared" si="83"/>
        <v>11A.T</v>
      </c>
      <c r="C844" s="83" t="s">
        <v>364</v>
      </c>
      <c r="D844" s="81" t="s">
        <v>516</v>
      </c>
      <c r="E844" s="48">
        <v>100836</v>
      </c>
      <c r="F844" s="30" t="s">
        <v>1676</v>
      </c>
      <c r="G844" s="29" t="s">
        <v>73</v>
      </c>
      <c r="H844" s="30" t="s">
        <v>1626</v>
      </c>
      <c r="I844" s="78"/>
      <c r="J844" s="20"/>
      <c r="K844" s="20"/>
      <c r="L844" s="20"/>
      <c r="M844" s="20"/>
      <c r="N844" s="179" t="s">
        <v>502</v>
      </c>
      <c r="O844" s="70">
        <v>0</v>
      </c>
      <c r="P844" s="70">
        <v>0</v>
      </c>
      <c r="Q844" s="70">
        <f t="shared" si="78"/>
        <v>0</v>
      </c>
      <c r="R844" s="70"/>
      <c r="S844" s="67"/>
      <c r="T844" s="2" t="str">
        <f t="shared" si="79"/>
        <v>Dương Thị Bích Tuyền_11AT5</v>
      </c>
      <c r="U844" s="28">
        <f t="array" ref="U844">IFERROR(VLOOKUP($T844,'Nghi hoc T12'!$H$7:$I$160,2,0),0)</f>
        <v>0</v>
      </c>
      <c r="V844" s="28">
        <f>IFERROR(VLOOKUP($T844,No_HP!$B$2:$C$514,2,0),0)</f>
        <v>0</v>
      </c>
      <c r="W844" s="28">
        <f t="shared" si="80"/>
        <v>0</v>
      </c>
      <c r="X844" s="333">
        <f t="shared" si="81"/>
        <v>0</v>
      </c>
      <c r="Y844" s="333">
        <f t="shared" si="82"/>
        <v>0</v>
      </c>
    </row>
    <row r="845" spans="1:25" s="2" customFormat="1" ht="21.95" customHeight="1">
      <c r="A845" s="82">
        <v>24</v>
      </c>
      <c r="B845" s="91" t="str">
        <f t="shared" si="83"/>
        <v>11A.T</v>
      </c>
      <c r="C845" s="83" t="s">
        <v>364</v>
      </c>
      <c r="D845" s="81" t="s">
        <v>516</v>
      </c>
      <c r="E845" s="48">
        <v>100837</v>
      </c>
      <c r="F845" s="30" t="s">
        <v>1677</v>
      </c>
      <c r="G845" s="29" t="s">
        <v>73</v>
      </c>
      <c r="H845" s="30" t="s">
        <v>1628</v>
      </c>
      <c r="I845" s="78"/>
      <c r="J845" s="20"/>
      <c r="K845" s="20"/>
      <c r="L845" s="20"/>
      <c r="M845" s="20"/>
      <c r="N845" s="179" t="s">
        <v>502</v>
      </c>
      <c r="O845" s="70">
        <v>0</v>
      </c>
      <c r="P845" s="70">
        <v>0</v>
      </c>
      <c r="Q845" s="70">
        <f t="shared" si="78"/>
        <v>0</v>
      </c>
      <c r="R845" s="70"/>
      <c r="S845" s="67"/>
      <c r="T845" s="2" t="str">
        <f t="shared" si="79"/>
        <v>Thạch Thị Cẩm Tuyền_11AT6</v>
      </c>
      <c r="U845" s="28">
        <f t="array" ref="U845">IFERROR(VLOOKUP($T845,'Nghi hoc T12'!$H$7:$I$160,2,0),0)</f>
        <v>0</v>
      </c>
      <c r="V845" s="28">
        <f>IFERROR(VLOOKUP($T845,No_HP!$B$2:$C$514,2,0),0)</f>
        <v>0</v>
      </c>
      <c r="W845" s="28">
        <f t="shared" si="80"/>
        <v>0</v>
      </c>
      <c r="X845" s="333">
        <f t="shared" si="81"/>
        <v>0</v>
      </c>
      <c r="Y845" s="333">
        <f t="shared" si="82"/>
        <v>0</v>
      </c>
    </row>
    <row r="846" spans="1:25" s="2" customFormat="1" ht="21.95" customHeight="1">
      <c r="A846" s="82">
        <v>25</v>
      </c>
      <c r="B846" s="91" t="str">
        <f t="shared" si="83"/>
        <v>11A.T</v>
      </c>
      <c r="C846" s="83" t="s">
        <v>364</v>
      </c>
      <c r="D846" s="81" t="s">
        <v>516</v>
      </c>
      <c r="E846" s="48">
        <v>100838</v>
      </c>
      <c r="F846" s="30" t="s">
        <v>1678</v>
      </c>
      <c r="G846" s="29" t="s">
        <v>73</v>
      </c>
      <c r="H846" s="30" t="s">
        <v>1626</v>
      </c>
      <c r="I846" s="78"/>
      <c r="J846" s="20"/>
      <c r="K846" s="20"/>
      <c r="L846" s="20"/>
      <c r="M846" s="20"/>
      <c r="N846" s="179" t="s">
        <v>502</v>
      </c>
      <c r="O846" s="70">
        <v>0</v>
      </c>
      <c r="P846" s="70">
        <v>0</v>
      </c>
      <c r="Q846" s="70">
        <f t="shared" si="78"/>
        <v>0</v>
      </c>
      <c r="R846" s="70"/>
      <c r="S846" s="67"/>
      <c r="T846" s="2" t="str">
        <f t="shared" si="79"/>
        <v>Trương Lê Kim Tuyền_11AT5</v>
      </c>
      <c r="U846" s="28">
        <f t="array" ref="U846">IFERROR(VLOOKUP($T846,'Nghi hoc T12'!$H$7:$I$160,2,0),0)</f>
        <v>0</v>
      </c>
      <c r="V846" s="28">
        <f>IFERROR(VLOOKUP($T846,No_HP!$B$2:$C$514,2,0),0)</f>
        <v>0</v>
      </c>
      <c r="W846" s="28">
        <f t="shared" si="80"/>
        <v>0</v>
      </c>
      <c r="X846" s="333">
        <f t="shared" si="81"/>
        <v>0</v>
      </c>
      <c r="Y846" s="333">
        <f t="shared" si="82"/>
        <v>0</v>
      </c>
    </row>
    <row r="847" spans="1:25" s="2" customFormat="1" ht="21.95" customHeight="1">
      <c r="A847" s="82">
        <v>26</v>
      </c>
      <c r="B847" s="91" t="str">
        <f t="shared" si="83"/>
        <v>11A.T</v>
      </c>
      <c r="C847" s="83" t="s">
        <v>364</v>
      </c>
      <c r="D847" s="81" t="s">
        <v>516</v>
      </c>
      <c r="E847" s="48">
        <v>100839</v>
      </c>
      <c r="F847" s="30" t="s">
        <v>1679</v>
      </c>
      <c r="G847" s="29" t="s">
        <v>95</v>
      </c>
      <c r="H847" s="30" t="s">
        <v>1626</v>
      </c>
      <c r="I847" s="78"/>
      <c r="J847" s="20"/>
      <c r="K847" s="20"/>
      <c r="L847" s="20"/>
      <c r="M847" s="20"/>
      <c r="N847" s="179" t="s">
        <v>502</v>
      </c>
      <c r="O847" s="70">
        <v>0</v>
      </c>
      <c r="P847" s="70">
        <v>0</v>
      </c>
      <c r="Q847" s="70">
        <f t="shared" si="78"/>
        <v>0</v>
      </c>
      <c r="R847" s="70"/>
      <c r="S847" s="67"/>
      <c r="T847" s="2" t="str">
        <f t="shared" si="79"/>
        <v>Lê Thị Ánh Tuyết_11AT5</v>
      </c>
      <c r="U847" s="28">
        <f t="array" ref="U847">IFERROR(VLOOKUP($T847,'Nghi hoc T12'!$H$7:$I$160,2,0),0)</f>
        <v>0</v>
      </c>
      <c r="V847" s="28">
        <f>IFERROR(VLOOKUP($T847,No_HP!$B$2:$C$514,2,0),0)</f>
        <v>0</v>
      </c>
      <c r="W847" s="28">
        <f t="shared" si="80"/>
        <v>0</v>
      </c>
      <c r="X847" s="333">
        <f t="shared" si="81"/>
        <v>0</v>
      </c>
      <c r="Y847" s="333">
        <f t="shared" si="82"/>
        <v>0</v>
      </c>
    </row>
    <row r="848" spans="1:25" s="2" customFormat="1" ht="21.95" customHeight="1">
      <c r="A848" s="82">
        <v>27</v>
      </c>
      <c r="B848" s="91" t="str">
        <f t="shared" si="83"/>
        <v>11A.T</v>
      </c>
      <c r="C848" s="83" t="s">
        <v>364</v>
      </c>
      <c r="D848" s="81" t="s">
        <v>516</v>
      </c>
      <c r="E848" s="48">
        <v>100840</v>
      </c>
      <c r="F848" s="30" t="s">
        <v>481</v>
      </c>
      <c r="G848" s="29" t="s">
        <v>60</v>
      </c>
      <c r="H848" s="30" t="s">
        <v>1628</v>
      </c>
      <c r="I848" s="78"/>
      <c r="J848" s="20"/>
      <c r="K848" s="20"/>
      <c r="L848" s="20"/>
      <c r="M848" s="20"/>
      <c r="N848" s="179" t="s">
        <v>502</v>
      </c>
      <c r="O848" s="70">
        <v>0</v>
      </c>
      <c r="P848" s="70">
        <v>0</v>
      </c>
      <c r="Q848" s="70">
        <f t="shared" si="78"/>
        <v>0</v>
      </c>
      <c r="R848" s="70"/>
      <c r="S848" s="67"/>
      <c r="T848" s="2" t="str">
        <f t="shared" si="79"/>
        <v>Hoàng Thị Hà Vân_11AT6</v>
      </c>
      <c r="U848" s="28">
        <f t="array" ref="U848">IFERROR(VLOOKUP($T848,'Nghi hoc T12'!$H$7:$I$160,2,0),0)</f>
        <v>0</v>
      </c>
      <c r="V848" s="28">
        <f>IFERROR(VLOOKUP($T848,No_HP!$B$2:$C$514,2,0),0)</f>
        <v>0</v>
      </c>
      <c r="W848" s="28">
        <f t="shared" si="80"/>
        <v>0</v>
      </c>
      <c r="X848" s="333">
        <f t="shared" si="81"/>
        <v>0</v>
      </c>
      <c r="Y848" s="333">
        <f t="shared" si="82"/>
        <v>0</v>
      </c>
    </row>
    <row r="849" spans="1:25" s="2" customFormat="1" ht="21.95" customHeight="1">
      <c r="A849" s="82">
        <v>28</v>
      </c>
      <c r="B849" s="91" t="str">
        <f t="shared" si="83"/>
        <v>11A.T</v>
      </c>
      <c r="C849" s="83" t="s">
        <v>364</v>
      </c>
      <c r="D849" s="81" t="s">
        <v>516</v>
      </c>
      <c r="E849" s="48">
        <v>100841</v>
      </c>
      <c r="F849" s="30" t="s">
        <v>1680</v>
      </c>
      <c r="G849" s="29" t="s">
        <v>34</v>
      </c>
      <c r="H849" s="30" t="s">
        <v>1628</v>
      </c>
      <c r="I849" s="78"/>
      <c r="J849" s="20"/>
      <c r="K849" s="20"/>
      <c r="L849" s="20"/>
      <c r="M849" s="20"/>
      <c r="N849" s="179" t="s">
        <v>502</v>
      </c>
      <c r="O849" s="70">
        <v>0</v>
      </c>
      <c r="P849" s="70">
        <v>0</v>
      </c>
      <c r="Q849" s="70">
        <f t="shared" si="78"/>
        <v>0</v>
      </c>
      <c r="R849" s="70"/>
      <c r="S849" s="67"/>
      <c r="T849" s="2" t="str">
        <f t="shared" si="79"/>
        <v>Đồng Võ Uyên Vy_11AT6</v>
      </c>
      <c r="U849" s="28">
        <f t="array" ref="U849">IFERROR(VLOOKUP($T849,'Nghi hoc T12'!$H$7:$I$160,2,0),0)</f>
        <v>0</v>
      </c>
      <c r="V849" s="28">
        <f>IFERROR(VLOOKUP($T849,No_HP!$B$2:$C$514,2,0),0)</f>
        <v>0</v>
      </c>
      <c r="W849" s="28">
        <f t="shared" si="80"/>
        <v>0</v>
      </c>
      <c r="X849" s="333">
        <f t="shared" si="81"/>
        <v>0</v>
      </c>
      <c r="Y849" s="333">
        <f t="shared" si="82"/>
        <v>0</v>
      </c>
    </row>
    <row r="850" spans="1:25" s="2" customFormat="1" ht="21.95" customHeight="1">
      <c r="A850" s="82">
        <v>29</v>
      </c>
      <c r="B850" s="91" t="str">
        <f t="shared" si="83"/>
        <v>11A.T</v>
      </c>
      <c r="C850" s="83" t="s">
        <v>364</v>
      </c>
      <c r="D850" s="81" t="s">
        <v>516</v>
      </c>
      <c r="E850" s="48">
        <v>100842</v>
      </c>
      <c r="F850" s="30" t="s">
        <v>1681</v>
      </c>
      <c r="G850" s="29" t="s">
        <v>34</v>
      </c>
      <c r="H850" s="30" t="s">
        <v>1626</v>
      </c>
      <c r="I850" s="78" t="s">
        <v>529</v>
      </c>
      <c r="J850" s="20"/>
      <c r="K850" s="20"/>
      <c r="L850" s="20"/>
      <c r="M850" s="20"/>
      <c r="N850" s="179" t="s">
        <v>502</v>
      </c>
      <c r="O850" s="70">
        <v>0</v>
      </c>
      <c r="P850" s="70">
        <v>0</v>
      </c>
      <c r="Q850" s="70" t="str">
        <f t="shared" si="78"/>
        <v>NgiH</v>
      </c>
      <c r="R850" s="70"/>
      <c r="S850" s="67"/>
      <c r="T850" s="2" t="str">
        <f t="shared" si="79"/>
        <v>Hà Thị Khánh Vy_11AT5</v>
      </c>
      <c r="U850" s="28" t="str">
        <f t="array" ref="U850">IFERROR(VLOOKUP($T850,'Nghi hoc T12'!$H$7:$I$160,2,0),0)</f>
        <v>NgiH</v>
      </c>
      <c r="V850" s="28">
        <f>IFERROR(VLOOKUP($T850,No_HP!$B$2:$C$514,2,0),0)</f>
        <v>0</v>
      </c>
      <c r="W850" s="28" t="str">
        <f t="shared" si="80"/>
        <v>Nghỉ học</v>
      </c>
      <c r="X850" s="333">
        <f t="shared" si="81"/>
        <v>0</v>
      </c>
      <c r="Y850" s="333">
        <f t="shared" si="82"/>
        <v>0</v>
      </c>
    </row>
    <row r="851" spans="1:25" s="2" customFormat="1" ht="21.95" customHeight="1">
      <c r="A851" s="82">
        <v>30</v>
      </c>
      <c r="B851" s="91" t="str">
        <f t="shared" si="83"/>
        <v>11A.T</v>
      </c>
      <c r="C851" s="83" t="s">
        <v>364</v>
      </c>
      <c r="D851" s="81" t="s">
        <v>516</v>
      </c>
      <c r="E851" s="48">
        <v>100843</v>
      </c>
      <c r="F851" s="30" t="s">
        <v>1682</v>
      </c>
      <c r="G851" s="29" t="s">
        <v>62</v>
      </c>
      <c r="H851" s="30" t="s">
        <v>1628</v>
      </c>
      <c r="I851" s="78"/>
      <c r="J851" s="20"/>
      <c r="K851" s="20"/>
      <c r="L851" s="20"/>
      <c r="M851" s="20"/>
      <c r="N851" s="179" t="s">
        <v>502</v>
      </c>
      <c r="O851" s="70">
        <v>0</v>
      </c>
      <c r="P851" s="70">
        <v>0</v>
      </c>
      <c r="Q851" s="70">
        <f t="shared" si="78"/>
        <v>0</v>
      </c>
      <c r="R851" s="70"/>
      <c r="S851" s="67"/>
      <c r="T851" s="2" t="str">
        <f t="shared" si="79"/>
        <v>Dương Phạm Hải Yến_11AT6</v>
      </c>
      <c r="U851" s="28">
        <f t="array" ref="U851">IFERROR(VLOOKUP($T851,'Nghi hoc T12'!$H$7:$I$160,2,0),0)</f>
        <v>0</v>
      </c>
      <c r="V851" s="28">
        <f>IFERROR(VLOOKUP($T851,No_HP!$B$2:$C$514,2,0),0)</f>
        <v>0</v>
      </c>
      <c r="W851" s="28">
        <f t="shared" si="80"/>
        <v>0</v>
      </c>
      <c r="X851" s="333">
        <f t="shared" si="81"/>
        <v>0</v>
      </c>
      <c r="Y851" s="333">
        <f t="shared" si="82"/>
        <v>0</v>
      </c>
    </row>
    <row r="852" spans="1:25" s="2" customFormat="1" ht="21.95" customHeight="1">
      <c r="A852" s="82">
        <v>31</v>
      </c>
      <c r="B852" s="91" t="str">
        <f t="shared" si="83"/>
        <v>11A.T</v>
      </c>
      <c r="C852" s="83" t="s">
        <v>364</v>
      </c>
      <c r="D852" s="81" t="s">
        <v>516</v>
      </c>
      <c r="E852" s="48">
        <v>100844</v>
      </c>
      <c r="F852" s="30" t="s">
        <v>1683</v>
      </c>
      <c r="G852" s="29" t="s">
        <v>62</v>
      </c>
      <c r="H852" s="30" t="s">
        <v>1626</v>
      </c>
      <c r="I852" s="78"/>
      <c r="J852" s="20"/>
      <c r="K852" s="20"/>
      <c r="L852" s="20"/>
      <c r="M852" s="20"/>
      <c r="N852" s="179" t="s">
        <v>502</v>
      </c>
      <c r="O852" s="70">
        <v>0</v>
      </c>
      <c r="P852" s="70">
        <v>0</v>
      </c>
      <c r="Q852" s="70">
        <f t="shared" si="78"/>
        <v>0</v>
      </c>
      <c r="R852" s="70"/>
      <c r="S852" s="67"/>
      <c r="T852" s="2" t="str">
        <f t="shared" si="79"/>
        <v>Tống Cát Hoàng Yến_11AT5</v>
      </c>
      <c r="U852" s="28">
        <f t="array" ref="U852">IFERROR(VLOOKUP($T852,'Nghi hoc T12'!$H$7:$I$160,2,0),0)</f>
        <v>0</v>
      </c>
      <c r="V852" s="28">
        <f>IFERROR(VLOOKUP($T852,No_HP!$B$2:$C$514,2,0),0)</f>
        <v>0</v>
      </c>
      <c r="W852" s="28">
        <f t="shared" si="80"/>
        <v>0</v>
      </c>
      <c r="X852" s="333">
        <f t="shared" si="81"/>
        <v>0</v>
      </c>
      <c r="Y852" s="333">
        <f t="shared" si="82"/>
        <v>0</v>
      </c>
    </row>
    <row r="853" spans="1:25" s="2" customFormat="1" ht="21.95" customHeight="1">
      <c r="A853" s="200">
        <v>1</v>
      </c>
      <c r="B853" s="91" t="str">
        <f t="shared" si="83"/>
        <v>12A.T</v>
      </c>
      <c r="C853" s="185" t="s">
        <v>365</v>
      </c>
      <c r="D853" s="186" t="s">
        <v>517</v>
      </c>
      <c r="E853" s="187">
        <v>100845</v>
      </c>
      <c r="F853" s="188" t="s">
        <v>142</v>
      </c>
      <c r="G853" s="189" t="s">
        <v>63</v>
      </c>
      <c r="H853" s="188" t="s">
        <v>1710</v>
      </c>
      <c r="I853" s="190"/>
      <c r="J853" s="191"/>
      <c r="K853" s="191"/>
      <c r="L853" s="191"/>
      <c r="M853" s="191"/>
      <c r="N853" s="179" t="s">
        <v>502</v>
      </c>
      <c r="O853" s="70">
        <v>0</v>
      </c>
      <c r="P853" s="70">
        <v>0</v>
      </c>
      <c r="Q853" s="70">
        <v>0</v>
      </c>
      <c r="R853" s="70"/>
      <c r="S853" s="67"/>
      <c r="T853" s="2" t="str">
        <f t="shared" si="79"/>
        <v>Nguyễn Tấn An_11AT8</v>
      </c>
      <c r="U853" s="28">
        <f t="array" ref="U853">IFERROR(VLOOKUP($T853,'Nghi hoc T12'!$H$7:$I$160,2,0),0)</f>
        <v>0</v>
      </c>
      <c r="V853" s="28">
        <f>IFERROR(VLOOKUP($T853,No_HP!$B$2:$C$514,2,0),0)</f>
        <v>0</v>
      </c>
      <c r="W853" s="28">
        <f t="shared" si="80"/>
        <v>0</v>
      </c>
      <c r="X853" s="333">
        <f t="shared" si="81"/>
        <v>0</v>
      </c>
      <c r="Y853" s="333">
        <f t="shared" si="82"/>
        <v>0</v>
      </c>
    </row>
    <row r="854" spans="1:25" s="2" customFormat="1" ht="21.95" customHeight="1">
      <c r="A854" s="82">
        <v>2</v>
      </c>
      <c r="B854" s="91" t="str">
        <f t="shared" si="83"/>
        <v>12A.T</v>
      </c>
      <c r="C854" s="83" t="s">
        <v>365</v>
      </c>
      <c r="D854" s="81" t="s">
        <v>517</v>
      </c>
      <c r="E854" s="48">
        <v>100846</v>
      </c>
      <c r="F854" s="30" t="s">
        <v>192</v>
      </c>
      <c r="G854" s="29" t="s">
        <v>63</v>
      </c>
      <c r="H854" s="30" t="s">
        <v>1684</v>
      </c>
      <c r="I854" s="78"/>
      <c r="J854" s="20"/>
      <c r="K854" s="20"/>
      <c r="L854" s="20"/>
      <c r="M854" s="20"/>
      <c r="N854" s="179" t="s">
        <v>502</v>
      </c>
      <c r="O854" s="70">
        <v>0</v>
      </c>
      <c r="P854" s="70">
        <v>0</v>
      </c>
      <c r="Q854" s="70">
        <v>0</v>
      </c>
      <c r="R854" s="70"/>
      <c r="S854" s="67"/>
      <c r="T854" s="2" t="str">
        <f t="shared" si="79"/>
        <v>Trần Quốc An_11AT7</v>
      </c>
      <c r="U854" s="28">
        <f t="array" ref="U854">IFERROR(VLOOKUP($T854,'Nghi hoc T12'!$H$7:$I$160,2,0),0)</f>
        <v>0</v>
      </c>
      <c r="V854" s="28">
        <f>IFERROR(VLOOKUP($T854,No_HP!$B$2:$C$514,2,0),0)</f>
        <v>0</v>
      </c>
      <c r="W854" s="28">
        <f t="shared" si="80"/>
        <v>0</v>
      </c>
      <c r="X854" s="333">
        <f t="shared" si="81"/>
        <v>0</v>
      </c>
      <c r="Y854" s="333">
        <f t="shared" si="82"/>
        <v>0</v>
      </c>
    </row>
    <row r="855" spans="1:25" s="2" customFormat="1" ht="21.95" customHeight="1">
      <c r="A855" s="82">
        <v>3</v>
      </c>
      <c r="B855" s="91" t="str">
        <f t="shared" si="83"/>
        <v>12A.T</v>
      </c>
      <c r="C855" s="83" t="s">
        <v>365</v>
      </c>
      <c r="D855" s="81" t="s">
        <v>517</v>
      </c>
      <c r="E855" s="48">
        <v>100847</v>
      </c>
      <c r="F855" s="30" t="s">
        <v>1685</v>
      </c>
      <c r="G855" s="29" t="s">
        <v>5</v>
      </c>
      <c r="H855" s="30" t="s">
        <v>1684</v>
      </c>
      <c r="I855" s="78"/>
      <c r="J855" s="20"/>
      <c r="K855" s="20"/>
      <c r="L855" s="20"/>
      <c r="M855" s="20"/>
      <c r="N855" s="179" t="s">
        <v>502</v>
      </c>
      <c r="O855" s="70">
        <v>0</v>
      </c>
      <c r="P855" s="70">
        <v>0</v>
      </c>
      <c r="Q855" s="70">
        <v>0</v>
      </c>
      <c r="R855" s="70"/>
      <c r="S855" s="67"/>
      <c r="T855" s="2" t="str">
        <f t="shared" si="79"/>
        <v>Hà Kiều Anh_11AT7</v>
      </c>
      <c r="U855" s="28">
        <f t="array" ref="U855">IFERROR(VLOOKUP($T855,'Nghi hoc T12'!$H$7:$I$160,2,0),0)</f>
        <v>0</v>
      </c>
      <c r="V855" s="28">
        <f>IFERROR(VLOOKUP($T855,No_HP!$B$2:$C$514,2,0),0)</f>
        <v>0</v>
      </c>
      <c r="W855" s="28">
        <f t="shared" si="80"/>
        <v>0</v>
      </c>
      <c r="X855" s="333">
        <f t="shared" si="81"/>
        <v>0</v>
      </c>
      <c r="Y855" s="333">
        <f t="shared" si="82"/>
        <v>0</v>
      </c>
    </row>
    <row r="856" spans="1:25" s="2" customFormat="1" ht="21.95" customHeight="1">
      <c r="A856" s="82">
        <v>4</v>
      </c>
      <c r="B856" s="91" t="str">
        <f t="shared" si="83"/>
        <v>12A.T</v>
      </c>
      <c r="C856" s="83" t="s">
        <v>365</v>
      </c>
      <c r="D856" s="81" t="s">
        <v>517</v>
      </c>
      <c r="E856" s="48">
        <v>100848</v>
      </c>
      <c r="F856" s="30" t="s">
        <v>1711</v>
      </c>
      <c r="G856" s="29" t="s">
        <v>5</v>
      </c>
      <c r="H856" s="30" t="s">
        <v>1710</v>
      </c>
      <c r="I856" s="78"/>
      <c r="J856" s="20"/>
      <c r="K856" s="20"/>
      <c r="L856" s="20"/>
      <c r="M856" s="20"/>
      <c r="N856" s="179" t="s">
        <v>502</v>
      </c>
      <c r="O856" s="70">
        <v>0</v>
      </c>
      <c r="P856" s="70">
        <v>0</v>
      </c>
      <c r="Q856" s="70">
        <v>0</v>
      </c>
      <c r="R856" s="70"/>
      <c r="S856" s="67"/>
      <c r="T856" s="2" t="str">
        <f t="shared" si="79"/>
        <v>Khiếu Nguyễn Phương Anh_11AT8</v>
      </c>
      <c r="U856" s="28">
        <f t="array" ref="U856">IFERROR(VLOOKUP($T856,'Nghi hoc T12'!$H$7:$I$160,2,0),0)</f>
        <v>0</v>
      </c>
      <c r="V856" s="28">
        <f>IFERROR(VLOOKUP($T856,No_HP!$B$2:$C$514,2,0),0)</f>
        <v>0</v>
      </c>
      <c r="W856" s="28">
        <f t="shared" si="80"/>
        <v>0</v>
      </c>
      <c r="X856" s="333">
        <f t="shared" si="81"/>
        <v>0</v>
      </c>
      <c r="Y856" s="333">
        <f t="shared" si="82"/>
        <v>0</v>
      </c>
    </row>
    <row r="857" spans="1:25" s="2" customFormat="1" ht="21.95" customHeight="1">
      <c r="A857" s="82">
        <v>5</v>
      </c>
      <c r="B857" s="91" t="str">
        <f t="shared" si="83"/>
        <v>12A.T</v>
      </c>
      <c r="C857" s="83" t="s">
        <v>365</v>
      </c>
      <c r="D857" s="81" t="s">
        <v>517</v>
      </c>
      <c r="E857" s="48">
        <v>100849</v>
      </c>
      <c r="F857" s="30" t="s">
        <v>1112</v>
      </c>
      <c r="G857" s="29" t="s">
        <v>5</v>
      </c>
      <c r="H857" s="30" t="s">
        <v>1684</v>
      </c>
      <c r="I857" s="78"/>
      <c r="J857" s="20"/>
      <c r="K857" s="20"/>
      <c r="L857" s="20"/>
      <c r="M857" s="20"/>
      <c r="N857" s="179" t="s">
        <v>502</v>
      </c>
      <c r="O857" s="70">
        <v>0</v>
      </c>
      <c r="P857" s="70">
        <v>0</v>
      </c>
      <c r="Q857" s="70">
        <v>0</v>
      </c>
      <c r="R857" s="70"/>
      <c r="S857" s="67"/>
      <c r="T857" s="2" t="str">
        <f t="shared" si="79"/>
        <v>Ngô Quốc Anh_11AT7</v>
      </c>
      <c r="U857" s="28">
        <f t="array" ref="U857">IFERROR(VLOOKUP($T857,'Nghi hoc T12'!$H$7:$I$160,2,0),0)</f>
        <v>0</v>
      </c>
      <c r="V857" s="28">
        <f>IFERROR(VLOOKUP($T857,No_HP!$B$2:$C$514,2,0),0)</f>
        <v>0</v>
      </c>
      <c r="W857" s="28">
        <f t="shared" si="80"/>
        <v>0</v>
      </c>
      <c r="X857" s="333">
        <f t="shared" si="81"/>
        <v>0</v>
      </c>
      <c r="Y857" s="333">
        <f t="shared" si="82"/>
        <v>0</v>
      </c>
    </row>
    <row r="858" spans="1:25" s="2" customFormat="1" ht="21.95" customHeight="1">
      <c r="A858" s="82">
        <v>6</v>
      </c>
      <c r="B858" s="91" t="str">
        <f t="shared" si="83"/>
        <v>12A.T</v>
      </c>
      <c r="C858" s="83" t="s">
        <v>365</v>
      </c>
      <c r="D858" s="81" t="s">
        <v>517</v>
      </c>
      <c r="E858" s="48">
        <v>100850</v>
      </c>
      <c r="F858" s="30" t="s">
        <v>1712</v>
      </c>
      <c r="G858" s="29" t="s">
        <v>5</v>
      </c>
      <c r="H858" s="30" t="s">
        <v>1710</v>
      </c>
      <c r="I858" s="78"/>
      <c r="J858" s="20"/>
      <c r="K858" s="20"/>
      <c r="L858" s="20"/>
      <c r="M858" s="20"/>
      <c r="N858" s="179" t="s">
        <v>502</v>
      </c>
      <c r="O858" s="70">
        <v>0</v>
      </c>
      <c r="P858" s="70">
        <v>0</v>
      </c>
      <c r="Q858" s="70">
        <v>0</v>
      </c>
      <c r="R858" s="70"/>
      <c r="S858" s="67"/>
      <c r="T858" s="2" t="str">
        <f t="shared" si="79"/>
        <v>Ngô Tuấn Anh_11AT8</v>
      </c>
      <c r="U858" s="28">
        <f t="array" ref="U858">IFERROR(VLOOKUP($T858,'Nghi hoc T12'!$H$7:$I$160,2,0),0)</f>
        <v>0</v>
      </c>
      <c r="V858" s="28">
        <f>IFERROR(VLOOKUP($T858,No_HP!$B$2:$C$514,2,0),0)</f>
        <v>0</v>
      </c>
      <c r="W858" s="28">
        <f t="shared" si="80"/>
        <v>0</v>
      </c>
      <c r="X858" s="333">
        <f t="shared" si="81"/>
        <v>0</v>
      </c>
      <c r="Y858" s="333">
        <f t="shared" si="82"/>
        <v>0</v>
      </c>
    </row>
    <row r="859" spans="1:25" s="2" customFormat="1" ht="21.95" customHeight="1">
      <c r="A859" s="82">
        <v>7</v>
      </c>
      <c r="B859" s="91" t="str">
        <f t="shared" si="83"/>
        <v>12A.T</v>
      </c>
      <c r="C859" s="83" t="s">
        <v>365</v>
      </c>
      <c r="D859" s="81" t="s">
        <v>517</v>
      </c>
      <c r="E859" s="48">
        <v>100851</v>
      </c>
      <c r="F859" s="30" t="s">
        <v>118</v>
      </c>
      <c r="G859" s="29" t="s">
        <v>5</v>
      </c>
      <c r="H859" s="30" t="s">
        <v>1684</v>
      </c>
      <c r="I859" s="78"/>
      <c r="J859" s="20"/>
      <c r="K859" s="20"/>
      <c r="L859" s="20"/>
      <c r="M859" s="20"/>
      <c r="N859" s="179" t="s">
        <v>502</v>
      </c>
      <c r="O859" s="70">
        <v>0</v>
      </c>
      <c r="P859" s="70">
        <v>0</v>
      </c>
      <c r="Q859" s="70">
        <v>0</v>
      </c>
      <c r="R859" s="70"/>
      <c r="S859" s="67"/>
      <c r="T859" s="2" t="str">
        <f t="shared" si="79"/>
        <v>Nguyễn Quốc Anh_11AT7</v>
      </c>
      <c r="U859" s="28">
        <f t="array" ref="U859">IFERROR(VLOOKUP($T859,'Nghi hoc T12'!$H$7:$I$160,2,0),0)</f>
        <v>0</v>
      </c>
      <c r="V859" s="28">
        <f>IFERROR(VLOOKUP($T859,No_HP!$B$2:$C$514,2,0),0)</f>
        <v>0</v>
      </c>
      <c r="W859" s="28">
        <f t="shared" si="80"/>
        <v>0</v>
      </c>
      <c r="X859" s="333">
        <f t="shared" si="81"/>
        <v>0</v>
      </c>
      <c r="Y859" s="333">
        <f t="shared" si="82"/>
        <v>0</v>
      </c>
    </row>
    <row r="860" spans="1:25" s="2" customFormat="1" ht="21.95" customHeight="1">
      <c r="A860" s="82">
        <v>8</v>
      </c>
      <c r="B860" s="91" t="str">
        <f t="shared" si="83"/>
        <v>12A.T</v>
      </c>
      <c r="C860" s="83" t="s">
        <v>365</v>
      </c>
      <c r="D860" s="81" t="s">
        <v>517</v>
      </c>
      <c r="E860" s="48">
        <v>100852</v>
      </c>
      <c r="F860" s="30" t="s">
        <v>343</v>
      </c>
      <c r="G860" s="29" t="s">
        <v>5</v>
      </c>
      <c r="H860" s="30" t="s">
        <v>1710</v>
      </c>
      <c r="I860" s="78"/>
      <c r="J860" s="20"/>
      <c r="K860" s="20"/>
      <c r="L860" s="20"/>
      <c r="M860" s="20"/>
      <c r="N860" s="179" t="s">
        <v>502</v>
      </c>
      <c r="O860" s="70">
        <v>0</v>
      </c>
      <c r="P860" s="70">
        <v>0</v>
      </c>
      <c r="Q860" s="70">
        <v>0</v>
      </c>
      <c r="R860" s="70"/>
      <c r="S860" s="67"/>
      <c r="T860" s="2" t="str">
        <f t="shared" si="79"/>
        <v>Trần Nguyễn Hoàng Anh_11AT8</v>
      </c>
      <c r="U860" s="28">
        <f t="array" ref="U860">IFERROR(VLOOKUP($T860,'Nghi hoc T12'!$H$7:$I$160,2,0),0)</f>
        <v>0</v>
      </c>
      <c r="V860" s="28">
        <f>IFERROR(VLOOKUP($T860,No_HP!$B$2:$C$514,2,0),0)</f>
        <v>0</v>
      </c>
      <c r="W860" s="28">
        <f t="shared" si="80"/>
        <v>0</v>
      </c>
      <c r="X860" s="333">
        <f t="shared" si="81"/>
        <v>0</v>
      </c>
      <c r="Y860" s="333">
        <f t="shared" si="82"/>
        <v>0</v>
      </c>
    </row>
    <row r="861" spans="1:25" s="2" customFormat="1" ht="21.95" customHeight="1">
      <c r="A861" s="82">
        <v>9</v>
      </c>
      <c r="B861" s="91" t="str">
        <f t="shared" si="83"/>
        <v>12A.T</v>
      </c>
      <c r="C861" s="83" t="s">
        <v>365</v>
      </c>
      <c r="D861" s="81" t="s">
        <v>517</v>
      </c>
      <c r="E861" s="48">
        <v>100853</v>
      </c>
      <c r="F861" s="30" t="s">
        <v>1253</v>
      </c>
      <c r="G861" s="29" t="s">
        <v>5</v>
      </c>
      <c r="H861" s="30" t="s">
        <v>1684</v>
      </c>
      <c r="I861" s="78"/>
      <c r="J861" s="20"/>
      <c r="K861" s="20"/>
      <c r="L861" s="20"/>
      <c r="M861" s="20"/>
      <c r="N861" s="179" t="s">
        <v>502</v>
      </c>
      <c r="O861" s="70">
        <v>0</v>
      </c>
      <c r="P861" s="70">
        <v>0</v>
      </c>
      <c r="Q861" s="70">
        <v>0</v>
      </c>
      <c r="R861" s="70"/>
      <c r="S861" s="67"/>
      <c r="T861" s="2" t="str">
        <f t="shared" si="79"/>
        <v>Trần Phương Anh_11AT7</v>
      </c>
      <c r="U861" s="28">
        <f t="array" ref="U861">IFERROR(VLOOKUP($T861,'Nghi hoc T12'!$H$7:$I$160,2,0),0)</f>
        <v>0</v>
      </c>
      <c r="V861" s="28">
        <f>IFERROR(VLOOKUP($T861,No_HP!$B$2:$C$514,2,0),0)</f>
        <v>0</v>
      </c>
      <c r="W861" s="28">
        <f t="shared" si="80"/>
        <v>0</v>
      </c>
      <c r="X861" s="333">
        <f t="shared" si="81"/>
        <v>0</v>
      </c>
      <c r="Y861" s="333">
        <f t="shared" si="82"/>
        <v>0</v>
      </c>
    </row>
    <row r="862" spans="1:25" s="2" customFormat="1" ht="21.95" customHeight="1">
      <c r="A862" s="82">
        <v>10</v>
      </c>
      <c r="B862" s="91" t="str">
        <f t="shared" si="83"/>
        <v>12A.T</v>
      </c>
      <c r="C862" s="83" t="s">
        <v>365</v>
      </c>
      <c r="D862" s="81" t="s">
        <v>517</v>
      </c>
      <c r="E862" s="48">
        <v>100854</v>
      </c>
      <c r="F862" s="30" t="s">
        <v>1713</v>
      </c>
      <c r="G862" s="29" t="s">
        <v>108</v>
      </c>
      <c r="H862" s="30" t="s">
        <v>1710</v>
      </c>
      <c r="I862" s="78"/>
      <c r="J862" s="20"/>
      <c r="K862" s="20"/>
      <c r="L862" s="20"/>
      <c r="M862" s="20"/>
      <c r="N862" s="179" t="s">
        <v>502</v>
      </c>
      <c r="O862" s="70">
        <v>0</v>
      </c>
      <c r="P862" s="70">
        <v>0</v>
      </c>
      <c r="Q862" s="70">
        <v>0</v>
      </c>
      <c r="R862" s="70"/>
      <c r="S862" s="67"/>
      <c r="T862" s="2" t="str">
        <f t="shared" si="79"/>
        <v>Lê Dương Nguyên Ân_11AT8</v>
      </c>
      <c r="U862" s="28">
        <f t="array" ref="U862">IFERROR(VLOOKUP($T862,'Nghi hoc T12'!$H$7:$I$160,2,0),0)</f>
        <v>0</v>
      </c>
      <c r="V862" s="28">
        <f>IFERROR(VLOOKUP($T862,No_HP!$B$2:$C$514,2,0),0)</f>
        <v>0</v>
      </c>
      <c r="W862" s="28">
        <f t="shared" si="80"/>
        <v>0</v>
      </c>
      <c r="X862" s="333">
        <f t="shared" si="81"/>
        <v>0</v>
      </c>
      <c r="Y862" s="333">
        <f t="shared" si="82"/>
        <v>0</v>
      </c>
    </row>
    <row r="863" spans="1:25" s="2" customFormat="1" ht="21.95" customHeight="1">
      <c r="A863" s="82">
        <v>11</v>
      </c>
      <c r="B863" s="91" t="str">
        <f t="shared" si="83"/>
        <v>12A.T</v>
      </c>
      <c r="C863" s="83" t="s">
        <v>365</v>
      </c>
      <c r="D863" s="81" t="s">
        <v>517</v>
      </c>
      <c r="E863" s="48">
        <v>100855</v>
      </c>
      <c r="F863" s="30" t="s">
        <v>1686</v>
      </c>
      <c r="G863" s="29" t="s">
        <v>83</v>
      </c>
      <c r="H863" s="30" t="s">
        <v>1684</v>
      </c>
      <c r="I863" s="78"/>
      <c r="J863" s="20"/>
      <c r="K863" s="20"/>
      <c r="L863" s="20"/>
      <c r="M863" s="20"/>
      <c r="N863" s="179" t="s">
        <v>502</v>
      </c>
      <c r="O863" s="70">
        <v>0</v>
      </c>
      <c r="P863" s="70">
        <v>0</v>
      </c>
      <c r="Q863" s="70">
        <v>0</v>
      </c>
      <c r="R863" s="70"/>
      <c r="S863" s="67"/>
      <c r="T863" s="2" t="str">
        <f t="shared" si="79"/>
        <v>Lê Đoàn Thái Bảo_11AT7</v>
      </c>
      <c r="U863" s="28">
        <f t="array" ref="U863">IFERROR(VLOOKUP($T863,'Nghi hoc T12'!$H$7:$I$160,2,0),0)</f>
        <v>0</v>
      </c>
      <c r="V863" s="28">
        <f>IFERROR(VLOOKUP($T863,No_HP!$B$2:$C$514,2,0),0)</f>
        <v>0</v>
      </c>
      <c r="W863" s="28">
        <f t="shared" si="80"/>
        <v>0</v>
      </c>
      <c r="X863" s="333">
        <f t="shared" si="81"/>
        <v>0</v>
      </c>
      <c r="Y863" s="333">
        <f t="shared" si="82"/>
        <v>0</v>
      </c>
    </row>
    <row r="864" spans="1:25" s="2" customFormat="1" ht="21.95" customHeight="1">
      <c r="A864" s="82">
        <v>12</v>
      </c>
      <c r="B864" s="91" t="str">
        <f t="shared" si="83"/>
        <v>12A.T</v>
      </c>
      <c r="C864" s="83" t="s">
        <v>365</v>
      </c>
      <c r="D864" s="81" t="s">
        <v>517</v>
      </c>
      <c r="E864" s="48">
        <v>100856</v>
      </c>
      <c r="F864" s="30" t="s">
        <v>183</v>
      </c>
      <c r="G864" s="29" t="s">
        <v>83</v>
      </c>
      <c r="H864" s="30" t="s">
        <v>1710</v>
      </c>
      <c r="I864" s="78"/>
      <c r="J864" s="20"/>
      <c r="K864" s="20"/>
      <c r="L864" s="20"/>
      <c r="M864" s="20"/>
      <c r="N864" s="179" t="s">
        <v>502</v>
      </c>
      <c r="O864" s="70">
        <v>0</v>
      </c>
      <c r="P864" s="70">
        <v>0</v>
      </c>
      <c r="Q864" s="70">
        <v>0</v>
      </c>
      <c r="R864" s="70"/>
      <c r="S864" s="67"/>
      <c r="T864" s="2" t="str">
        <f t="shared" si="79"/>
        <v>Nguyễn Thanh Bảo_11AT8</v>
      </c>
      <c r="U864" s="28">
        <f t="array" ref="U864">IFERROR(VLOOKUP($T864,'Nghi hoc T12'!$H$7:$I$160,2,0),0)</f>
        <v>0</v>
      </c>
      <c r="V864" s="28">
        <f>IFERROR(VLOOKUP($T864,No_HP!$B$2:$C$514,2,0),0)</f>
        <v>0</v>
      </c>
      <c r="W864" s="28">
        <f t="shared" si="80"/>
        <v>0</v>
      </c>
      <c r="X864" s="333">
        <f t="shared" si="81"/>
        <v>0</v>
      </c>
      <c r="Y864" s="333">
        <f t="shared" si="82"/>
        <v>0</v>
      </c>
    </row>
    <row r="865" spans="1:25" s="2" customFormat="1" ht="21.95" customHeight="1">
      <c r="A865" s="82">
        <v>13</v>
      </c>
      <c r="B865" s="91" t="str">
        <f t="shared" si="83"/>
        <v>12A.T</v>
      </c>
      <c r="C865" s="83" t="s">
        <v>365</v>
      </c>
      <c r="D865" s="81" t="s">
        <v>517</v>
      </c>
      <c r="E865" s="48">
        <v>100857</v>
      </c>
      <c r="F865" s="30" t="s">
        <v>220</v>
      </c>
      <c r="G865" s="29" t="s">
        <v>83</v>
      </c>
      <c r="H865" s="30" t="s">
        <v>1684</v>
      </c>
      <c r="I865" s="78"/>
      <c r="J865" s="20"/>
      <c r="K865" s="20"/>
      <c r="L865" s="20"/>
      <c r="M865" s="20"/>
      <c r="N865" s="179" t="s">
        <v>502</v>
      </c>
      <c r="O865" s="70">
        <v>0</v>
      </c>
      <c r="P865" s="70">
        <v>0</v>
      </c>
      <c r="Q865" s="70">
        <v>0</v>
      </c>
      <c r="R865" s="70"/>
      <c r="S865" s="67"/>
      <c r="T865" s="2" t="str">
        <f t="shared" si="79"/>
        <v>Võ Thanh Bảo_11AT7</v>
      </c>
      <c r="U865" s="28">
        <f t="array" ref="U865">IFERROR(VLOOKUP($T865,'Nghi hoc T12'!$H$7:$I$160,2,0),0)</f>
        <v>0</v>
      </c>
      <c r="V865" s="28">
        <f>IFERROR(VLOOKUP($T865,No_HP!$B$2:$C$514,2,0),0)</f>
        <v>0</v>
      </c>
      <c r="W865" s="28">
        <f t="shared" si="80"/>
        <v>0</v>
      </c>
      <c r="X865" s="333">
        <f t="shared" si="81"/>
        <v>0</v>
      </c>
      <c r="Y865" s="333">
        <f t="shared" si="82"/>
        <v>0</v>
      </c>
    </row>
    <row r="866" spans="1:25" s="2" customFormat="1" ht="21.95" customHeight="1">
      <c r="A866" s="82">
        <v>14</v>
      </c>
      <c r="B866" s="91" t="str">
        <f t="shared" si="83"/>
        <v>12A.T</v>
      </c>
      <c r="C866" s="83" t="s">
        <v>365</v>
      </c>
      <c r="D866" s="81" t="s">
        <v>517</v>
      </c>
      <c r="E866" s="48">
        <v>100858</v>
      </c>
      <c r="F866" s="30" t="s">
        <v>1714</v>
      </c>
      <c r="G866" s="29" t="s">
        <v>77</v>
      </c>
      <c r="H866" s="30" t="s">
        <v>1710</v>
      </c>
      <c r="I866" s="78"/>
      <c r="J866" s="20"/>
      <c r="K866" s="20"/>
      <c r="L866" s="20"/>
      <c r="M866" s="20"/>
      <c r="N866" s="179" t="s">
        <v>502</v>
      </c>
      <c r="O866" s="70">
        <v>0</v>
      </c>
      <c r="P866" s="70">
        <v>0</v>
      </c>
      <c r="Q866" s="70">
        <v>0</v>
      </c>
      <c r="R866" s="70"/>
      <c r="S866" s="67"/>
      <c r="T866" s="2" t="str">
        <f t="shared" si="79"/>
        <v>Ao Thanh Bình_11AT8</v>
      </c>
      <c r="U866" s="28">
        <f t="array" ref="U866">IFERROR(VLOOKUP($T866,'Nghi hoc T12'!$H$7:$I$160,2,0),0)</f>
        <v>0</v>
      </c>
      <c r="V866" s="28">
        <f>IFERROR(VLOOKUP($T866,No_HP!$B$2:$C$514,2,0),0)</f>
        <v>0</v>
      </c>
      <c r="W866" s="28">
        <f t="shared" si="80"/>
        <v>0</v>
      </c>
      <c r="X866" s="333">
        <f t="shared" si="81"/>
        <v>0</v>
      </c>
      <c r="Y866" s="333">
        <f t="shared" si="82"/>
        <v>0</v>
      </c>
    </row>
    <row r="867" spans="1:25" s="2" customFormat="1" ht="21.95" customHeight="1">
      <c r="A867" s="82">
        <v>15</v>
      </c>
      <c r="B867" s="91" t="str">
        <f t="shared" si="83"/>
        <v>12A.T</v>
      </c>
      <c r="C867" s="83" t="s">
        <v>365</v>
      </c>
      <c r="D867" s="81" t="s">
        <v>517</v>
      </c>
      <c r="E867" s="48">
        <v>100859</v>
      </c>
      <c r="F867" s="30" t="s">
        <v>157</v>
      </c>
      <c r="G867" s="29" t="s">
        <v>1687</v>
      </c>
      <c r="H867" s="30" t="s">
        <v>1684</v>
      </c>
      <c r="I867" s="78"/>
      <c r="J867" s="20"/>
      <c r="K867" s="20"/>
      <c r="L867" s="20"/>
      <c r="M867" s="20"/>
      <c r="N867" s="179" t="s">
        <v>502</v>
      </c>
      <c r="O867" s="70">
        <v>0</v>
      </c>
      <c r="P867" s="70">
        <v>0</v>
      </c>
      <c r="Q867" s="70">
        <v>0</v>
      </c>
      <c r="R867" s="70"/>
      <c r="S867" s="67"/>
      <c r="T867" s="2" t="str">
        <f t="shared" si="79"/>
        <v>Lê Hoàng Chung_11AT7</v>
      </c>
      <c r="U867" s="28">
        <f t="array" ref="U867">IFERROR(VLOOKUP($T867,'Nghi hoc T12'!$H$7:$I$160,2,0),0)</f>
        <v>0</v>
      </c>
      <c r="V867" s="28">
        <f>IFERROR(VLOOKUP($T867,No_HP!$B$2:$C$514,2,0),0)</f>
        <v>0</v>
      </c>
      <c r="W867" s="28">
        <f t="shared" si="80"/>
        <v>0</v>
      </c>
      <c r="X867" s="333">
        <f t="shared" si="81"/>
        <v>0</v>
      </c>
      <c r="Y867" s="333">
        <f t="shared" si="82"/>
        <v>0</v>
      </c>
    </row>
    <row r="868" spans="1:25" s="2" customFormat="1" ht="21.95" customHeight="1">
      <c r="A868" s="82">
        <v>16</v>
      </c>
      <c r="B868" s="91" t="str">
        <f t="shared" si="83"/>
        <v>12A.T</v>
      </c>
      <c r="C868" s="83" t="s">
        <v>365</v>
      </c>
      <c r="D868" s="81" t="s">
        <v>517</v>
      </c>
      <c r="E868" s="48">
        <v>100860</v>
      </c>
      <c r="F868" s="30" t="s">
        <v>1715</v>
      </c>
      <c r="G868" s="29" t="s">
        <v>53</v>
      </c>
      <c r="H868" s="30" t="s">
        <v>1710</v>
      </c>
      <c r="I868" s="78"/>
      <c r="J868" s="20"/>
      <c r="K868" s="20"/>
      <c r="L868" s="20"/>
      <c r="M868" s="20"/>
      <c r="N868" s="179" t="s">
        <v>502</v>
      </c>
      <c r="O868" s="70">
        <v>0</v>
      </c>
      <c r="P868" s="70">
        <v>0</v>
      </c>
      <c r="Q868" s="70">
        <v>0</v>
      </c>
      <c r="R868" s="70"/>
      <c r="S868" s="67"/>
      <c r="T868" s="2" t="str">
        <f t="shared" si="79"/>
        <v>Phạm Đào Thùy Dương_11AT8</v>
      </c>
      <c r="U868" s="28">
        <f t="array" ref="U868">IFERROR(VLOOKUP($T868,'Nghi hoc T12'!$H$7:$I$160,2,0),0)</f>
        <v>0</v>
      </c>
      <c r="V868" s="28">
        <f>IFERROR(VLOOKUP($T868,No_HP!$B$2:$C$514,2,0),0)</f>
        <v>0</v>
      </c>
      <c r="W868" s="28">
        <f t="shared" si="80"/>
        <v>0</v>
      </c>
      <c r="X868" s="333">
        <f t="shared" si="81"/>
        <v>0</v>
      </c>
      <c r="Y868" s="333">
        <f t="shared" si="82"/>
        <v>0</v>
      </c>
    </row>
    <row r="869" spans="1:25" s="2" customFormat="1" ht="21.95" customHeight="1">
      <c r="A869" s="82">
        <v>17</v>
      </c>
      <c r="B869" s="91" t="str">
        <f t="shared" si="83"/>
        <v>12A.T</v>
      </c>
      <c r="C869" s="83" t="s">
        <v>365</v>
      </c>
      <c r="D869" s="81" t="s">
        <v>517</v>
      </c>
      <c r="E869" s="48">
        <v>100861</v>
      </c>
      <c r="F869" s="30" t="s">
        <v>1716</v>
      </c>
      <c r="G869" s="29" t="s">
        <v>109</v>
      </c>
      <c r="H869" s="30" t="s">
        <v>1710</v>
      </c>
      <c r="I869" s="78"/>
      <c r="J869" s="20"/>
      <c r="K869" s="20"/>
      <c r="L869" s="20"/>
      <c r="M869" s="20"/>
      <c r="N869" s="179" t="s">
        <v>502</v>
      </c>
      <c r="O869" s="70">
        <v>0</v>
      </c>
      <c r="P869" s="70">
        <v>0</v>
      </c>
      <c r="Q869" s="70">
        <v>0</v>
      </c>
      <c r="R869" s="70"/>
      <c r="S869" s="67"/>
      <c r="T869" s="2" t="str">
        <f t="shared" si="79"/>
        <v>Lê Nguyễn Quốc Đại_11AT8</v>
      </c>
      <c r="U869" s="28">
        <f t="array" ref="U869">IFERROR(VLOOKUP($T869,'Nghi hoc T12'!$H$7:$I$160,2,0),0)</f>
        <v>0</v>
      </c>
      <c r="V869" s="28">
        <f>IFERROR(VLOOKUP($T869,No_HP!$B$2:$C$514,2,0),0)</f>
        <v>0</v>
      </c>
      <c r="W869" s="28">
        <f t="shared" si="80"/>
        <v>0</v>
      </c>
      <c r="X869" s="333">
        <f t="shared" si="81"/>
        <v>0</v>
      </c>
      <c r="Y869" s="333">
        <f t="shared" si="82"/>
        <v>0</v>
      </c>
    </row>
    <row r="870" spans="1:25" s="2" customFormat="1" ht="21.95" customHeight="1">
      <c r="A870" s="82">
        <v>18</v>
      </c>
      <c r="B870" s="91" t="str">
        <f t="shared" si="83"/>
        <v>12A.T</v>
      </c>
      <c r="C870" s="83" t="s">
        <v>365</v>
      </c>
      <c r="D870" s="81" t="s">
        <v>517</v>
      </c>
      <c r="E870" s="48">
        <v>100862</v>
      </c>
      <c r="F870" s="30" t="s">
        <v>1688</v>
      </c>
      <c r="G870" s="29" t="s">
        <v>7</v>
      </c>
      <c r="H870" s="30" t="s">
        <v>1684</v>
      </c>
      <c r="I870" s="78"/>
      <c r="J870" s="20"/>
      <c r="K870" s="20"/>
      <c r="L870" s="20"/>
      <c r="M870" s="20"/>
      <c r="N870" s="179" t="s">
        <v>502</v>
      </c>
      <c r="O870" s="70">
        <v>0</v>
      </c>
      <c r="P870" s="70">
        <v>0</v>
      </c>
      <c r="Q870" s="70">
        <v>0</v>
      </c>
      <c r="R870" s="70"/>
      <c r="S870" s="67"/>
      <c r="T870" s="2" t="str">
        <f t="shared" si="79"/>
        <v>Nguyễn Trần Tấn Đạt_11AT7</v>
      </c>
      <c r="U870" s="28">
        <f t="array" ref="U870">IFERROR(VLOOKUP($T870,'Nghi hoc T12'!$H$7:$I$160,2,0),0)</f>
        <v>0</v>
      </c>
      <c r="V870" s="28">
        <f>IFERROR(VLOOKUP($T870,No_HP!$B$2:$C$514,2,0),0)</f>
        <v>0</v>
      </c>
      <c r="W870" s="28">
        <f t="shared" si="80"/>
        <v>0</v>
      </c>
      <c r="X870" s="333">
        <f t="shared" si="81"/>
        <v>0</v>
      </c>
      <c r="Y870" s="333">
        <f t="shared" si="82"/>
        <v>0</v>
      </c>
    </row>
    <row r="871" spans="1:25" s="2" customFormat="1" ht="21.95" customHeight="1">
      <c r="A871" s="82">
        <v>19</v>
      </c>
      <c r="B871" s="91" t="str">
        <f t="shared" si="83"/>
        <v>12A.T</v>
      </c>
      <c r="C871" s="83" t="s">
        <v>365</v>
      </c>
      <c r="D871" s="81" t="s">
        <v>517</v>
      </c>
      <c r="E871" s="48">
        <v>100863</v>
      </c>
      <c r="F871" s="30" t="s">
        <v>1689</v>
      </c>
      <c r="G871" s="29" t="s">
        <v>119</v>
      </c>
      <c r="H871" s="30" t="s">
        <v>1684</v>
      </c>
      <c r="I871" s="78"/>
      <c r="J871" s="20"/>
      <c r="K871" s="20"/>
      <c r="L871" s="20"/>
      <c r="M871" s="20"/>
      <c r="N871" s="179" t="s">
        <v>502</v>
      </c>
      <c r="O871" s="70">
        <v>0</v>
      </c>
      <c r="P871" s="70">
        <v>0</v>
      </c>
      <c r="Q871" s="70">
        <v>0</v>
      </c>
      <c r="R871" s="70"/>
      <c r="S871" s="67"/>
      <c r="T871" s="2" t="str">
        <f t="shared" si="79"/>
        <v>Nguyễn Hải Đăng_11AT7</v>
      </c>
      <c r="U871" s="28">
        <f t="array" ref="U871">IFERROR(VLOOKUP($T871,'Nghi hoc T12'!$H$7:$I$160,2,0),0)</f>
        <v>0</v>
      </c>
      <c r="V871" s="28">
        <f>IFERROR(VLOOKUP($T871,No_HP!$B$2:$C$514,2,0),0)</f>
        <v>0</v>
      </c>
      <c r="W871" s="28">
        <f t="shared" si="80"/>
        <v>0</v>
      </c>
      <c r="X871" s="333">
        <f t="shared" si="81"/>
        <v>0</v>
      </c>
      <c r="Y871" s="333">
        <f t="shared" si="82"/>
        <v>0</v>
      </c>
    </row>
    <row r="872" spans="1:25" s="2" customFormat="1" ht="21.95" customHeight="1">
      <c r="A872" s="82">
        <v>20</v>
      </c>
      <c r="B872" s="91" t="str">
        <f t="shared" si="83"/>
        <v>12A.T</v>
      </c>
      <c r="C872" s="83" t="s">
        <v>365</v>
      </c>
      <c r="D872" s="81" t="s">
        <v>517</v>
      </c>
      <c r="E872" s="48">
        <v>100864</v>
      </c>
      <c r="F872" s="30" t="s">
        <v>151</v>
      </c>
      <c r="G872" s="29" t="s">
        <v>439</v>
      </c>
      <c r="H872" s="30" t="s">
        <v>1710</v>
      </c>
      <c r="I872" s="78"/>
      <c r="J872" s="20"/>
      <c r="K872" s="20"/>
      <c r="L872" s="20"/>
      <c r="M872" s="20"/>
      <c r="N872" s="179" t="s">
        <v>502</v>
      </c>
      <c r="O872" s="70">
        <v>0</v>
      </c>
      <c r="P872" s="70">
        <v>0</v>
      </c>
      <c r="Q872" s="70">
        <v>0</v>
      </c>
      <c r="R872" s="70"/>
      <c r="S872" s="67"/>
      <c r="T872" s="2" t="str">
        <f t="shared" si="79"/>
        <v>Nguyễn Hoàng Giang_11AT8</v>
      </c>
      <c r="U872" s="28">
        <f t="array" ref="U872">IFERROR(VLOOKUP($T872,'Nghi hoc T12'!$H$7:$I$160,2,0),0)</f>
        <v>0</v>
      </c>
      <c r="V872" s="28">
        <f>IFERROR(VLOOKUP($T872,No_HP!$B$2:$C$514,2,0),0)</f>
        <v>0</v>
      </c>
      <c r="W872" s="28">
        <f t="shared" si="80"/>
        <v>0</v>
      </c>
      <c r="X872" s="333">
        <f t="shared" si="81"/>
        <v>0</v>
      </c>
      <c r="Y872" s="333">
        <f t="shared" si="82"/>
        <v>0</v>
      </c>
    </row>
    <row r="873" spans="1:25" s="2" customFormat="1" ht="21.95" customHeight="1">
      <c r="A873" s="82">
        <v>21</v>
      </c>
      <c r="B873" s="91" t="str">
        <f t="shared" si="83"/>
        <v>12A.T</v>
      </c>
      <c r="C873" s="83" t="s">
        <v>365</v>
      </c>
      <c r="D873" s="81" t="s">
        <v>517</v>
      </c>
      <c r="E873" s="48">
        <v>100865</v>
      </c>
      <c r="F873" s="30" t="s">
        <v>1690</v>
      </c>
      <c r="G873" s="29" t="s">
        <v>1691</v>
      </c>
      <c r="H873" s="30" t="s">
        <v>1684</v>
      </c>
      <c r="I873" s="78"/>
      <c r="J873" s="20"/>
      <c r="K873" s="20"/>
      <c r="L873" s="20"/>
      <c r="M873" s="20"/>
      <c r="N873" s="179" t="s">
        <v>502</v>
      </c>
      <c r="O873" s="70">
        <v>0</v>
      </c>
      <c r="P873" s="70">
        <v>0</v>
      </c>
      <c r="Q873" s="70">
        <v>0</v>
      </c>
      <c r="R873" s="70"/>
      <c r="S873" s="67"/>
      <c r="T873" s="2" t="str">
        <f t="shared" si="79"/>
        <v>Trà Thị Ngọc Giàu_11AT7</v>
      </c>
      <c r="U873" s="28">
        <f t="array" ref="U873">IFERROR(VLOOKUP($T873,'Nghi hoc T12'!$H$7:$I$160,2,0),0)</f>
        <v>0</v>
      </c>
      <c r="V873" s="28">
        <f>IFERROR(VLOOKUP($T873,No_HP!$B$2:$C$514,2,0),0)</f>
        <v>0</v>
      </c>
      <c r="W873" s="28">
        <f t="shared" si="80"/>
        <v>0</v>
      </c>
      <c r="X873" s="333">
        <f t="shared" si="81"/>
        <v>0</v>
      </c>
      <c r="Y873" s="333">
        <f t="shared" si="82"/>
        <v>0</v>
      </c>
    </row>
    <row r="874" spans="1:25" s="2" customFormat="1" ht="21.95" customHeight="1">
      <c r="A874" s="82">
        <v>22</v>
      </c>
      <c r="B874" s="91" t="str">
        <f t="shared" si="83"/>
        <v>12A.T</v>
      </c>
      <c r="C874" s="83" t="s">
        <v>365</v>
      </c>
      <c r="D874" s="81" t="s">
        <v>517</v>
      </c>
      <c r="E874" s="48">
        <v>100866</v>
      </c>
      <c r="F874" s="30" t="s">
        <v>1223</v>
      </c>
      <c r="G874" s="29" t="s">
        <v>143</v>
      </c>
      <c r="H874" s="30" t="s">
        <v>1684</v>
      </c>
      <c r="I874" s="78"/>
      <c r="J874" s="20"/>
      <c r="K874" s="20"/>
      <c r="L874" s="20"/>
      <c r="M874" s="20"/>
      <c r="N874" s="179" t="s">
        <v>502</v>
      </c>
      <c r="O874" s="70">
        <v>0</v>
      </c>
      <c r="P874" s="70">
        <v>0</v>
      </c>
      <c r="Q874" s="70">
        <v>0</v>
      </c>
      <c r="R874" s="70"/>
      <c r="S874" s="67"/>
      <c r="T874" s="2" t="str">
        <f t="shared" si="79"/>
        <v>Lê Thị Thu Hà_11AT7</v>
      </c>
      <c r="U874" s="28">
        <f t="array" ref="U874">IFERROR(VLOOKUP($T874,'Nghi hoc T12'!$H$7:$I$160,2,0),0)</f>
        <v>0</v>
      </c>
      <c r="V874" s="28">
        <f>IFERROR(VLOOKUP($T874,No_HP!$B$2:$C$514,2,0),0)</f>
        <v>0</v>
      </c>
      <c r="W874" s="28">
        <f t="shared" si="80"/>
        <v>0</v>
      </c>
      <c r="X874" s="333">
        <f t="shared" si="81"/>
        <v>0</v>
      </c>
      <c r="Y874" s="333">
        <f t="shared" si="82"/>
        <v>0</v>
      </c>
    </row>
    <row r="875" spans="1:25" s="2" customFormat="1" ht="21.95" customHeight="1">
      <c r="A875" s="82">
        <v>23</v>
      </c>
      <c r="B875" s="91" t="str">
        <f t="shared" si="83"/>
        <v>12A.T</v>
      </c>
      <c r="C875" s="83" t="s">
        <v>365</v>
      </c>
      <c r="D875" s="81" t="s">
        <v>517</v>
      </c>
      <c r="E875" s="48">
        <v>100867</v>
      </c>
      <c r="F875" s="30" t="s">
        <v>1717</v>
      </c>
      <c r="G875" s="29" t="s">
        <v>143</v>
      </c>
      <c r="H875" s="30" t="s">
        <v>1710</v>
      </c>
      <c r="I875" s="78"/>
      <c r="J875" s="20"/>
      <c r="K875" s="20"/>
      <c r="L875" s="20"/>
      <c r="M875" s="20"/>
      <c r="N875" s="179" t="s">
        <v>502</v>
      </c>
      <c r="O875" s="70">
        <v>0</v>
      </c>
      <c r="P875" s="70">
        <v>0</v>
      </c>
      <c r="Q875" s="70">
        <v>0</v>
      </c>
      <c r="R875" s="70"/>
      <c r="S875" s="67"/>
      <c r="T875" s="2" t="str">
        <f t="shared" si="79"/>
        <v>Phạm Mỹ Hồng Hà_11AT8</v>
      </c>
      <c r="U875" s="28">
        <f t="array" ref="U875">IFERROR(VLOOKUP($T875,'Nghi hoc T12'!$H$7:$I$160,2,0),0)</f>
        <v>0</v>
      </c>
      <c r="V875" s="28">
        <f>IFERROR(VLOOKUP($T875,No_HP!$B$2:$C$514,2,0),0)</f>
        <v>0</v>
      </c>
      <c r="W875" s="28">
        <f t="shared" si="80"/>
        <v>0</v>
      </c>
      <c r="X875" s="333">
        <f t="shared" si="81"/>
        <v>0</v>
      </c>
      <c r="Y875" s="333">
        <f t="shared" si="82"/>
        <v>0</v>
      </c>
    </row>
    <row r="876" spans="1:25" s="2" customFormat="1" ht="21.95" customHeight="1">
      <c r="A876" s="82">
        <v>24</v>
      </c>
      <c r="B876" s="91" t="str">
        <f t="shared" si="83"/>
        <v>12A.T</v>
      </c>
      <c r="C876" s="83" t="s">
        <v>365</v>
      </c>
      <c r="D876" s="81" t="s">
        <v>517</v>
      </c>
      <c r="E876" s="48">
        <v>100868</v>
      </c>
      <c r="F876" s="30" t="s">
        <v>1718</v>
      </c>
      <c r="G876" s="29" t="s">
        <v>171</v>
      </c>
      <c r="H876" s="30" t="s">
        <v>1710</v>
      </c>
      <c r="I876" s="78"/>
      <c r="J876" s="20"/>
      <c r="K876" s="20"/>
      <c r="L876" s="20"/>
      <c r="M876" s="20"/>
      <c r="N876" s="179" t="s">
        <v>502</v>
      </c>
      <c r="O876" s="70">
        <v>0</v>
      </c>
      <c r="P876" s="70">
        <v>0</v>
      </c>
      <c r="Q876" s="70">
        <v>0</v>
      </c>
      <c r="R876" s="70"/>
      <c r="S876" s="67"/>
      <c r="T876" s="2" t="str">
        <f t="shared" si="79"/>
        <v>Lê Tam Hải_11AT8</v>
      </c>
      <c r="U876" s="28">
        <f t="array" ref="U876">IFERROR(VLOOKUP($T876,'Nghi hoc T12'!$H$7:$I$160,2,0),0)</f>
        <v>0</v>
      </c>
      <c r="V876" s="28">
        <f>IFERROR(VLOOKUP($T876,No_HP!$B$2:$C$514,2,0),0)</f>
        <v>0</v>
      </c>
      <c r="W876" s="28">
        <f t="shared" si="80"/>
        <v>0</v>
      </c>
      <c r="X876" s="333">
        <f t="shared" si="81"/>
        <v>0</v>
      </c>
      <c r="Y876" s="333">
        <f t="shared" si="82"/>
        <v>0</v>
      </c>
    </row>
    <row r="877" spans="1:25" s="2" customFormat="1" ht="21.95" customHeight="1">
      <c r="A877" s="82">
        <v>25</v>
      </c>
      <c r="B877" s="91" t="str">
        <f t="shared" si="83"/>
        <v>12A.T</v>
      </c>
      <c r="C877" s="83" t="s">
        <v>365</v>
      </c>
      <c r="D877" s="81" t="s">
        <v>517</v>
      </c>
      <c r="E877" s="48">
        <v>100869</v>
      </c>
      <c r="F877" s="30" t="s">
        <v>477</v>
      </c>
      <c r="G877" s="29" t="s">
        <v>78</v>
      </c>
      <c r="H877" s="30" t="s">
        <v>1684</v>
      </c>
      <c r="I877" s="78"/>
      <c r="J877" s="20"/>
      <c r="K877" s="20"/>
      <c r="L877" s="20"/>
      <c r="M877" s="20"/>
      <c r="N877" s="179" t="s">
        <v>502</v>
      </c>
      <c r="O877" s="70">
        <v>0</v>
      </c>
      <c r="P877" s="70">
        <v>0</v>
      </c>
      <c r="Q877" s="70">
        <v>0</v>
      </c>
      <c r="R877" s="70"/>
      <c r="S877" s="67"/>
      <c r="T877" s="2" t="str">
        <f t="shared" si="79"/>
        <v>Võ Chí Hào_11AT7</v>
      </c>
      <c r="U877" s="28">
        <f t="array" ref="U877">IFERROR(VLOOKUP($T877,'Nghi hoc T12'!$H$7:$I$160,2,0),0)</f>
        <v>0</v>
      </c>
      <c r="V877" s="28">
        <f>IFERROR(VLOOKUP($T877,No_HP!$B$2:$C$514,2,0),0)</f>
        <v>0</v>
      </c>
      <c r="W877" s="28">
        <f t="shared" si="80"/>
        <v>0</v>
      </c>
      <c r="X877" s="333">
        <f t="shared" si="81"/>
        <v>0</v>
      </c>
      <c r="Y877" s="333">
        <f t="shared" si="82"/>
        <v>0</v>
      </c>
    </row>
    <row r="878" spans="1:25" s="2" customFormat="1" ht="21.95" customHeight="1">
      <c r="A878" s="82">
        <v>26</v>
      </c>
      <c r="B878" s="91" t="str">
        <f t="shared" si="83"/>
        <v>12A.T</v>
      </c>
      <c r="C878" s="83" t="s">
        <v>365</v>
      </c>
      <c r="D878" s="81" t="s">
        <v>517</v>
      </c>
      <c r="E878" s="48">
        <v>100870</v>
      </c>
      <c r="F878" s="30" t="s">
        <v>196</v>
      </c>
      <c r="G878" s="29" t="s">
        <v>84</v>
      </c>
      <c r="H878" s="30" t="s">
        <v>1684</v>
      </c>
      <c r="I878" s="78"/>
      <c r="J878" s="20"/>
      <c r="K878" s="20"/>
      <c r="L878" s="20"/>
      <c r="M878" s="20"/>
      <c r="N878" s="179" t="s">
        <v>502</v>
      </c>
      <c r="O878" s="70">
        <v>0</v>
      </c>
      <c r="P878" s="70">
        <v>0</v>
      </c>
      <c r="Q878" s="70">
        <v>0</v>
      </c>
      <c r="R878" s="70"/>
      <c r="S878" s="67"/>
      <c r="T878" s="2" t="str">
        <f t="shared" si="79"/>
        <v>Trần Gia Hân_11AT7</v>
      </c>
      <c r="U878" s="28">
        <f t="array" ref="U878">IFERROR(VLOOKUP($T878,'Nghi hoc T12'!$H$7:$I$160,2,0),0)</f>
        <v>0</v>
      </c>
      <c r="V878" s="28">
        <f>IFERROR(VLOOKUP($T878,No_HP!$B$2:$C$514,2,0),0)</f>
        <v>0</v>
      </c>
      <c r="W878" s="28">
        <f t="shared" si="80"/>
        <v>0</v>
      </c>
      <c r="X878" s="333">
        <f t="shared" si="81"/>
        <v>0</v>
      </c>
      <c r="Y878" s="333">
        <f t="shared" si="82"/>
        <v>0</v>
      </c>
    </row>
    <row r="879" spans="1:25" s="2" customFormat="1" ht="21.95" customHeight="1">
      <c r="A879" s="82">
        <v>27</v>
      </c>
      <c r="B879" s="91" t="str">
        <f t="shared" si="83"/>
        <v>12A.T</v>
      </c>
      <c r="C879" s="83" t="s">
        <v>365</v>
      </c>
      <c r="D879" s="81" t="s">
        <v>517</v>
      </c>
      <c r="E879" s="48">
        <v>100871</v>
      </c>
      <c r="F879" s="30" t="s">
        <v>1692</v>
      </c>
      <c r="G879" s="29" t="s">
        <v>8</v>
      </c>
      <c r="H879" s="30" t="s">
        <v>1684</v>
      </c>
      <c r="I879" s="78"/>
      <c r="J879" s="20"/>
      <c r="K879" s="20"/>
      <c r="L879" s="20"/>
      <c r="M879" s="20"/>
      <c r="N879" s="179" t="s">
        <v>502</v>
      </c>
      <c r="O879" s="70">
        <v>0</v>
      </c>
      <c r="P879" s="70">
        <v>0</v>
      </c>
      <c r="Q879" s="70">
        <v>0</v>
      </c>
      <c r="R879" s="70"/>
      <c r="S879" s="67"/>
      <c r="T879" s="2" t="str">
        <f t="shared" si="79"/>
        <v>Nguyễn Thanh Thu Hiền_11AT7</v>
      </c>
      <c r="U879" s="28">
        <f t="array" ref="U879">IFERROR(VLOOKUP($T879,'Nghi hoc T12'!$H$7:$I$160,2,0),0)</f>
        <v>0</v>
      </c>
      <c r="V879" s="28">
        <f>IFERROR(VLOOKUP($T879,No_HP!$B$2:$C$514,2,0),0)</f>
        <v>0</v>
      </c>
      <c r="W879" s="28">
        <f t="shared" si="80"/>
        <v>0</v>
      </c>
      <c r="X879" s="333">
        <f t="shared" si="81"/>
        <v>0</v>
      </c>
      <c r="Y879" s="333">
        <f t="shared" si="82"/>
        <v>0</v>
      </c>
    </row>
    <row r="880" spans="1:25" s="2" customFormat="1" ht="21.95" customHeight="1">
      <c r="A880" s="82">
        <v>28</v>
      </c>
      <c r="B880" s="91" t="str">
        <f t="shared" si="83"/>
        <v>12A.T</v>
      </c>
      <c r="C880" s="83" t="s">
        <v>365</v>
      </c>
      <c r="D880" s="81" t="s">
        <v>517</v>
      </c>
      <c r="E880" s="48">
        <v>100872</v>
      </c>
      <c r="F880" s="30" t="s">
        <v>222</v>
      </c>
      <c r="G880" s="29" t="s">
        <v>145</v>
      </c>
      <c r="H880" s="30" t="s">
        <v>1710</v>
      </c>
      <c r="I880" s="78"/>
      <c r="J880" s="20"/>
      <c r="K880" s="20"/>
      <c r="L880" s="20"/>
      <c r="M880" s="20"/>
      <c r="N880" s="179" t="s">
        <v>502</v>
      </c>
      <c r="O880" s="70">
        <v>0</v>
      </c>
      <c r="P880" s="70">
        <v>0</v>
      </c>
      <c r="Q880" s="70">
        <v>0</v>
      </c>
      <c r="R880" s="70"/>
      <c r="S880" s="67"/>
      <c r="T880" s="2" t="str">
        <f t="shared" si="79"/>
        <v>Nguyễn Ngọc Hiệp_11AT8</v>
      </c>
      <c r="U880" s="28">
        <f t="array" ref="U880">IFERROR(VLOOKUP($T880,'Nghi hoc T12'!$H$7:$I$160,2,0),0)</f>
        <v>0</v>
      </c>
      <c r="V880" s="28">
        <f>IFERROR(VLOOKUP($T880,No_HP!$B$2:$C$514,2,0),0)</f>
        <v>0</v>
      </c>
      <c r="W880" s="28">
        <f t="shared" si="80"/>
        <v>0</v>
      </c>
      <c r="X880" s="333">
        <f t="shared" si="81"/>
        <v>0</v>
      </c>
      <c r="Y880" s="333">
        <f t="shared" si="82"/>
        <v>0</v>
      </c>
    </row>
    <row r="881" spans="1:25" s="2" customFormat="1" ht="21.95" customHeight="1">
      <c r="A881" s="82">
        <v>29</v>
      </c>
      <c r="B881" s="91" t="str">
        <f t="shared" si="83"/>
        <v>12A.T</v>
      </c>
      <c r="C881" s="83" t="s">
        <v>365</v>
      </c>
      <c r="D881" s="81" t="s">
        <v>517</v>
      </c>
      <c r="E881" s="48">
        <v>100873</v>
      </c>
      <c r="F881" s="30" t="s">
        <v>441</v>
      </c>
      <c r="G881" s="29" t="s">
        <v>1693</v>
      </c>
      <c r="H881" s="30" t="s">
        <v>1684</v>
      </c>
      <c r="I881" s="78"/>
      <c r="J881" s="20"/>
      <c r="K881" s="20"/>
      <c r="L881" s="20"/>
      <c r="M881" s="20"/>
      <c r="N881" s="179" t="s">
        <v>502</v>
      </c>
      <c r="O881" s="70">
        <v>0</v>
      </c>
      <c r="P881" s="70">
        <v>0</v>
      </c>
      <c r="Q881" s="70">
        <v>0</v>
      </c>
      <c r="R881" s="70"/>
      <c r="S881" s="67"/>
      <c r="T881" s="2" t="str">
        <f t="shared" si="79"/>
        <v>Trần Thị Thu Hoài_11AT7</v>
      </c>
      <c r="U881" s="28">
        <f t="array" ref="U881">IFERROR(VLOOKUP($T881,'Nghi hoc T12'!$H$7:$I$160,2,0),0)</f>
        <v>0</v>
      </c>
      <c r="V881" s="28">
        <f>IFERROR(VLOOKUP($T881,No_HP!$B$2:$C$514,2,0),0)</f>
        <v>0</v>
      </c>
      <c r="W881" s="28">
        <f t="shared" si="80"/>
        <v>0</v>
      </c>
      <c r="X881" s="333">
        <f t="shared" si="81"/>
        <v>0</v>
      </c>
      <c r="Y881" s="333">
        <f t="shared" si="82"/>
        <v>0</v>
      </c>
    </row>
    <row r="882" spans="1:25" s="2" customFormat="1" ht="21.95" customHeight="1">
      <c r="A882" s="82">
        <v>30</v>
      </c>
      <c r="B882" s="91" t="str">
        <f t="shared" si="83"/>
        <v>12A.T</v>
      </c>
      <c r="C882" s="83" t="s">
        <v>365</v>
      </c>
      <c r="D882" s="81" t="s">
        <v>517</v>
      </c>
      <c r="E882" s="48">
        <v>100874</v>
      </c>
      <c r="F882" s="30" t="s">
        <v>1369</v>
      </c>
      <c r="G882" s="29" t="s">
        <v>10</v>
      </c>
      <c r="H882" s="30" t="s">
        <v>1710</v>
      </c>
      <c r="I882" s="78"/>
      <c r="J882" s="20"/>
      <c r="K882" s="20"/>
      <c r="L882" s="20"/>
      <c r="M882" s="20"/>
      <c r="N882" s="179" t="s">
        <v>502</v>
      </c>
      <c r="O882" s="70">
        <v>0</v>
      </c>
      <c r="P882" s="70">
        <v>0</v>
      </c>
      <c r="Q882" s="70">
        <v>0</v>
      </c>
      <c r="R882" s="70"/>
      <c r="S882" s="67"/>
      <c r="T882" s="2" t="str">
        <f t="shared" si="79"/>
        <v>Mai Văn Hoàng_11AT8</v>
      </c>
      <c r="U882" s="28">
        <f t="array" ref="U882">IFERROR(VLOOKUP($T882,'Nghi hoc T12'!$H$7:$I$160,2,0),0)</f>
        <v>0</v>
      </c>
      <c r="V882" s="28">
        <f>IFERROR(VLOOKUP($T882,No_HP!$B$2:$C$514,2,0),0)</f>
        <v>0</v>
      </c>
      <c r="W882" s="28">
        <f t="shared" si="80"/>
        <v>0</v>
      </c>
      <c r="X882" s="333">
        <f t="shared" si="81"/>
        <v>0</v>
      </c>
      <c r="Y882" s="333">
        <f t="shared" si="82"/>
        <v>0</v>
      </c>
    </row>
    <row r="883" spans="1:25" s="2" customFormat="1" ht="21.95" customHeight="1">
      <c r="A883" s="82">
        <v>31</v>
      </c>
      <c r="B883" s="91" t="str">
        <f t="shared" si="83"/>
        <v>12A.T</v>
      </c>
      <c r="C883" s="83" t="s">
        <v>365</v>
      </c>
      <c r="D883" s="81" t="s">
        <v>517</v>
      </c>
      <c r="E883" s="48">
        <v>100875</v>
      </c>
      <c r="F883" s="30" t="s">
        <v>1694</v>
      </c>
      <c r="G883" s="29" t="s">
        <v>1638</v>
      </c>
      <c r="H883" s="30" t="s">
        <v>1684</v>
      </c>
      <c r="I883" s="78"/>
      <c r="J883" s="20"/>
      <c r="K883" s="20"/>
      <c r="L883" s="20"/>
      <c r="M883" s="20"/>
      <c r="N883" s="179" t="s">
        <v>502</v>
      </c>
      <c r="O883" s="70">
        <v>0</v>
      </c>
      <c r="P883" s="70">
        <v>0</v>
      </c>
      <c r="Q883" s="70">
        <v>0</v>
      </c>
      <c r="R883" s="70"/>
      <c r="S883" s="67"/>
      <c r="T883" s="2" t="str">
        <f t="shared" si="79"/>
        <v>Đào Sĩ Huân_11AT7</v>
      </c>
      <c r="U883" s="28">
        <f t="array" ref="U883">IFERROR(VLOOKUP($T883,'Nghi hoc T12'!$H$7:$I$160,2,0),0)</f>
        <v>0</v>
      </c>
      <c r="V883" s="28">
        <f>IFERROR(VLOOKUP($T883,No_HP!$B$2:$C$514,2,0),0)</f>
        <v>0</v>
      </c>
      <c r="W883" s="28">
        <f t="shared" si="80"/>
        <v>0</v>
      </c>
      <c r="X883" s="333">
        <f t="shared" si="81"/>
        <v>0</v>
      </c>
      <c r="Y883" s="333">
        <f t="shared" si="82"/>
        <v>0</v>
      </c>
    </row>
    <row r="884" spans="1:25" s="2" customFormat="1" ht="21.95" customHeight="1">
      <c r="A884" s="200">
        <v>1</v>
      </c>
      <c r="B884" s="91" t="str">
        <f t="shared" si="83"/>
        <v>13A.T</v>
      </c>
      <c r="C884" s="185" t="s">
        <v>365</v>
      </c>
      <c r="D884" s="186" t="s">
        <v>518</v>
      </c>
      <c r="E884" s="187">
        <v>100876</v>
      </c>
      <c r="F884" s="188" t="s">
        <v>1489</v>
      </c>
      <c r="G884" s="189" t="s">
        <v>11</v>
      </c>
      <c r="H884" s="188" t="s">
        <v>1710</v>
      </c>
      <c r="I884" s="190"/>
      <c r="J884" s="191"/>
      <c r="K884" s="191"/>
      <c r="L884" s="191"/>
      <c r="M884" s="191"/>
      <c r="N884" s="179" t="s">
        <v>502</v>
      </c>
      <c r="O884" s="70">
        <v>0</v>
      </c>
      <c r="P884" s="70">
        <v>0</v>
      </c>
      <c r="Q884" s="70">
        <v>0</v>
      </c>
      <c r="R884" s="70"/>
      <c r="S884" s="67"/>
      <c r="T884" s="2" t="str">
        <f t="shared" si="79"/>
        <v>Chu Hoàng Huy_11AT8</v>
      </c>
      <c r="U884" s="28">
        <f t="array" ref="U884">IFERROR(VLOOKUP($T884,'Nghi hoc T12'!$H$7:$I$160,2,0),0)</f>
        <v>0</v>
      </c>
      <c r="V884" s="28">
        <f>IFERROR(VLOOKUP($T884,No_HP!$B$2:$C$514,2,0),0)</f>
        <v>0</v>
      </c>
      <c r="W884" s="28">
        <f t="shared" si="80"/>
        <v>0</v>
      </c>
      <c r="X884" s="333">
        <f t="shared" si="81"/>
        <v>0</v>
      </c>
      <c r="Y884" s="333">
        <f t="shared" si="82"/>
        <v>0</v>
      </c>
    </row>
    <row r="885" spans="1:25" s="2" customFormat="1" ht="21.95" customHeight="1">
      <c r="A885" s="82">
        <v>2</v>
      </c>
      <c r="B885" s="91" t="str">
        <f t="shared" si="83"/>
        <v>13A.T</v>
      </c>
      <c r="C885" s="83" t="s">
        <v>365</v>
      </c>
      <c r="D885" s="81" t="s">
        <v>518</v>
      </c>
      <c r="E885" s="48">
        <v>100877</v>
      </c>
      <c r="F885" s="30" t="s">
        <v>1695</v>
      </c>
      <c r="G885" s="29" t="s">
        <v>11</v>
      </c>
      <c r="H885" s="30" t="s">
        <v>1684</v>
      </c>
      <c r="I885" s="78"/>
      <c r="J885" s="20"/>
      <c r="K885" s="20"/>
      <c r="L885" s="20"/>
      <c r="M885" s="20"/>
      <c r="N885" s="179" t="s">
        <v>502</v>
      </c>
      <c r="O885" s="70">
        <v>0</v>
      </c>
      <c r="P885" s="70">
        <v>0</v>
      </c>
      <c r="Q885" s="70">
        <v>0</v>
      </c>
      <c r="R885" s="70"/>
      <c r="S885" s="67"/>
      <c r="T885" s="2" t="str">
        <f t="shared" si="79"/>
        <v>Đỗ Hữu Gia Huy_11AT7</v>
      </c>
      <c r="U885" s="28">
        <f t="array" ref="U885">IFERROR(VLOOKUP($T885,'Nghi hoc T12'!$H$7:$I$160,2,0),0)</f>
        <v>0</v>
      </c>
      <c r="V885" s="28">
        <f>IFERROR(VLOOKUP($T885,No_HP!$B$2:$C$514,2,0),0)</f>
        <v>0</v>
      </c>
      <c r="W885" s="28">
        <f t="shared" si="80"/>
        <v>0</v>
      </c>
      <c r="X885" s="333">
        <f t="shared" si="81"/>
        <v>0</v>
      </c>
      <c r="Y885" s="333">
        <f t="shared" si="82"/>
        <v>0</v>
      </c>
    </row>
    <row r="886" spans="1:25" s="2" customFormat="1" ht="21.95" customHeight="1">
      <c r="A886" s="82">
        <v>3</v>
      </c>
      <c r="B886" s="91" t="str">
        <f t="shared" si="83"/>
        <v>13A.T</v>
      </c>
      <c r="C886" s="83" t="s">
        <v>365</v>
      </c>
      <c r="D886" s="81" t="s">
        <v>518</v>
      </c>
      <c r="E886" s="48">
        <v>100878</v>
      </c>
      <c r="F886" s="30" t="s">
        <v>1719</v>
      </c>
      <c r="G886" s="29" t="s">
        <v>11</v>
      </c>
      <c r="H886" s="30" t="s">
        <v>1710</v>
      </c>
      <c r="I886" s="78"/>
      <c r="J886" s="20"/>
      <c r="K886" s="20"/>
      <c r="L886" s="20"/>
      <c r="M886" s="20"/>
      <c r="N886" s="179" t="s">
        <v>502</v>
      </c>
      <c r="O886" s="70">
        <v>0</v>
      </c>
      <c r="P886" s="70">
        <v>0</v>
      </c>
      <c r="Q886" s="70">
        <v>0</v>
      </c>
      <c r="R886" s="70"/>
      <c r="S886" s="67"/>
      <c r="T886" s="2" t="str">
        <f t="shared" si="79"/>
        <v>Đoàn Nguyễn Thanh Huy_11AT8</v>
      </c>
      <c r="U886" s="28">
        <f t="array" ref="U886">IFERROR(VLOOKUP($T886,'Nghi hoc T12'!$H$7:$I$160,2,0),0)</f>
        <v>0</v>
      </c>
      <c r="V886" s="28">
        <f>IFERROR(VLOOKUP($T886,No_HP!$B$2:$C$514,2,0),0)</f>
        <v>0</v>
      </c>
      <c r="W886" s="28">
        <f t="shared" si="80"/>
        <v>0</v>
      </c>
      <c r="X886" s="333">
        <f t="shared" si="81"/>
        <v>0</v>
      </c>
      <c r="Y886" s="333">
        <f t="shared" si="82"/>
        <v>0</v>
      </c>
    </row>
    <row r="887" spans="1:25" s="2" customFormat="1" ht="21.95" customHeight="1">
      <c r="A887" s="82">
        <v>4</v>
      </c>
      <c r="B887" s="91" t="str">
        <f t="shared" si="83"/>
        <v>13A.T</v>
      </c>
      <c r="C887" s="83" t="s">
        <v>365</v>
      </c>
      <c r="D887" s="81" t="s">
        <v>518</v>
      </c>
      <c r="E887" s="48">
        <v>100879</v>
      </c>
      <c r="F887" s="30" t="s">
        <v>196</v>
      </c>
      <c r="G887" s="29" t="s">
        <v>11</v>
      </c>
      <c r="H887" s="30" t="s">
        <v>1684</v>
      </c>
      <c r="I887" s="78"/>
      <c r="J887" s="20"/>
      <c r="K887" s="20"/>
      <c r="L887" s="20"/>
      <c r="M887" s="20"/>
      <c r="N887" s="179" t="s">
        <v>502</v>
      </c>
      <c r="O887" s="70">
        <v>0</v>
      </c>
      <c r="P887" s="70">
        <v>0</v>
      </c>
      <c r="Q887" s="70">
        <v>0</v>
      </c>
      <c r="R887" s="70"/>
      <c r="S887" s="67"/>
      <c r="T887" s="2" t="str">
        <f t="shared" si="79"/>
        <v>Trần Gia Huy_11AT7</v>
      </c>
      <c r="U887" s="28">
        <f t="array" ref="U887">IFERROR(VLOOKUP($T887,'Nghi hoc T12'!$H$7:$I$160,2,0),0)</f>
        <v>0</v>
      </c>
      <c r="V887" s="28">
        <f>IFERROR(VLOOKUP($T887,No_HP!$B$2:$C$514,2,0),0)</f>
        <v>0</v>
      </c>
      <c r="W887" s="28">
        <f t="shared" si="80"/>
        <v>0</v>
      </c>
      <c r="X887" s="333">
        <f t="shared" si="81"/>
        <v>0</v>
      </c>
      <c r="Y887" s="333">
        <f t="shared" si="82"/>
        <v>0</v>
      </c>
    </row>
    <row r="888" spans="1:25" s="2" customFormat="1" ht="21.95" customHeight="1">
      <c r="A888" s="82">
        <v>5</v>
      </c>
      <c r="B888" s="91" t="str">
        <f t="shared" si="83"/>
        <v>13A.T</v>
      </c>
      <c r="C888" s="83" t="s">
        <v>365</v>
      </c>
      <c r="D888" s="81" t="s">
        <v>518</v>
      </c>
      <c r="E888" s="48">
        <v>100880</v>
      </c>
      <c r="F888" s="30" t="s">
        <v>1720</v>
      </c>
      <c r="G888" s="29" t="s">
        <v>11</v>
      </c>
      <c r="H888" s="30" t="s">
        <v>1710</v>
      </c>
      <c r="I888" s="78"/>
      <c r="J888" s="20"/>
      <c r="K888" s="20"/>
      <c r="L888" s="20"/>
      <c r="M888" s="20"/>
      <c r="N888" s="179" t="s">
        <v>502</v>
      </c>
      <c r="O888" s="70">
        <v>0</v>
      </c>
      <c r="P888" s="70">
        <v>0</v>
      </c>
      <c r="Q888" s="70">
        <v>0</v>
      </c>
      <c r="R888" s="70"/>
      <c r="S888" s="67"/>
      <c r="T888" s="2" t="str">
        <f t="shared" si="79"/>
        <v>Võ Công Huy_11AT8</v>
      </c>
      <c r="U888" s="28">
        <f t="array" ref="U888">IFERROR(VLOOKUP($T888,'Nghi hoc T12'!$H$7:$I$160,2,0),0)</f>
        <v>0</v>
      </c>
      <c r="V888" s="28">
        <f>IFERROR(VLOOKUP($T888,No_HP!$B$2:$C$514,2,0),0)</f>
        <v>0</v>
      </c>
      <c r="W888" s="28">
        <f t="shared" si="80"/>
        <v>0</v>
      </c>
      <c r="X888" s="333">
        <f t="shared" si="81"/>
        <v>0</v>
      </c>
      <c r="Y888" s="333">
        <f t="shared" si="82"/>
        <v>0</v>
      </c>
    </row>
    <row r="889" spans="1:25" s="2" customFormat="1" ht="21.95" customHeight="1">
      <c r="A889" s="82">
        <v>6</v>
      </c>
      <c r="B889" s="91" t="str">
        <f t="shared" si="83"/>
        <v>13A.T</v>
      </c>
      <c r="C889" s="83" t="s">
        <v>365</v>
      </c>
      <c r="D889" s="81" t="s">
        <v>518</v>
      </c>
      <c r="E889" s="48">
        <v>100881</v>
      </c>
      <c r="F889" s="30" t="s">
        <v>489</v>
      </c>
      <c r="G889" s="29" t="s">
        <v>1721</v>
      </c>
      <c r="H889" s="30" t="s">
        <v>1710</v>
      </c>
      <c r="I889" s="78"/>
      <c r="J889" s="20"/>
      <c r="K889" s="20"/>
      <c r="L889" s="20"/>
      <c r="M889" s="20"/>
      <c r="N889" s="179" t="s">
        <v>502</v>
      </c>
      <c r="O889" s="70">
        <v>0</v>
      </c>
      <c r="P889" s="70">
        <v>0</v>
      </c>
      <c r="Q889" s="70">
        <v>0</v>
      </c>
      <c r="R889" s="70"/>
      <c r="S889" s="67"/>
      <c r="T889" s="2" t="str">
        <f t="shared" si="79"/>
        <v>Trần Thị Như Huỳnh_11AT8</v>
      </c>
      <c r="U889" s="28">
        <f t="array" ref="U889">IFERROR(VLOOKUP($T889,'Nghi hoc T12'!$H$7:$I$160,2,0),0)</f>
        <v>0</v>
      </c>
      <c r="V889" s="28">
        <f>IFERROR(VLOOKUP($T889,No_HP!$B$2:$C$514,2,0),0)</f>
        <v>0</v>
      </c>
      <c r="W889" s="28">
        <f t="shared" si="80"/>
        <v>0</v>
      </c>
      <c r="X889" s="333">
        <f t="shared" si="81"/>
        <v>0</v>
      </c>
      <c r="Y889" s="333">
        <f t="shared" si="82"/>
        <v>0</v>
      </c>
    </row>
    <row r="890" spans="1:25" s="2" customFormat="1" ht="21.95" customHeight="1">
      <c r="A890" s="82">
        <v>7</v>
      </c>
      <c r="B890" s="91" t="str">
        <f t="shared" si="83"/>
        <v>13A.T</v>
      </c>
      <c r="C890" s="83" t="s">
        <v>365</v>
      </c>
      <c r="D890" s="81" t="s">
        <v>518</v>
      </c>
      <c r="E890" s="48">
        <v>100882</v>
      </c>
      <c r="F890" s="30" t="s">
        <v>1696</v>
      </c>
      <c r="G890" s="29" t="s">
        <v>54</v>
      </c>
      <c r="H890" s="30" t="s">
        <v>1684</v>
      </c>
      <c r="I890" s="78"/>
      <c r="J890" s="20"/>
      <c r="K890" s="20"/>
      <c r="L890" s="20"/>
      <c r="M890" s="20"/>
      <c r="N890" s="179" t="s">
        <v>502</v>
      </c>
      <c r="O890" s="70">
        <v>0</v>
      </c>
      <c r="P890" s="70">
        <v>0</v>
      </c>
      <c r="Q890" s="70">
        <v>0</v>
      </c>
      <c r="R890" s="70"/>
      <c r="S890" s="67"/>
      <c r="T890" s="2" t="str">
        <f t="shared" si="79"/>
        <v>Nguyễn Lê Quỳnh Hương_11AT7</v>
      </c>
      <c r="U890" s="28">
        <f t="array" ref="U890">IFERROR(VLOOKUP($T890,'Nghi hoc T12'!$H$7:$I$160,2,0),0)</f>
        <v>0</v>
      </c>
      <c r="V890" s="28">
        <f>IFERROR(VLOOKUP($T890,No_HP!$B$2:$C$514,2,0),0)</f>
        <v>0</v>
      </c>
      <c r="W890" s="28">
        <f t="shared" si="80"/>
        <v>0</v>
      </c>
      <c r="X890" s="333">
        <f t="shared" si="81"/>
        <v>0</v>
      </c>
      <c r="Y890" s="333">
        <f t="shared" si="82"/>
        <v>0</v>
      </c>
    </row>
    <row r="891" spans="1:25" s="2" customFormat="1" ht="21.95" customHeight="1">
      <c r="A891" s="82">
        <v>8</v>
      </c>
      <c r="B891" s="91" t="str">
        <f t="shared" si="83"/>
        <v>13A.T</v>
      </c>
      <c r="C891" s="83" t="s">
        <v>365</v>
      </c>
      <c r="D891" s="81" t="s">
        <v>518</v>
      </c>
      <c r="E891" s="48">
        <v>100883</v>
      </c>
      <c r="F891" s="30" t="s">
        <v>1571</v>
      </c>
      <c r="G891" s="29" t="s">
        <v>54</v>
      </c>
      <c r="H891" s="30" t="s">
        <v>1710</v>
      </c>
      <c r="I891" s="78"/>
      <c r="J891" s="20"/>
      <c r="K891" s="20"/>
      <c r="L891" s="20"/>
      <c r="M891" s="20"/>
      <c r="N891" s="179" t="s">
        <v>502</v>
      </c>
      <c r="O891" s="70">
        <v>0</v>
      </c>
      <c r="P891" s="70">
        <v>0</v>
      </c>
      <c r="Q891" s="70">
        <v>0</v>
      </c>
      <c r="R891" s="70"/>
      <c r="S891" s="67"/>
      <c r="T891" s="2" t="str">
        <f t="shared" si="79"/>
        <v>Phạm Nguyễn Quỳnh Hương_11AT8</v>
      </c>
      <c r="U891" s="28">
        <f t="array" ref="U891">IFERROR(VLOOKUP($T891,'Nghi hoc T12'!$H$7:$I$160,2,0),0)</f>
        <v>0</v>
      </c>
      <c r="V891" s="28">
        <f>IFERROR(VLOOKUP($T891,No_HP!$B$2:$C$514,2,0),0)</f>
        <v>0</v>
      </c>
      <c r="W891" s="28">
        <f t="shared" si="80"/>
        <v>0</v>
      </c>
      <c r="X891" s="333">
        <f t="shared" si="81"/>
        <v>0</v>
      </c>
      <c r="Y891" s="333">
        <f t="shared" si="82"/>
        <v>0</v>
      </c>
    </row>
    <row r="892" spans="1:25" s="2" customFormat="1" ht="21.95" customHeight="1">
      <c r="A892" s="82">
        <v>9</v>
      </c>
      <c r="B892" s="91" t="str">
        <f t="shared" si="83"/>
        <v>13A.T</v>
      </c>
      <c r="C892" s="83" t="s">
        <v>365</v>
      </c>
      <c r="D892" s="81" t="s">
        <v>518</v>
      </c>
      <c r="E892" s="48">
        <v>100884</v>
      </c>
      <c r="F892" s="30" t="s">
        <v>252</v>
      </c>
      <c r="G892" s="29" t="s">
        <v>94</v>
      </c>
      <c r="H892" s="30" t="s">
        <v>1710</v>
      </c>
      <c r="I892" s="78"/>
      <c r="J892" s="20"/>
      <c r="K892" s="20"/>
      <c r="L892" s="20"/>
      <c r="M892" s="20"/>
      <c r="N892" s="179" t="s">
        <v>502</v>
      </c>
      <c r="O892" s="70">
        <v>0</v>
      </c>
      <c r="P892" s="70">
        <v>0</v>
      </c>
      <c r="Q892" s="70">
        <v>0</v>
      </c>
      <c r="R892" s="70"/>
      <c r="S892" s="67"/>
      <c r="T892" s="2" t="str">
        <f t="shared" si="79"/>
        <v>Nguyễn Huỳnh Kim Khánh_11AT8</v>
      </c>
      <c r="U892" s="28">
        <f t="array" ref="U892">IFERROR(VLOOKUP($T892,'Nghi hoc T12'!$H$7:$I$160,2,0),0)</f>
        <v>0</v>
      </c>
      <c r="V892" s="28">
        <f>IFERROR(VLOOKUP($T892,No_HP!$B$2:$C$514,2,0),0)</f>
        <v>0</v>
      </c>
      <c r="W892" s="28">
        <f t="shared" si="80"/>
        <v>0</v>
      </c>
      <c r="X892" s="333">
        <f t="shared" si="81"/>
        <v>0</v>
      </c>
      <c r="Y892" s="333">
        <f t="shared" si="82"/>
        <v>0</v>
      </c>
    </row>
    <row r="893" spans="1:25" s="2" customFormat="1" ht="21.95" customHeight="1">
      <c r="A893" s="82">
        <v>10</v>
      </c>
      <c r="B893" s="91" t="str">
        <f t="shared" si="83"/>
        <v>13A.T</v>
      </c>
      <c r="C893" s="83" t="s">
        <v>365</v>
      </c>
      <c r="D893" s="81" t="s">
        <v>518</v>
      </c>
      <c r="E893" s="48">
        <v>100885</v>
      </c>
      <c r="F893" s="30" t="s">
        <v>227</v>
      </c>
      <c r="G893" s="29" t="s">
        <v>86</v>
      </c>
      <c r="H893" s="30" t="s">
        <v>1684</v>
      </c>
      <c r="I893" s="78"/>
      <c r="J893" s="20"/>
      <c r="K893" s="20"/>
      <c r="L893" s="20"/>
      <c r="M893" s="20"/>
      <c r="N893" s="179" t="s">
        <v>502</v>
      </c>
      <c r="O893" s="70">
        <v>0</v>
      </c>
      <c r="P893" s="70">
        <v>0</v>
      </c>
      <c r="Q893" s="70">
        <v>0</v>
      </c>
      <c r="R893" s="70"/>
      <c r="S893" s="67"/>
      <c r="T893" s="2" t="str">
        <f t="shared" si="79"/>
        <v>Nguyễn Thị Kim_11AT7</v>
      </c>
      <c r="U893" s="28">
        <f t="array" ref="U893">IFERROR(VLOOKUP($T893,'Nghi hoc T12'!$H$7:$I$160,2,0),0)</f>
        <v>0</v>
      </c>
      <c r="V893" s="28">
        <f>IFERROR(VLOOKUP($T893,No_HP!$B$2:$C$514,2,0),0)</f>
        <v>0</v>
      </c>
      <c r="W893" s="28">
        <f t="shared" si="80"/>
        <v>0</v>
      </c>
      <c r="X893" s="333">
        <f t="shared" si="81"/>
        <v>0</v>
      </c>
      <c r="Y893" s="333">
        <f t="shared" si="82"/>
        <v>0</v>
      </c>
    </row>
    <row r="894" spans="1:25" s="2" customFormat="1" ht="21.95" customHeight="1">
      <c r="A894" s="82">
        <v>11</v>
      </c>
      <c r="B894" s="91" t="str">
        <f t="shared" si="83"/>
        <v>13A.T</v>
      </c>
      <c r="C894" s="83" t="s">
        <v>365</v>
      </c>
      <c r="D894" s="81" t="s">
        <v>518</v>
      </c>
      <c r="E894" s="48">
        <v>100886</v>
      </c>
      <c r="F894" s="30" t="s">
        <v>1722</v>
      </c>
      <c r="G894" s="29" t="s">
        <v>86</v>
      </c>
      <c r="H894" s="30" t="s">
        <v>1710</v>
      </c>
      <c r="I894" s="78"/>
      <c r="J894" s="20"/>
      <c r="K894" s="20"/>
      <c r="L894" s="20"/>
      <c r="M894" s="20"/>
      <c r="N894" s="179" t="s">
        <v>502</v>
      </c>
      <c r="O894" s="70">
        <v>0</v>
      </c>
      <c r="P894" s="70">
        <v>0</v>
      </c>
      <c r="Q894" s="70">
        <v>0</v>
      </c>
      <c r="R894" s="70"/>
      <c r="S894" s="67"/>
      <c r="T894" s="2" t="str">
        <f t="shared" si="79"/>
        <v>Võ Thiên Kim_11AT8</v>
      </c>
      <c r="U894" s="28">
        <f t="array" ref="U894">IFERROR(VLOOKUP($T894,'Nghi hoc T12'!$H$7:$I$160,2,0),0)</f>
        <v>0</v>
      </c>
      <c r="V894" s="28">
        <f>IFERROR(VLOOKUP($T894,No_HP!$B$2:$C$514,2,0),0)</f>
        <v>0</v>
      </c>
      <c r="W894" s="28">
        <f t="shared" si="80"/>
        <v>0</v>
      </c>
      <c r="X894" s="333">
        <f t="shared" si="81"/>
        <v>0</v>
      </c>
      <c r="Y894" s="333">
        <f t="shared" si="82"/>
        <v>0</v>
      </c>
    </row>
    <row r="895" spans="1:25" s="2" customFormat="1" ht="21.95" customHeight="1">
      <c r="A895" s="82">
        <v>12</v>
      </c>
      <c r="B895" s="91" t="str">
        <f t="shared" si="83"/>
        <v>13A.T</v>
      </c>
      <c r="C895" s="83" t="s">
        <v>365</v>
      </c>
      <c r="D895" s="81" t="s">
        <v>518</v>
      </c>
      <c r="E895" s="48">
        <v>100887</v>
      </c>
      <c r="F895" s="30" t="s">
        <v>158</v>
      </c>
      <c r="G895" s="29" t="s">
        <v>311</v>
      </c>
      <c r="H895" s="30" t="s">
        <v>1684</v>
      </c>
      <c r="I895" s="78"/>
      <c r="J895" s="20"/>
      <c r="K895" s="20"/>
      <c r="L895" s="20"/>
      <c r="M895" s="20"/>
      <c r="N895" s="179" t="s">
        <v>502</v>
      </c>
      <c r="O895" s="70">
        <v>0</v>
      </c>
      <c r="P895" s="70">
        <v>0</v>
      </c>
      <c r="Q895" s="70">
        <v>0</v>
      </c>
      <c r="R895" s="70"/>
      <c r="S895" s="67"/>
      <c r="T895" s="2" t="str">
        <f t="shared" si="79"/>
        <v>Nguyễn Hoàng Gia Kỳ_11AT7</v>
      </c>
      <c r="U895" s="28">
        <f t="array" ref="U895">IFERROR(VLOOKUP($T895,'Nghi hoc T12'!$H$7:$I$160,2,0),0)</f>
        <v>0</v>
      </c>
      <c r="V895" s="28">
        <f>IFERROR(VLOOKUP($T895,No_HP!$B$2:$C$514,2,0),0)</f>
        <v>0</v>
      </c>
      <c r="W895" s="28">
        <f t="shared" si="80"/>
        <v>0</v>
      </c>
      <c r="X895" s="333">
        <f t="shared" si="81"/>
        <v>0</v>
      </c>
      <c r="Y895" s="333">
        <f t="shared" si="82"/>
        <v>0</v>
      </c>
    </row>
    <row r="896" spans="1:25" s="2" customFormat="1" ht="21.95" customHeight="1">
      <c r="A896" s="82">
        <v>13</v>
      </c>
      <c r="B896" s="91" t="str">
        <f t="shared" si="83"/>
        <v>13A.T</v>
      </c>
      <c r="C896" s="83" t="s">
        <v>365</v>
      </c>
      <c r="D896" s="81" t="s">
        <v>518</v>
      </c>
      <c r="E896" s="48">
        <v>100888</v>
      </c>
      <c r="F896" s="30" t="s">
        <v>227</v>
      </c>
      <c r="G896" s="29" t="s">
        <v>113</v>
      </c>
      <c r="H896" s="30" t="s">
        <v>1710</v>
      </c>
      <c r="I896" s="78"/>
      <c r="J896" s="20"/>
      <c r="K896" s="20"/>
      <c r="L896" s="20"/>
      <c r="M896" s="20"/>
      <c r="N896" s="179" t="s">
        <v>502</v>
      </c>
      <c r="O896" s="70">
        <v>0</v>
      </c>
      <c r="P896" s="70">
        <v>0</v>
      </c>
      <c r="Q896" s="70">
        <v>0</v>
      </c>
      <c r="R896" s="70"/>
      <c r="S896" s="67"/>
      <c r="T896" s="2" t="str">
        <f t="shared" si="79"/>
        <v>Nguyễn Thị Lan_11AT8</v>
      </c>
      <c r="U896" s="28">
        <f t="array" ref="U896">IFERROR(VLOOKUP($T896,'Nghi hoc T12'!$H$7:$I$160,2,0),0)</f>
        <v>0</v>
      </c>
      <c r="V896" s="28">
        <f>IFERROR(VLOOKUP($T896,No_HP!$B$2:$C$514,2,0),0)</f>
        <v>0</v>
      </c>
      <c r="W896" s="28">
        <f t="shared" si="80"/>
        <v>0</v>
      </c>
      <c r="X896" s="333">
        <f t="shared" si="81"/>
        <v>0</v>
      </c>
      <c r="Y896" s="333">
        <f t="shared" si="82"/>
        <v>0</v>
      </c>
    </row>
    <row r="897" spans="1:25" s="2" customFormat="1" ht="21.95" customHeight="1">
      <c r="A897" s="82">
        <v>14</v>
      </c>
      <c r="B897" s="91" t="str">
        <f t="shared" si="83"/>
        <v>13A.T</v>
      </c>
      <c r="C897" s="83" t="s">
        <v>365</v>
      </c>
      <c r="D897" s="81" t="s">
        <v>518</v>
      </c>
      <c r="E897" s="48">
        <v>100889</v>
      </c>
      <c r="F897" s="30" t="s">
        <v>227</v>
      </c>
      <c r="G897" s="29" t="s">
        <v>351</v>
      </c>
      <c r="H897" s="30" t="s">
        <v>1684</v>
      </c>
      <c r="I897" s="78"/>
      <c r="J897" s="20"/>
      <c r="K897" s="20"/>
      <c r="L897" s="20"/>
      <c r="M897" s="20"/>
      <c r="N897" s="179" t="s">
        <v>502</v>
      </c>
      <c r="O897" s="70">
        <v>0</v>
      </c>
      <c r="P897" s="70">
        <v>0</v>
      </c>
      <c r="Q897" s="70">
        <v>0</v>
      </c>
      <c r="R897" s="70"/>
      <c r="S897" s="67"/>
      <c r="T897" s="2" t="str">
        <f t="shared" si="79"/>
        <v>Nguyễn Thị Liên_11AT7</v>
      </c>
      <c r="U897" s="28">
        <f t="array" ref="U897">IFERROR(VLOOKUP($T897,'Nghi hoc T12'!$H$7:$I$160,2,0),0)</f>
        <v>0</v>
      </c>
      <c r="V897" s="28">
        <f>IFERROR(VLOOKUP($T897,No_HP!$B$2:$C$514,2,0),0)</f>
        <v>0</v>
      </c>
      <c r="W897" s="28">
        <f t="shared" si="80"/>
        <v>0</v>
      </c>
      <c r="X897" s="333">
        <f t="shared" si="81"/>
        <v>0</v>
      </c>
      <c r="Y897" s="333">
        <f t="shared" si="82"/>
        <v>0</v>
      </c>
    </row>
    <row r="898" spans="1:25" s="2" customFormat="1" ht="21.95" customHeight="1">
      <c r="A898" s="82">
        <v>15</v>
      </c>
      <c r="B898" s="91" t="str">
        <f t="shared" si="83"/>
        <v>13A.T</v>
      </c>
      <c r="C898" s="83" t="s">
        <v>365</v>
      </c>
      <c r="D898" s="81" t="s">
        <v>518</v>
      </c>
      <c r="E898" s="48">
        <v>100890</v>
      </c>
      <c r="F898" s="30" t="s">
        <v>1697</v>
      </c>
      <c r="G898" s="29" t="s">
        <v>38</v>
      </c>
      <c r="H898" s="30" t="s">
        <v>1684</v>
      </c>
      <c r="I898" s="78"/>
      <c r="J898" s="20"/>
      <c r="K898" s="20"/>
      <c r="L898" s="20"/>
      <c r="M898" s="20"/>
      <c r="N898" s="179" t="s">
        <v>502</v>
      </c>
      <c r="O898" s="70">
        <v>0</v>
      </c>
      <c r="P898" s="70">
        <v>0</v>
      </c>
      <c r="Q898" s="70">
        <v>0</v>
      </c>
      <c r="R898" s="70"/>
      <c r="S898" s="67"/>
      <c r="T898" s="2" t="str">
        <f t="shared" si="79"/>
        <v>Lê Phương Linh_11AT7</v>
      </c>
      <c r="U898" s="28">
        <f t="array" ref="U898">IFERROR(VLOOKUP($T898,'Nghi hoc T12'!$H$7:$I$160,2,0),0)</f>
        <v>0</v>
      </c>
      <c r="V898" s="28">
        <f>IFERROR(VLOOKUP($T898,No_HP!$B$2:$C$514,2,0),0)</f>
        <v>0</v>
      </c>
      <c r="W898" s="28">
        <f t="shared" si="80"/>
        <v>0</v>
      </c>
      <c r="X898" s="333">
        <f t="shared" si="81"/>
        <v>0</v>
      </c>
      <c r="Y898" s="333">
        <f t="shared" si="82"/>
        <v>0</v>
      </c>
    </row>
    <row r="899" spans="1:25" s="2" customFormat="1" ht="21.95" customHeight="1">
      <c r="A899" s="82">
        <v>16</v>
      </c>
      <c r="B899" s="91" t="str">
        <f t="shared" si="83"/>
        <v>13A.T</v>
      </c>
      <c r="C899" s="83" t="s">
        <v>365</v>
      </c>
      <c r="D899" s="81" t="s">
        <v>518</v>
      </c>
      <c r="E899" s="48">
        <v>100891</v>
      </c>
      <c r="F899" s="30" t="s">
        <v>1723</v>
      </c>
      <c r="G899" s="29" t="s">
        <v>269</v>
      </c>
      <c r="H899" s="30" t="s">
        <v>1710</v>
      </c>
      <c r="I899" s="78"/>
      <c r="J899" s="20"/>
      <c r="K899" s="20"/>
      <c r="L899" s="20"/>
      <c r="M899" s="20"/>
      <c r="N899" s="179" t="s">
        <v>502</v>
      </c>
      <c r="O899" s="70">
        <v>0</v>
      </c>
      <c r="P899" s="70">
        <v>0</v>
      </c>
      <c r="Q899" s="70">
        <v>0</v>
      </c>
      <c r="R899" s="70"/>
      <c r="S899" s="67"/>
      <c r="T899" s="2" t="str">
        <f t="shared" si="79"/>
        <v>Mai Thị Bích Loan_11AT8</v>
      </c>
      <c r="U899" s="28">
        <f t="array" ref="U899">IFERROR(VLOOKUP($T899,'Nghi hoc T12'!$H$7:$I$160,2,0),0)</f>
        <v>0</v>
      </c>
      <c r="V899" s="28">
        <f>IFERROR(VLOOKUP($T899,No_HP!$B$2:$C$514,2,0),0)</f>
        <v>0</v>
      </c>
      <c r="W899" s="28">
        <f t="shared" si="80"/>
        <v>0</v>
      </c>
      <c r="X899" s="333">
        <f t="shared" si="81"/>
        <v>0</v>
      </c>
      <c r="Y899" s="333">
        <f t="shared" si="82"/>
        <v>0</v>
      </c>
    </row>
    <row r="900" spans="1:25" s="2" customFormat="1" ht="21.95" customHeight="1">
      <c r="A900" s="82">
        <v>17</v>
      </c>
      <c r="B900" s="91" t="str">
        <f t="shared" si="83"/>
        <v>13A.T</v>
      </c>
      <c r="C900" s="83" t="s">
        <v>365</v>
      </c>
      <c r="D900" s="81" t="s">
        <v>518</v>
      </c>
      <c r="E900" s="48">
        <v>100892</v>
      </c>
      <c r="F900" s="30" t="s">
        <v>348</v>
      </c>
      <c r="G900" s="29" t="s">
        <v>14</v>
      </c>
      <c r="H900" s="30" t="s">
        <v>1684</v>
      </c>
      <c r="I900" s="78"/>
      <c r="J900" s="20"/>
      <c r="K900" s="20"/>
      <c r="L900" s="20"/>
      <c r="M900" s="20"/>
      <c r="N900" s="179" t="s">
        <v>502</v>
      </c>
      <c r="O900" s="70">
        <v>0</v>
      </c>
      <c r="P900" s="70">
        <v>0</v>
      </c>
      <c r="Q900" s="70">
        <v>0</v>
      </c>
      <c r="R900" s="70"/>
      <c r="S900" s="67"/>
      <c r="T900" s="2" t="str">
        <f t="shared" si="79"/>
        <v>Đỗ Hoàng Long_11AT7</v>
      </c>
      <c r="U900" s="28">
        <f t="array" ref="U900">IFERROR(VLOOKUP($T900,'Nghi hoc T12'!$H$7:$I$160,2,0),0)</f>
        <v>0</v>
      </c>
      <c r="V900" s="28">
        <f>IFERROR(VLOOKUP($T900,No_HP!$B$2:$C$514,2,0),0)</f>
        <v>0</v>
      </c>
      <c r="W900" s="28">
        <f t="shared" si="80"/>
        <v>0</v>
      </c>
      <c r="X900" s="333">
        <f t="shared" si="81"/>
        <v>0</v>
      </c>
      <c r="Y900" s="333">
        <f t="shared" si="82"/>
        <v>0</v>
      </c>
    </row>
    <row r="901" spans="1:25" s="2" customFormat="1" ht="21.95" customHeight="1">
      <c r="A901" s="82">
        <v>18</v>
      </c>
      <c r="B901" s="91" t="str">
        <f t="shared" si="83"/>
        <v>13A.T</v>
      </c>
      <c r="C901" s="83" t="s">
        <v>365</v>
      </c>
      <c r="D901" s="81" t="s">
        <v>518</v>
      </c>
      <c r="E901" s="48">
        <v>100893</v>
      </c>
      <c r="F901" s="30" t="s">
        <v>1724</v>
      </c>
      <c r="G901" s="29" t="s">
        <v>14</v>
      </c>
      <c r="H901" s="30" t="s">
        <v>1710</v>
      </c>
      <c r="I901" s="78"/>
      <c r="J901" s="20"/>
      <c r="K901" s="20"/>
      <c r="L901" s="20"/>
      <c r="M901" s="20"/>
      <c r="N901" s="179" t="s">
        <v>502</v>
      </c>
      <c r="O901" s="70">
        <v>0</v>
      </c>
      <c r="P901" s="70">
        <v>0</v>
      </c>
      <c r="Q901" s="70">
        <v>0</v>
      </c>
      <c r="R901" s="70"/>
      <c r="S901" s="67"/>
      <c r="T901" s="2" t="str">
        <f t="shared" si="79"/>
        <v>Trần Vũ Minh Long_11AT8</v>
      </c>
      <c r="U901" s="28">
        <f t="array" ref="U901">IFERROR(VLOOKUP($T901,'Nghi hoc T12'!$H$7:$I$160,2,0),0)</f>
        <v>0</v>
      </c>
      <c r="V901" s="28">
        <f>IFERROR(VLOOKUP($T901,No_HP!$B$2:$C$514,2,0),0)</f>
        <v>0</v>
      </c>
      <c r="W901" s="28">
        <f t="shared" si="80"/>
        <v>0</v>
      </c>
      <c r="X901" s="333">
        <f t="shared" si="81"/>
        <v>0</v>
      </c>
      <c r="Y901" s="333">
        <f t="shared" si="82"/>
        <v>0</v>
      </c>
    </row>
    <row r="902" spans="1:25" s="2" customFormat="1" ht="21.95" customHeight="1">
      <c r="A902" s="82">
        <v>19</v>
      </c>
      <c r="B902" s="91" t="str">
        <f t="shared" si="83"/>
        <v>13A.T</v>
      </c>
      <c r="C902" s="83" t="s">
        <v>365</v>
      </c>
      <c r="D902" s="81" t="s">
        <v>518</v>
      </c>
      <c r="E902" s="48">
        <v>100894</v>
      </c>
      <c r="F902" s="30" t="s">
        <v>1698</v>
      </c>
      <c r="G902" s="29" t="s">
        <v>15</v>
      </c>
      <c r="H902" s="30" t="s">
        <v>1684</v>
      </c>
      <c r="I902" s="78"/>
      <c r="J902" s="20"/>
      <c r="K902" s="20"/>
      <c r="L902" s="20"/>
      <c r="M902" s="20"/>
      <c r="N902" s="179" t="s">
        <v>502</v>
      </c>
      <c r="O902" s="70">
        <v>0</v>
      </c>
      <c r="P902" s="70">
        <v>0</v>
      </c>
      <c r="Q902" s="70">
        <v>0</v>
      </c>
      <c r="R902" s="70"/>
      <c r="S902" s="67"/>
      <c r="T902" s="2" t="str">
        <f t="shared" si="79"/>
        <v>Lê Thị Tuyết Mai_11AT7</v>
      </c>
      <c r="U902" s="28">
        <f t="array" ref="U902">IFERROR(VLOOKUP($T902,'Nghi hoc T12'!$H$7:$I$160,2,0),0)</f>
        <v>0</v>
      </c>
      <c r="V902" s="28">
        <f>IFERROR(VLOOKUP($T902,No_HP!$B$2:$C$514,2,0),0)</f>
        <v>0</v>
      </c>
      <c r="W902" s="28">
        <f t="shared" si="80"/>
        <v>0</v>
      </c>
      <c r="X902" s="333">
        <f t="shared" si="81"/>
        <v>0</v>
      </c>
      <c r="Y902" s="333">
        <f t="shared" si="82"/>
        <v>0</v>
      </c>
    </row>
    <row r="903" spans="1:25" s="2" customFormat="1" ht="21.95" customHeight="1">
      <c r="A903" s="82">
        <v>20</v>
      </c>
      <c r="B903" s="91" t="str">
        <f t="shared" si="83"/>
        <v>13A.T</v>
      </c>
      <c r="C903" s="83" t="s">
        <v>365</v>
      </c>
      <c r="D903" s="81" t="s">
        <v>518</v>
      </c>
      <c r="E903" s="48">
        <v>100895</v>
      </c>
      <c r="F903" s="30" t="s">
        <v>327</v>
      </c>
      <c r="G903" s="29" t="s">
        <v>40</v>
      </c>
      <c r="H903" s="30" t="s">
        <v>1684</v>
      </c>
      <c r="I903" s="78"/>
      <c r="J903" s="20"/>
      <c r="K903" s="20"/>
      <c r="L903" s="20"/>
      <c r="M903" s="20"/>
      <c r="N903" s="179" t="s">
        <v>502</v>
      </c>
      <c r="O903" s="70">
        <v>0</v>
      </c>
      <c r="P903" s="70">
        <v>0</v>
      </c>
      <c r="Q903" s="70">
        <v>0</v>
      </c>
      <c r="R903" s="70"/>
      <c r="S903" s="67"/>
      <c r="T903" s="2" t="str">
        <f t="shared" si="79"/>
        <v>Nguyễn Phương My_11AT7</v>
      </c>
      <c r="U903" s="28">
        <f t="array" ref="U903">IFERROR(VLOOKUP($T903,'Nghi hoc T12'!$H$7:$I$160,2,0),0)</f>
        <v>0</v>
      </c>
      <c r="V903" s="28">
        <f>IFERROR(VLOOKUP($T903,No_HP!$B$2:$C$514,2,0),0)</f>
        <v>0</v>
      </c>
      <c r="W903" s="28">
        <f t="shared" si="80"/>
        <v>0</v>
      </c>
      <c r="X903" s="333">
        <f t="shared" si="81"/>
        <v>0</v>
      </c>
      <c r="Y903" s="333">
        <f t="shared" si="82"/>
        <v>0</v>
      </c>
    </row>
    <row r="904" spans="1:25" s="2" customFormat="1" ht="21.95" customHeight="1">
      <c r="A904" s="82">
        <v>21</v>
      </c>
      <c r="B904" s="91" t="str">
        <f t="shared" si="83"/>
        <v>13A.T</v>
      </c>
      <c r="C904" s="83" t="s">
        <v>365</v>
      </c>
      <c r="D904" s="81" t="s">
        <v>518</v>
      </c>
      <c r="E904" s="48">
        <v>100896</v>
      </c>
      <c r="F904" s="30" t="s">
        <v>1699</v>
      </c>
      <c r="G904" s="29" t="s">
        <v>339</v>
      </c>
      <c r="H904" s="30" t="s">
        <v>1684</v>
      </c>
      <c r="I904" s="78"/>
      <c r="J904" s="20"/>
      <c r="K904" s="20"/>
      <c r="L904" s="20"/>
      <c r="M904" s="20"/>
      <c r="N904" s="179" t="s">
        <v>502</v>
      </c>
      <c r="O904" s="70">
        <v>0</v>
      </c>
      <c r="P904" s="70">
        <v>0</v>
      </c>
      <c r="Q904" s="70">
        <v>0</v>
      </c>
      <c r="R904" s="70"/>
      <c r="S904" s="67"/>
      <c r="T904" s="2" t="str">
        <f t="shared" si="79"/>
        <v>Nguyễn Trương Gia Mỹ_11AT7</v>
      </c>
      <c r="U904" s="28">
        <f t="array" ref="U904">IFERROR(VLOOKUP($T904,'Nghi hoc T12'!$H$7:$I$160,2,0),0)</f>
        <v>0</v>
      </c>
      <c r="V904" s="28">
        <f>IFERROR(VLOOKUP($T904,No_HP!$B$2:$C$514,2,0),0)</f>
        <v>0</v>
      </c>
      <c r="W904" s="28">
        <f t="shared" si="80"/>
        <v>0</v>
      </c>
      <c r="X904" s="333">
        <f t="shared" si="81"/>
        <v>0</v>
      </c>
      <c r="Y904" s="333">
        <f t="shared" si="82"/>
        <v>0</v>
      </c>
    </row>
    <row r="905" spans="1:25" s="2" customFormat="1" ht="21.95" customHeight="1">
      <c r="A905" s="82">
        <v>22</v>
      </c>
      <c r="B905" s="91" t="str">
        <f t="shared" si="83"/>
        <v>13A.T</v>
      </c>
      <c r="C905" s="83" t="s">
        <v>365</v>
      </c>
      <c r="D905" s="81" t="s">
        <v>518</v>
      </c>
      <c r="E905" s="48">
        <v>100897</v>
      </c>
      <c r="F905" s="30" t="s">
        <v>1700</v>
      </c>
      <c r="G905" s="29" t="s">
        <v>17</v>
      </c>
      <c r="H905" s="30" t="s">
        <v>1684</v>
      </c>
      <c r="I905" s="78"/>
      <c r="J905" s="20"/>
      <c r="K905" s="20"/>
      <c r="L905" s="20"/>
      <c r="M905" s="20"/>
      <c r="N905" s="179" t="s">
        <v>502</v>
      </c>
      <c r="O905" s="70">
        <v>0</v>
      </c>
      <c r="P905" s="70">
        <v>0</v>
      </c>
      <c r="Q905" s="70">
        <v>0</v>
      </c>
      <c r="R905" s="70"/>
      <c r="S905" s="67"/>
      <c r="T905" s="2" t="str">
        <f t="shared" si="79"/>
        <v>Phạm Trần Ngọc Nam_11AT7</v>
      </c>
      <c r="U905" s="28">
        <f t="array" ref="U905">IFERROR(VLOOKUP($T905,'Nghi hoc T12'!$H$7:$I$160,2,0),0)</f>
        <v>0</v>
      </c>
      <c r="V905" s="28">
        <f>IFERROR(VLOOKUP($T905,No_HP!$B$2:$C$514,2,0),0)</f>
        <v>0</v>
      </c>
      <c r="W905" s="28">
        <f t="shared" si="80"/>
        <v>0</v>
      </c>
      <c r="X905" s="333">
        <f t="shared" si="81"/>
        <v>0</v>
      </c>
      <c r="Y905" s="333">
        <f t="shared" si="82"/>
        <v>0</v>
      </c>
    </row>
    <row r="906" spans="1:25" s="2" customFormat="1" ht="21.95" customHeight="1">
      <c r="A906" s="82">
        <v>23</v>
      </c>
      <c r="B906" s="91" t="str">
        <f t="shared" si="83"/>
        <v>13A.T</v>
      </c>
      <c r="C906" s="83" t="s">
        <v>365</v>
      </c>
      <c r="D906" s="81" t="s">
        <v>518</v>
      </c>
      <c r="E906" s="48">
        <v>100898</v>
      </c>
      <c r="F906" s="30" t="s">
        <v>227</v>
      </c>
      <c r="G906" s="29" t="s">
        <v>290</v>
      </c>
      <c r="H906" s="30" t="s">
        <v>1710</v>
      </c>
      <c r="I906" s="78"/>
      <c r="J906" s="20"/>
      <c r="K906" s="20"/>
      <c r="L906" s="20"/>
      <c r="M906" s="20"/>
      <c r="N906" s="179" t="s">
        <v>502</v>
      </c>
      <c r="O906" s="70">
        <v>0</v>
      </c>
      <c r="P906" s="70">
        <v>0</v>
      </c>
      <c r="Q906" s="70">
        <v>0</v>
      </c>
      <c r="R906" s="70"/>
      <c r="S906" s="67"/>
      <c r="T906" s="2" t="str">
        <f t="shared" ref="T906:T969" si="84">TRIM(F906&amp;" "&amp;G906&amp;"_"&amp;H906)</f>
        <v>Nguyễn Thị Nga_11AT8</v>
      </c>
      <c r="U906" s="28">
        <f t="array" ref="U906">IFERROR(VLOOKUP($T906,'Nghi hoc T12'!$H$7:$I$160,2,0),0)</f>
        <v>0</v>
      </c>
      <c r="V906" s="28">
        <f>IFERROR(VLOOKUP($T906,No_HP!$B$2:$C$514,2,0),0)</f>
        <v>0</v>
      </c>
      <c r="W906" s="28">
        <f t="shared" ref="W906:W969" si="85">I906</f>
        <v>0</v>
      </c>
      <c r="X906" s="333">
        <f t="shared" ref="X906:X969" si="86">O906</f>
        <v>0</v>
      </c>
      <c r="Y906" s="333">
        <f t="shared" ref="Y906:Y969" si="87">P906</f>
        <v>0</v>
      </c>
    </row>
    <row r="907" spans="1:25" s="2" customFormat="1" ht="21.95" customHeight="1">
      <c r="A907" s="82">
        <v>24</v>
      </c>
      <c r="B907" s="91" t="str">
        <f t="shared" ref="B907:B945" si="88">RIGHT(D907,LEN(D907)-2)&amp;"."&amp;LEFT(N907,1)</f>
        <v>13A.T</v>
      </c>
      <c r="C907" s="83" t="s">
        <v>365</v>
      </c>
      <c r="D907" s="81" t="s">
        <v>518</v>
      </c>
      <c r="E907" s="48">
        <v>100899</v>
      </c>
      <c r="F907" s="30" t="s">
        <v>1701</v>
      </c>
      <c r="G907" s="29" t="s">
        <v>18</v>
      </c>
      <c r="H907" s="30" t="s">
        <v>1684</v>
      </c>
      <c r="I907" s="78"/>
      <c r="J907" s="20"/>
      <c r="K907" s="20"/>
      <c r="L907" s="20"/>
      <c r="M907" s="20"/>
      <c r="N907" s="179" t="s">
        <v>502</v>
      </c>
      <c r="O907" s="70">
        <v>0</v>
      </c>
      <c r="P907" s="70">
        <v>0</v>
      </c>
      <c r="Q907" s="70">
        <v>0</v>
      </c>
      <c r="R907" s="70"/>
      <c r="S907" s="67"/>
      <c r="T907" s="2" t="str">
        <f t="shared" si="84"/>
        <v>Nguyễn Hoàng Bảo Ngân_11AT7</v>
      </c>
      <c r="U907" s="28">
        <f t="array" ref="U907">IFERROR(VLOOKUP($T907,'Nghi hoc T12'!$H$7:$I$160,2,0),0)</f>
        <v>0</v>
      </c>
      <c r="V907" s="28">
        <f>IFERROR(VLOOKUP($T907,No_HP!$B$2:$C$514,2,0),0)</f>
        <v>0</v>
      </c>
      <c r="W907" s="28">
        <f t="shared" si="85"/>
        <v>0</v>
      </c>
      <c r="X907" s="333">
        <f t="shared" si="86"/>
        <v>0</v>
      </c>
      <c r="Y907" s="333">
        <f t="shared" si="87"/>
        <v>0</v>
      </c>
    </row>
    <row r="908" spans="1:25" s="2" customFormat="1" ht="21.95" customHeight="1">
      <c r="A908" s="82">
        <v>25</v>
      </c>
      <c r="B908" s="91" t="str">
        <f t="shared" si="88"/>
        <v>13A.T</v>
      </c>
      <c r="C908" s="83" t="s">
        <v>365</v>
      </c>
      <c r="D908" s="81" t="s">
        <v>518</v>
      </c>
      <c r="E908" s="48">
        <v>100900</v>
      </c>
      <c r="F908" s="30" t="s">
        <v>167</v>
      </c>
      <c r="G908" s="29" t="s">
        <v>96</v>
      </c>
      <c r="H908" s="30" t="s">
        <v>1710</v>
      </c>
      <c r="I908" s="78"/>
      <c r="J908" s="20"/>
      <c r="K908" s="20"/>
      <c r="L908" s="20"/>
      <c r="M908" s="20"/>
      <c r="N908" s="179" t="s">
        <v>502</v>
      </c>
      <c r="O908" s="70">
        <v>0</v>
      </c>
      <c r="P908" s="70">
        <v>0</v>
      </c>
      <c r="Q908" s="70">
        <v>0</v>
      </c>
      <c r="R908" s="70"/>
      <c r="S908" s="67"/>
      <c r="T908" s="2" t="str">
        <f t="shared" si="84"/>
        <v>Trần Thanh Nghĩa_11AT8</v>
      </c>
      <c r="U908" s="28">
        <f t="array" ref="U908">IFERROR(VLOOKUP($T908,'Nghi hoc T12'!$H$7:$I$160,2,0),0)</f>
        <v>0</v>
      </c>
      <c r="V908" s="28">
        <f>IFERROR(VLOOKUP($T908,No_HP!$B$2:$C$514,2,0),0)</f>
        <v>0</v>
      </c>
      <c r="W908" s="28">
        <f t="shared" si="85"/>
        <v>0</v>
      </c>
      <c r="X908" s="333">
        <f t="shared" si="86"/>
        <v>0</v>
      </c>
      <c r="Y908" s="333">
        <f t="shared" si="87"/>
        <v>0</v>
      </c>
    </row>
    <row r="909" spans="1:25" s="2" customFormat="1" ht="21.95" customHeight="1">
      <c r="A909" s="82">
        <v>26</v>
      </c>
      <c r="B909" s="91" t="str">
        <f t="shared" si="88"/>
        <v>13A.T</v>
      </c>
      <c r="C909" s="83" t="s">
        <v>365</v>
      </c>
      <c r="D909" s="81" t="s">
        <v>518</v>
      </c>
      <c r="E909" s="48">
        <v>100901</v>
      </c>
      <c r="F909" s="30" t="s">
        <v>160</v>
      </c>
      <c r="G909" s="29" t="s">
        <v>102</v>
      </c>
      <c r="H909" s="30" t="s">
        <v>1684</v>
      </c>
      <c r="I909" s="78"/>
      <c r="J909" s="20"/>
      <c r="K909" s="20"/>
      <c r="L909" s="20"/>
      <c r="M909" s="20"/>
      <c r="N909" s="179" t="s">
        <v>502</v>
      </c>
      <c r="O909" s="70">
        <v>0</v>
      </c>
      <c r="P909" s="70">
        <v>0</v>
      </c>
      <c r="Q909" s="70">
        <v>0</v>
      </c>
      <c r="R909" s="70"/>
      <c r="S909" s="67"/>
      <c r="T909" s="2" t="str">
        <f t="shared" si="84"/>
        <v>Nguyễn Thành Nhân_11AT7</v>
      </c>
      <c r="U909" s="28">
        <f t="array" ref="U909">IFERROR(VLOOKUP($T909,'Nghi hoc T12'!$H$7:$I$160,2,0),0)</f>
        <v>0</v>
      </c>
      <c r="V909" s="28">
        <f>IFERROR(VLOOKUP($T909,No_HP!$B$2:$C$514,2,0),0)</f>
        <v>0</v>
      </c>
      <c r="W909" s="28">
        <f t="shared" si="85"/>
        <v>0</v>
      </c>
      <c r="X909" s="333">
        <f t="shared" si="86"/>
        <v>0</v>
      </c>
      <c r="Y909" s="333">
        <f t="shared" si="87"/>
        <v>0</v>
      </c>
    </row>
    <row r="910" spans="1:25" s="2" customFormat="1" ht="21.95" customHeight="1">
      <c r="A910" s="82">
        <v>27</v>
      </c>
      <c r="B910" s="91" t="str">
        <f t="shared" si="88"/>
        <v>13A.T</v>
      </c>
      <c r="C910" s="83" t="s">
        <v>365</v>
      </c>
      <c r="D910" s="81" t="s">
        <v>518</v>
      </c>
      <c r="E910" s="48">
        <v>100902</v>
      </c>
      <c r="F910" s="30" t="s">
        <v>223</v>
      </c>
      <c r="G910" s="29" t="s">
        <v>20</v>
      </c>
      <c r="H910" s="30" t="s">
        <v>1710</v>
      </c>
      <c r="I910" s="78"/>
      <c r="J910" s="20"/>
      <c r="K910" s="20"/>
      <c r="L910" s="20"/>
      <c r="M910" s="20"/>
      <c r="N910" s="179" t="s">
        <v>502</v>
      </c>
      <c r="O910" s="70">
        <v>0</v>
      </c>
      <c r="P910" s="70">
        <v>0</v>
      </c>
      <c r="Q910" s="70">
        <v>0</v>
      </c>
      <c r="R910" s="70"/>
      <c r="S910" s="67"/>
      <c r="T910" s="2" t="str">
        <f t="shared" si="84"/>
        <v>Nguyễn Thị Yến Nhi_11AT8</v>
      </c>
      <c r="U910" s="28">
        <f t="array" ref="U910">IFERROR(VLOOKUP($T910,'Nghi hoc T12'!$H$7:$I$160,2,0),0)</f>
        <v>0</v>
      </c>
      <c r="V910" s="28">
        <f>IFERROR(VLOOKUP($T910,No_HP!$B$2:$C$514,2,0),0)</f>
        <v>0</v>
      </c>
      <c r="W910" s="28">
        <f t="shared" si="85"/>
        <v>0</v>
      </c>
      <c r="X910" s="333">
        <f t="shared" si="86"/>
        <v>0</v>
      </c>
      <c r="Y910" s="333">
        <f t="shared" si="87"/>
        <v>0</v>
      </c>
    </row>
    <row r="911" spans="1:25" s="2" customFormat="1" ht="21.95" customHeight="1">
      <c r="A911" s="82">
        <v>28</v>
      </c>
      <c r="B911" s="91" t="str">
        <f t="shared" si="88"/>
        <v>13A.T</v>
      </c>
      <c r="C911" s="83" t="s">
        <v>365</v>
      </c>
      <c r="D911" s="81" t="s">
        <v>518</v>
      </c>
      <c r="E911" s="48">
        <v>100903</v>
      </c>
      <c r="F911" s="30" t="s">
        <v>1725</v>
      </c>
      <c r="G911" s="29" t="s">
        <v>88</v>
      </c>
      <c r="H911" s="30" t="s">
        <v>1710</v>
      </c>
      <c r="I911" s="78"/>
      <c r="J911" s="20"/>
      <c r="K911" s="20"/>
      <c r="L911" s="20"/>
      <c r="M911" s="20"/>
      <c r="N911" s="179" t="s">
        <v>502</v>
      </c>
      <c r="O911" s="70">
        <v>0</v>
      </c>
      <c r="P911" s="70">
        <v>0</v>
      </c>
      <c r="Q911" s="70">
        <v>0</v>
      </c>
      <c r="R911" s="70"/>
      <c r="S911" s="67"/>
      <c r="T911" s="2" t="str">
        <f t="shared" si="84"/>
        <v>Phạm Thị Phương Nhung_11AT8</v>
      </c>
      <c r="U911" s="28">
        <f t="array" ref="U911">IFERROR(VLOOKUP($T911,'Nghi hoc T12'!$H$7:$I$160,2,0),0)</f>
        <v>0</v>
      </c>
      <c r="V911" s="28">
        <f>IFERROR(VLOOKUP($T911,No_HP!$B$2:$C$514,2,0),0)</f>
        <v>0</v>
      </c>
      <c r="W911" s="28">
        <f t="shared" si="85"/>
        <v>0</v>
      </c>
      <c r="X911" s="333">
        <f t="shared" si="86"/>
        <v>0</v>
      </c>
      <c r="Y911" s="333">
        <f t="shared" si="87"/>
        <v>0</v>
      </c>
    </row>
    <row r="912" spans="1:25" s="2" customFormat="1" ht="21.95" customHeight="1">
      <c r="A912" s="82">
        <v>29</v>
      </c>
      <c r="B912" s="91" t="str">
        <f t="shared" si="88"/>
        <v>13A.T</v>
      </c>
      <c r="C912" s="83" t="s">
        <v>365</v>
      </c>
      <c r="D912" s="81" t="s">
        <v>518</v>
      </c>
      <c r="E912" s="48">
        <v>100904</v>
      </c>
      <c r="F912" s="30" t="s">
        <v>1702</v>
      </c>
      <c r="G912" s="29" t="s">
        <v>88</v>
      </c>
      <c r="H912" s="30" t="s">
        <v>1684</v>
      </c>
      <c r="I912" s="78"/>
      <c r="J912" s="20"/>
      <c r="K912" s="20"/>
      <c r="L912" s="20"/>
      <c r="M912" s="20"/>
      <c r="N912" s="179" t="s">
        <v>502</v>
      </c>
      <c r="O912" s="70">
        <v>0</v>
      </c>
      <c r="P912" s="70">
        <v>0</v>
      </c>
      <c r="Q912" s="70">
        <v>0</v>
      </c>
      <c r="R912" s="70"/>
      <c r="S912" s="67"/>
      <c r="T912" s="2" t="str">
        <f t="shared" si="84"/>
        <v>Võ Thị Cẩm Nhung_11AT7</v>
      </c>
      <c r="U912" s="28">
        <f t="array" ref="U912">IFERROR(VLOOKUP($T912,'Nghi hoc T12'!$H$7:$I$160,2,0),0)</f>
        <v>0</v>
      </c>
      <c r="V912" s="28">
        <f>IFERROR(VLOOKUP($T912,No_HP!$B$2:$C$514,2,0),0)</f>
        <v>0</v>
      </c>
      <c r="W912" s="28">
        <f t="shared" si="85"/>
        <v>0</v>
      </c>
      <c r="X912" s="333">
        <f t="shared" si="86"/>
        <v>0</v>
      </c>
      <c r="Y912" s="333">
        <f t="shared" si="87"/>
        <v>0</v>
      </c>
    </row>
    <row r="913" spans="1:25" s="2" customFormat="1" ht="21.95" customHeight="1">
      <c r="A913" s="82">
        <v>30</v>
      </c>
      <c r="B913" s="91" t="str">
        <f t="shared" si="88"/>
        <v>13A.T</v>
      </c>
      <c r="C913" s="83" t="s">
        <v>365</v>
      </c>
      <c r="D913" s="81" t="s">
        <v>518</v>
      </c>
      <c r="E913" s="48">
        <v>100905</v>
      </c>
      <c r="F913" s="30" t="s">
        <v>1703</v>
      </c>
      <c r="G913" s="29" t="s">
        <v>21</v>
      </c>
      <c r="H913" s="30" t="s">
        <v>1684</v>
      </c>
      <c r="I913" s="78"/>
      <c r="J913" s="20"/>
      <c r="K913" s="20"/>
      <c r="L913" s="20"/>
      <c r="M913" s="20"/>
      <c r="N913" s="179" t="s">
        <v>502</v>
      </c>
      <c r="O913" s="70">
        <v>0</v>
      </c>
      <c r="P913" s="70">
        <v>0</v>
      </c>
      <c r="Q913" s="70">
        <v>0</v>
      </c>
      <c r="R913" s="70"/>
      <c r="S913" s="67"/>
      <c r="T913" s="2" t="str">
        <f t="shared" si="84"/>
        <v>Nguyễn Lê An Như_11AT7</v>
      </c>
      <c r="U913" s="28">
        <f t="array" ref="U913">IFERROR(VLOOKUP($T913,'Nghi hoc T12'!$H$7:$I$160,2,0),0)</f>
        <v>0</v>
      </c>
      <c r="V913" s="28">
        <f>IFERROR(VLOOKUP($T913,No_HP!$B$2:$C$514,2,0),0)</f>
        <v>0</v>
      </c>
      <c r="W913" s="28">
        <f t="shared" si="85"/>
        <v>0</v>
      </c>
      <c r="X913" s="333">
        <f t="shared" si="86"/>
        <v>0</v>
      </c>
      <c r="Y913" s="333">
        <f t="shared" si="87"/>
        <v>0</v>
      </c>
    </row>
    <row r="914" spans="1:25" s="2" customFormat="1" ht="21.95" customHeight="1">
      <c r="A914" s="82">
        <v>31</v>
      </c>
      <c r="B914" s="91" t="str">
        <f t="shared" si="88"/>
        <v>13A.T</v>
      </c>
      <c r="C914" s="83" t="s">
        <v>365</v>
      </c>
      <c r="D914" s="81" t="s">
        <v>518</v>
      </c>
      <c r="E914" s="48">
        <v>100906</v>
      </c>
      <c r="F914" s="30" t="s">
        <v>1696</v>
      </c>
      <c r="G914" s="29" t="s">
        <v>21</v>
      </c>
      <c r="H914" s="30" t="s">
        <v>1710</v>
      </c>
      <c r="I914" s="78"/>
      <c r="J914" s="20"/>
      <c r="K914" s="20"/>
      <c r="L914" s="20"/>
      <c r="M914" s="20"/>
      <c r="N914" s="179" t="s">
        <v>502</v>
      </c>
      <c r="O914" s="70">
        <v>0</v>
      </c>
      <c r="P914" s="70">
        <v>0</v>
      </c>
      <c r="Q914" s="70">
        <v>0</v>
      </c>
      <c r="R914" s="70"/>
      <c r="S914" s="67"/>
      <c r="T914" s="2" t="str">
        <f t="shared" si="84"/>
        <v>Nguyễn Lê Quỳnh Như_11AT8</v>
      </c>
      <c r="U914" s="28">
        <f t="array" ref="U914">IFERROR(VLOOKUP($T914,'Nghi hoc T12'!$H$7:$I$160,2,0),0)</f>
        <v>0</v>
      </c>
      <c r="V914" s="28">
        <f>IFERROR(VLOOKUP($T914,No_HP!$B$2:$C$514,2,0),0)</f>
        <v>0</v>
      </c>
      <c r="W914" s="28">
        <f t="shared" si="85"/>
        <v>0</v>
      </c>
      <c r="X914" s="333">
        <f t="shared" si="86"/>
        <v>0</v>
      </c>
      <c r="Y914" s="333">
        <f t="shared" si="87"/>
        <v>0</v>
      </c>
    </row>
    <row r="915" spans="1:25" s="2" customFormat="1" ht="21.95" customHeight="1">
      <c r="A915" s="200">
        <v>1</v>
      </c>
      <c r="B915" s="91" t="str">
        <f t="shared" si="88"/>
        <v>14A.T</v>
      </c>
      <c r="C915" s="185" t="s">
        <v>365</v>
      </c>
      <c r="D915" s="186" t="s">
        <v>519</v>
      </c>
      <c r="E915" s="187">
        <v>100907</v>
      </c>
      <c r="F915" s="188" t="s">
        <v>227</v>
      </c>
      <c r="G915" s="189" t="s">
        <v>181</v>
      </c>
      <c r="H915" s="188" t="s">
        <v>1710</v>
      </c>
      <c r="I915" s="190"/>
      <c r="J915" s="191"/>
      <c r="K915" s="191"/>
      <c r="L915" s="191"/>
      <c r="M915" s="191"/>
      <c r="N915" s="179" t="s">
        <v>502</v>
      </c>
      <c r="O915" s="70">
        <v>0</v>
      </c>
      <c r="P915" s="70">
        <v>0</v>
      </c>
      <c r="Q915" s="70">
        <v>0</v>
      </c>
      <c r="R915" s="70"/>
      <c r="S915" s="67"/>
      <c r="T915" s="2" t="str">
        <f t="shared" si="84"/>
        <v>Nguyễn Thị Oanh_11AT8</v>
      </c>
      <c r="U915" s="28">
        <f t="array" ref="U915">IFERROR(VLOOKUP($T915,'Nghi hoc T12'!$H$7:$I$160,2,0),0)</f>
        <v>0</v>
      </c>
      <c r="V915" s="28">
        <f>IFERROR(VLOOKUP($T915,No_HP!$B$2:$C$514,2,0),0)</f>
        <v>0</v>
      </c>
      <c r="W915" s="28">
        <f t="shared" si="85"/>
        <v>0</v>
      </c>
      <c r="X915" s="333">
        <f t="shared" si="86"/>
        <v>0</v>
      </c>
      <c r="Y915" s="333">
        <f t="shared" si="87"/>
        <v>0</v>
      </c>
    </row>
    <row r="916" spans="1:25" s="2" customFormat="1" ht="21.95" customHeight="1">
      <c r="A916" s="82">
        <v>2</v>
      </c>
      <c r="B916" s="91" t="str">
        <f t="shared" si="88"/>
        <v>14A.T</v>
      </c>
      <c r="C916" s="83" t="s">
        <v>365</v>
      </c>
      <c r="D916" s="81" t="s">
        <v>519</v>
      </c>
      <c r="E916" s="48">
        <v>100908</v>
      </c>
      <c r="F916" s="30" t="s">
        <v>356</v>
      </c>
      <c r="G916" s="29" t="s">
        <v>181</v>
      </c>
      <c r="H916" s="30" t="s">
        <v>1684</v>
      </c>
      <c r="I916" s="78"/>
      <c r="J916" s="20"/>
      <c r="K916" s="20"/>
      <c r="L916" s="20"/>
      <c r="M916" s="20"/>
      <c r="N916" s="179" t="s">
        <v>502</v>
      </c>
      <c r="O916" s="70">
        <v>0</v>
      </c>
      <c r="P916" s="70">
        <v>0</v>
      </c>
      <c r="Q916" s="70">
        <v>0</v>
      </c>
      <c r="R916" s="70"/>
      <c r="S916" s="67"/>
      <c r="T916" s="2" t="str">
        <f t="shared" si="84"/>
        <v>Nguyễn Thị Kiều Oanh_11AT7</v>
      </c>
      <c r="U916" s="28">
        <f t="array" ref="U916">IFERROR(VLOOKUP($T916,'Nghi hoc T12'!$H$7:$I$160,2,0),0)</f>
        <v>0</v>
      </c>
      <c r="V916" s="28">
        <f>IFERROR(VLOOKUP($T916,No_HP!$B$2:$C$514,2,0),0)</f>
        <v>0</v>
      </c>
      <c r="W916" s="28">
        <f t="shared" si="85"/>
        <v>0</v>
      </c>
      <c r="X916" s="333">
        <f t="shared" si="86"/>
        <v>0</v>
      </c>
      <c r="Y916" s="333">
        <f t="shared" si="87"/>
        <v>0</v>
      </c>
    </row>
    <row r="917" spans="1:25" s="2" customFormat="1" ht="21.95" customHeight="1">
      <c r="A917" s="82">
        <v>3</v>
      </c>
      <c r="B917" s="91" t="str">
        <f t="shared" si="88"/>
        <v>14A.T</v>
      </c>
      <c r="C917" s="83" t="s">
        <v>365</v>
      </c>
      <c r="D917" s="81" t="s">
        <v>519</v>
      </c>
      <c r="E917" s="48">
        <v>100909</v>
      </c>
      <c r="F917" s="30" t="s">
        <v>448</v>
      </c>
      <c r="G917" s="29" t="s">
        <v>71</v>
      </c>
      <c r="H917" s="30" t="s">
        <v>1710</v>
      </c>
      <c r="I917" s="78"/>
      <c r="J917" s="20"/>
      <c r="K917" s="20"/>
      <c r="L917" s="20"/>
      <c r="M917" s="20"/>
      <c r="N917" s="179" t="s">
        <v>502</v>
      </c>
      <c r="O917" s="70">
        <v>0</v>
      </c>
      <c r="P917" s="70">
        <v>0</v>
      </c>
      <c r="Q917" s="70">
        <v>0</v>
      </c>
      <c r="R917" s="70"/>
      <c r="S917" s="67"/>
      <c r="T917" s="2" t="str">
        <f t="shared" si="84"/>
        <v>Nguyễn Văn Hoàng Phúc_11AT8</v>
      </c>
      <c r="U917" s="28">
        <f t="array" ref="U917">IFERROR(VLOOKUP($T917,'Nghi hoc T12'!$H$7:$I$160,2,0),0)</f>
        <v>0</v>
      </c>
      <c r="V917" s="28">
        <f>IFERROR(VLOOKUP($T917,No_HP!$B$2:$C$514,2,0),0)</f>
        <v>0</v>
      </c>
      <c r="W917" s="28">
        <f t="shared" si="85"/>
        <v>0</v>
      </c>
      <c r="X917" s="333">
        <f t="shared" si="86"/>
        <v>0</v>
      </c>
      <c r="Y917" s="333">
        <f t="shared" si="87"/>
        <v>0</v>
      </c>
    </row>
    <row r="918" spans="1:25" s="2" customFormat="1" ht="21.95" customHeight="1">
      <c r="A918" s="82">
        <v>4</v>
      </c>
      <c r="B918" s="91" t="str">
        <f t="shared" si="88"/>
        <v>14A.T</v>
      </c>
      <c r="C918" s="83" t="s">
        <v>365</v>
      </c>
      <c r="D918" s="81" t="s">
        <v>519</v>
      </c>
      <c r="E918" s="48">
        <v>100910</v>
      </c>
      <c r="F918" s="30" t="s">
        <v>1365</v>
      </c>
      <c r="G918" s="29" t="s">
        <v>43</v>
      </c>
      <c r="H918" s="30" t="s">
        <v>1684</v>
      </c>
      <c r="I918" s="78"/>
      <c r="J918" s="20"/>
      <c r="K918" s="20"/>
      <c r="L918" s="20"/>
      <c r="M918" s="20"/>
      <c r="N918" s="179" t="s">
        <v>502</v>
      </c>
      <c r="O918" s="70">
        <v>0</v>
      </c>
      <c r="P918" s="70">
        <v>0</v>
      </c>
      <c r="Q918" s="70">
        <v>0</v>
      </c>
      <c r="R918" s="70"/>
      <c r="S918" s="67"/>
      <c r="T918" s="2" t="str">
        <f t="shared" si="84"/>
        <v>Trần Thị Mỹ Phương_11AT7</v>
      </c>
      <c r="U918" s="28">
        <f t="array" ref="U918">IFERROR(VLOOKUP($T918,'Nghi hoc T12'!$H$7:$I$160,2,0),0)</f>
        <v>0</v>
      </c>
      <c r="V918" s="28">
        <f>IFERROR(VLOOKUP($T918,No_HP!$B$2:$C$514,2,0),0)</f>
        <v>0</v>
      </c>
      <c r="W918" s="28">
        <f t="shared" si="85"/>
        <v>0</v>
      </c>
      <c r="X918" s="333">
        <f t="shared" si="86"/>
        <v>0</v>
      </c>
      <c r="Y918" s="333">
        <f t="shared" si="87"/>
        <v>0</v>
      </c>
    </row>
    <row r="919" spans="1:25" s="2" customFormat="1" ht="21.95" customHeight="1">
      <c r="A919" s="82">
        <v>5</v>
      </c>
      <c r="B919" s="91" t="str">
        <f t="shared" si="88"/>
        <v>14A.T</v>
      </c>
      <c r="C919" s="83" t="s">
        <v>365</v>
      </c>
      <c r="D919" s="81" t="s">
        <v>519</v>
      </c>
      <c r="E919" s="48">
        <v>100911</v>
      </c>
      <c r="F919" s="30" t="s">
        <v>1704</v>
      </c>
      <c r="G919" s="29" t="s">
        <v>44</v>
      </c>
      <c r="H919" s="30" t="s">
        <v>1684</v>
      </c>
      <c r="I919" s="78"/>
      <c r="J919" s="20"/>
      <c r="K919" s="20"/>
      <c r="L919" s="20"/>
      <c r="M919" s="20"/>
      <c r="N919" s="179" t="s">
        <v>502</v>
      </c>
      <c r="O919" s="70">
        <v>0</v>
      </c>
      <c r="P919" s="70">
        <v>0</v>
      </c>
      <c r="Q919" s="70">
        <v>0</v>
      </c>
      <c r="R919" s="70"/>
      <c r="S919" s="67"/>
      <c r="T919" s="2" t="str">
        <f t="shared" si="84"/>
        <v>Lê Lưu Tiến Quang_11AT7</v>
      </c>
      <c r="U919" s="28">
        <f t="array" ref="U919">IFERROR(VLOOKUP($T919,'Nghi hoc T12'!$H$7:$I$160,2,0),0)</f>
        <v>0</v>
      </c>
      <c r="V919" s="28">
        <f>IFERROR(VLOOKUP($T919,No_HP!$B$2:$C$514,2,0),0)</f>
        <v>0</v>
      </c>
      <c r="W919" s="28">
        <f t="shared" si="85"/>
        <v>0</v>
      </c>
      <c r="X919" s="333">
        <f t="shared" si="86"/>
        <v>0</v>
      </c>
      <c r="Y919" s="333">
        <f t="shared" si="87"/>
        <v>0</v>
      </c>
    </row>
    <row r="920" spans="1:25" s="2" customFormat="1" ht="21.95" customHeight="1">
      <c r="A920" s="82">
        <v>6</v>
      </c>
      <c r="B920" s="91" t="str">
        <f t="shared" si="88"/>
        <v>14A.T</v>
      </c>
      <c r="C920" s="83" t="s">
        <v>365</v>
      </c>
      <c r="D920" s="81" t="s">
        <v>519</v>
      </c>
      <c r="E920" s="48">
        <v>100912</v>
      </c>
      <c r="F920" s="30" t="s">
        <v>1705</v>
      </c>
      <c r="G920" s="29" t="s">
        <v>305</v>
      </c>
      <c r="H920" s="30" t="s">
        <v>1684</v>
      </c>
      <c r="I920" s="78"/>
      <c r="J920" s="20"/>
      <c r="K920" s="20"/>
      <c r="L920" s="20"/>
      <c r="M920" s="20"/>
      <c r="N920" s="179" t="s">
        <v>502</v>
      </c>
      <c r="O920" s="70">
        <v>0</v>
      </c>
      <c r="P920" s="70">
        <v>0</v>
      </c>
      <c r="Q920" s="70">
        <v>0</v>
      </c>
      <c r="R920" s="70"/>
      <c r="S920" s="67"/>
      <c r="T920" s="2" t="str">
        <f t="shared" si="84"/>
        <v>Lê Đoàn Phương Quyên_11AT7</v>
      </c>
      <c r="U920" s="28">
        <f t="array" ref="U920">IFERROR(VLOOKUP($T920,'Nghi hoc T12'!$H$7:$I$160,2,0),0)</f>
        <v>0</v>
      </c>
      <c r="V920" s="28">
        <f>IFERROR(VLOOKUP($T920,No_HP!$B$2:$C$514,2,0),0)</f>
        <v>0</v>
      </c>
      <c r="W920" s="28">
        <f t="shared" si="85"/>
        <v>0</v>
      </c>
      <c r="X920" s="333">
        <f t="shared" si="86"/>
        <v>0</v>
      </c>
      <c r="Y920" s="333">
        <f t="shared" si="87"/>
        <v>0</v>
      </c>
    </row>
    <row r="921" spans="1:25" s="2" customFormat="1" ht="21.95" customHeight="1">
      <c r="A921" s="82">
        <v>7</v>
      </c>
      <c r="B921" s="91" t="str">
        <f t="shared" si="88"/>
        <v>14A.T</v>
      </c>
      <c r="C921" s="83" t="s">
        <v>365</v>
      </c>
      <c r="D921" s="81" t="s">
        <v>519</v>
      </c>
      <c r="E921" s="48">
        <v>100913</v>
      </c>
      <c r="F921" s="30" t="s">
        <v>1726</v>
      </c>
      <c r="G921" s="29" t="s">
        <v>22</v>
      </c>
      <c r="H921" s="30" t="s">
        <v>1710</v>
      </c>
      <c r="I921" s="78"/>
      <c r="J921" s="20"/>
      <c r="K921" s="20"/>
      <c r="L921" s="20"/>
      <c r="M921" s="20"/>
      <c r="N921" s="179" t="s">
        <v>502</v>
      </c>
      <c r="O921" s="70">
        <v>0</v>
      </c>
      <c r="P921" s="70">
        <v>0</v>
      </c>
      <c r="Q921" s="70">
        <v>0</v>
      </c>
      <c r="R921" s="70"/>
      <c r="S921" s="67"/>
      <c r="T921" s="2" t="str">
        <f t="shared" si="84"/>
        <v>Nguyễn Ngọc Như Quỳnh_11AT8</v>
      </c>
      <c r="U921" s="28">
        <f t="array" ref="U921">IFERROR(VLOOKUP($T921,'Nghi hoc T12'!$H$7:$I$160,2,0),0)</f>
        <v>0</v>
      </c>
      <c r="V921" s="28">
        <f>IFERROR(VLOOKUP($T921,No_HP!$B$2:$C$514,2,0),0)</f>
        <v>0</v>
      </c>
      <c r="W921" s="28">
        <f t="shared" si="85"/>
        <v>0</v>
      </c>
      <c r="X921" s="333">
        <f t="shared" si="86"/>
        <v>0</v>
      </c>
      <c r="Y921" s="333">
        <f t="shared" si="87"/>
        <v>0</v>
      </c>
    </row>
    <row r="922" spans="1:25" s="2" customFormat="1" ht="21.95" customHeight="1">
      <c r="A922" s="82">
        <v>8</v>
      </c>
      <c r="B922" s="91" t="str">
        <f t="shared" si="88"/>
        <v>14A.T</v>
      </c>
      <c r="C922" s="83" t="s">
        <v>365</v>
      </c>
      <c r="D922" s="81" t="s">
        <v>519</v>
      </c>
      <c r="E922" s="48">
        <v>100914</v>
      </c>
      <c r="F922" s="30" t="s">
        <v>1706</v>
      </c>
      <c r="G922" s="29" t="s">
        <v>47</v>
      </c>
      <c r="H922" s="30" t="s">
        <v>1684</v>
      </c>
      <c r="I922" s="78"/>
      <c r="J922" s="20"/>
      <c r="K922" s="20"/>
      <c r="L922" s="20"/>
      <c r="M922" s="20"/>
      <c r="N922" s="179" t="s">
        <v>502</v>
      </c>
      <c r="O922" s="70">
        <v>0</v>
      </c>
      <c r="P922" s="70">
        <v>0</v>
      </c>
      <c r="Q922" s="70">
        <v>0</v>
      </c>
      <c r="R922" s="70"/>
      <c r="S922" s="67"/>
      <c r="T922" s="2" t="str">
        <f t="shared" si="84"/>
        <v>Lê Nhật Sang_11AT7</v>
      </c>
      <c r="U922" s="28">
        <f t="array" ref="U922">IFERROR(VLOOKUP($T922,'Nghi hoc T12'!$H$7:$I$160,2,0),0)</f>
        <v>0</v>
      </c>
      <c r="V922" s="28">
        <f>IFERROR(VLOOKUP($T922,No_HP!$B$2:$C$514,2,0),0)</f>
        <v>0</v>
      </c>
      <c r="W922" s="28">
        <f t="shared" si="85"/>
        <v>0</v>
      </c>
      <c r="X922" s="333">
        <f t="shared" si="86"/>
        <v>0</v>
      </c>
      <c r="Y922" s="333">
        <f t="shared" si="87"/>
        <v>0</v>
      </c>
    </row>
    <row r="923" spans="1:25" s="2" customFormat="1" ht="21.95" customHeight="1">
      <c r="A923" s="82">
        <v>9</v>
      </c>
      <c r="B923" s="91" t="str">
        <f t="shared" si="88"/>
        <v>14A.T</v>
      </c>
      <c r="C923" s="83" t="s">
        <v>365</v>
      </c>
      <c r="D923" s="81" t="s">
        <v>519</v>
      </c>
      <c r="E923" s="48">
        <v>100915</v>
      </c>
      <c r="F923" s="30" t="s">
        <v>1727</v>
      </c>
      <c r="G923" s="29" t="s">
        <v>23</v>
      </c>
      <c r="H923" s="30" t="s">
        <v>1710</v>
      </c>
      <c r="I923" s="78"/>
      <c r="J923" s="20"/>
      <c r="K923" s="20"/>
      <c r="L923" s="20"/>
      <c r="M923" s="20"/>
      <c r="N923" s="179" t="s">
        <v>502</v>
      </c>
      <c r="O923" s="70">
        <v>0</v>
      </c>
      <c r="P923" s="70">
        <v>0</v>
      </c>
      <c r="Q923" s="70">
        <v>0</v>
      </c>
      <c r="R923" s="70"/>
      <c r="S923" s="67"/>
      <c r="T923" s="2" t="str">
        <f t="shared" si="84"/>
        <v>Võ Thái Sơn_11AT8</v>
      </c>
      <c r="U923" s="28">
        <f t="array" ref="U923">IFERROR(VLOOKUP($T923,'Nghi hoc T12'!$H$7:$I$160,2,0),0)</f>
        <v>0</v>
      </c>
      <c r="V923" s="28">
        <f>IFERROR(VLOOKUP($T923,No_HP!$B$2:$C$514,2,0),0)</f>
        <v>0</v>
      </c>
      <c r="W923" s="28">
        <f t="shared" si="85"/>
        <v>0</v>
      </c>
      <c r="X923" s="333">
        <f t="shared" si="86"/>
        <v>0</v>
      </c>
      <c r="Y923" s="333">
        <f t="shared" si="87"/>
        <v>0</v>
      </c>
    </row>
    <row r="924" spans="1:25" s="2" customFormat="1" ht="21.95" customHeight="1">
      <c r="A924" s="82">
        <v>10</v>
      </c>
      <c r="B924" s="91" t="str">
        <f t="shared" si="88"/>
        <v>14A.T</v>
      </c>
      <c r="C924" s="83" t="s">
        <v>365</v>
      </c>
      <c r="D924" s="81" t="s">
        <v>519</v>
      </c>
      <c r="E924" s="48">
        <v>100916</v>
      </c>
      <c r="F924" s="30" t="s">
        <v>160</v>
      </c>
      <c r="G924" s="29" t="s">
        <v>25</v>
      </c>
      <c r="H924" s="30" t="s">
        <v>1710</v>
      </c>
      <c r="I924" s="78"/>
      <c r="J924" s="20"/>
      <c r="K924" s="20"/>
      <c r="L924" s="20"/>
      <c r="M924" s="20"/>
      <c r="N924" s="179" t="s">
        <v>502</v>
      </c>
      <c r="O924" s="70">
        <v>0</v>
      </c>
      <c r="P924" s="70">
        <v>0</v>
      </c>
      <c r="Q924" s="70">
        <v>0</v>
      </c>
      <c r="R924" s="70"/>
      <c r="S924" s="67"/>
      <c r="T924" s="2" t="str">
        <f t="shared" si="84"/>
        <v>Nguyễn Thành Thái_11AT8</v>
      </c>
      <c r="U924" s="28">
        <f t="array" ref="U924">IFERROR(VLOOKUP($T924,'Nghi hoc T12'!$H$7:$I$160,2,0),0)</f>
        <v>0</v>
      </c>
      <c r="V924" s="28">
        <f>IFERROR(VLOOKUP($T924,No_HP!$B$2:$C$514,2,0),0)</f>
        <v>0</v>
      </c>
      <c r="W924" s="28">
        <f t="shared" si="85"/>
        <v>0</v>
      </c>
      <c r="X924" s="333">
        <f t="shared" si="86"/>
        <v>0</v>
      </c>
      <c r="Y924" s="333">
        <f t="shared" si="87"/>
        <v>0</v>
      </c>
    </row>
    <row r="925" spans="1:25" s="2" customFormat="1" ht="21.95" customHeight="1">
      <c r="A925" s="82">
        <v>11</v>
      </c>
      <c r="B925" s="91" t="str">
        <f t="shared" si="88"/>
        <v>14A.T</v>
      </c>
      <c r="C925" s="83" t="s">
        <v>365</v>
      </c>
      <c r="D925" s="81" t="s">
        <v>519</v>
      </c>
      <c r="E925" s="48">
        <v>100917</v>
      </c>
      <c r="F925" s="30" t="s">
        <v>1707</v>
      </c>
      <c r="G925" s="29" t="s">
        <v>27</v>
      </c>
      <c r="H925" s="30" t="s">
        <v>1684</v>
      </c>
      <c r="I925" s="78"/>
      <c r="J925" s="20"/>
      <c r="K925" s="20"/>
      <c r="L925" s="20"/>
      <c r="M925" s="20"/>
      <c r="N925" s="179" t="s">
        <v>502</v>
      </c>
      <c r="O925" s="70">
        <v>0</v>
      </c>
      <c r="P925" s="70">
        <v>0</v>
      </c>
      <c r="Q925" s="70">
        <v>0</v>
      </c>
      <c r="R925" s="70"/>
      <c r="S925" s="67"/>
      <c r="T925" s="2" t="str">
        <f t="shared" si="84"/>
        <v>Nguyễn Trần Tuấn Thành_11AT7</v>
      </c>
      <c r="U925" s="28">
        <f t="array" ref="U925">IFERROR(VLOOKUP($T925,'Nghi hoc T12'!$H$7:$I$160,2,0),0)</f>
        <v>0</v>
      </c>
      <c r="V925" s="28">
        <f>IFERROR(VLOOKUP($T925,No_HP!$B$2:$C$514,2,0),0)</f>
        <v>0</v>
      </c>
      <c r="W925" s="28">
        <f t="shared" si="85"/>
        <v>0</v>
      </c>
      <c r="X925" s="333">
        <f t="shared" si="86"/>
        <v>0</v>
      </c>
      <c r="Y925" s="333">
        <f t="shared" si="87"/>
        <v>0</v>
      </c>
    </row>
    <row r="926" spans="1:25" s="2" customFormat="1" ht="21.95" customHeight="1">
      <c r="A926" s="82">
        <v>12</v>
      </c>
      <c r="B926" s="91" t="str">
        <f t="shared" si="88"/>
        <v>14A.T</v>
      </c>
      <c r="C926" s="83" t="s">
        <v>365</v>
      </c>
      <c r="D926" s="81" t="s">
        <v>519</v>
      </c>
      <c r="E926" s="48">
        <v>100918</v>
      </c>
      <c r="F926" s="30" t="s">
        <v>328</v>
      </c>
      <c r="G926" s="29" t="s">
        <v>49</v>
      </c>
      <c r="H926" s="30" t="s">
        <v>1710</v>
      </c>
      <c r="I926" s="78"/>
      <c r="J926" s="20"/>
      <c r="K926" s="20"/>
      <c r="L926" s="20"/>
      <c r="M926" s="20"/>
      <c r="N926" s="179" t="s">
        <v>502</v>
      </c>
      <c r="O926" s="70">
        <v>0</v>
      </c>
      <c r="P926" s="70">
        <v>0</v>
      </c>
      <c r="Q926" s="70">
        <v>0</v>
      </c>
      <c r="R926" s="70"/>
      <c r="S926" s="67"/>
      <c r="T926" s="2" t="str">
        <f t="shared" si="84"/>
        <v>Nguyễn Thị Như Thảo_11AT8</v>
      </c>
      <c r="U926" s="28">
        <f t="array" ref="U926">IFERROR(VLOOKUP($T926,'Nghi hoc T12'!$H$7:$I$160,2,0),0)</f>
        <v>0</v>
      </c>
      <c r="V926" s="28">
        <f>IFERROR(VLOOKUP($T926,No_HP!$B$2:$C$514,2,0),0)</f>
        <v>0</v>
      </c>
      <c r="W926" s="28">
        <f t="shared" si="85"/>
        <v>0</v>
      </c>
      <c r="X926" s="333">
        <f t="shared" si="86"/>
        <v>0</v>
      </c>
      <c r="Y926" s="333">
        <f t="shared" si="87"/>
        <v>0</v>
      </c>
    </row>
    <row r="927" spans="1:25" s="2" customFormat="1" ht="21.95" customHeight="1">
      <c r="A927" s="82">
        <v>13</v>
      </c>
      <c r="B927" s="91" t="str">
        <f t="shared" si="88"/>
        <v>14A.T</v>
      </c>
      <c r="C927" s="83" t="s">
        <v>365</v>
      </c>
      <c r="D927" s="81" t="s">
        <v>519</v>
      </c>
      <c r="E927" s="48">
        <v>100919</v>
      </c>
      <c r="F927" s="30" t="s">
        <v>1216</v>
      </c>
      <c r="G927" s="29" t="s">
        <v>59</v>
      </c>
      <c r="H927" s="30" t="s">
        <v>1684</v>
      </c>
      <c r="I927" s="78"/>
      <c r="J927" s="20"/>
      <c r="K927" s="20"/>
      <c r="L927" s="20"/>
      <c r="M927" s="20"/>
      <c r="N927" s="179" t="s">
        <v>502</v>
      </c>
      <c r="O927" s="70">
        <v>0</v>
      </c>
      <c r="P927" s="70">
        <v>0</v>
      </c>
      <c r="Q927" s="70">
        <v>0</v>
      </c>
      <c r="R927" s="70"/>
      <c r="S927" s="67"/>
      <c r="T927" s="2" t="str">
        <f t="shared" si="84"/>
        <v>Nguyễn Việt Thuận_11AT7</v>
      </c>
      <c r="U927" s="28">
        <f t="array" ref="U927">IFERROR(VLOOKUP($T927,'Nghi hoc T12'!$H$7:$I$160,2,0),0)</f>
        <v>0</v>
      </c>
      <c r="V927" s="28">
        <f>IFERROR(VLOOKUP($T927,No_HP!$B$2:$C$514,2,0),0)</f>
        <v>0</v>
      </c>
      <c r="W927" s="28">
        <f t="shared" si="85"/>
        <v>0</v>
      </c>
      <c r="X927" s="333">
        <f t="shared" si="86"/>
        <v>0</v>
      </c>
      <c r="Y927" s="333">
        <f t="shared" si="87"/>
        <v>0</v>
      </c>
    </row>
    <row r="928" spans="1:25" s="2" customFormat="1" ht="21.95" customHeight="1">
      <c r="A928" s="82">
        <v>14</v>
      </c>
      <c r="B928" s="91" t="str">
        <f t="shared" si="88"/>
        <v>14A.T</v>
      </c>
      <c r="C928" s="83" t="s">
        <v>365</v>
      </c>
      <c r="D928" s="81" t="s">
        <v>519</v>
      </c>
      <c r="E928" s="48">
        <v>100920</v>
      </c>
      <c r="F928" s="30" t="s">
        <v>1280</v>
      </c>
      <c r="G928" s="29" t="s">
        <v>28</v>
      </c>
      <c r="H928" s="30" t="s">
        <v>1710</v>
      </c>
      <c r="I928" s="78"/>
      <c r="J928" s="20"/>
      <c r="K928" s="20"/>
      <c r="L928" s="20"/>
      <c r="M928" s="20"/>
      <c r="N928" s="179" t="s">
        <v>502</v>
      </c>
      <c r="O928" s="70">
        <v>0</v>
      </c>
      <c r="P928" s="70">
        <v>0</v>
      </c>
      <c r="Q928" s="70">
        <v>0</v>
      </c>
      <c r="R928" s="70"/>
      <c r="S928" s="67"/>
      <c r="T928" s="2" t="str">
        <f t="shared" si="84"/>
        <v>Lê Anh Thư_11AT8</v>
      </c>
      <c r="U928" s="28">
        <f t="array" ref="U928">IFERROR(VLOOKUP($T928,'Nghi hoc T12'!$H$7:$I$160,2,0),0)</f>
        <v>0</v>
      </c>
      <c r="V928" s="28">
        <f>IFERROR(VLOOKUP($T928,No_HP!$B$2:$C$514,2,0),0)</f>
        <v>0</v>
      </c>
      <c r="W928" s="28">
        <f t="shared" si="85"/>
        <v>0</v>
      </c>
      <c r="X928" s="333">
        <f t="shared" si="86"/>
        <v>0</v>
      </c>
      <c r="Y928" s="333">
        <f t="shared" si="87"/>
        <v>0</v>
      </c>
    </row>
    <row r="929" spans="1:25" s="2" customFormat="1" ht="21.95" customHeight="1">
      <c r="A929" s="82">
        <v>15</v>
      </c>
      <c r="B929" s="91" t="str">
        <f t="shared" si="88"/>
        <v>14A.T</v>
      </c>
      <c r="C929" s="83" t="s">
        <v>365</v>
      </c>
      <c r="D929" s="81" t="s">
        <v>519</v>
      </c>
      <c r="E929" s="48">
        <v>100921</v>
      </c>
      <c r="F929" s="30" t="s">
        <v>1320</v>
      </c>
      <c r="G929" s="29" t="s">
        <v>28</v>
      </c>
      <c r="H929" s="30" t="s">
        <v>1684</v>
      </c>
      <c r="I929" s="78"/>
      <c r="J929" s="20"/>
      <c r="K929" s="20"/>
      <c r="L929" s="20"/>
      <c r="M929" s="20"/>
      <c r="N929" s="179" t="s">
        <v>502</v>
      </c>
      <c r="O929" s="70">
        <v>0</v>
      </c>
      <c r="P929" s="70">
        <v>0</v>
      </c>
      <c r="Q929" s="70">
        <v>0</v>
      </c>
      <c r="R929" s="70"/>
      <c r="S929" s="67"/>
      <c r="T929" s="2" t="str">
        <f t="shared" si="84"/>
        <v>Trần Thị Anh Thư_11AT7</v>
      </c>
      <c r="U929" s="28">
        <f t="array" ref="U929">IFERROR(VLOOKUP($T929,'Nghi hoc T12'!$H$7:$I$160,2,0),0)</f>
        <v>0</v>
      </c>
      <c r="V929" s="28">
        <f>IFERROR(VLOOKUP($T929,No_HP!$B$2:$C$514,2,0),0)</f>
        <v>0</v>
      </c>
      <c r="W929" s="28">
        <f t="shared" si="85"/>
        <v>0</v>
      </c>
      <c r="X929" s="333">
        <f t="shared" si="86"/>
        <v>0</v>
      </c>
      <c r="Y929" s="333">
        <f t="shared" si="87"/>
        <v>0</v>
      </c>
    </row>
    <row r="930" spans="1:25" s="2" customFormat="1" ht="21.95" customHeight="1">
      <c r="A930" s="82">
        <v>16</v>
      </c>
      <c r="B930" s="91" t="str">
        <f t="shared" si="88"/>
        <v>14A.T</v>
      </c>
      <c r="C930" s="83" t="s">
        <v>365</v>
      </c>
      <c r="D930" s="81" t="s">
        <v>519</v>
      </c>
      <c r="E930" s="48">
        <v>100922</v>
      </c>
      <c r="F930" s="30" t="s">
        <v>1728</v>
      </c>
      <c r="G930" s="29" t="s">
        <v>215</v>
      </c>
      <c r="H930" s="30" t="s">
        <v>1710</v>
      </c>
      <c r="I930" s="78"/>
      <c r="J930" s="20"/>
      <c r="K930" s="20"/>
      <c r="L930" s="20"/>
      <c r="M930" s="20"/>
      <c r="N930" s="179" t="s">
        <v>502</v>
      </c>
      <c r="O930" s="70">
        <v>0</v>
      </c>
      <c r="P930" s="70">
        <v>0</v>
      </c>
      <c r="Q930" s="70">
        <v>0</v>
      </c>
      <c r="R930" s="70"/>
      <c r="S930" s="67"/>
      <c r="T930" s="2" t="str">
        <f t="shared" si="84"/>
        <v>Bùi Hồ Minh Tiến_11AT8</v>
      </c>
      <c r="U930" s="28">
        <f t="array" ref="U930">IFERROR(VLOOKUP($T930,'Nghi hoc T12'!$H$7:$I$160,2,0),0)</f>
        <v>0</v>
      </c>
      <c r="V930" s="28">
        <f>IFERROR(VLOOKUP($T930,No_HP!$B$2:$C$514,2,0),0)</f>
        <v>0</v>
      </c>
      <c r="W930" s="28">
        <f t="shared" si="85"/>
        <v>0</v>
      </c>
      <c r="X930" s="333">
        <f t="shared" si="86"/>
        <v>0</v>
      </c>
      <c r="Y930" s="333">
        <f t="shared" si="87"/>
        <v>0</v>
      </c>
    </row>
    <row r="931" spans="1:25" s="2" customFormat="1" ht="21.95" customHeight="1">
      <c r="A931" s="82">
        <v>17</v>
      </c>
      <c r="B931" s="91" t="str">
        <f t="shared" si="88"/>
        <v>14A.T</v>
      </c>
      <c r="C931" s="83" t="s">
        <v>365</v>
      </c>
      <c r="D931" s="81" t="s">
        <v>519</v>
      </c>
      <c r="E931" s="48">
        <v>100923</v>
      </c>
      <c r="F931" s="30" t="s">
        <v>1729</v>
      </c>
      <c r="G931" s="29" t="s">
        <v>30</v>
      </c>
      <c r="H931" s="30" t="s">
        <v>1710</v>
      </c>
      <c r="I931" s="78"/>
      <c r="J931" s="20"/>
      <c r="K931" s="20"/>
      <c r="L931" s="20"/>
      <c r="M931" s="20"/>
      <c r="N931" s="179" t="s">
        <v>502</v>
      </c>
      <c r="O931" s="70">
        <v>0</v>
      </c>
      <c r="P931" s="70">
        <v>0</v>
      </c>
      <c r="Q931" s="70">
        <v>0</v>
      </c>
      <c r="R931" s="70"/>
      <c r="S931" s="67"/>
      <c r="T931" s="2" t="str">
        <f t="shared" si="84"/>
        <v>Phạm Thuỳ Trang_11AT8</v>
      </c>
      <c r="U931" s="28">
        <f t="array" ref="U931">IFERROR(VLOOKUP($T931,'Nghi hoc T12'!$H$7:$I$160,2,0),0)</f>
        <v>0</v>
      </c>
      <c r="V931" s="28">
        <f>IFERROR(VLOOKUP($T931,No_HP!$B$2:$C$514,2,0),0)</f>
        <v>0</v>
      </c>
      <c r="W931" s="28">
        <f t="shared" si="85"/>
        <v>0</v>
      </c>
      <c r="X931" s="333">
        <f t="shared" si="86"/>
        <v>0</v>
      </c>
      <c r="Y931" s="333">
        <f t="shared" si="87"/>
        <v>0</v>
      </c>
    </row>
    <row r="932" spans="1:25" s="2" customFormat="1" ht="21.95" customHeight="1">
      <c r="A932" s="82">
        <v>18</v>
      </c>
      <c r="B932" s="91" t="str">
        <f t="shared" si="88"/>
        <v>14A.T</v>
      </c>
      <c r="C932" s="83" t="s">
        <v>365</v>
      </c>
      <c r="D932" s="81" t="s">
        <v>519</v>
      </c>
      <c r="E932" s="48">
        <v>100924</v>
      </c>
      <c r="F932" s="30" t="s">
        <v>1224</v>
      </c>
      <c r="G932" s="29" t="s">
        <v>30</v>
      </c>
      <c r="H932" s="30" t="s">
        <v>1684</v>
      </c>
      <c r="I932" s="78"/>
      <c r="J932" s="20"/>
      <c r="K932" s="20"/>
      <c r="L932" s="20"/>
      <c r="M932" s="20"/>
      <c r="N932" s="179" t="s">
        <v>502</v>
      </c>
      <c r="O932" s="70">
        <v>0</v>
      </c>
      <c r="P932" s="70">
        <v>0</v>
      </c>
      <c r="Q932" s="70">
        <v>0</v>
      </c>
      <c r="R932" s="70"/>
      <c r="S932" s="67"/>
      <c r="T932" s="2" t="str">
        <f t="shared" si="84"/>
        <v>Trần Thị Phương Trang_11AT7</v>
      </c>
      <c r="U932" s="28">
        <f t="array" ref="U932">IFERROR(VLOOKUP($T932,'Nghi hoc T12'!$H$7:$I$160,2,0),0)</f>
        <v>0</v>
      </c>
      <c r="V932" s="28">
        <f>IFERROR(VLOOKUP($T932,No_HP!$B$2:$C$514,2,0),0)</f>
        <v>0</v>
      </c>
      <c r="W932" s="28">
        <f t="shared" si="85"/>
        <v>0</v>
      </c>
      <c r="X932" s="333">
        <f t="shared" si="86"/>
        <v>0</v>
      </c>
      <c r="Y932" s="333">
        <f t="shared" si="87"/>
        <v>0</v>
      </c>
    </row>
    <row r="933" spans="1:25" s="2" customFormat="1" ht="21.95" customHeight="1">
      <c r="A933" s="82">
        <v>19</v>
      </c>
      <c r="B933" s="91" t="str">
        <f t="shared" si="88"/>
        <v>14A.T</v>
      </c>
      <c r="C933" s="83" t="s">
        <v>365</v>
      </c>
      <c r="D933" s="81" t="s">
        <v>519</v>
      </c>
      <c r="E933" s="48">
        <v>100925</v>
      </c>
      <c r="F933" s="30" t="s">
        <v>1730</v>
      </c>
      <c r="G933" s="29" t="s">
        <v>30</v>
      </c>
      <c r="H933" s="30" t="s">
        <v>1710</v>
      </c>
      <c r="I933" s="78"/>
      <c r="J933" s="20"/>
      <c r="K933" s="20"/>
      <c r="L933" s="20"/>
      <c r="M933" s="20"/>
      <c r="N933" s="179" t="s">
        <v>502</v>
      </c>
      <c r="O933" s="70">
        <v>0</v>
      </c>
      <c r="P933" s="70">
        <v>0</v>
      </c>
      <c r="Q933" s="70">
        <v>0</v>
      </c>
      <c r="R933" s="70"/>
      <c r="S933" s="67"/>
      <c r="T933" s="2" t="str">
        <f t="shared" si="84"/>
        <v>Trần Thị Quỳnh Trang_11AT8</v>
      </c>
      <c r="U933" s="28">
        <f t="array" ref="U933">IFERROR(VLOOKUP($T933,'Nghi hoc T12'!$H$7:$I$160,2,0),0)</f>
        <v>0</v>
      </c>
      <c r="V933" s="28">
        <f>IFERROR(VLOOKUP($T933,No_HP!$B$2:$C$514,2,0),0)</f>
        <v>0</v>
      </c>
      <c r="W933" s="28">
        <f t="shared" si="85"/>
        <v>0</v>
      </c>
      <c r="X933" s="333">
        <f t="shared" si="86"/>
        <v>0</v>
      </c>
      <c r="Y933" s="333">
        <f t="shared" si="87"/>
        <v>0</v>
      </c>
    </row>
    <row r="934" spans="1:25" s="2" customFormat="1" ht="21.95" customHeight="1">
      <c r="A934" s="82">
        <v>20</v>
      </c>
      <c r="B934" s="91" t="str">
        <f t="shared" si="88"/>
        <v>14A.T</v>
      </c>
      <c r="C934" s="83" t="s">
        <v>365</v>
      </c>
      <c r="D934" s="81" t="s">
        <v>519</v>
      </c>
      <c r="E934" s="48">
        <v>100926</v>
      </c>
      <c r="F934" s="30" t="s">
        <v>242</v>
      </c>
      <c r="G934" s="29" t="s">
        <v>29</v>
      </c>
      <c r="H934" s="30" t="s">
        <v>1710</v>
      </c>
      <c r="I934" s="78"/>
      <c r="J934" s="20"/>
      <c r="K934" s="20"/>
      <c r="L934" s="20"/>
      <c r="M934" s="20"/>
      <c r="N934" s="179" t="s">
        <v>502</v>
      </c>
      <c r="O934" s="70">
        <v>0</v>
      </c>
      <c r="P934" s="70">
        <v>0</v>
      </c>
      <c r="Q934" s="70">
        <v>0</v>
      </c>
      <c r="R934" s="70"/>
      <c r="S934" s="67"/>
      <c r="T934" s="2" t="str">
        <f t="shared" si="84"/>
        <v>Nguyễn Ngọc Bảo Trâm_11AT8</v>
      </c>
      <c r="U934" s="28">
        <f t="array" ref="U934">IFERROR(VLOOKUP($T934,'Nghi hoc T12'!$H$7:$I$160,2,0),0)</f>
        <v>0</v>
      </c>
      <c r="V934" s="28">
        <f>IFERROR(VLOOKUP($T934,No_HP!$B$2:$C$514,2,0),0)</f>
        <v>0</v>
      </c>
      <c r="W934" s="28">
        <f t="shared" si="85"/>
        <v>0</v>
      </c>
      <c r="X934" s="333">
        <f t="shared" si="86"/>
        <v>0</v>
      </c>
      <c r="Y934" s="333">
        <f t="shared" si="87"/>
        <v>0</v>
      </c>
    </row>
    <row r="935" spans="1:25" s="2" customFormat="1" ht="21.95" customHeight="1">
      <c r="A935" s="82">
        <v>21</v>
      </c>
      <c r="B935" s="91" t="str">
        <f t="shared" si="88"/>
        <v>14A.T</v>
      </c>
      <c r="C935" s="83" t="s">
        <v>365</v>
      </c>
      <c r="D935" s="81" t="s">
        <v>519</v>
      </c>
      <c r="E935" s="48">
        <v>100927</v>
      </c>
      <c r="F935" s="30" t="s">
        <v>1731</v>
      </c>
      <c r="G935" s="29" t="s">
        <v>206</v>
      </c>
      <c r="H935" s="30" t="s">
        <v>1710</v>
      </c>
      <c r="I935" s="78"/>
      <c r="J935" s="20"/>
      <c r="K935" s="20"/>
      <c r="L935" s="20"/>
      <c r="M935" s="20"/>
      <c r="N935" s="179" t="s">
        <v>502</v>
      </c>
      <c r="O935" s="70">
        <v>0</v>
      </c>
      <c r="P935" s="70">
        <v>0</v>
      </c>
      <c r="Q935" s="70">
        <v>0</v>
      </c>
      <c r="R935" s="70"/>
      <c r="S935" s="67"/>
      <c r="T935" s="2" t="str">
        <f t="shared" si="84"/>
        <v>Dương Bùi Ngọc Trí_11AT8</v>
      </c>
      <c r="U935" s="28">
        <f t="array" ref="U935">IFERROR(VLOOKUP($T935,'Nghi hoc T12'!$H$7:$I$160,2,0),0)</f>
        <v>0</v>
      </c>
      <c r="V935" s="28">
        <f>IFERROR(VLOOKUP($T935,No_HP!$B$2:$C$514,2,0),0)</f>
        <v>0</v>
      </c>
      <c r="W935" s="28">
        <f t="shared" si="85"/>
        <v>0</v>
      </c>
      <c r="X935" s="333">
        <f t="shared" si="86"/>
        <v>0</v>
      </c>
      <c r="Y935" s="333">
        <f t="shared" si="87"/>
        <v>0</v>
      </c>
    </row>
    <row r="936" spans="1:25" s="2" customFormat="1" ht="21.95" customHeight="1">
      <c r="A936" s="82">
        <v>22</v>
      </c>
      <c r="B936" s="91" t="str">
        <f t="shared" si="88"/>
        <v>14A.T</v>
      </c>
      <c r="C936" s="83" t="s">
        <v>365</v>
      </c>
      <c r="D936" s="81" t="s">
        <v>519</v>
      </c>
      <c r="E936" s="48">
        <v>100928</v>
      </c>
      <c r="F936" s="30" t="s">
        <v>195</v>
      </c>
      <c r="G936" s="29" t="s">
        <v>206</v>
      </c>
      <c r="H936" s="30" t="s">
        <v>1684</v>
      </c>
      <c r="I936" s="78"/>
      <c r="J936" s="20"/>
      <c r="K936" s="20"/>
      <c r="L936" s="20"/>
      <c r="M936" s="20"/>
      <c r="N936" s="179" t="s">
        <v>502</v>
      </c>
      <c r="O936" s="70">
        <v>0</v>
      </c>
      <c r="P936" s="70">
        <v>0</v>
      </c>
      <c r="Q936" s="70">
        <v>0</v>
      </c>
      <c r="R936" s="70"/>
      <c r="S936" s="67"/>
      <c r="T936" s="2" t="str">
        <f t="shared" si="84"/>
        <v>Vũ Minh Trí_11AT7</v>
      </c>
      <c r="U936" s="28">
        <f t="array" ref="U936">IFERROR(VLOOKUP($T936,'Nghi hoc T12'!$H$7:$I$160,2,0),0)</f>
        <v>0</v>
      </c>
      <c r="V936" s="28">
        <f>IFERROR(VLOOKUP($T936,No_HP!$B$2:$C$514,2,0),0)</f>
        <v>0</v>
      </c>
      <c r="W936" s="28">
        <f t="shared" si="85"/>
        <v>0</v>
      </c>
      <c r="X936" s="333">
        <f t="shared" si="86"/>
        <v>0</v>
      </c>
      <c r="Y936" s="333">
        <f t="shared" si="87"/>
        <v>0</v>
      </c>
    </row>
    <row r="937" spans="1:25" s="2" customFormat="1" ht="21.95" customHeight="1">
      <c r="A937" s="82">
        <v>23</v>
      </c>
      <c r="B937" s="91" t="str">
        <f t="shared" si="88"/>
        <v>14A.T</v>
      </c>
      <c r="C937" s="83" t="s">
        <v>365</v>
      </c>
      <c r="D937" s="81" t="s">
        <v>519</v>
      </c>
      <c r="E937" s="48">
        <v>100929</v>
      </c>
      <c r="F937" s="30" t="s">
        <v>268</v>
      </c>
      <c r="G937" s="29" t="s">
        <v>32</v>
      </c>
      <c r="H937" s="30" t="s">
        <v>1684</v>
      </c>
      <c r="I937" s="78"/>
      <c r="J937" s="20"/>
      <c r="K937" s="20"/>
      <c r="L937" s="20"/>
      <c r="M937" s="20"/>
      <c r="N937" s="179" t="s">
        <v>502</v>
      </c>
      <c r="O937" s="70">
        <v>0</v>
      </c>
      <c r="P937" s="70">
        <v>0</v>
      </c>
      <c r="Q937" s="70">
        <v>0</v>
      </c>
      <c r="R937" s="70"/>
      <c r="S937" s="67"/>
      <c r="T937" s="2" t="str">
        <f t="shared" si="84"/>
        <v>Nguyễn Văn Trung_11AT7</v>
      </c>
      <c r="U937" s="28">
        <f t="array" ref="U937">IFERROR(VLOOKUP($T937,'Nghi hoc T12'!$H$7:$I$160,2,0),0)</f>
        <v>0</v>
      </c>
      <c r="V937" s="28">
        <f>IFERROR(VLOOKUP($T937,No_HP!$B$2:$C$514,2,0),0)</f>
        <v>0</v>
      </c>
      <c r="W937" s="28">
        <f t="shared" si="85"/>
        <v>0</v>
      </c>
      <c r="X937" s="333">
        <f t="shared" si="86"/>
        <v>0</v>
      </c>
      <c r="Y937" s="333">
        <f t="shared" si="87"/>
        <v>0</v>
      </c>
    </row>
    <row r="938" spans="1:25" s="2" customFormat="1" ht="21.95" customHeight="1">
      <c r="A938" s="82">
        <v>24</v>
      </c>
      <c r="B938" s="91" t="str">
        <f t="shared" si="88"/>
        <v>14A.T</v>
      </c>
      <c r="C938" s="83" t="s">
        <v>365</v>
      </c>
      <c r="D938" s="81" t="s">
        <v>519</v>
      </c>
      <c r="E938" s="48">
        <v>100930</v>
      </c>
      <c r="F938" s="30" t="s">
        <v>1708</v>
      </c>
      <c r="G938" s="29" t="s">
        <v>51</v>
      </c>
      <c r="H938" s="30" t="s">
        <v>1684</v>
      </c>
      <c r="I938" s="78"/>
      <c r="J938" s="20"/>
      <c r="K938" s="20"/>
      <c r="L938" s="20"/>
      <c r="M938" s="20"/>
      <c r="N938" s="179" t="s">
        <v>502</v>
      </c>
      <c r="O938" s="70">
        <v>0</v>
      </c>
      <c r="P938" s="70">
        <v>0</v>
      </c>
      <c r="Q938" s="70">
        <v>0</v>
      </c>
      <c r="R938" s="70"/>
      <c r="S938" s="67"/>
      <c r="T938" s="2" t="str">
        <f t="shared" si="84"/>
        <v>Nguyễn Lê Ngọc Tú_11AT7</v>
      </c>
      <c r="U938" s="28">
        <f t="array" ref="U938">IFERROR(VLOOKUP($T938,'Nghi hoc T12'!$H$7:$I$160,2,0),0)</f>
        <v>0</v>
      </c>
      <c r="V938" s="28">
        <f>IFERROR(VLOOKUP($T938,No_HP!$B$2:$C$514,2,0),0)</f>
        <v>0</v>
      </c>
      <c r="W938" s="28">
        <f t="shared" si="85"/>
        <v>0</v>
      </c>
      <c r="X938" s="333">
        <f t="shared" si="86"/>
        <v>0</v>
      </c>
      <c r="Y938" s="333">
        <f t="shared" si="87"/>
        <v>0</v>
      </c>
    </row>
    <row r="939" spans="1:25" s="2" customFormat="1" ht="21.95" customHeight="1">
      <c r="A939" s="82">
        <v>25</v>
      </c>
      <c r="B939" s="91" t="str">
        <f t="shared" si="88"/>
        <v>14A.T</v>
      </c>
      <c r="C939" s="83" t="s">
        <v>365</v>
      </c>
      <c r="D939" s="81" t="s">
        <v>519</v>
      </c>
      <c r="E939" s="48">
        <v>100931</v>
      </c>
      <c r="F939" s="30" t="s">
        <v>158</v>
      </c>
      <c r="G939" s="29" t="s">
        <v>52</v>
      </c>
      <c r="H939" s="30" t="s">
        <v>1710</v>
      </c>
      <c r="I939" s="78"/>
      <c r="J939" s="20"/>
      <c r="K939" s="20"/>
      <c r="L939" s="20"/>
      <c r="M939" s="20"/>
      <c r="N939" s="179" t="s">
        <v>502</v>
      </c>
      <c r="O939" s="70">
        <v>0</v>
      </c>
      <c r="P939" s="70">
        <v>0</v>
      </c>
      <c r="Q939" s="70">
        <v>0</v>
      </c>
      <c r="R939" s="70"/>
      <c r="S939" s="67"/>
      <c r="T939" s="2" t="str">
        <f t="shared" si="84"/>
        <v>Nguyễn Hoàng Gia Tuấn_11AT8</v>
      </c>
      <c r="U939" s="28">
        <f t="array" ref="U939">IFERROR(VLOOKUP($T939,'Nghi hoc T12'!$H$7:$I$160,2,0),0)</f>
        <v>0</v>
      </c>
      <c r="V939" s="28">
        <f>IFERROR(VLOOKUP($T939,No_HP!$B$2:$C$514,2,0),0)</f>
        <v>0</v>
      </c>
      <c r="W939" s="28">
        <f t="shared" si="85"/>
        <v>0</v>
      </c>
      <c r="X939" s="333">
        <f t="shared" si="86"/>
        <v>0</v>
      </c>
      <c r="Y939" s="333">
        <f t="shared" si="87"/>
        <v>0</v>
      </c>
    </row>
    <row r="940" spans="1:25" s="2" customFormat="1" ht="21.95" customHeight="1">
      <c r="A940" s="82">
        <v>26</v>
      </c>
      <c r="B940" s="91" t="str">
        <f t="shared" si="88"/>
        <v>14A.T</v>
      </c>
      <c r="C940" s="83" t="s">
        <v>365</v>
      </c>
      <c r="D940" s="81" t="s">
        <v>519</v>
      </c>
      <c r="E940" s="48">
        <v>100932</v>
      </c>
      <c r="F940" s="30" t="s">
        <v>210</v>
      </c>
      <c r="G940" s="29" t="s">
        <v>1333</v>
      </c>
      <c r="H940" s="30" t="s">
        <v>1684</v>
      </c>
      <c r="I940" s="78"/>
      <c r="J940" s="20"/>
      <c r="K940" s="20"/>
      <c r="L940" s="20"/>
      <c r="M940" s="20"/>
      <c r="N940" s="179" t="s">
        <v>502</v>
      </c>
      <c r="O940" s="70">
        <v>0</v>
      </c>
      <c r="P940" s="70">
        <v>0</v>
      </c>
      <c r="Q940" s="70">
        <v>0</v>
      </c>
      <c r="R940" s="70"/>
      <c r="S940" s="67"/>
      <c r="T940" s="2" t="str">
        <f t="shared" si="84"/>
        <v>Võ Minh Vàng_11AT7</v>
      </c>
      <c r="U940" s="28">
        <f t="array" ref="U940">IFERROR(VLOOKUP($T940,'Nghi hoc T12'!$H$7:$I$160,2,0),0)</f>
        <v>0</v>
      </c>
      <c r="V940" s="28">
        <f>IFERROR(VLOOKUP($T940,No_HP!$B$2:$C$514,2,0),0)</f>
        <v>0</v>
      </c>
      <c r="W940" s="28">
        <f t="shared" si="85"/>
        <v>0</v>
      </c>
      <c r="X940" s="333">
        <f t="shared" si="86"/>
        <v>0</v>
      </c>
      <c r="Y940" s="333">
        <f t="shared" si="87"/>
        <v>0</v>
      </c>
    </row>
    <row r="941" spans="1:25" s="2" customFormat="1" ht="21.95" customHeight="1">
      <c r="A941" s="82">
        <v>27</v>
      </c>
      <c r="B941" s="91" t="str">
        <f t="shared" si="88"/>
        <v>14A.T</v>
      </c>
      <c r="C941" s="83" t="s">
        <v>365</v>
      </c>
      <c r="D941" s="81" t="s">
        <v>519</v>
      </c>
      <c r="E941" s="48">
        <v>100933</v>
      </c>
      <c r="F941" s="30" t="s">
        <v>1732</v>
      </c>
      <c r="G941" s="29" t="s">
        <v>60</v>
      </c>
      <c r="H941" s="30" t="s">
        <v>1710</v>
      </c>
      <c r="I941" s="78"/>
      <c r="J941" s="20"/>
      <c r="K941" s="20"/>
      <c r="L941" s="20"/>
      <c r="M941" s="20"/>
      <c r="N941" s="179" t="s">
        <v>502</v>
      </c>
      <c r="O941" s="70">
        <v>0</v>
      </c>
      <c r="P941" s="70">
        <v>0</v>
      </c>
      <c r="Q941" s="70">
        <v>0</v>
      </c>
      <c r="R941" s="70"/>
      <c r="S941" s="67"/>
      <c r="T941" s="2" t="str">
        <f t="shared" si="84"/>
        <v>Hoàng Thị Ánh Vân_11AT8</v>
      </c>
      <c r="U941" s="28">
        <f t="array" ref="U941">IFERROR(VLOOKUP($T941,'Nghi hoc T12'!$H$7:$I$160,2,0),0)</f>
        <v>0</v>
      </c>
      <c r="V941" s="28">
        <f>IFERROR(VLOOKUP($T941,No_HP!$B$2:$C$514,2,0),0)</f>
        <v>0</v>
      </c>
      <c r="W941" s="28">
        <f t="shared" si="85"/>
        <v>0</v>
      </c>
      <c r="X941" s="333">
        <f t="shared" si="86"/>
        <v>0</v>
      </c>
      <c r="Y941" s="333">
        <f t="shared" si="87"/>
        <v>0</v>
      </c>
    </row>
    <row r="942" spans="1:25" s="2" customFormat="1" ht="21.95" customHeight="1">
      <c r="A942" s="82">
        <v>28</v>
      </c>
      <c r="B942" s="91" t="str">
        <f t="shared" si="88"/>
        <v>14A.T</v>
      </c>
      <c r="C942" s="83" t="s">
        <v>365</v>
      </c>
      <c r="D942" s="81" t="s">
        <v>519</v>
      </c>
      <c r="E942" s="48">
        <v>100934</v>
      </c>
      <c r="F942" s="30" t="s">
        <v>298</v>
      </c>
      <c r="G942" s="29" t="s">
        <v>60</v>
      </c>
      <c r="H942" s="30" t="s">
        <v>1684</v>
      </c>
      <c r="I942" s="78"/>
      <c r="J942" s="20"/>
      <c r="K942" s="20"/>
      <c r="L942" s="20"/>
      <c r="M942" s="20"/>
      <c r="N942" s="179" t="s">
        <v>502</v>
      </c>
      <c r="O942" s="70">
        <v>0</v>
      </c>
      <c r="P942" s="70">
        <v>0</v>
      </c>
      <c r="Q942" s="70">
        <v>0</v>
      </c>
      <c r="R942" s="70"/>
      <c r="S942" s="67"/>
      <c r="T942" s="2" t="str">
        <f t="shared" si="84"/>
        <v>Nguyễn Thị Khánh Vân_11AT7</v>
      </c>
      <c r="U942" s="28">
        <f t="array" ref="U942">IFERROR(VLOOKUP($T942,'Nghi hoc T12'!$H$7:$I$160,2,0),0)</f>
        <v>0</v>
      </c>
      <c r="V942" s="28">
        <f>IFERROR(VLOOKUP($T942,No_HP!$B$2:$C$514,2,0),0)</f>
        <v>0</v>
      </c>
      <c r="W942" s="28">
        <f t="shared" si="85"/>
        <v>0</v>
      </c>
      <c r="X942" s="333">
        <f t="shared" si="86"/>
        <v>0</v>
      </c>
      <c r="Y942" s="333">
        <f t="shared" si="87"/>
        <v>0</v>
      </c>
    </row>
    <row r="943" spans="1:25" s="2" customFormat="1" ht="21.95" customHeight="1">
      <c r="A943" s="82">
        <v>29</v>
      </c>
      <c r="B943" s="91" t="str">
        <f t="shared" si="88"/>
        <v>14A.T</v>
      </c>
      <c r="C943" s="83" t="s">
        <v>365</v>
      </c>
      <c r="D943" s="81" t="s">
        <v>519</v>
      </c>
      <c r="E943" s="48">
        <v>100935</v>
      </c>
      <c r="F943" s="30" t="s">
        <v>1346</v>
      </c>
      <c r="G943" s="29" t="s">
        <v>33</v>
      </c>
      <c r="H943" s="30" t="s">
        <v>1710</v>
      </c>
      <c r="I943" s="78"/>
      <c r="J943" s="20"/>
      <c r="K943" s="20"/>
      <c r="L943" s="20"/>
      <c r="M943" s="20"/>
      <c r="N943" s="179" t="s">
        <v>502</v>
      </c>
      <c r="O943" s="70">
        <v>0</v>
      </c>
      <c r="P943" s="70">
        <v>0</v>
      </c>
      <c r="Q943" s="70">
        <v>0</v>
      </c>
      <c r="R943" s="70"/>
      <c r="S943" s="67"/>
      <c r="T943" s="2" t="str">
        <f t="shared" si="84"/>
        <v>Trịnh Quốc Việt_11AT8</v>
      </c>
      <c r="U943" s="28">
        <f t="array" ref="U943">IFERROR(VLOOKUP($T943,'Nghi hoc T12'!$H$7:$I$160,2,0),0)</f>
        <v>0</v>
      </c>
      <c r="V943" s="28">
        <f>IFERROR(VLOOKUP($T943,No_HP!$B$2:$C$514,2,0),0)</f>
        <v>0</v>
      </c>
      <c r="W943" s="28">
        <f t="shared" si="85"/>
        <v>0</v>
      </c>
      <c r="X943" s="333">
        <f t="shared" si="86"/>
        <v>0</v>
      </c>
      <c r="Y943" s="333">
        <f t="shared" si="87"/>
        <v>0</v>
      </c>
    </row>
    <row r="944" spans="1:25" s="2" customFormat="1" ht="21.95" customHeight="1">
      <c r="A944" s="82">
        <v>30</v>
      </c>
      <c r="B944" s="91" t="str">
        <f t="shared" si="88"/>
        <v>14A.T</v>
      </c>
      <c r="C944" s="83" t="s">
        <v>365</v>
      </c>
      <c r="D944" s="81" t="s">
        <v>519</v>
      </c>
      <c r="E944" s="48">
        <v>100936</v>
      </c>
      <c r="F944" s="30" t="s">
        <v>1709</v>
      </c>
      <c r="G944" s="29" t="s">
        <v>34</v>
      </c>
      <c r="H944" s="30" t="s">
        <v>1684</v>
      </c>
      <c r="I944" s="78"/>
      <c r="J944" s="20"/>
      <c r="K944" s="20"/>
      <c r="L944" s="20"/>
      <c r="M944" s="20"/>
      <c r="N944" s="179" t="s">
        <v>502</v>
      </c>
      <c r="O944" s="70">
        <v>0</v>
      </c>
      <c r="P944" s="70">
        <v>0</v>
      </c>
      <c r="Q944" s="70">
        <v>0</v>
      </c>
      <c r="R944" s="70"/>
      <c r="S944" s="67"/>
      <c r="T944" s="2" t="str">
        <f t="shared" si="84"/>
        <v>Lê Ngọc Thuý Vy_11AT7</v>
      </c>
      <c r="U944" s="28">
        <f t="array" ref="U944">IFERROR(VLOOKUP($T944,'Nghi hoc T12'!$H$7:$I$160,2,0),0)</f>
        <v>0</v>
      </c>
      <c r="V944" s="28">
        <f>IFERROR(VLOOKUP($T944,No_HP!$B$2:$C$514,2,0),0)</f>
        <v>0</v>
      </c>
      <c r="W944" s="28">
        <f t="shared" si="85"/>
        <v>0</v>
      </c>
      <c r="X944" s="333">
        <f t="shared" si="86"/>
        <v>0</v>
      </c>
      <c r="Y944" s="333">
        <f t="shared" si="87"/>
        <v>0</v>
      </c>
    </row>
    <row r="945" spans="1:25" s="2" customFormat="1" ht="21.95" customHeight="1">
      <c r="A945" s="82">
        <v>31</v>
      </c>
      <c r="B945" s="91" t="str">
        <f t="shared" si="88"/>
        <v>14A.T</v>
      </c>
      <c r="C945" s="83" t="s">
        <v>365</v>
      </c>
      <c r="D945" s="81" t="s">
        <v>519</v>
      </c>
      <c r="E945" s="48">
        <v>100937</v>
      </c>
      <c r="F945" s="30" t="s">
        <v>1689</v>
      </c>
      <c r="G945" s="29" t="s">
        <v>62</v>
      </c>
      <c r="H945" s="30" t="s">
        <v>1710</v>
      </c>
      <c r="I945" s="78"/>
      <c r="J945" s="20"/>
      <c r="K945" s="20"/>
      <c r="L945" s="20"/>
      <c r="M945" s="20"/>
      <c r="N945" s="179" t="s">
        <v>502</v>
      </c>
      <c r="O945" s="70">
        <v>0</v>
      </c>
      <c r="P945" s="70">
        <v>0</v>
      </c>
      <c r="Q945" s="70">
        <v>0</v>
      </c>
      <c r="R945" s="70"/>
      <c r="S945" s="67"/>
      <c r="T945" s="2" t="str">
        <f t="shared" si="84"/>
        <v>Nguyễn Hải Yến_11AT8</v>
      </c>
      <c r="U945" s="28">
        <f t="array" ref="U945">IFERROR(VLOOKUP($T945,'Nghi hoc T12'!$H$7:$I$160,2,0),0)</f>
        <v>0</v>
      </c>
      <c r="V945" s="28">
        <f>IFERROR(VLOOKUP($T945,No_HP!$B$2:$C$514,2,0),0)</f>
        <v>0</v>
      </c>
      <c r="W945" s="28">
        <f t="shared" si="85"/>
        <v>0</v>
      </c>
      <c r="X945" s="333">
        <f t="shared" si="86"/>
        <v>0</v>
      </c>
      <c r="Y945" s="333">
        <f t="shared" si="87"/>
        <v>0</v>
      </c>
    </row>
    <row r="946" spans="1:25" s="195" customFormat="1" ht="21.95" customHeight="1">
      <c r="A946" s="200">
        <v>1</v>
      </c>
      <c r="B946" s="91" t="s">
        <v>3355</v>
      </c>
      <c r="C946" s="185" t="s">
        <v>362</v>
      </c>
      <c r="D946" s="186" t="s">
        <v>508</v>
      </c>
      <c r="E946" s="187">
        <v>100938</v>
      </c>
      <c r="F946" s="188" t="s">
        <v>1758</v>
      </c>
      <c r="G946" s="189" t="s">
        <v>63</v>
      </c>
      <c r="H946" s="188" t="s">
        <v>422</v>
      </c>
      <c r="I946" s="190"/>
      <c r="J946" s="191"/>
      <c r="K946" s="191"/>
      <c r="L946" s="191"/>
      <c r="M946" s="191"/>
      <c r="N946" s="192" t="s">
        <v>256</v>
      </c>
      <c r="O946" s="193">
        <v>0</v>
      </c>
      <c r="P946" s="193">
        <v>0</v>
      </c>
      <c r="Q946" s="70">
        <v>0</v>
      </c>
      <c r="R946" s="193"/>
      <c r="S946" s="194"/>
      <c r="T946" s="2" t="str">
        <f t="shared" si="84"/>
        <v>Dương Bình An_12AS2</v>
      </c>
      <c r="U946" s="28">
        <f t="array" ref="U946">IFERROR(VLOOKUP($T946,'Nghi hoc T12'!$H$7:$I$160,2,0),0)</f>
        <v>0</v>
      </c>
      <c r="V946" s="196">
        <f>IFERROR(VLOOKUP($T946,No_HP!$B$2:$C$514,2,0),0)</f>
        <v>0</v>
      </c>
      <c r="W946" s="28">
        <f t="shared" si="85"/>
        <v>0</v>
      </c>
      <c r="X946" s="333">
        <f t="shared" si="86"/>
        <v>0</v>
      </c>
      <c r="Y946" s="333">
        <f t="shared" si="87"/>
        <v>0</v>
      </c>
    </row>
    <row r="947" spans="1:25" s="2" customFormat="1" ht="21.95" customHeight="1">
      <c r="A947" s="82">
        <v>2</v>
      </c>
      <c r="B947" s="91" t="s">
        <v>3355</v>
      </c>
      <c r="C947" s="83" t="s">
        <v>362</v>
      </c>
      <c r="D947" s="81" t="s">
        <v>508</v>
      </c>
      <c r="E947" s="48">
        <v>100939</v>
      </c>
      <c r="F947" s="30" t="s">
        <v>1423</v>
      </c>
      <c r="G947" s="29" t="s">
        <v>63</v>
      </c>
      <c r="H947" s="30" t="s">
        <v>421</v>
      </c>
      <c r="I947" s="78"/>
      <c r="J947" s="20"/>
      <c r="K947" s="20"/>
      <c r="L947" s="20"/>
      <c r="M947" s="20"/>
      <c r="N947" s="69" t="s">
        <v>256</v>
      </c>
      <c r="O947" s="70">
        <v>0</v>
      </c>
      <c r="P947" s="70">
        <v>0</v>
      </c>
      <c r="Q947" s="70">
        <v>0</v>
      </c>
      <c r="R947" s="70"/>
      <c r="S947" s="67"/>
      <c r="T947" s="2" t="str">
        <f t="shared" si="84"/>
        <v>Nguyễn Thị Thúy An_12AS1</v>
      </c>
      <c r="U947" s="28">
        <f t="array" ref="U947">IFERROR(VLOOKUP($T947,'Nghi hoc T12'!$H$7:$I$160,2,0),0)</f>
        <v>0</v>
      </c>
      <c r="V947" s="28">
        <f>IFERROR(VLOOKUP($T947,No_HP!$B$2:$C$514,2,0),0)</f>
        <v>0</v>
      </c>
      <c r="W947" s="28">
        <f t="shared" si="85"/>
        <v>0</v>
      </c>
      <c r="X947" s="333">
        <f t="shared" si="86"/>
        <v>0</v>
      </c>
      <c r="Y947" s="333">
        <f t="shared" si="87"/>
        <v>0</v>
      </c>
    </row>
    <row r="948" spans="1:25" s="2" customFormat="1" ht="21.95" customHeight="1">
      <c r="A948" s="82">
        <v>3</v>
      </c>
      <c r="B948" s="91" t="s">
        <v>3355</v>
      </c>
      <c r="C948" s="83" t="s">
        <v>362</v>
      </c>
      <c r="D948" s="81" t="s">
        <v>508</v>
      </c>
      <c r="E948" s="48">
        <v>100940</v>
      </c>
      <c r="F948" s="30" t="s">
        <v>167</v>
      </c>
      <c r="G948" s="29" t="s">
        <v>63</v>
      </c>
      <c r="H948" s="30" t="s">
        <v>422</v>
      </c>
      <c r="I948" s="78"/>
      <c r="J948" s="20"/>
      <c r="K948" s="20"/>
      <c r="L948" s="20"/>
      <c r="M948" s="20"/>
      <c r="N948" s="69" t="s">
        <v>256</v>
      </c>
      <c r="O948" s="70">
        <v>0</v>
      </c>
      <c r="P948" s="70">
        <v>0</v>
      </c>
      <c r="Q948" s="70">
        <v>0</v>
      </c>
      <c r="R948" s="70"/>
      <c r="S948" s="67"/>
      <c r="T948" s="2" t="str">
        <f t="shared" si="84"/>
        <v>Trần Thanh An_12AS2</v>
      </c>
      <c r="U948" s="28">
        <f t="array" ref="U948">IFERROR(VLOOKUP($T948,'Nghi hoc T12'!$H$7:$I$160,2,0),0)</f>
        <v>0</v>
      </c>
      <c r="V948" s="28">
        <f>IFERROR(VLOOKUP($T948,No_HP!$B$2:$C$514,2,0),0)</f>
        <v>0</v>
      </c>
      <c r="W948" s="28">
        <f t="shared" si="85"/>
        <v>0</v>
      </c>
      <c r="X948" s="333">
        <f t="shared" si="86"/>
        <v>0</v>
      </c>
      <c r="Y948" s="333">
        <f t="shared" si="87"/>
        <v>0</v>
      </c>
    </row>
    <row r="949" spans="1:25" s="2" customFormat="1" ht="21.95" customHeight="1">
      <c r="A949" s="82">
        <v>4</v>
      </c>
      <c r="B949" s="91" t="s">
        <v>3355</v>
      </c>
      <c r="C949" s="83" t="s">
        <v>362</v>
      </c>
      <c r="D949" s="81" t="s">
        <v>508</v>
      </c>
      <c r="E949" s="48">
        <v>100941</v>
      </c>
      <c r="F949" s="30" t="s">
        <v>1759</v>
      </c>
      <c r="G949" s="29" t="s">
        <v>5</v>
      </c>
      <c r="H949" s="30" t="s">
        <v>422</v>
      </c>
      <c r="I949" s="78"/>
      <c r="J949" s="20"/>
      <c r="K949" s="20"/>
      <c r="L949" s="20"/>
      <c r="M949" s="20"/>
      <c r="N949" s="69" t="s">
        <v>256</v>
      </c>
      <c r="O949" s="70">
        <v>0</v>
      </c>
      <c r="P949" s="70">
        <v>0</v>
      </c>
      <c r="Q949" s="70">
        <v>0</v>
      </c>
      <c r="R949" s="70"/>
      <c r="S949" s="67"/>
      <c r="T949" s="2" t="str">
        <f t="shared" si="84"/>
        <v>Hồ Thị Quỳnh Anh_12AS2</v>
      </c>
      <c r="U949" s="28">
        <f t="array" ref="U949">IFERROR(VLOOKUP($T949,'Nghi hoc T12'!$H$7:$I$160,2,0),0)</f>
        <v>0</v>
      </c>
      <c r="V949" s="28">
        <f>IFERROR(VLOOKUP($T949,No_HP!$B$2:$C$514,2,0),0)</f>
        <v>0</v>
      </c>
      <c r="W949" s="28">
        <f t="shared" si="85"/>
        <v>0</v>
      </c>
      <c r="X949" s="333">
        <f t="shared" si="86"/>
        <v>0</v>
      </c>
      <c r="Y949" s="333">
        <f t="shared" si="87"/>
        <v>0</v>
      </c>
    </row>
    <row r="950" spans="1:25" s="2" customFormat="1" ht="21.95" customHeight="1">
      <c r="A950" s="82">
        <v>5</v>
      </c>
      <c r="B950" s="91" t="s">
        <v>3355</v>
      </c>
      <c r="C950" s="83" t="s">
        <v>362</v>
      </c>
      <c r="D950" s="81" t="s">
        <v>508</v>
      </c>
      <c r="E950" s="48">
        <v>100942</v>
      </c>
      <c r="F950" s="30" t="s">
        <v>1785</v>
      </c>
      <c r="G950" s="29" t="s">
        <v>5</v>
      </c>
      <c r="H950" s="30" t="s">
        <v>418</v>
      </c>
      <c r="I950" s="78"/>
      <c r="J950" s="20"/>
      <c r="K950" s="20"/>
      <c r="L950" s="20"/>
      <c r="M950" s="20"/>
      <c r="N950" s="69" t="s">
        <v>256</v>
      </c>
      <c r="O950" s="70">
        <v>0</v>
      </c>
      <c r="P950" s="70">
        <v>0</v>
      </c>
      <c r="Q950" s="70">
        <v>0</v>
      </c>
      <c r="R950" s="70"/>
      <c r="S950" s="67"/>
      <c r="T950" s="2" t="str">
        <f t="shared" si="84"/>
        <v>Trần Đức Tuấn Anh_12AS3</v>
      </c>
      <c r="U950" s="28">
        <f t="array" ref="U950">IFERROR(VLOOKUP($T950,'Nghi hoc T12'!$H$7:$I$160,2,0),0)</f>
        <v>0</v>
      </c>
      <c r="V950" s="28">
        <f>IFERROR(VLOOKUP($T950,No_HP!$B$2:$C$514,2,0),0)</f>
        <v>0</v>
      </c>
      <c r="W950" s="28">
        <f t="shared" si="85"/>
        <v>0</v>
      </c>
      <c r="X950" s="333">
        <f t="shared" si="86"/>
        <v>0</v>
      </c>
      <c r="Y950" s="333">
        <f t="shared" si="87"/>
        <v>0</v>
      </c>
    </row>
    <row r="951" spans="1:25" s="2" customFormat="1" ht="21.95" customHeight="1">
      <c r="A951" s="82">
        <v>6</v>
      </c>
      <c r="B951" s="91" t="s">
        <v>3355</v>
      </c>
      <c r="C951" s="83" t="s">
        <v>362</v>
      </c>
      <c r="D951" s="81" t="s">
        <v>508</v>
      </c>
      <c r="E951" s="48">
        <v>100943</v>
      </c>
      <c r="F951" s="30" t="s">
        <v>168</v>
      </c>
      <c r="G951" s="29" t="s">
        <v>5</v>
      </c>
      <c r="H951" s="30" t="s">
        <v>418</v>
      </c>
      <c r="I951" s="78"/>
      <c r="J951" s="20"/>
      <c r="K951" s="20"/>
      <c r="L951" s="20"/>
      <c r="M951" s="20"/>
      <c r="N951" s="69" t="s">
        <v>256</v>
      </c>
      <c r="O951" s="70">
        <v>0</v>
      </c>
      <c r="P951" s="70">
        <v>0</v>
      </c>
      <c r="Q951" s="70">
        <v>0</v>
      </c>
      <c r="R951" s="70"/>
      <c r="S951" s="67"/>
      <c r="T951" s="2" t="str">
        <f t="shared" si="84"/>
        <v>Trần Quang Anh_12AS3</v>
      </c>
      <c r="U951" s="28">
        <f t="array" ref="U951">IFERROR(VLOOKUP($T951,'Nghi hoc T12'!$H$7:$I$160,2,0),0)</f>
        <v>0</v>
      </c>
      <c r="V951" s="28">
        <f>IFERROR(VLOOKUP($T951,No_HP!$B$2:$C$514,2,0),0)</f>
        <v>0</v>
      </c>
      <c r="W951" s="28">
        <f t="shared" si="85"/>
        <v>0</v>
      </c>
      <c r="X951" s="333">
        <f t="shared" si="86"/>
        <v>0</v>
      </c>
      <c r="Y951" s="333">
        <f t="shared" si="87"/>
        <v>0</v>
      </c>
    </row>
    <row r="952" spans="1:25" s="2" customFormat="1" ht="21.95" customHeight="1">
      <c r="A952" s="82">
        <v>7</v>
      </c>
      <c r="B952" s="91" t="s">
        <v>3355</v>
      </c>
      <c r="C952" s="83" t="s">
        <v>362</v>
      </c>
      <c r="D952" s="81" t="s">
        <v>508</v>
      </c>
      <c r="E952" s="48">
        <v>100944</v>
      </c>
      <c r="F952" s="30" t="s">
        <v>1760</v>
      </c>
      <c r="G952" s="29" t="s">
        <v>83</v>
      </c>
      <c r="H952" s="30" t="s">
        <v>422</v>
      </c>
      <c r="I952" s="78"/>
      <c r="J952" s="20"/>
      <c r="K952" s="20"/>
      <c r="L952" s="20"/>
      <c r="M952" s="20"/>
      <c r="N952" s="69" t="s">
        <v>256</v>
      </c>
      <c r="O952" s="70">
        <v>0</v>
      </c>
      <c r="P952" s="70">
        <v>0</v>
      </c>
      <c r="Q952" s="70">
        <v>0</v>
      </c>
      <c r="R952" s="70"/>
      <c r="S952" s="67"/>
      <c r="T952" s="2" t="str">
        <f t="shared" si="84"/>
        <v>Dương Gia Bảo_12AS2</v>
      </c>
      <c r="U952" s="28">
        <f t="array" ref="U952">IFERROR(VLOOKUP($T952,'Nghi hoc T12'!$H$7:$I$160,2,0),0)</f>
        <v>0</v>
      </c>
      <c r="V952" s="28">
        <f>IFERROR(VLOOKUP($T952,No_HP!$B$2:$C$514,2,0),0)</f>
        <v>0</v>
      </c>
      <c r="W952" s="28">
        <f t="shared" si="85"/>
        <v>0</v>
      </c>
      <c r="X952" s="333">
        <f t="shared" si="86"/>
        <v>0</v>
      </c>
      <c r="Y952" s="333">
        <f t="shared" si="87"/>
        <v>0</v>
      </c>
    </row>
    <row r="953" spans="1:25" s="2" customFormat="1" ht="21.95" customHeight="1">
      <c r="A953" s="82">
        <v>8</v>
      </c>
      <c r="B953" s="91" t="s">
        <v>3355</v>
      </c>
      <c r="C953" s="83" t="s">
        <v>362</v>
      </c>
      <c r="D953" s="81" t="s">
        <v>508</v>
      </c>
      <c r="E953" s="48">
        <v>100945</v>
      </c>
      <c r="F953" s="30" t="s">
        <v>118</v>
      </c>
      <c r="G953" s="29" t="s">
        <v>83</v>
      </c>
      <c r="H953" s="30" t="s">
        <v>421</v>
      </c>
      <c r="I953" s="78"/>
      <c r="J953" s="20"/>
      <c r="K953" s="20"/>
      <c r="L953" s="20"/>
      <c r="M953" s="20"/>
      <c r="N953" s="69" t="s">
        <v>256</v>
      </c>
      <c r="O953" s="70">
        <v>0</v>
      </c>
      <c r="P953" s="70">
        <v>0</v>
      </c>
      <c r="Q953" s="70">
        <v>0</v>
      </c>
      <c r="R953" s="70"/>
      <c r="S953" s="67"/>
      <c r="T953" s="2" t="str">
        <f t="shared" si="84"/>
        <v>Nguyễn Quốc Bảo_12AS1</v>
      </c>
      <c r="U953" s="28">
        <f t="array" ref="U953">IFERROR(VLOOKUP($T953,'Nghi hoc T12'!$H$7:$I$160,2,0),0)</f>
        <v>0</v>
      </c>
      <c r="V953" s="28">
        <f>IFERROR(VLOOKUP($T953,No_HP!$B$2:$C$514,2,0),0)</f>
        <v>0</v>
      </c>
      <c r="W953" s="28">
        <f t="shared" si="85"/>
        <v>0</v>
      </c>
      <c r="X953" s="333">
        <f t="shared" si="86"/>
        <v>0</v>
      </c>
      <c r="Y953" s="333">
        <f t="shared" si="87"/>
        <v>0</v>
      </c>
    </row>
    <row r="954" spans="1:25" s="2" customFormat="1" ht="21.95" customHeight="1">
      <c r="A954" s="82">
        <v>9</v>
      </c>
      <c r="B954" s="91" t="s">
        <v>3355</v>
      </c>
      <c r="C954" s="83" t="s">
        <v>362</v>
      </c>
      <c r="D954" s="81" t="s">
        <v>508</v>
      </c>
      <c r="E954" s="48">
        <v>100946</v>
      </c>
      <c r="F954" s="30" t="s">
        <v>139</v>
      </c>
      <c r="G954" s="29" t="s">
        <v>107</v>
      </c>
      <c r="H954" s="30" t="s">
        <v>421</v>
      </c>
      <c r="I954" s="78"/>
      <c r="J954" s="20"/>
      <c r="K954" s="20"/>
      <c r="L954" s="20"/>
      <c r="M954" s="20"/>
      <c r="N954" s="69" t="s">
        <v>256</v>
      </c>
      <c r="O954" s="70">
        <v>0</v>
      </c>
      <c r="P954" s="70">
        <v>0</v>
      </c>
      <c r="Q954" s="70">
        <v>0</v>
      </c>
      <c r="R954" s="70"/>
      <c r="S954" s="67"/>
      <c r="T954" s="2" t="str">
        <f t="shared" si="84"/>
        <v>Lương Ngọc Châu_12AS1</v>
      </c>
      <c r="U954" s="28">
        <f t="array" ref="U954">IFERROR(VLOOKUP($T954,'Nghi hoc T12'!$H$7:$I$160,2,0),0)</f>
        <v>0</v>
      </c>
      <c r="V954" s="28">
        <f>IFERROR(VLOOKUP($T954,No_HP!$B$2:$C$514,2,0),0)</f>
        <v>0</v>
      </c>
      <c r="W954" s="28">
        <f t="shared" si="85"/>
        <v>0</v>
      </c>
      <c r="X954" s="333">
        <f t="shared" si="86"/>
        <v>0</v>
      </c>
      <c r="Y954" s="333">
        <f t="shared" si="87"/>
        <v>0</v>
      </c>
    </row>
    <row r="955" spans="1:25" s="2" customFormat="1" ht="21.95" customHeight="1">
      <c r="A955" s="82">
        <v>10</v>
      </c>
      <c r="B955" s="91" t="s">
        <v>3355</v>
      </c>
      <c r="C955" s="83" t="s">
        <v>362</v>
      </c>
      <c r="D955" s="81" t="s">
        <v>508</v>
      </c>
      <c r="E955" s="48">
        <v>100947</v>
      </c>
      <c r="F955" s="30" t="s">
        <v>170</v>
      </c>
      <c r="G955" s="29" t="s">
        <v>107</v>
      </c>
      <c r="H955" s="30" t="s">
        <v>421</v>
      </c>
      <c r="I955" s="78"/>
      <c r="J955" s="20"/>
      <c r="K955" s="20"/>
      <c r="L955" s="20"/>
      <c r="M955" s="20"/>
      <c r="N955" s="69" t="s">
        <v>256</v>
      </c>
      <c r="O955" s="70">
        <v>0</v>
      </c>
      <c r="P955" s="70">
        <v>0</v>
      </c>
      <c r="Q955" s="70">
        <v>0</v>
      </c>
      <c r="R955" s="70"/>
      <c r="S955" s="67"/>
      <c r="T955" s="2" t="str">
        <f t="shared" si="84"/>
        <v>Nguyễn Ngọc Minh Châu_12AS1</v>
      </c>
      <c r="U955" s="28">
        <f t="array" ref="U955">IFERROR(VLOOKUP($T955,'Nghi hoc T12'!$H$7:$I$160,2,0),0)</f>
        <v>0</v>
      </c>
      <c r="V955" s="28">
        <f>IFERROR(VLOOKUP($T955,No_HP!$B$2:$C$514,2,0),0)</f>
        <v>0</v>
      </c>
      <c r="W955" s="28">
        <f t="shared" si="85"/>
        <v>0</v>
      </c>
      <c r="X955" s="333">
        <f t="shared" si="86"/>
        <v>0</v>
      </c>
      <c r="Y955" s="333">
        <f t="shared" si="87"/>
        <v>0</v>
      </c>
    </row>
    <row r="956" spans="1:25" s="2" customFormat="1" ht="21.95" customHeight="1">
      <c r="A956" s="82">
        <v>11</v>
      </c>
      <c r="B956" s="91" t="s">
        <v>3355</v>
      </c>
      <c r="C956" s="83" t="s">
        <v>362</v>
      </c>
      <c r="D956" s="81" t="s">
        <v>508</v>
      </c>
      <c r="E956" s="48">
        <v>100948</v>
      </c>
      <c r="F956" s="30" t="s">
        <v>141</v>
      </c>
      <c r="G956" s="29" t="s">
        <v>140</v>
      </c>
      <c r="H956" s="30" t="s">
        <v>418</v>
      </c>
      <c r="I956" s="78"/>
      <c r="J956" s="20"/>
      <c r="K956" s="20"/>
      <c r="L956" s="20"/>
      <c r="M956" s="20"/>
      <c r="N956" s="69" t="s">
        <v>256</v>
      </c>
      <c r="O956" s="70">
        <v>0</v>
      </c>
      <c r="P956" s="70">
        <v>0</v>
      </c>
      <c r="Q956" s="70">
        <v>0</v>
      </c>
      <c r="R956" s="70"/>
      <c r="S956" s="67"/>
      <c r="T956" s="2" t="str">
        <f t="shared" si="84"/>
        <v>Nguyễn Thị Mỹ Dung_12AS3</v>
      </c>
      <c r="U956" s="28">
        <f t="array" ref="U956">IFERROR(VLOOKUP($T956,'Nghi hoc T12'!$H$7:$I$160,2,0),0)</f>
        <v>0</v>
      </c>
      <c r="V956" s="28">
        <f>IFERROR(VLOOKUP($T956,No_HP!$B$2:$C$514,2,0),0)</f>
        <v>0</v>
      </c>
      <c r="W956" s="28">
        <f t="shared" si="85"/>
        <v>0</v>
      </c>
      <c r="X956" s="333">
        <f t="shared" si="86"/>
        <v>0</v>
      </c>
      <c r="Y956" s="333">
        <f t="shared" si="87"/>
        <v>0</v>
      </c>
    </row>
    <row r="957" spans="1:25" s="2" customFormat="1" ht="21.95" customHeight="1">
      <c r="A957" s="82">
        <v>12</v>
      </c>
      <c r="B957" s="91" t="s">
        <v>3355</v>
      </c>
      <c r="C957" s="83" t="s">
        <v>362</v>
      </c>
      <c r="D957" s="81" t="s">
        <v>508</v>
      </c>
      <c r="E957" s="48">
        <v>100949</v>
      </c>
      <c r="F957" s="30" t="s">
        <v>1733</v>
      </c>
      <c r="G957" s="29" t="s">
        <v>6</v>
      </c>
      <c r="H957" s="30" t="s">
        <v>421</v>
      </c>
      <c r="I957" s="78"/>
      <c r="J957" s="20"/>
      <c r="K957" s="20"/>
      <c r="L957" s="20"/>
      <c r="M957" s="20"/>
      <c r="N957" s="69" t="s">
        <v>256</v>
      </c>
      <c r="O957" s="70">
        <v>0</v>
      </c>
      <c r="P957" s="70">
        <v>0</v>
      </c>
      <c r="Q957" s="70">
        <v>0</v>
      </c>
      <c r="R957" s="70"/>
      <c r="S957" s="67"/>
      <c r="T957" s="2" t="str">
        <f t="shared" si="84"/>
        <v>Nguyễn Quang Tiến Dũng_12AS1</v>
      </c>
      <c r="U957" s="28">
        <f t="array" ref="U957">IFERROR(VLOOKUP($T957,'Nghi hoc T12'!$H$7:$I$160,2,0),0)</f>
        <v>0</v>
      </c>
      <c r="V957" s="28">
        <f>IFERROR(VLOOKUP($T957,No_HP!$B$2:$C$514,2,0),0)</f>
        <v>0</v>
      </c>
      <c r="W957" s="28">
        <f t="shared" si="85"/>
        <v>0</v>
      </c>
      <c r="X957" s="333">
        <f t="shared" si="86"/>
        <v>0</v>
      </c>
      <c r="Y957" s="333">
        <f t="shared" si="87"/>
        <v>0</v>
      </c>
    </row>
    <row r="958" spans="1:25" s="2" customFormat="1" ht="21.95" customHeight="1">
      <c r="A958" s="82">
        <v>13</v>
      </c>
      <c r="B958" s="91" t="s">
        <v>3355</v>
      </c>
      <c r="C958" s="83" t="s">
        <v>362</v>
      </c>
      <c r="D958" s="81" t="s">
        <v>508</v>
      </c>
      <c r="E958" s="48">
        <v>100950</v>
      </c>
      <c r="F958" s="30" t="s">
        <v>1761</v>
      </c>
      <c r="G958" s="29" t="s">
        <v>65</v>
      </c>
      <c r="H958" s="30" t="s">
        <v>422</v>
      </c>
      <c r="I958" s="78"/>
      <c r="J958" s="20"/>
      <c r="K958" s="20"/>
      <c r="L958" s="20"/>
      <c r="M958" s="20"/>
      <c r="N958" s="69" t="s">
        <v>256</v>
      </c>
      <c r="O958" s="70">
        <v>0</v>
      </c>
      <c r="P958" s="70">
        <v>0</v>
      </c>
      <c r="Q958" s="70">
        <v>0</v>
      </c>
      <c r="R958" s="70"/>
      <c r="S958" s="67"/>
      <c r="T958" s="2" t="str">
        <f t="shared" si="84"/>
        <v>Chu Đăng Duy_12AS2</v>
      </c>
      <c r="U958" s="28">
        <f t="array" ref="U958">IFERROR(VLOOKUP($T958,'Nghi hoc T12'!$H$7:$I$160,2,0),0)</f>
        <v>0</v>
      </c>
      <c r="V958" s="28">
        <f>IFERROR(VLOOKUP($T958,No_HP!$B$2:$C$514,2,0),0)</f>
        <v>0</v>
      </c>
      <c r="W958" s="28">
        <f t="shared" si="85"/>
        <v>0</v>
      </c>
      <c r="X958" s="333">
        <f t="shared" si="86"/>
        <v>0</v>
      </c>
      <c r="Y958" s="333">
        <f t="shared" si="87"/>
        <v>0</v>
      </c>
    </row>
    <row r="959" spans="1:25" s="2" customFormat="1" ht="21.95" customHeight="1">
      <c r="A959" s="82">
        <v>14</v>
      </c>
      <c r="B959" s="91" t="s">
        <v>3355</v>
      </c>
      <c r="C959" s="83" t="s">
        <v>362</v>
      </c>
      <c r="D959" s="81" t="s">
        <v>508</v>
      </c>
      <c r="E959" s="48">
        <v>100951</v>
      </c>
      <c r="F959" s="30" t="s">
        <v>45</v>
      </c>
      <c r="G959" s="29" t="s">
        <v>53</v>
      </c>
      <c r="H959" s="30" t="s">
        <v>422</v>
      </c>
      <c r="I959" s="78"/>
      <c r="J959" s="20"/>
      <c r="K959" s="20"/>
      <c r="L959" s="20"/>
      <c r="M959" s="20"/>
      <c r="N959" s="69" t="s">
        <v>256</v>
      </c>
      <c r="O959" s="70">
        <v>0</v>
      </c>
      <c r="P959" s="70">
        <v>0</v>
      </c>
      <c r="Q959" s="70">
        <v>0</v>
      </c>
      <c r="R959" s="70"/>
      <c r="S959" s="67"/>
      <c r="T959" s="2" t="str">
        <f t="shared" si="84"/>
        <v>Nguyễn Quang Dương_12AS2</v>
      </c>
      <c r="U959" s="28">
        <f t="array" ref="U959">IFERROR(VLOOKUP($T959,'Nghi hoc T12'!$H$7:$I$160,2,0),0)</f>
        <v>0</v>
      </c>
      <c r="V959" s="28">
        <f>IFERROR(VLOOKUP($T959,No_HP!$B$2:$C$514,2,0),0)</f>
        <v>0</v>
      </c>
      <c r="W959" s="28">
        <f t="shared" si="85"/>
        <v>0</v>
      </c>
      <c r="X959" s="333">
        <f t="shared" si="86"/>
        <v>0</v>
      </c>
      <c r="Y959" s="333">
        <f t="shared" si="87"/>
        <v>0</v>
      </c>
    </row>
    <row r="960" spans="1:25" s="2" customFormat="1" ht="21.95" customHeight="1">
      <c r="A960" s="82">
        <v>15</v>
      </c>
      <c r="B960" s="91" t="s">
        <v>3355</v>
      </c>
      <c r="C960" s="83" t="s">
        <v>362</v>
      </c>
      <c r="D960" s="81" t="s">
        <v>508</v>
      </c>
      <c r="E960" s="48">
        <v>100952</v>
      </c>
      <c r="F960" s="30" t="s">
        <v>142</v>
      </c>
      <c r="G960" s="29" t="s">
        <v>7</v>
      </c>
      <c r="H960" s="30" t="s">
        <v>418</v>
      </c>
      <c r="I960" s="78"/>
      <c r="J960" s="20"/>
      <c r="K960" s="20"/>
      <c r="L960" s="20"/>
      <c r="M960" s="20"/>
      <c r="N960" s="69" t="s">
        <v>256</v>
      </c>
      <c r="O960" s="70">
        <v>0</v>
      </c>
      <c r="P960" s="70">
        <v>0</v>
      </c>
      <c r="Q960" s="70">
        <v>0</v>
      </c>
      <c r="R960" s="70"/>
      <c r="S960" s="67"/>
      <c r="T960" s="2" t="str">
        <f t="shared" si="84"/>
        <v>Nguyễn Tấn Đạt_12AS3</v>
      </c>
      <c r="U960" s="28">
        <f t="array" ref="U960">IFERROR(VLOOKUP($T960,'Nghi hoc T12'!$H$7:$I$160,2,0),0)</f>
        <v>0</v>
      </c>
      <c r="V960" s="28">
        <f>IFERROR(VLOOKUP($T960,No_HP!$B$2:$C$514,2,0),0)</f>
        <v>0</v>
      </c>
      <c r="W960" s="28">
        <f t="shared" si="85"/>
        <v>0</v>
      </c>
      <c r="X960" s="333">
        <f t="shared" si="86"/>
        <v>0</v>
      </c>
      <c r="Y960" s="333">
        <f t="shared" si="87"/>
        <v>0</v>
      </c>
    </row>
    <row r="961" spans="1:25" s="2" customFormat="1" ht="21.95" customHeight="1">
      <c r="A961" s="82">
        <v>16</v>
      </c>
      <c r="B961" s="91" t="s">
        <v>3355</v>
      </c>
      <c r="C961" s="83" t="s">
        <v>362</v>
      </c>
      <c r="D961" s="81" t="s">
        <v>508</v>
      </c>
      <c r="E961" s="48">
        <v>100953</v>
      </c>
      <c r="F961" s="30" t="s">
        <v>1762</v>
      </c>
      <c r="G961" s="29" t="s">
        <v>7</v>
      </c>
      <c r="H961" s="30" t="s">
        <v>422</v>
      </c>
      <c r="I961" s="78"/>
      <c r="J961" s="20"/>
      <c r="K961" s="20"/>
      <c r="L961" s="20"/>
      <c r="M961" s="20"/>
      <c r="N961" s="69" t="s">
        <v>256</v>
      </c>
      <c r="O961" s="70">
        <v>0</v>
      </c>
      <c r="P961" s="70">
        <v>0</v>
      </c>
      <c r="Q961" s="70">
        <v>0</v>
      </c>
      <c r="R961" s="70"/>
      <c r="S961" s="67"/>
      <c r="T961" s="2" t="str">
        <f t="shared" si="84"/>
        <v>Trần Nhựt Minh Đạt_12AS2</v>
      </c>
      <c r="U961" s="28">
        <f t="array" ref="U961">IFERROR(VLOOKUP($T961,'Nghi hoc T12'!$H$7:$I$160,2,0),0)</f>
        <v>0</v>
      </c>
      <c r="V961" s="28">
        <f>IFERROR(VLOOKUP($T961,No_HP!$B$2:$C$514,2,0),0)</f>
        <v>0</v>
      </c>
      <c r="W961" s="28">
        <f t="shared" si="85"/>
        <v>0</v>
      </c>
      <c r="X961" s="333">
        <f t="shared" si="86"/>
        <v>0</v>
      </c>
      <c r="Y961" s="333">
        <f t="shared" si="87"/>
        <v>0</v>
      </c>
    </row>
    <row r="962" spans="1:25" s="2" customFormat="1" ht="21.95" customHeight="1">
      <c r="A962" s="82">
        <v>17</v>
      </c>
      <c r="B962" s="91" t="s">
        <v>3355</v>
      </c>
      <c r="C962" s="83" t="s">
        <v>362</v>
      </c>
      <c r="D962" s="81" t="s">
        <v>508</v>
      </c>
      <c r="E962" s="48">
        <v>100954</v>
      </c>
      <c r="F962" s="30" t="s">
        <v>1786</v>
      </c>
      <c r="G962" s="29" t="s">
        <v>7</v>
      </c>
      <c r="H962" s="30" t="s">
        <v>418</v>
      </c>
      <c r="I962" s="78"/>
      <c r="J962" s="20"/>
      <c r="K962" s="20"/>
      <c r="L962" s="20"/>
      <c r="M962" s="20"/>
      <c r="N962" s="69" t="s">
        <v>256</v>
      </c>
      <c r="O962" s="70">
        <v>0</v>
      </c>
      <c r="P962" s="70">
        <v>0</v>
      </c>
      <c r="Q962" s="70">
        <v>0</v>
      </c>
      <c r="R962" s="70"/>
      <c r="S962" s="67"/>
      <c r="T962" s="2" t="str">
        <f t="shared" si="84"/>
        <v>Trần Xuân Đạt_12AS3</v>
      </c>
      <c r="U962" s="28">
        <f t="array" ref="U962">IFERROR(VLOOKUP($T962,'Nghi hoc T12'!$H$7:$I$160,2,0),0)</f>
        <v>0</v>
      </c>
      <c r="V962" s="28">
        <f>IFERROR(VLOOKUP($T962,No_HP!$B$2:$C$514,2,0),0)</f>
        <v>0</v>
      </c>
      <c r="W962" s="28">
        <f t="shared" si="85"/>
        <v>0</v>
      </c>
      <c r="X962" s="333">
        <f t="shared" si="86"/>
        <v>0</v>
      </c>
      <c r="Y962" s="333">
        <f t="shared" si="87"/>
        <v>0</v>
      </c>
    </row>
    <row r="963" spans="1:25" s="2" customFormat="1" ht="21.95" customHeight="1">
      <c r="A963" s="82">
        <v>18</v>
      </c>
      <c r="B963" s="91" t="s">
        <v>3355</v>
      </c>
      <c r="C963" s="83" t="s">
        <v>362</v>
      </c>
      <c r="D963" s="81" t="s">
        <v>508</v>
      </c>
      <c r="E963" s="48">
        <v>100955</v>
      </c>
      <c r="F963" s="30" t="s">
        <v>1734</v>
      </c>
      <c r="G963" s="29" t="s">
        <v>36</v>
      </c>
      <c r="H963" s="30" t="s">
        <v>421</v>
      </c>
      <c r="I963" s="78"/>
      <c r="J963" s="20"/>
      <c r="K963" s="20"/>
      <c r="L963" s="20"/>
      <c r="M963" s="20"/>
      <c r="N963" s="69" t="s">
        <v>256</v>
      </c>
      <c r="O963" s="70">
        <v>0</v>
      </c>
      <c r="P963" s="70">
        <v>0</v>
      </c>
      <c r="Q963" s="70">
        <v>0</v>
      </c>
      <c r="R963" s="70"/>
      <c r="S963" s="67"/>
      <c r="T963" s="2" t="str">
        <f t="shared" si="84"/>
        <v>Trần Tiến Đức_12AS1</v>
      </c>
      <c r="U963" s="28">
        <f t="array" ref="U963">IFERROR(VLOOKUP($T963,'Nghi hoc T12'!$H$7:$I$160,2,0),0)</f>
        <v>0</v>
      </c>
      <c r="V963" s="28">
        <f>IFERROR(VLOOKUP($T963,No_HP!$B$2:$C$514,2,0),0)</f>
        <v>0</v>
      </c>
      <c r="W963" s="28">
        <f t="shared" si="85"/>
        <v>0</v>
      </c>
      <c r="X963" s="333">
        <f t="shared" si="86"/>
        <v>0</v>
      </c>
      <c r="Y963" s="333">
        <f t="shared" si="87"/>
        <v>0</v>
      </c>
    </row>
    <row r="964" spans="1:25" s="2" customFormat="1" ht="21.95" customHeight="1">
      <c r="A964" s="82">
        <v>19</v>
      </c>
      <c r="B964" s="91" t="s">
        <v>3355</v>
      </c>
      <c r="C964" s="83" t="s">
        <v>362</v>
      </c>
      <c r="D964" s="81" t="s">
        <v>508</v>
      </c>
      <c r="E964" s="48">
        <v>100956</v>
      </c>
      <c r="F964" s="30" t="s">
        <v>1763</v>
      </c>
      <c r="G964" s="29" t="s">
        <v>143</v>
      </c>
      <c r="H964" s="30" t="s">
        <v>422</v>
      </c>
      <c r="I964" s="78"/>
      <c r="J964" s="20"/>
      <c r="K964" s="20"/>
      <c r="L964" s="20"/>
      <c r="M964" s="20"/>
      <c r="N964" s="69" t="s">
        <v>256</v>
      </c>
      <c r="O964" s="70">
        <v>0</v>
      </c>
      <c r="P964" s="70">
        <v>0</v>
      </c>
      <c r="Q964" s="70">
        <v>0</v>
      </c>
      <c r="R964" s="70"/>
      <c r="S964" s="67"/>
      <c r="T964" s="2" t="str">
        <f t="shared" si="84"/>
        <v>Dương Thu Hà_12AS2</v>
      </c>
      <c r="U964" s="28">
        <f t="array" ref="U964">IFERROR(VLOOKUP($T964,'Nghi hoc T12'!$H$7:$I$160,2,0),0)</f>
        <v>0</v>
      </c>
      <c r="V964" s="28">
        <f>IFERROR(VLOOKUP($T964,No_HP!$B$2:$C$514,2,0),0)</f>
        <v>0</v>
      </c>
      <c r="W964" s="28">
        <f t="shared" si="85"/>
        <v>0</v>
      </c>
      <c r="X964" s="333">
        <f t="shared" si="86"/>
        <v>0</v>
      </c>
      <c r="Y964" s="333">
        <f t="shared" si="87"/>
        <v>0</v>
      </c>
    </row>
    <row r="965" spans="1:25" s="2" customFormat="1" ht="21.95" customHeight="1">
      <c r="A965" s="82">
        <v>20</v>
      </c>
      <c r="B965" s="91" t="s">
        <v>3355</v>
      </c>
      <c r="C965" s="83" t="s">
        <v>362</v>
      </c>
      <c r="D965" s="81" t="s">
        <v>508</v>
      </c>
      <c r="E965" s="48">
        <v>100957</v>
      </c>
      <c r="F965" s="30" t="s">
        <v>56</v>
      </c>
      <c r="G965" s="29" t="s">
        <v>143</v>
      </c>
      <c r="H965" s="30" t="s">
        <v>421</v>
      </c>
      <c r="I965" s="78"/>
      <c r="J965" s="20"/>
      <c r="K965" s="20"/>
      <c r="L965" s="20"/>
      <c r="M965" s="20"/>
      <c r="N965" s="69" t="s">
        <v>256</v>
      </c>
      <c r="O965" s="70">
        <v>0</v>
      </c>
      <c r="P965" s="70">
        <v>0</v>
      </c>
      <c r="Q965" s="70">
        <v>0</v>
      </c>
      <c r="R965" s="70"/>
      <c r="S965" s="67"/>
      <c r="T965" s="2" t="str">
        <f t="shared" si="84"/>
        <v>Nguyễn Thị Thu Hà_12AS1</v>
      </c>
      <c r="U965" s="28">
        <f t="array" ref="U965">IFERROR(VLOOKUP($T965,'Nghi hoc T12'!$H$7:$I$160,2,0),0)</f>
        <v>0</v>
      </c>
      <c r="V965" s="28">
        <f>IFERROR(VLOOKUP($T965,No_HP!$B$2:$C$514,2,0),0)</f>
        <v>0</v>
      </c>
      <c r="W965" s="28">
        <f t="shared" si="85"/>
        <v>0</v>
      </c>
      <c r="X965" s="333">
        <f t="shared" si="86"/>
        <v>0</v>
      </c>
      <c r="Y965" s="333">
        <f t="shared" si="87"/>
        <v>0</v>
      </c>
    </row>
    <row r="966" spans="1:25" s="2" customFormat="1" ht="21.95" customHeight="1">
      <c r="A966" s="82">
        <v>21</v>
      </c>
      <c r="B966" s="91" t="s">
        <v>3355</v>
      </c>
      <c r="C966" s="83" t="s">
        <v>362</v>
      </c>
      <c r="D966" s="81" t="s">
        <v>508</v>
      </c>
      <c r="E966" s="48">
        <v>100958</v>
      </c>
      <c r="F966" s="30" t="s">
        <v>1265</v>
      </c>
      <c r="G966" s="29" t="s">
        <v>143</v>
      </c>
      <c r="H966" s="30" t="s">
        <v>422</v>
      </c>
      <c r="I966" s="78"/>
      <c r="J966" s="20"/>
      <c r="K966" s="20"/>
      <c r="L966" s="20"/>
      <c r="M966" s="20"/>
      <c r="N966" s="69" t="s">
        <v>256</v>
      </c>
      <c r="O966" s="70">
        <v>0</v>
      </c>
      <c r="P966" s="70">
        <v>0</v>
      </c>
      <c r="Q966" s="70">
        <v>0</v>
      </c>
      <c r="R966" s="70"/>
      <c r="S966" s="67"/>
      <c r="T966" s="2" t="str">
        <f t="shared" si="84"/>
        <v>Nguyễn Thu Hà_12AS2</v>
      </c>
      <c r="U966" s="28">
        <f t="array" ref="U966">IFERROR(VLOOKUP($T966,'Nghi hoc T12'!$H$7:$I$160,2,0),0)</f>
        <v>0</v>
      </c>
      <c r="V966" s="28">
        <f>IFERROR(VLOOKUP($T966,No_HP!$B$2:$C$514,2,0),0)</f>
        <v>0</v>
      </c>
      <c r="W966" s="28">
        <f t="shared" si="85"/>
        <v>0</v>
      </c>
      <c r="X966" s="333">
        <f t="shared" si="86"/>
        <v>0</v>
      </c>
      <c r="Y966" s="333">
        <f t="shared" si="87"/>
        <v>0</v>
      </c>
    </row>
    <row r="967" spans="1:25" s="2" customFormat="1" ht="21.95" customHeight="1">
      <c r="A967" s="82">
        <v>22</v>
      </c>
      <c r="B967" s="91" t="s">
        <v>3355</v>
      </c>
      <c r="C967" s="83" t="s">
        <v>362</v>
      </c>
      <c r="D967" s="81" t="s">
        <v>508</v>
      </c>
      <c r="E967" s="48">
        <v>100959</v>
      </c>
      <c r="F967" s="30" t="s">
        <v>144</v>
      </c>
      <c r="G967" s="29" t="s">
        <v>143</v>
      </c>
      <c r="H967" s="30" t="s">
        <v>418</v>
      </c>
      <c r="I967" s="78"/>
      <c r="J967" s="20"/>
      <c r="K967" s="20"/>
      <c r="L967" s="20"/>
      <c r="M967" s="20"/>
      <c r="N967" s="69" t="s">
        <v>256</v>
      </c>
      <c r="O967" s="70">
        <v>0</v>
      </c>
      <c r="P967" s="70">
        <v>0</v>
      </c>
      <c r="Q967" s="70">
        <v>0</v>
      </c>
      <c r="R967" s="70"/>
      <c r="S967" s="67"/>
      <c r="T967" s="2" t="str">
        <f t="shared" si="84"/>
        <v>Trương Ngọc Hà_12AS3</v>
      </c>
      <c r="U967" s="28">
        <f t="array" ref="U967">IFERROR(VLOOKUP($T967,'Nghi hoc T12'!$H$7:$I$160,2,0),0)</f>
        <v>0</v>
      </c>
      <c r="V967" s="28">
        <f>IFERROR(VLOOKUP($T967,No_HP!$B$2:$C$514,2,0),0)</f>
        <v>0</v>
      </c>
      <c r="W967" s="28">
        <f t="shared" si="85"/>
        <v>0</v>
      </c>
      <c r="X967" s="333">
        <f t="shared" si="86"/>
        <v>0</v>
      </c>
      <c r="Y967" s="333">
        <f t="shared" si="87"/>
        <v>0</v>
      </c>
    </row>
    <row r="968" spans="1:25" s="2" customFormat="1" ht="21.95" customHeight="1">
      <c r="A968" s="82">
        <v>23</v>
      </c>
      <c r="B968" s="91" t="s">
        <v>3355</v>
      </c>
      <c r="C968" s="83" t="s">
        <v>362</v>
      </c>
      <c r="D968" s="81" t="s">
        <v>508</v>
      </c>
      <c r="E968" s="48">
        <v>100960</v>
      </c>
      <c r="F968" s="30" t="s">
        <v>172</v>
      </c>
      <c r="G968" s="29" t="s">
        <v>171</v>
      </c>
      <c r="H968" s="30" t="s">
        <v>418</v>
      </c>
      <c r="I968" s="78"/>
      <c r="J968" s="20"/>
      <c r="K968" s="20"/>
      <c r="L968" s="20"/>
      <c r="M968" s="20"/>
      <c r="N968" s="69" t="s">
        <v>256</v>
      </c>
      <c r="O968" s="70">
        <v>0</v>
      </c>
      <c r="P968" s="70">
        <v>0</v>
      </c>
      <c r="Q968" s="70">
        <v>0</v>
      </c>
      <c r="R968" s="70"/>
      <c r="S968" s="67"/>
      <c r="T968" s="2" t="str">
        <f t="shared" si="84"/>
        <v>Vũ Đức Hải_12AS3</v>
      </c>
      <c r="U968" s="28">
        <f t="array" ref="U968">IFERROR(VLOOKUP($T968,'Nghi hoc T12'!$H$7:$I$160,2,0),0)</f>
        <v>0</v>
      </c>
      <c r="V968" s="28">
        <f>IFERROR(VLOOKUP($T968,No_HP!$B$2:$C$514,2,0),0)</f>
        <v>0</v>
      </c>
      <c r="W968" s="28">
        <f t="shared" si="85"/>
        <v>0</v>
      </c>
      <c r="X968" s="333">
        <f t="shared" si="86"/>
        <v>0</v>
      </c>
      <c r="Y968" s="333">
        <f t="shared" si="87"/>
        <v>0</v>
      </c>
    </row>
    <row r="969" spans="1:25" s="2" customFormat="1" ht="21.95" customHeight="1">
      <c r="A969" s="82">
        <v>24</v>
      </c>
      <c r="B969" s="91" t="s">
        <v>3355</v>
      </c>
      <c r="C969" s="83" t="s">
        <v>362</v>
      </c>
      <c r="D969" s="81" t="s">
        <v>508</v>
      </c>
      <c r="E969" s="48">
        <v>100961</v>
      </c>
      <c r="F969" s="30" t="s">
        <v>1735</v>
      </c>
      <c r="G969" s="29" t="s">
        <v>1736</v>
      </c>
      <c r="H969" s="30" t="s">
        <v>421</v>
      </c>
      <c r="I969" s="78"/>
      <c r="J969" s="20"/>
      <c r="K969" s="20"/>
      <c r="L969" s="20"/>
      <c r="M969" s="20"/>
      <c r="N969" s="69" t="s">
        <v>256</v>
      </c>
      <c r="O969" s="70">
        <v>0</v>
      </c>
      <c r="P969" s="70">
        <v>0</v>
      </c>
      <c r="Q969" s="70">
        <v>0</v>
      </c>
      <c r="R969" s="70"/>
      <c r="S969" s="67"/>
      <c r="T969" s="2" t="str">
        <f t="shared" si="84"/>
        <v>Hồ Nguyễn Ngọc Hạnh_12AS1</v>
      </c>
      <c r="U969" s="28">
        <f t="array" ref="U969">IFERROR(VLOOKUP($T969,'Nghi hoc T12'!$H$7:$I$160,2,0),0)</f>
        <v>0</v>
      </c>
      <c r="V969" s="28">
        <f>IFERROR(VLOOKUP($T969,No_HP!$B$2:$C$514,2,0),0)</f>
        <v>0</v>
      </c>
      <c r="W969" s="28">
        <f t="shared" si="85"/>
        <v>0</v>
      </c>
      <c r="X969" s="333">
        <f t="shared" si="86"/>
        <v>0</v>
      </c>
      <c r="Y969" s="333">
        <f t="shared" si="87"/>
        <v>0</v>
      </c>
    </row>
    <row r="970" spans="1:25" s="2" customFormat="1" ht="21.95" customHeight="1">
      <c r="A970" s="82">
        <v>25</v>
      </c>
      <c r="B970" s="91" t="s">
        <v>3355</v>
      </c>
      <c r="C970" s="83" t="s">
        <v>362</v>
      </c>
      <c r="D970" s="81" t="s">
        <v>508</v>
      </c>
      <c r="E970" s="48">
        <v>100962</v>
      </c>
      <c r="F970" s="30" t="s">
        <v>1764</v>
      </c>
      <c r="G970" s="29" t="s">
        <v>78</v>
      </c>
      <c r="H970" s="30" t="s">
        <v>422</v>
      </c>
      <c r="I970" s="78"/>
      <c r="J970" s="20"/>
      <c r="K970" s="20"/>
      <c r="L970" s="20"/>
      <c r="M970" s="20"/>
      <c r="N970" s="69" t="s">
        <v>256</v>
      </c>
      <c r="O970" s="70">
        <v>0</v>
      </c>
      <c r="P970" s="70">
        <v>0</v>
      </c>
      <c r="Q970" s="70">
        <v>0</v>
      </c>
      <c r="R970" s="70"/>
      <c r="S970" s="67"/>
      <c r="T970" s="2" t="str">
        <f t="shared" ref="T970:T1033" si="89">TRIM(F970&amp;" "&amp;G970&amp;"_"&amp;H970)</f>
        <v>Tôn Thất Anh Hào_12AS2</v>
      </c>
      <c r="U970" s="28">
        <f t="array" ref="U970">IFERROR(VLOOKUP($T970,'Nghi hoc T12'!$H$7:$I$160,2,0),0)</f>
        <v>0</v>
      </c>
      <c r="V970" s="28">
        <f>IFERROR(VLOOKUP($T970,No_HP!$B$2:$C$514,2,0),0)</f>
        <v>0</v>
      </c>
      <c r="W970" s="28">
        <f t="shared" ref="W970:W1033" si="90">I970</f>
        <v>0</v>
      </c>
      <c r="X970" s="333">
        <f t="shared" ref="X970:X1033" si="91">O970</f>
        <v>0</v>
      </c>
      <c r="Y970" s="333">
        <f t="shared" ref="Y970:Y1033" si="92">P970</f>
        <v>0</v>
      </c>
    </row>
    <row r="971" spans="1:25" s="2" customFormat="1" ht="21.95" customHeight="1">
      <c r="A971" s="200">
        <v>1</v>
      </c>
      <c r="B971" s="91" t="s">
        <v>3356</v>
      </c>
      <c r="C971" s="185" t="s">
        <v>362</v>
      </c>
      <c r="D971" s="186" t="s">
        <v>509</v>
      </c>
      <c r="E971" s="187">
        <v>100963</v>
      </c>
      <c r="F971" s="188" t="s">
        <v>1765</v>
      </c>
      <c r="G971" s="189" t="s">
        <v>173</v>
      </c>
      <c r="H971" s="188" t="s">
        <v>422</v>
      </c>
      <c r="I971" s="190"/>
      <c r="J971" s="191"/>
      <c r="K971" s="191"/>
      <c r="L971" s="191"/>
      <c r="M971" s="191"/>
      <c r="N971" s="69" t="s">
        <v>256</v>
      </c>
      <c r="O971" s="70">
        <v>0</v>
      </c>
      <c r="P971" s="70">
        <v>0</v>
      </c>
      <c r="Q971" s="70">
        <v>0</v>
      </c>
      <c r="R971" s="70"/>
      <c r="S971" s="67"/>
      <c r="T971" s="2" t="str">
        <f t="shared" si="89"/>
        <v>Đinh Thị Hằng_12AS2</v>
      </c>
      <c r="U971" s="28">
        <f t="array" ref="U971">IFERROR(VLOOKUP($T971,'Nghi hoc T12'!$H$7:$I$160,2,0),0)</f>
        <v>0</v>
      </c>
      <c r="V971" s="28">
        <f>IFERROR(VLOOKUP($T971,No_HP!$B$2:$C$514,2,0),0)</f>
        <v>0</v>
      </c>
      <c r="W971" s="28">
        <f t="shared" si="90"/>
        <v>0</v>
      </c>
      <c r="X971" s="333">
        <f t="shared" si="91"/>
        <v>0</v>
      </c>
      <c r="Y971" s="333">
        <f t="shared" si="92"/>
        <v>0</v>
      </c>
    </row>
    <row r="972" spans="1:25" s="2" customFormat="1" ht="21.95" customHeight="1">
      <c r="A972" s="82">
        <v>2</v>
      </c>
      <c r="B972" s="91" t="s">
        <v>3356</v>
      </c>
      <c r="C972" s="83" t="s">
        <v>362</v>
      </c>
      <c r="D972" s="81" t="s">
        <v>509</v>
      </c>
      <c r="E972" s="48">
        <v>100964</v>
      </c>
      <c r="F972" s="30" t="s">
        <v>1737</v>
      </c>
      <c r="G972" s="29" t="s">
        <v>84</v>
      </c>
      <c r="H972" s="30" t="s">
        <v>421</v>
      </c>
      <c r="I972" s="78"/>
      <c r="J972" s="20"/>
      <c r="K972" s="20"/>
      <c r="L972" s="20"/>
      <c r="M972" s="20"/>
      <c r="N972" s="69" t="s">
        <v>256</v>
      </c>
      <c r="O972" s="70">
        <v>0</v>
      </c>
      <c r="P972" s="70">
        <v>0</v>
      </c>
      <c r="Q972" s="70">
        <v>0</v>
      </c>
      <c r="R972" s="70"/>
      <c r="S972" s="67"/>
      <c r="T972" s="2" t="str">
        <f t="shared" si="89"/>
        <v>Đoàn Trần Ngọc Hân_12AS1</v>
      </c>
      <c r="U972" s="28">
        <f t="array" ref="U972">IFERROR(VLOOKUP($T972,'Nghi hoc T12'!$H$7:$I$160,2,0),0)</f>
        <v>0</v>
      </c>
      <c r="V972" s="28">
        <f>IFERROR(VLOOKUP($T972,No_HP!$B$2:$C$514,2,0),0)</f>
        <v>0</v>
      </c>
      <c r="W972" s="28">
        <f t="shared" si="90"/>
        <v>0</v>
      </c>
      <c r="X972" s="333">
        <f t="shared" si="91"/>
        <v>0</v>
      </c>
      <c r="Y972" s="333">
        <f t="shared" si="92"/>
        <v>0</v>
      </c>
    </row>
    <row r="973" spans="1:25" s="2" customFormat="1" ht="21.95" customHeight="1">
      <c r="A973" s="82">
        <v>3</v>
      </c>
      <c r="B973" s="91" t="s">
        <v>3356</v>
      </c>
      <c r="C973" s="83" t="s">
        <v>362</v>
      </c>
      <c r="D973" s="81" t="s">
        <v>509</v>
      </c>
      <c r="E973" s="48">
        <v>100965</v>
      </c>
      <c r="F973" s="30" t="s">
        <v>1738</v>
      </c>
      <c r="G973" s="29" t="s">
        <v>145</v>
      </c>
      <c r="H973" s="30" t="s">
        <v>421</v>
      </c>
      <c r="I973" s="78"/>
      <c r="J973" s="20"/>
      <c r="K973" s="20"/>
      <c r="L973" s="20"/>
      <c r="M973" s="20"/>
      <c r="N973" s="69" t="s">
        <v>256</v>
      </c>
      <c r="O973" s="70">
        <v>0</v>
      </c>
      <c r="P973" s="70">
        <v>0</v>
      </c>
      <c r="Q973" s="70">
        <v>0</v>
      </c>
      <c r="R973" s="70"/>
      <c r="S973" s="67"/>
      <c r="T973" s="2" t="str">
        <f t="shared" si="89"/>
        <v>Trần Trọng Hiệp_12AS1</v>
      </c>
      <c r="U973" s="28">
        <f t="array" ref="U973">IFERROR(VLOOKUP($T973,'Nghi hoc T12'!$H$7:$I$160,2,0),0)</f>
        <v>0</v>
      </c>
      <c r="V973" s="28">
        <f>IFERROR(VLOOKUP($T973,No_HP!$B$2:$C$514,2,0),0)</f>
        <v>0</v>
      </c>
      <c r="W973" s="28">
        <f t="shared" si="90"/>
        <v>0</v>
      </c>
      <c r="X973" s="333">
        <f t="shared" si="91"/>
        <v>0</v>
      </c>
      <c r="Y973" s="333">
        <f t="shared" si="92"/>
        <v>0</v>
      </c>
    </row>
    <row r="974" spans="1:25" s="2" customFormat="1" ht="21.95" customHeight="1">
      <c r="A974" s="82">
        <v>4</v>
      </c>
      <c r="B974" s="91" t="s">
        <v>3356</v>
      </c>
      <c r="C974" s="83" t="s">
        <v>362</v>
      </c>
      <c r="D974" s="81" t="s">
        <v>509</v>
      </c>
      <c r="E974" s="48">
        <v>100966</v>
      </c>
      <c r="F974" s="30" t="s">
        <v>472</v>
      </c>
      <c r="G974" s="29" t="s">
        <v>9</v>
      </c>
      <c r="H974" s="30" t="s">
        <v>421</v>
      </c>
      <c r="I974" s="78"/>
      <c r="J974" s="20"/>
      <c r="K974" s="20"/>
      <c r="L974" s="20"/>
      <c r="M974" s="20"/>
      <c r="N974" s="69" t="s">
        <v>256</v>
      </c>
      <c r="O974" s="70">
        <v>0</v>
      </c>
      <c r="P974" s="70">
        <v>0</v>
      </c>
      <c r="Q974" s="70">
        <v>0</v>
      </c>
      <c r="R974" s="70"/>
      <c r="S974" s="67"/>
      <c r="T974" s="2" t="str">
        <f t="shared" si="89"/>
        <v>Bùi Đức Hiếu_12AS1</v>
      </c>
      <c r="U974" s="28">
        <f t="array" ref="U974">IFERROR(VLOOKUP($T974,'Nghi hoc T12'!$H$7:$I$160,2,0),0)</f>
        <v>0</v>
      </c>
      <c r="V974" s="28">
        <f>IFERROR(VLOOKUP($T974,No_HP!$B$2:$C$514,2,0),0)</f>
        <v>0</v>
      </c>
      <c r="W974" s="28">
        <f t="shared" si="90"/>
        <v>0</v>
      </c>
      <c r="X974" s="333">
        <f t="shared" si="91"/>
        <v>0</v>
      </c>
      <c r="Y974" s="333">
        <f t="shared" si="92"/>
        <v>0</v>
      </c>
    </row>
    <row r="975" spans="1:25" s="2" customFormat="1" ht="21.95" customHeight="1">
      <c r="A975" s="82">
        <v>5</v>
      </c>
      <c r="B975" s="91" t="s">
        <v>3356</v>
      </c>
      <c r="C975" s="83" t="s">
        <v>362</v>
      </c>
      <c r="D975" s="81" t="s">
        <v>509</v>
      </c>
      <c r="E975" s="48">
        <v>100967</v>
      </c>
      <c r="F975" s="30" t="s">
        <v>1787</v>
      </c>
      <c r="G975" s="29" t="s">
        <v>9</v>
      </c>
      <c r="H975" s="30" t="s">
        <v>418</v>
      </c>
      <c r="I975" s="78"/>
      <c r="J975" s="20"/>
      <c r="K975" s="20"/>
      <c r="L975" s="20"/>
      <c r="M975" s="20"/>
      <c r="N975" s="69" t="s">
        <v>256</v>
      </c>
      <c r="O975" s="70">
        <v>0</v>
      </c>
      <c r="P975" s="70">
        <v>0</v>
      </c>
      <c r="Q975" s="70">
        <v>0</v>
      </c>
      <c r="R975" s="70"/>
      <c r="S975" s="67"/>
      <c r="T975" s="2" t="str">
        <f t="shared" si="89"/>
        <v>Đoàn Trung Hiếu_12AS3</v>
      </c>
      <c r="U975" s="28">
        <f t="array" ref="U975">IFERROR(VLOOKUP($T975,'Nghi hoc T12'!$H$7:$I$160,2,0),0)</f>
        <v>0</v>
      </c>
      <c r="V975" s="28">
        <f>IFERROR(VLOOKUP($T975,No_HP!$B$2:$C$514,2,0),0)</f>
        <v>0</v>
      </c>
      <c r="W975" s="28">
        <f t="shared" si="90"/>
        <v>0</v>
      </c>
      <c r="X975" s="333">
        <f t="shared" si="91"/>
        <v>0</v>
      </c>
      <c r="Y975" s="333">
        <f t="shared" si="92"/>
        <v>0</v>
      </c>
    </row>
    <row r="976" spans="1:25" s="2" customFormat="1" ht="21.95" customHeight="1">
      <c r="A976" s="82">
        <v>6</v>
      </c>
      <c r="B976" s="91" t="s">
        <v>3356</v>
      </c>
      <c r="C976" s="83" t="s">
        <v>362</v>
      </c>
      <c r="D976" s="81" t="s">
        <v>509</v>
      </c>
      <c r="E976" s="48">
        <v>100968</v>
      </c>
      <c r="F976" s="30" t="s">
        <v>174</v>
      </c>
      <c r="G976" s="29" t="s">
        <v>9</v>
      </c>
      <c r="H976" s="30" t="s">
        <v>422</v>
      </c>
      <c r="I976" s="78"/>
      <c r="J976" s="20"/>
      <c r="K976" s="20"/>
      <c r="L976" s="20"/>
      <c r="M976" s="20"/>
      <c r="N976" s="69" t="s">
        <v>256</v>
      </c>
      <c r="O976" s="70">
        <v>0</v>
      </c>
      <c r="P976" s="70">
        <v>0</v>
      </c>
      <c r="Q976" s="70">
        <v>0</v>
      </c>
      <c r="R976" s="70"/>
      <c r="S976" s="67"/>
      <c r="T976" s="2" t="str">
        <f t="shared" si="89"/>
        <v>Lê Văn Hiếu_12AS2</v>
      </c>
      <c r="U976" s="28">
        <f t="array" ref="U976">IFERROR(VLOOKUP($T976,'Nghi hoc T12'!$H$7:$I$160,2,0),0)</f>
        <v>0</v>
      </c>
      <c r="V976" s="28">
        <f>IFERROR(VLOOKUP($T976,No_HP!$B$2:$C$514,2,0),0)</f>
        <v>0</v>
      </c>
      <c r="W976" s="28">
        <f t="shared" si="90"/>
        <v>0</v>
      </c>
      <c r="X976" s="333">
        <f t="shared" si="91"/>
        <v>0</v>
      </c>
      <c r="Y976" s="333">
        <f t="shared" si="92"/>
        <v>0</v>
      </c>
    </row>
    <row r="977" spans="1:25" s="2" customFormat="1" ht="21.95" customHeight="1">
      <c r="A977" s="82">
        <v>7</v>
      </c>
      <c r="B977" s="91" t="s">
        <v>3356</v>
      </c>
      <c r="C977" s="83" t="s">
        <v>362</v>
      </c>
      <c r="D977" s="81" t="s">
        <v>509</v>
      </c>
      <c r="E977" s="48">
        <v>100969</v>
      </c>
      <c r="F977" s="30" t="s">
        <v>146</v>
      </c>
      <c r="G977" s="29" t="s">
        <v>9</v>
      </c>
      <c r="H977" s="30" t="s">
        <v>418</v>
      </c>
      <c r="I977" s="78"/>
      <c r="J977" s="20"/>
      <c r="K977" s="20"/>
      <c r="L977" s="20"/>
      <c r="M977" s="20"/>
      <c r="N977" s="69" t="s">
        <v>256</v>
      </c>
      <c r="O977" s="70">
        <v>0</v>
      </c>
      <c r="P977" s="70">
        <v>0</v>
      </c>
      <c r="Q977" s="70">
        <v>0</v>
      </c>
      <c r="R977" s="70"/>
      <c r="S977" s="67"/>
      <c r="T977" s="2" t="str">
        <f t="shared" si="89"/>
        <v>Nguyễn Bá Hiếu_12AS3</v>
      </c>
      <c r="U977" s="28">
        <f t="array" ref="U977">IFERROR(VLOOKUP($T977,'Nghi hoc T12'!$H$7:$I$160,2,0),0)</f>
        <v>0</v>
      </c>
      <c r="V977" s="28">
        <f>IFERROR(VLOOKUP($T977,No_HP!$B$2:$C$514,2,0),0)</f>
        <v>0</v>
      </c>
      <c r="W977" s="28">
        <f t="shared" si="90"/>
        <v>0</v>
      </c>
      <c r="X977" s="333">
        <f t="shared" si="91"/>
        <v>0</v>
      </c>
      <c r="Y977" s="333">
        <f t="shared" si="92"/>
        <v>0</v>
      </c>
    </row>
    <row r="978" spans="1:25" s="2" customFormat="1" ht="21.95" customHeight="1">
      <c r="A978" s="82">
        <v>8</v>
      </c>
      <c r="B978" s="91" t="s">
        <v>3356</v>
      </c>
      <c r="C978" s="83" t="s">
        <v>362</v>
      </c>
      <c r="D978" s="81" t="s">
        <v>509</v>
      </c>
      <c r="E978" s="48">
        <v>100970</v>
      </c>
      <c r="F978" s="30" t="s">
        <v>156</v>
      </c>
      <c r="G978" s="29" t="s">
        <v>9</v>
      </c>
      <c r="H978" s="30" t="s">
        <v>421</v>
      </c>
      <c r="I978" s="78"/>
      <c r="J978" s="20"/>
      <c r="K978" s="20"/>
      <c r="L978" s="20"/>
      <c r="M978" s="20"/>
      <c r="N978" s="69" t="s">
        <v>256</v>
      </c>
      <c r="O978" s="70">
        <v>0</v>
      </c>
      <c r="P978" s="70">
        <v>0</v>
      </c>
      <c r="Q978" s="70">
        <v>0</v>
      </c>
      <c r="R978" s="70"/>
      <c r="S978" s="67"/>
      <c r="T978" s="2" t="str">
        <f t="shared" si="89"/>
        <v>Trần Minh Hiếu_12AS1</v>
      </c>
      <c r="U978" s="28">
        <f t="array" ref="U978">IFERROR(VLOOKUP($T978,'Nghi hoc T12'!$H$7:$I$160,2,0),0)</f>
        <v>0</v>
      </c>
      <c r="V978" s="28">
        <f>IFERROR(VLOOKUP($T978,No_HP!$B$2:$C$514,2,0),0)</f>
        <v>0</v>
      </c>
      <c r="W978" s="28">
        <f t="shared" si="90"/>
        <v>0</v>
      </c>
      <c r="X978" s="333">
        <f t="shared" si="91"/>
        <v>0</v>
      </c>
      <c r="Y978" s="333">
        <f t="shared" si="92"/>
        <v>0</v>
      </c>
    </row>
    <row r="979" spans="1:25" s="2" customFormat="1" ht="21.95" customHeight="1">
      <c r="A979" s="82">
        <v>9</v>
      </c>
      <c r="B979" s="91" t="s">
        <v>3356</v>
      </c>
      <c r="C979" s="83" t="s">
        <v>362</v>
      </c>
      <c r="D979" s="81" t="s">
        <v>509</v>
      </c>
      <c r="E979" s="48">
        <v>100971</v>
      </c>
      <c r="F979" s="30" t="s">
        <v>175</v>
      </c>
      <c r="G979" s="29" t="s">
        <v>90</v>
      </c>
      <c r="H979" s="30" t="s">
        <v>421</v>
      </c>
      <c r="I979" s="78"/>
      <c r="J979" s="20"/>
      <c r="K979" s="20"/>
      <c r="L979" s="20"/>
      <c r="M979" s="20"/>
      <c r="N979" s="69" t="s">
        <v>256</v>
      </c>
      <c r="O979" s="70">
        <v>0</v>
      </c>
      <c r="P979" s="70">
        <v>0</v>
      </c>
      <c r="Q979" s="70">
        <v>0</v>
      </c>
      <c r="R979" s="70"/>
      <c r="S979" s="67"/>
      <c r="T979" s="2" t="str">
        <f t="shared" si="89"/>
        <v>Nguyễn Khánh Hòa_12AS1</v>
      </c>
      <c r="U979" s="28">
        <f t="array" ref="U979">IFERROR(VLOOKUP($T979,'Nghi hoc T12'!$H$7:$I$160,2,0),0)</f>
        <v>0</v>
      </c>
      <c r="V979" s="28">
        <f>IFERROR(VLOOKUP($T979,No_HP!$B$2:$C$514,2,0),0)</f>
        <v>0</v>
      </c>
      <c r="W979" s="28">
        <f t="shared" si="90"/>
        <v>0</v>
      </c>
      <c r="X979" s="333">
        <f t="shared" si="91"/>
        <v>0</v>
      </c>
      <c r="Y979" s="333">
        <f t="shared" si="92"/>
        <v>0</v>
      </c>
    </row>
    <row r="980" spans="1:25" s="2" customFormat="1" ht="21.95" customHeight="1">
      <c r="A980" s="82">
        <v>10</v>
      </c>
      <c r="B980" s="91" t="s">
        <v>3356</v>
      </c>
      <c r="C980" s="83" t="s">
        <v>362</v>
      </c>
      <c r="D980" s="81" t="s">
        <v>509</v>
      </c>
      <c r="E980" s="48">
        <v>100972</v>
      </c>
      <c r="F980" s="30" t="s">
        <v>147</v>
      </c>
      <c r="G980" s="29" t="s">
        <v>10</v>
      </c>
      <c r="H980" s="30" t="s">
        <v>421</v>
      </c>
      <c r="I980" s="78"/>
      <c r="J980" s="20"/>
      <c r="K980" s="20"/>
      <c r="L980" s="20"/>
      <c r="M980" s="20"/>
      <c r="N980" s="69" t="s">
        <v>256</v>
      </c>
      <c r="O980" s="70">
        <v>0</v>
      </c>
      <c r="P980" s="70">
        <v>0</v>
      </c>
      <c r="Q980" s="70">
        <v>0</v>
      </c>
      <c r="R980" s="70"/>
      <c r="S980" s="67"/>
      <c r="T980" s="2" t="str">
        <f t="shared" si="89"/>
        <v>Ngô Huy Hoàng_12AS1</v>
      </c>
      <c r="U980" s="28">
        <f t="array" ref="U980">IFERROR(VLOOKUP($T980,'Nghi hoc T12'!$H$7:$I$160,2,0),0)</f>
        <v>0</v>
      </c>
      <c r="V980" s="28">
        <f>IFERROR(VLOOKUP($T980,No_HP!$B$2:$C$514,2,0),0)</f>
        <v>0</v>
      </c>
      <c r="W980" s="28">
        <f t="shared" si="90"/>
        <v>0</v>
      </c>
      <c r="X980" s="333">
        <f t="shared" si="91"/>
        <v>0</v>
      </c>
      <c r="Y980" s="333">
        <f t="shared" si="92"/>
        <v>0</v>
      </c>
    </row>
    <row r="981" spans="1:25" s="2" customFormat="1" ht="21.95" customHeight="1">
      <c r="A981" s="82">
        <v>11</v>
      </c>
      <c r="B981" s="91" t="s">
        <v>3356</v>
      </c>
      <c r="C981" s="83" t="s">
        <v>362</v>
      </c>
      <c r="D981" s="81" t="s">
        <v>509</v>
      </c>
      <c r="E981" s="48">
        <v>100973</v>
      </c>
      <c r="F981" s="30" t="s">
        <v>148</v>
      </c>
      <c r="G981" s="29" t="s">
        <v>11</v>
      </c>
      <c r="H981" s="30" t="s">
        <v>422</v>
      </c>
      <c r="I981" s="78"/>
      <c r="J981" s="20"/>
      <c r="K981" s="20"/>
      <c r="L981" s="20"/>
      <c r="M981" s="20"/>
      <c r="N981" s="69" t="s">
        <v>256</v>
      </c>
      <c r="O981" s="70">
        <v>0</v>
      </c>
      <c r="P981" s="70">
        <v>0</v>
      </c>
      <c r="Q981" s="70">
        <v>0</v>
      </c>
      <c r="R981" s="70"/>
      <c r="S981" s="67"/>
      <c r="T981" s="2" t="str">
        <f t="shared" si="89"/>
        <v>Nguyễn Anh Huy_12AS2</v>
      </c>
      <c r="U981" s="28">
        <f t="array" ref="U981">IFERROR(VLOOKUP($T981,'Nghi hoc T12'!$H$7:$I$160,2,0),0)</f>
        <v>0</v>
      </c>
      <c r="V981" s="28">
        <f>IFERROR(VLOOKUP($T981,No_HP!$B$2:$C$514,2,0),0)</f>
        <v>0</v>
      </c>
      <c r="W981" s="28">
        <f t="shared" si="90"/>
        <v>0</v>
      </c>
      <c r="X981" s="333">
        <f t="shared" si="91"/>
        <v>0</v>
      </c>
      <c r="Y981" s="333">
        <f t="shared" si="92"/>
        <v>0</v>
      </c>
    </row>
    <row r="982" spans="1:25" s="2" customFormat="1" ht="21.95" customHeight="1">
      <c r="A982" s="82">
        <v>12</v>
      </c>
      <c r="B982" s="91" t="s">
        <v>3356</v>
      </c>
      <c r="C982" s="83" t="s">
        <v>362</v>
      </c>
      <c r="D982" s="81" t="s">
        <v>509</v>
      </c>
      <c r="E982" s="48">
        <v>100974</v>
      </c>
      <c r="F982" s="30" t="s">
        <v>118</v>
      </c>
      <c r="G982" s="29" t="s">
        <v>11</v>
      </c>
      <c r="H982" s="30" t="s">
        <v>421</v>
      </c>
      <c r="I982" s="78"/>
      <c r="J982" s="20"/>
      <c r="K982" s="20"/>
      <c r="L982" s="20"/>
      <c r="M982" s="20"/>
      <c r="N982" s="69" t="s">
        <v>256</v>
      </c>
      <c r="O982" s="70">
        <v>0</v>
      </c>
      <c r="P982" s="70">
        <v>0</v>
      </c>
      <c r="Q982" s="70">
        <v>0</v>
      </c>
      <c r="R982" s="70"/>
      <c r="S982" s="67"/>
      <c r="T982" s="2" t="str">
        <f t="shared" si="89"/>
        <v>Nguyễn Quốc Huy_12AS1</v>
      </c>
      <c r="U982" s="28">
        <f t="array" ref="U982">IFERROR(VLOOKUP($T982,'Nghi hoc T12'!$H$7:$I$160,2,0),0)</f>
        <v>0</v>
      </c>
      <c r="V982" s="28">
        <f>IFERROR(VLOOKUP($T982,No_HP!$B$2:$C$514,2,0),0)</f>
        <v>0</v>
      </c>
      <c r="W982" s="28">
        <f t="shared" si="90"/>
        <v>0</v>
      </c>
      <c r="X982" s="333">
        <f t="shared" si="91"/>
        <v>0</v>
      </c>
      <c r="Y982" s="333">
        <f t="shared" si="92"/>
        <v>0</v>
      </c>
    </row>
    <row r="983" spans="1:25" s="2" customFormat="1" ht="21.95" customHeight="1">
      <c r="A983" s="82">
        <v>13</v>
      </c>
      <c r="B983" s="91" t="s">
        <v>3356</v>
      </c>
      <c r="C983" s="83" t="s">
        <v>362</v>
      </c>
      <c r="D983" s="81" t="s">
        <v>509</v>
      </c>
      <c r="E983" s="48">
        <v>100975</v>
      </c>
      <c r="F983" s="30" t="s">
        <v>1699</v>
      </c>
      <c r="G983" s="29" t="s">
        <v>11</v>
      </c>
      <c r="H983" s="30" t="s">
        <v>422</v>
      </c>
      <c r="I983" s="78"/>
      <c r="J983" s="20"/>
      <c r="K983" s="20"/>
      <c r="L983" s="20"/>
      <c r="M983" s="20"/>
      <c r="N983" s="69" t="s">
        <v>256</v>
      </c>
      <c r="O983" s="70">
        <v>0</v>
      </c>
      <c r="P983" s="70">
        <v>0</v>
      </c>
      <c r="Q983" s="70">
        <v>0</v>
      </c>
      <c r="R983" s="70"/>
      <c r="S983" s="67"/>
      <c r="T983" s="2" t="str">
        <f t="shared" si="89"/>
        <v>Nguyễn Trương Gia Huy_12AS2</v>
      </c>
      <c r="U983" s="28">
        <f t="array" ref="U983">IFERROR(VLOOKUP($T983,'Nghi hoc T12'!$H$7:$I$160,2,0),0)</f>
        <v>0</v>
      </c>
      <c r="V983" s="28">
        <f>IFERROR(VLOOKUP($T983,No_HP!$B$2:$C$514,2,0),0)</f>
        <v>0</v>
      </c>
      <c r="W983" s="28">
        <f t="shared" si="90"/>
        <v>0</v>
      </c>
      <c r="X983" s="333">
        <f t="shared" si="91"/>
        <v>0</v>
      </c>
      <c r="Y983" s="333">
        <f t="shared" si="92"/>
        <v>0</v>
      </c>
    </row>
    <row r="984" spans="1:25" s="2" customFormat="1" ht="21.95" customHeight="1">
      <c r="A984" s="82">
        <v>14</v>
      </c>
      <c r="B984" s="91" t="s">
        <v>3356</v>
      </c>
      <c r="C984" s="83" t="s">
        <v>362</v>
      </c>
      <c r="D984" s="81" t="s">
        <v>509</v>
      </c>
      <c r="E984" s="48">
        <v>100976</v>
      </c>
      <c r="F984" s="30" t="s">
        <v>176</v>
      </c>
      <c r="G984" s="29" t="s">
        <v>11</v>
      </c>
      <c r="H984" s="30" t="s">
        <v>418</v>
      </c>
      <c r="I984" s="78"/>
      <c r="J984" s="20"/>
      <c r="K984" s="20"/>
      <c r="L984" s="20"/>
      <c r="M984" s="20"/>
      <c r="N984" s="69" t="s">
        <v>256</v>
      </c>
      <c r="O984" s="70">
        <v>0</v>
      </c>
      <c r="P984" s="70">
        <v>0</v>
      </c>
      <c r="Q984" s="70">
        <v>0</v>
      </c>
      <c r="R984" s="70"/>
      <c r="S984" s="67"/>
      <c r="T984" s="2" t="str">
        <f t="shared" si="89"/>
        <v>Trần Đức Huy_12AS3</v>
      </c>
      <c r="U984" s="28">
        <f t="array" ref="U984">IFERROR(VLOOKUP($T984,'Nghi hoc T12'!$H$7:$I$160,2,0),0)</f>
        <v>0</v>
      </c>
      <c r="V984" s="28">
        <f>IFERROR(VLOOKUP($T984,No_HP!$B$2:$C$514,2,0),0)</f>
        <v>0</v>
      </c>
      <c r="W984" s="28">
        <f t="shared" si="90"/>
        <v>0</v>
      </c>
      <c r="X984" s="333">
        <f t="shared" si="91"/>
        <v>0</v>
      </c>
      <c r="Y984" s="333">
        <f t="shared" si="92"/>
        <v>0</v>
      </c>
    </row>
    <row r="985" spans="1:25" s="2" customFormat="1" ht="21.95" customHeight="1">
      <c r="A985" s="82">
        <v>15</v>
      </c>
      <c r="B985" s="91" t="s">
        <v>3356</v>
      </c>
      <c r="C985" s="83" t="s">
        <v>362</v>
      </c>
      <c r="D985" s="81" t="s">
        <v>509</v>
      </c>
      <c r="E985" s="48">
        <v>100977</v>
      </c>
      <c r="F985" s="30" t="s">
        <v>1788</v>
      </c>
      <c r="G985" s="29" t="s">
        <v>1789</v>
      </c>
      <c r="H985" s="30" t="s">
        <v>418</v>
      </c>
      <c r="I985" s="78"/>
      <c r="J985" s="20"/>
      <c r="K985" s="20"/>
      <c r="L985" s="20"/>
      <c r="M985" s="20"/>
      <c r="N985" s="69" t="s">
        <v>256</v>
      </c>
      <c r="O985" s="70">
        <v>0</v>
      </c>
      <c r="P985" s="70">
        <v>0</v>
      </c>
      <c r="Q985" s="70">
        <v>0</v>
      </c>
      <c r="R985" s="70"/>
      <c r="S985" s="67"/>
      <c r="T985" s="2" t="str">
        <f t="shared" si="89"/>
        <v>Pyo IL Hwan_12AS3</v>
      </c>
      <c r="U985" s="28">
        <f t="array" ref="U985">IFERROR(VLOOKUP($T985,'Nghi hoc T12'!$H$7:$I$160,2,0),0)</f>
        <v>0</v>
      </c>
      <c r="V985" s="28">
        <f>IFERROR(VLOOKUP($T985,No_HP!$B$2:$C$514,2,0),0)</f>
        <v>0</v>
      </c>
      <c r="W985" s="28">
        <f t="shared" si="90"/>
        <v>0</v>
      </c>
      <c r="X985" s="333">
        <f t="shared" si="91"/>
        <v>0</v>
      </c>
      <c r="Y985" s="333">
        <f t="shared" si="92"/>
        <v>0</v>
      </c>
    </row>
    <row r="986" spans="1:25" s="2" customFormat="1" ht="21.95" customHeight="1">
      <c r="A986" s="82">
        <v>16</v>
      </c>
      <c r="B986" s="91" t="s">
        <v>3356</v>
      </c>
      <c r="C986" s="83" t="s">
        <v>362</v>
      </c>
      <c r="D986" s="81" t="s">
        <v>509</v>
      </c>
      <c r="E986" s="48">
        <v>100978</v>
      </c>
      <c r="F986" s="30" t="s">
        <v>1739</v>
      </c>
      <c r="G986" s="29" t="s">
        <v>12</v>
      </c>
      <c r="H986" s="30" t="s">
        <v>421</v>
      </c>
      <c r="I986" s="78"/>
      <c r="J986" s="20"/>
      <c r="K986" s="20"/>
      <c r="L986" s="20"/>
      <c r="M986" s="20"/>
      <c r="N986" s="69" t="s">
        <v>256</v>
      </c>
      <c r="O986" s="70">
        <v>0</v>
      </c>
      <c r="P986" s="70">
        <v>0</v>
      </c>
      <c r="Q986" s="70">
        <v>0</v>
      </c>
      <c r="R986" s="70"/>
      <c r="S986" s="67"/>
      <c r="T986" s="2" t="str">
        <f t="shared" si="89"/>
        <v>Trần Huỳnh Khải_12AS1</v>
      </c>
      <c r="U986" s="28">
        <f t="array" ref="U986">IFERROR(VLOOKUP($T986,'Nghi hoc T12'!$H$7:$I$160,2,0),0)</f>
        <v>0</v>
      </c>
      <c r="V986" s="28">
        <f>IFERROR(VLOOKUP($T986,No_HP!$B$2:$C$514,2,0),0)</f>
        <v>0</v>
      </c>
      <c r="W986" s="28">
        <f t="shared" si="90"/>
        <v>0</v>
      </c>
      <c r="X986" s="333">
        <f t="shared" si="91"/>
        <v>0</v>
      </c>
      <c r="Y986" s="333">
        <f t="shared" si="92"/>
        <v>0</v>
      </c>
    </row>
    <row r="987" spans="1:25" s="2" customFormat="1" ht="21.95" customHeight="1">
      <c r="A987" s="82">
        <v>17</v>
      </c>
      <c r="B987" s="91" t="s">
        <v>3356</v>
      </c>
      <c r="C987" s="83" t="s">
        <v>362</v>
      </c>
      <c r="D987" s="81" t="s">
        <v>509</v>
      </c>
      <c r="E987" s="48">
        <v>100979</v>
      </c>
      <c r="F987" s="30" t="s">
        <v>1740</v>
      </c>
      <c r="G987" s="29" t="s">
        <v>79</v>
      </c>
      <c r="H987" s="30" t="s">
        <v>421</v>
      </c>
      <c r="I987" s="78"/>
      <c r="J987" s="20"/>
      <c r="K987" s="20"/>
      <c r="L987" s="20"/>
      <c r="M987" s="20"/>
      <c r="N987" s="69" t="s">
        <v>256</v>
      </c>
      <c r="O987" s="70">
        <v>0</v>
      </c>
      <c r="P987" s="70">
        <v>0</v>
      </c>
      <c r="Q987" s="70">
        <v>0</v>
      </c>
      <c r="R987" s="70"/>
      <c r="S987" s="67"/>
      <c r="T987" s="2" t="str">
        <f t="shared" si="89"/>
        <v>Tô Nhật Khang_12AS1</v>
      </c>
      <c r="U987" s="28">
        <f t="array" ref="U987">IFERROR(VLOOKUP($T987,'Nghi hoc T12'!$H$7:$I$160,2,0),0)</f>
        <v>0</v>
      </c>
      <c r="V987" s="28">
        <f>IFERROR(VLOOKUP($T987,No_HP!$B$2:$C$514,2,0),0)</f>
        <v>0</v>
      </c>
      <c r="W987" s="28">
        <f t="shared" si="90"/>
        <v>0</v>
      </c>
      <c r="X987" s="333">
        <f t="shared" si="91"/>
        <v>0</v>
      </c>
      <c r="Y987" s="333">
        <f t="shared" si="92"/>
        <v>0</v>
      </c>
    </row>
    <row r="988" spans="1:25" s="2" customFormat="1" ht="21.95" customHeight="1">
      <c r="A988" s="82">
        <v>18</v>
      </c>
      <c r="B988" s="91" t="s">
        <v>3356</v>
      </c>
      <c r="C988" s="83" t="s">
        <v>362</v>
      </c>
      <c r="D988" s="81" t="s">
        <v>509</v>
      </c>
      <c r="E988" s="48">
        <v>100980</v>
      </c>
      <c r="F988" s="30" t="s">
        <v>1766</v>
      </c>
      <c r="G988" s="29" t="s">
        <v>1196</v>
      </c>
      <c r="H988" s="30" t="s">
        <v>422</v>
      </c>
      <c r="I988" s="78"/>
      <c r="J988" s="20"/>
      <c r="K988" s="20"/>
      <c r="L988" s="20"/>
      <c r="M988" s="20"/>
      <c r="N988" s="69" t="s">
        <v>256</v>
      </c>
      <c r="O988" s="70">
        <v>0</v>
      </c>
      <c r="P988" s="70">
        <v>0</v>
      </c>
      <c r="Q988" s="70">
        <v>0</v>
      </c>
      <c r="R988" s="70"/>
      <c r="S988" s="67"/>
      <c r="T988" s="2" t="str">
        <f t="shared" si="89"/>
        <v>Nguyễn Võ Phương Khanh_12AS2</v>
      </c>
      <c r="U988" s="28">
        <f t="array" ref="U988">IFERROR(VLOOKUP($T988,'Nghi hoc T12'!$H$7:$I$160,2,0),0)</f>
        <v>0</v>
      </c>
      <c r="V988" s="28">
        <f>IFERROR(VLOOKUP($T988,No_HP!$B$2:$C$514,2,0),0)</f>
        <v>0</v>
      </c>
      <c r="W988" s="28">
        <f t="shared" si="90"/>
        <v>0</v>
      </c>
      <c r="X988" s="333">
        <f t="shared" si="91"/>
        <v>0</v>
      </c>
      <c r="Y988" s="333">
        <f t="shared" si="92"/>
        <v>0</v>
      </c>
    </row>
    <row r="989" spans="1:25" s="2" customFormat="1" ht="21.95" customHeight="1">
      <c r="A989" s="82">
        <v>19</v>
      </c>
      <c r="B989" s="91" t="s">
        <v>3356</v>
      </c>
      <c r="C989" s="83" t="s">
        <v>362</v>
      </c>
      <c r="D989" s="81" t="s">
        <v>509</v>
      </c>
      <c r="E989" s="48">
        <v>100981</v>
      </c>
      <c r="F989" s="30" t="s">
        <v>177</v>
      </c>
      <c r="G989" s="29" t="s">
        <v>94</v>
      </c>
      <c r="H989" s="30" t="s">
        <v>422</v>
      </c>
      <c r="I989" s="78"/>
      <c r="J989" s="20"/>
      <c r="K989" s="20"/>
      <c r="L989" s="20"/>
      <c r="M989" s="20"/>
      <c r="N989" s="69" t="s">
        <v>256</v>
      </c>
      <c r="O989" s="70">
        <v>0</v>
      </c>
      <c r="P989" s="70">
        <v>0</v>
      </c>
      <c r="Q989" s="70">
        <v>0</v>
      </c>
      <c r="R989" s="70"/>
      <c r="S989" s="67"/>
      <c r="T989" s="2" t="str">
        <f t="shared" si="89"/>
        <v>Hoàng Thị Ngọc Khánh_12AS2</v>
      </c>
      <c r="U989" s="28">
        <f t="array" ref="U989">IFERROR(VLOOKUP($T989,'Nghi hoc T12'!$H$7:$I$160,2,0),0)</f>
        <v>0</v>
      </c>
      <c r="V989" s="28">
        <f>IFERROR(VLOOKUP($T989,No_HP!$B$2:$C$514,2,0),0)</f>
        <v>0</v>
      </c>
      <c r="W989" s="28">
        <f t="shared" si="90"/>
        <v>0</v>
      </c>
      <c r="X989" s="333">
        <f t="shared" si="91"/>
        <v>0</v>
      </c>
      <c r="Y989" s="333">
        <f t="shared" si="92"/>
        <v>0</v>
      </c>
    </row>
    <row r="990" spans="1:25" s="2" customFormat="1" ht="21.95" customHeight="1">
      <c r="A990" s="82">
        <v>20</v>
      </c>
      <c r="B990" s="91" t="s">
        <v>3356</v>
      </c>
      <c r="C990" s="83" t="s">
        <v>362</v>
      </c>
      <c r="D990" s="81" t="s">
        <v>509</v>
      </c>
      <c r="E990" s="48">
        <v>100982</v>
      </c>
      <c r="F990" s="30" t="s">
        <v>178</v>
      </c>
      <c r="G990" s="29" t="s">
        <v>55</v>
      </c>
      <c r="H990" s="30" t="s">
        <v>418</v>
      </c>
      <c r="I990" s="78"/>
      <c r="J990" s="20"/>
      <c r="K990" s="20"/>
      <c r="L990" s="20"/>
      <c r="M990" s="20"/>
      <c r="N990" s="69" t="s">
        <v>256</v>
      </c>
      <c r="O990" s="70">
        <v>0</v>
      </c>
      <c r="P990" s="70">
        <v>0</v>
      </c>
      <c r="Q990" s="70">
        <v>0</v>
      </c>
      <c r="R990" s="70"/>
      <c r="S990" s="67"/>
      <c r="T990" s="2" t="str">
        <f t="shared" si="89"/>
        <v>Phạm Đăng Khoa_12AS3</v>
      </c>
      <c r="U990" s="28">
        <f t="array" ref="U990">IFERROR(VLOOKUP($T990,'Nghi hoc T12'!$H$7:$I$160,2,0),0)</f>
        <v>0</v>
      </c>
      <c r="V990" s="28">
        <f>IFERROR(VLOOKUP($T990,No_HP!$B$2:$C$514,2,0),0)</f>
        <v>0</v>
      </c>
      <c r="W990" s="28">
        <f t="shared" si="90"/>
        <v>0</v>
      </c>
      <c r="X990" s="333">
        <f t="shared" si="91"/>
        <v>0</v>
      </c>
      <c r="Y990" s="333">
        <f t="shared" si="92"/>
        <v>0</v>
      </c>
    </row>
    <row r="991" spans="1:25" s="2" customFormat="1" ht="21.95" customHeight="1">
      <c r="A991" s="82">
        <v>21</v>
      </c>
      <c r="B991" s="91" t="s">
        <v>3356</v>
      </c>
      <c r="C991" s="83" t="s">
        <v>362</v>
      </c>
      <c r="D991" s="81" t="s">
        <v>509</v>
      </c>
      <c r="E991" s="48">
        <v>100983</v>
      </c>
      <c r="F991" s="30" t="s">
        <v>1767</v>
      </c>
      <c r="G991" s="29" t="s">
        <v>13</v>
      </c>
      <c r="H991" s="30" t="s">
        <v>422</v>
      </c>
      <c r="I991" s="78"/>
      <c r="J991" s="20"/>
      <c r="K991" s="20"/>
      <c r="L991" s="20"/>
      <c r="M991" s="20"/>
      <c r="N991" s="69" t="s">
        <v>256</v>
      </c>
      <c r="O991" s="70">
        <v>0</v>
      </c>
      <c r="P991" s="70">
        <v>0</v>
      </c>
      <c r="Q991" s="70">
        <v>0</v>
      </c>
      <c r="R991" s="70"/>
      <c r="S991" s="67"/>
      <c r="T991" s="2" t="str">
        <f t="shared" si="89"/>
        <v>Trịnh Minh Khôi_12AS2</v>
      </c>
      <c r="U991" s="28">
        <f t="array" ref="U991">IFERROR(VLOOKUP($T991,'Nghi hoc T12'!$H$7:$I$160,2,0),0)</f>
        <v>0</v>
      </c>
      <c r="V991" s="28">
        <f>IFERROR(VLOOKUP($T991,No_HP!$B$2:$C$514,2,0),0)</f>
        <v>0</v>
      </c>
      <c r="W991" s="28">
        <f t="shared" si="90"/>
        <v>0</v>
      </c>
      <c r="X991" s="333">
        <f t="shared" si="91"/>
        <v>0</v>
      </c>
      <c r="Y991" s="333">
        <f t="shared" si="92"/>
        <v>0</v>
      </c>
    </row>
    <row r="992" spans="1:25" s="2" customFormat="1" ht="21.95" customHeight="1">
      <c r="A992" s="82">
        <v>22</v>
      </c>
      <c r="B992" s="91" t="s">
        <v>3356</v>
      </c>
      <c r="C992" s="83" t="s">
        <v>362</v>
      </c>
      <c r="D992" s="81" t="s">
        <v>509</v>
      </c>
      <c r="E992" s="48">
        <v>100984</v>
      </c>
      <c r="F992" s="30" t="s">
        <v>1790</v>
      </c>
      <c r="G992" s="29" t="s">
        <v>179</v>
      </c>
      <c r="H992" s="30" t="s">
        <v>418</v>
      </c>
      <c r="I992" s="78"/>
      <c r="J992" s="20"/>
      <c r="K992" s="20"/>
      <c r="L992" s="20"/>
      <c r="M992" s="20"/>
      <c r="N992" s="69" t="s">
        <v>256</v>
      </c>
      <c r="O992" s="70">
        <v>0</v>
      </c>
      <c r="P992" s="70">
        <v>0</v>
      </c>
      <c r="Q992" s="70">
        <v>0</v>
      </c>
      <c r="R992" s="70"/>
      <c r="S992" s="67"/>
      <c r="T992" s="2" t="str">
        <f t="shared" si="89"/>
        <v>Lê Nguyễn Hữu Khương_12AS3</v>
      </c>
      <c r="U992" s="28">
        <f t="array" ref="U992">IFERROR(VLOOKUP($T992,'Nghi hoc T12'!$H$7:$I$160,2,0),0)</f>
        <v>0</v>
      </c>
      <c r="V992" s="28">
        <f>IFERROR(VLOOKUP($T992,No_HP!$B$2:$C$514,2,0),0)</f>
        <v>0</v>
      </c>
      <c r="W992" s="28">
        <f t="shared" si="90"/>
        <v>0</v>
      </c>
      <c r="X992" s="333">
        <f t="shared" si="91"/>
        <v>0</v>
      </c>
      <c r="Y992" s="333">
        <f t="shared" si="92"/>
        <v>0</v>
      </c>
    </row>
    <row r="993" spans="1:25" s="2" customFormat="1" ht="21.95" customHeight="1">
      <c r="A993" s="82">
        <v>23</v>
      </c>
      <c r="B993" s="91" t="s">
        <v>3356</v>
      </c>
      <c r="C993" s="83" t="s">
        <v>362</v>
      </c>
      <c r="D993" s="81" t="s">
        <v>509</v>
      </c>
      <c r="E993" s="48">
        <v>100985</v>
      </c>
      <c r="F993" s="30" t="s">
        <v>1741</v>
      </c>
      <c r="G993" s="29" t="s">
        <v>1132</v>
      </c>
      <c r="H993" s="30" t="s">
        <v>421</v>
      </c>
      <c r="I993" s="78"/>
      <c r="J993" s="20"/>
      <c r="K993" s="20"/>
      <c r="L993" s="20"/>
      <c r="M993" s="20"/>
      <c r="N993" s="69" t="s">
        <v>256</v>
      </c>
      <c r="O993" s="70">
        <v>0</v>
      </c>
      <c r="P993" s="70">
        <v>0</v>
      </c>
      <c r="Q993" s="70">
        <v>0</v>
      </c>
      <c r="R993" s="70"/>
      <c r="S993" s="67"/>
      <c r="T993" s="2" t="str">
        <f t="shared" si="89"/>
        <v>Nguyễn Lê Trung Kiên_12AS1</v>
      </c>
      <c r="U993" s="28">
        <f t="array" ref="U993">IFERROR(VLOOKUP($T993,'Nghi hoc T12'!$H$7:$I$160,2,0),0)</f>
        <v>0</v>
      </c>
      <c r="V993" s="28">
        <f>IFERROR(VLOOKUP($T993,No_HP!$B$2:$C$514,2,0),0)</f>
        <v>0</v>
      </c>
      <c r="W993" s="28">
        <f t="shared" si="90"/>
        <v>0</v>
      </c>
      <c r="X993" s="333">
        <f t="shared" si="91"/>
        <v>0</v>
      </c>
      <c r="Y993" s="333">
        <f t="shared" si="92"/>
        <v>0</v>
      </c>
    </row>
    <row r="994" spans="1:25" s="2" customFormat="1" ht="21.95" customHeight="1">
      <c r="A994" s="82">
        <v>24</v>
      </c>
      <c r="B994" s="91" t="s">
        <v>3356</v>
      </c>
      <c r="C994" s="83" t="s">
        <v>362</v>
      </c>
      <c r="D994" s="81" t="s">
        <v>509</v>
      </c>
      <c r="E994" s="48">
        <v>100986</v>
      </c>
      <c r="F994" s="30" t="s">
        <v>149</v>
      </c>
      <c r="G994" s="29" t="s">
        <v>68</v>
      </c>
      <c r="H994" s="30" t="s">
        <v>418</v>
      </c>
      <c r="I994" s="78"/>
      <c r="J994" s="20"/>
      <c r="K994" s="20"/>
      <c r="L994" s="20"/>
      <c r="M994" s="20"/>
      <c r="N994" s="69" t="s">
        <v>256</v>
      </c>
      <c r="O994" s="70">
        <v>0</v>
      </c>
      <c r="P994" s="70">
        <v>0</v>
      </c>
      <c r="Q994" s="70">
        <v>0</v>
      </c>
      <c r="R994" s="70"/>
      <c r="S994" s="67"/>
      <c r="T994" s="2" t="str">
        <f t="shared" si="89"/>
        <v>Hoàng Anh Kiệt_12AS3</v>
      </c>
      <c r="U994" s="28">
        <f t="array" ref="U994">IFERROR(VLOOKUP($T994,'Nghi hoc T12'!$H$7:$I$160,2,0),0)</f>
        <v>0</v>
      </c>
      <c r="V994" s="28">
        <f>IFERROR(VLOOKUP($T994,No_HP!$B$2:$C$514,2,0),0)</f>
        <v>0</v>
      </c>
      <c r="W994" s="28">
        <f t="shared" si="90"/>
        <v>0</v>
      </c>
      <c r="X994" s="333">
        <f t="shared" si="91"/>
        <v>0</v>
      </c>
      <c r="Y994" s="333">
        <f t="shared" si="92"/>
        <v>0</v>
      </c>
    </row>
    <row r="995" spans="1:25" s="2" customFormat="1" ht="21.95" customHeight="1">
      <c r="A995" s="82">
        <v>25</v>
      </c>
      <c r="B995" s="91" t="s">
        <v>3356</v>
      </c>
      <c r="C995" s="83" t="s">
        <v>362</v>
      </c>
      <c r="D995" s="81" t="s">
        <v>509</v>
      </c>
      <c r="E995" s="48">
        <v>100987</v>
      </c>
      <c r="F995" s="30" t="s">
        <v>118</v>
      </c>
      <c r="G995" s="29" t="s">
        <v>68</v>
      </c>
      <c r="H995" s="30" t="s">
        <v>421</v>
      </c>
      <c r="I995" s="78"/>
      <c r="J995" s="20"/>
      <c r="K995" s="20"/>
      <c r="L995" s="20"/>
      <c r="M995" s="20"/>
      <c r="N995" s="69" t="s">
        <v>256</v>
      </c>
      <c r="O995" s="70">
        <v>0</v>
      </c>
      <c r="P995" s="70">
        <v>0</v>
      </c>
      <c r="Q995" s="70">
        <v>0</v>
      </c>
      <c r="R995" s="70"/>
      <c r="S995" s="67"/>
      <c r="T995" s="2" t="str">
        <f t="shared" si="89"/>
        <v>Nguyễn Quốc Kiệt_12AS1</v>
      </c>
      <c r="U995" s="28">
        <f t="array" ref="U995">IFERROR(VLOOKUP($T995,'Nghi hoc T12'!$H$7:$I$160,2,0),0)</f>
        <v>0</v>
      </c>
      <c r="V995" s="28">
        <f>IFERROR(VLOOKUP($T995,No_HP!$B$2:$C$514,2,0),0)</f>
        <v>0</v>
      </c>
      <c r="W995" s="28">
        <f t="shared" si="90"/>
        <v>0</v>
      </c>
      <c r="X995" s="333">
        <f t="shared" si="91"/>
        <v>0</v>
      </c>
      <c r="Y995" s="333">
        <f t="shared" si="92"/>
        <v>0</v>
      </c>
    </row>
    <row r="996" spans="1:25" s="2" customFormat="1" ht="21.95" customHeight="1">
      <c r="A996" s="200">
        <v>1</v>
      </c>
      <c r="B996" s="91" t="s">
        <v>3357</v>
      </c>
      <c r="C996" s="185" t="s">
        <v>362</v>
      </c>
      <c r="D996" s="186" t="s">
        <v>510</v>
      </c>
      <c r="E996" s="187">
        <v>100988</v>
      </c>
      <c r="F996" s="188" t="s">
        <v>150</v>
      </c>
      <c r="G996" s="189" t="s">
        <v>68</v>
      </c>
      <c r="H996" s="188" t="s">
        <v>422</v>
      </c>
      <c r="I996" s="190"/>
      <c r="J996" s="191"/>
      <c r="K996" s="191"/>
      <c r="L996" s="191"/>
      <c r="M996" s="191"/>
      <c r="N996" s="69" t="s">
        <v>256</v>
      </c>
      <c r="O996" s="70">
        <v>0</v>
      </c>
      <c r="P996" s="70">
        <v>0</v>
      </c>
      <c r="Q996" s="70">
        <v>0</v>
      </c>
      <c r="R996" s="70"/>
      <c r="S996" s="67"/>
      <c r="T996" s="2" t="str">
        <f t="shared" si="89"/>
        <v>Trần Tuấn Kiệt_12AS2</v>
      </c>
      <c r="U996" s="28">
        <f t="array" ref="U996">IFERROR(VLOOKUP($T996,'Nghi hoc T12'!$H$7:$I$160,2,0),0)</f>
        <v>0</v>
      </c>
      <c r="V996" s="28">
        <f>IFERROR(VLOOKUP($T996,No_HP!$B$2:$C$514,2,0),0)</f>
        <v>0</v>
      </c>
      <c r="W996" s="28">
        <f t="shared" si="90"/>
        <v>0</v>
      </c>
      <c r="X996" s="333">
        <f t="shared" si="91"/>
        <v>0</v>
      </c>
      <c r="Y996" s="333">
        <f t="shared" si="92"/>
        <v>0</v>
      </c>
    </row>
    <row r="997" spans="1:25" s="2" customFormat="1" ht="21.95" customHeight="1">
      <c r="A997" s="82">
        <v>2</v>
      </c>
      <c r="B997" s="91" t="s">
        <v>3357</v>
      </c>
      <c r="C997" s="83" t="s">
        <v>362</v>
      </c>
      <c r="D997" s="81" t="s">
        <v>510</v>
      </c>
      <c r="E997" s="48">
        <v>100989</v>
      </c>
      <c r="F997" s="30" t="s">
        <v>296</v>
      </c>
      <c r="G997" s="29" t="s">
        <v>38</v>
      </c>
      <c r="H997" s="30" t="s">
        <v>421</v>
      </c>
      <c r="I997" s="78"/>
      <c r="J997" s="20"/>
      <c r="K997" s="20"/>
      <c r="L997" s="20"/>
      <c r="M997" s="20"/>
      <c r="N997" s="69" t="s">
        <v>256</v>
      </c>
      <c r="O997" s="70">
        <v>0</v>
      </c>
      <c r="P997" s="70">
        <v>0</v>
      </c>
      <c r="Q997" s="70">
        <v>0</v>
      </c>
      <c r="R997" s="70"/>
      <c r="S997" s="67"/>
      <c r="T997" s="2" t="str">
        <f t="shared" si="89"/>
        <v>Lâm Gia Linh_12AS1</v>
      </c>
      <c r="U997" s="28">
        <f t="array" ref="U997">IFERROR(VLOOKUP($T997,'Nghi hoc T12'!$H$7:$I$160,2,0),0)</f>
        <v>0</v>
      </c>
      <c r="V997" s="28">
        <f>IFERROR(VLOOKUP($T997,No_HP!$B$2:$C$514,2,0),0)</f>
        <v>0</v>
      </c>
      <c r="W997" s="28">
        <f t="shared" si="90"/>
        <v>0</v>
      </c>
      <c r="X997" s="333">
        <f t="shared" si="91"/>
        <v>0</v>
      </c>
      <c r="Y997" s="333">
        <f t="shared" si="92"/>
        <v>0</v>
      </c>
    </row>
    <row r="998" spans="1:25" s="2" customFormat="1" ht="21.95" customHeight="1">
      <c r="A998" s="82">
        <v>3</v>
      </c>
      <c r="B998" s="91" t="s">
        <v>3357</v>
      </c>
      <c r="C998" s="83" t="s">
        <v>362</v>
      </c>
      <c r="D998" s="81" t="s">
        <v>510</v>
      </c>
      <c r="E998" s="48">
        <v>100990</v>
      </c>
      <c r="F998" s="30" t="s">
        <v>151</v>
      </c>
      <c r="G998" s="29" t="s">
        <v>38</v>
      </c>
      <c r="H998" s="30" t="s">
        <v>421</v>
      </c>
      <c r="I998" s="78"/>
      <c r="J998" s="20"/>
      <c r="K998" s="20"/>
      <c r="L998" s="20"/>
      <c r="M998" s="20"/>
      <c r="N998" s="69" t="s">
        <v>256</v>
      </c>
      <c r="O998" s="70">
        <v>0</v>
      </c>
      <c r="P998" s="70">
        <v>0</v>
      </c>
      <c r="Q998" s="70">
        <v>0</v>
      </c>
      <c r="R998" s="70"/>
      <c r="S998" s="67"/>
      <c r="T998" s="2" t="str">
        <f t="shared" si="89"/>
        <v>Nguyễn Hoàng Linh_12AS1</v>
      </c>
      <c r="U998" s="28">
        <f t="array" ref="U998">IFERROR(VLOOKUP($T998,'Nghi hoc T12'!$H$7:$I$160,2,0),0)</f>
        <v>0</v>
      </c>
      <c r="V998" s="28">
        <f>IFERROR(VLOOKUP($T998,No_HP!$B$2:$C$514,2,0),0)</f>
        <v>0</v>
      </c>
      <c r="W998" s="28">
        <f t="shared" si="90"/>
        <v>0</v>
      </c>
      <c r="X998" s="333">
        <f t="shared" si="91"/>
        <v>0</v>
      </c>
      <c r="Y998" s="333">
        <f t="shared" si="92"/>
        <v>0</v>
      </c>
    </row>
    <row r="999" spans="1:25" s="2" customFormat="1" ht="21.95" customHeight="1">
      <c r="A999" s="82">
        <v>4</v>
      </c>
      <c r="B999" s="91" t="s">
        <v>3357</v>
      </c>
      <c r="C999" s="83" t="s">
        <v>362</v>
      </c>
      <c r="D999" s="81" t="s">
        <v>510</v>
      </c>
      <c r="E999" s="48">
        <v>100991</v>
      </c>
      <c r="F999" s="30" t="s">
        <v>1260</v>
      </c>
      <c r="G999" s="29" t="s">
        <v>38</v>
      </c>
      <c r="H999" s="30" t="s">
        <v>418</v>
      </c>
      <c r="I999" s="78"/>
      <c r="J999" s="20"/>
      <c r="K999" s="20"/>
      <c r="L999" s="20"/>
      <c r="M999" s="20"/>
      <c r="N999" s="69" t="s">
        <v>256</v>
      </c>
      <c r="O999" s="70">
        <v>0</v>
      </c>
      <c r="P999" s="70">
        <v>0</v>
      </c>
      <c r="Q999" s="70">
        <v>0</v>
      </c>
      <c r="R999" s="70"/>
      <c r="S999" s="67"/>
      <c r="T999" s="2" t="str">
        <f t="shared" si="89"/>
        <v>Trần Nhựt Linh_12AS3</v>
      </c>
      <c r="U999" s="28">
        <f t="array" ref="U999">IFERROR(VLOOKUP($T999,'Nghi hoc T12'!$H$7:$I$160,2,0),0)</f>
        <v>0</v>
      </c>
      <c r="V999" s="28">
        <f>IFERROR(VLOOKUP($T999,No_HP!$B$2:$C$514,2,0),0)</f>
        <v>0</v>
      </c>
      <c r="W999" s="28">
        <f t="shared" si="90"/>
        <v>0</v>
      </c>
      <c r="X999" s="333">
        <f t="shared" si="91"/>
        <v>0</v>
      </c>
      <c r="Y999" s="333">
        <f t="shared" si="92"/>
        <v>0</v>
      </c>
    </row>
    <row r="1000" spans="1:25" s="2" customFormat="1" ht="21.95" customHeight="1">
      <c r="A1000" s="82">
        <v>5</v>
      </c>
      <c r="B1000" s="91" t="s">
        <v>3357</v>
      </c>
      <c r="C1000" s="83" t="s">
        <v>362</v>
      </c>
      <c r="D1000" s="81" t="s">
        <v>510</v>
      </c>
      <c r="E1000" s="48">
        <v>100992</v>
      </c>
      <c r="F1000" s="30" t="s">
        <v>1768</v>
      </c>
      <c r="G1000" s="29" t="s">
        <v>38</v>
      </c>
      <c r="H1000" s="30" t="s">
        <v>422</v>
      </c>
      <c r="I1000" s="78"/>
      <c r="J1000" s="20"/>
      <c r="K1000" s="20"/>
      <c r="L1000" s="20"/>
      <c r="M1000" s="20"/>
      <c r="N1000" s="69" t="s">
        <v>256</v>
      </c>
      <c r="O1000" s="70">
        <v>0</v>
      </c>
      <c r="P1000" s="70">
        <v>0</v>
      </c>
      <c r="Q1000" s="70">
        <v>0</v>
      </c>
      <c r="R1000" s="70"/>
      <c r="S1000" s="67"/>
      <c r="T1000" s="2" t="str">
        <f t="shared" si="89"/>
        <v>Trần Thị Hà Linh_12AS2</v>
      </c>
      <c r="U1000" s="28">
        <f t="array" ref="U1000">IFERROR(VLOOKUP($T1000,'Nghi hoc T12'!$H$7:$I$160,2,0),0)</f>
        <v>0</v>
      </c>
      <c r="V1000" s="28">
        <f>IFERROR(VLOOKUP($T1000,No_HP!$B$2:$C$514,2,0),0)</f>
        <v>0</v>
      </c>
      <c r="W1000" s="28">
        <f t="shared" si="90"/>
        <v>0</v>
      </c>
      <c r="X1000" s="333">
        <f t="shared" si="91"/>
        <v>0</v>
      </c>
      <c r="Y1000" s="333">
        <f t="shared" si="92"/>
        <v>0</v>
      </c>
    </row>
    <row r="1001" spans="1:25" s="2" customFormat="1" ht="21.95" customHeight="1">
      <c r="A1001" s="82">
        <v>6</v>
      </c>
      <c r="B1001" s="91" t="s">
        <v>3357</v>
      </c>
      <c r="C1001" s="83" t="s">
        <v>362</v>
      </c>
      <c r="D1001" s="81" t="s">
        <v>510</v>
      </c>
      <c r="E1001" s="48">
        <v>100993</v>
      </c>
      <c r="F1001" s="30" t="s">
        <v>1769</v>
      </c>
      <c r="G1001" s="29" t="s">
        <v>153</v>
      </c>
      <c r="H1001" s="30" t="s">
        <v>422</v>
      </c>
      <c r="I1001" s="78"/>
      <c r="J1001" s="20"/>
      <c r="K1001" s="20"/>
      <c r="L1001" s="20"/>
      <c r="M1001" s="20"/>
      <c r="N1001" s="69" t="s">
        <v>256</v>
      </c>
      <c r="O1001" s="70">
        <v>0</v>
      </c>
      <c r="P1001" s="70">
        <v>0</v>
      </c>
      <c r="Q1001" s="70">
        <v>0</v>
      </c>
      <c r="R1001" s="70"/>
      <c r="S1001" s="67"/>
      <c r="T1001" s="2" t="str">
        <f t="shared" si="89"/>
        <v>Trương Triệu Luân_12AS2</v>
      </c>
      <c r="U1001" s="28">
        <f t="array" ref="U1001">IFERROR(VLOOKUP($T1001,'Nghi hoc T12'!$H$7:$I$160,2,0),0)</f>
        <v>0</v>
      </c>
      <c r="V1001" s="28">
        <f>IFERROR(VLOOKUP($T1001,No_HP!$B$2:$C$514,2,0),0)</f>
        <v>0</v>
      </c>
      <c r="W1001" s="28">
        <f t="shared" si="90"/>
        <v>0</v>
      </c>
      <c r="X1001" s="333">
        <f t="shared" si="91"/>
        <v>0</v>
      </c>
      <c r="Y1001" s="333">
        <f t="shared" si="92"/>
        <v>0</v>
      </c>
    </row>
    <row r="1002" spans="1:25" s="2" customFormat="1" ht="21.95" customHeight="1">
      <c r="A1002" s="82">
        <v>7</v>
      </c>
      <c r="B1002" s="91" t="s">
        <v>3357</v>
      </c>
      <c r="C1002" s="83" t="s">
        <v>362</v>
      </c>
      <c r="D1002" s="81" t="s">
        <v>510</v>
      </c>
      <c r="E1002" s="48">
        <v>100994</v>
      </c>
      <c r="F1002" s="30" t="s">
        <v>1791</v>
      </c>
      <c r="G1002" s="29" t="s">
        <v>15</v>
      </c>
      <c r="H1002" s="30" t="s">
        <v>418</v>
      </c>
      <c r="I1002" s="78"/>
      <c r="J1002" s="20"/>
      <c r="K1002" s="20"/>
      <c r="L1002" s="20"/>
      <c r="M1002" s="20"/>
      <c r="N1002" s="69" t="s">
        <v>256</v>
      </c>
      <c r="O1002" s="70">
        <v>0</v>
      </c>
      <c r="P1002" s="70">
        <v>0</v>
      </c>
      <c r="Q1002" s="70">
        <v>0</v>
      </c>
      <c r="R1002" s="70"/>
      <c r="S1002" s="67"/>
      <c r="T1002" s="2" t="str">
        <f t="shared" si="89"/>
        <v>Bùi Thị Tuyết Mai_12AS3</v>
      </c>
      <c r="U1002" s="28">
        <f t="array" ref="U1002">IFERROR(VLOOKUP($T1002,'Nghi hoc T12'!$H$7:$I$160,2,0),0)</f>
        <v>0</v>
      </c>
      <c r="V1002" s="28">
        <f>IFERROR(VLOOKUP($T1002,No_HP!$B$2:$C$514,2,0),0)</f>
        <v>0</v>
      </c>
      <c r="W1002" s="28">
        <f t="shared" si="90"/>
        <v>0</v>
      </c>
      <c r="X1002" s="333">
        <f t="shared" si="91"/>
        <v>0</v>
      </c>
      <c r="Y1002" s="333">
        <f t="shared" si="92"/>
        <v>0</v>
      </c>
    </row>
    <row r="1003" spans="1:25" s="2" customFormat="1" ht="21.95" customHeight="1">
      <c r="A1003" s="82">
        <v>8</v>
      </c>
      <c r="B1003" s="91" t="s">
        <v>3357</v>
      </c>
      <c r="C1003" s="83" t="s">
        <v>362</v>
      </c>
      <c r="D1003" s="81" t="s">
        <v>510</v>
      </c>
      <c r="E1003" s="48">
        <v>100995</v>
      </c>
      <c r="F1003" s="30" t="s">
        <v>1770</v>
      </c>
      <c r="G1003" s="29" t="s">
        <v>16</v>
      </c>
      <c r="H1003" s="30" t="s">
        <v>422</v>
      </c>
      <c r="I1003" s="78"/>
      <c r="J1003" s="20"/>
      <c r="K1003" s="20"/>
      <c r="L1003" s="20"/>
      <c r="M1003" s="20"/>
      <c r="N1003" s="69" t="s">
        <v>256</v>
      </c>
      <c r="O1003" s="70">
        <v>0</v>
      </c>
      <c r="P1003" s="70">
        <v>0</v>
      </c>
      <c r="Q1003" s="70">
        <v>0</v>
      </c>
      <c r="R1003" s="70"/>
      <c r="S1003" s="67"/>
      <c r="T1003" s="2" t="str">
        <f t="shared" si="89"/>
        <v>Bùi Trần Tuấn Minh_12AS2</v>
      </c>
      <c r="U1003" s="28">
        <f t="array" ref="U1003">IFERROR(VLOOKUP($T1003,'Nghi hoc T12'!$H$7:$I$160,2,0),0)</f>
        <v>0</v>
      </c>
      <c r="V1003" s="28">
        <f>IFERROR(VLOOKUP($T1003,No_HP!$B$2:$C$514,2,0),0)</f>
        <v>0</v>
      </c>
      <c r="W1003" s="28">
        <f t="shared" si="90"/>
        <v>0</v>
      </c>
      <c r="X1003" s="333">
        <f t="shared" si="91"/>
        <v>0</v>
      </c>
      <c r="Y1003" s="333">
        <f t="shared" si="92"/>
        <v>0</v>
      </c>
    </row>
    <row r="1004" spans="1:25" s="2" customFormat="1" ht="21.95" customHeight="1">
      <c r="A1004" s="82">
        <v>9</v>
      </c>
      <c r="B1004" s="91" t="s">
        <v>3357</v>
      </c>
      <c r="C1004" s="83" t="s">
        <v>362</v>
      </c>
      <c r="D1004" s="81" t="s">
        <v>510</v>
      </c>
      <c r="E1004" s="48">
        <v>100996</v>
      </c>
      <c r="F1004" s="30" t="s">
        <v>1792</v>
      </c>
      <c r="G1004" s="29" t="s">
        <v>16</v>
      </c>
      <c r="H1004" s="30" t="s">
        <v>418</v>
      </c>
      <c r="I1004" s="78" t="s">
        <v>529</v>
      </c>
      <c r="J1004" s="20"/>
      <c r="K1004" s="20"/>
      <c r="L1004" s="20"/>
      <c r="M1004" s="20"/>
      <c r="N1004" s="69" t="s">
        <v>256</v>
      </c>
      <c r="O1004" s="70">
        <v>0</v>
      </c>
      <c r="P1004" s="70">
        <v>0</v>
      </c>
      <c r="Q1004" s="70" t="s">
        <v>3334</v>
      </c>
      <c r="R1004" s="70"/>
      <c r="S1004" s="145" t="s">
        <v>1036</v>
      </c>
      <c r="T1004" s="2" t="str">
        <f t="shared" si="89"/>
        <v>Dương Quang Minh_12AS3</v>
      </c>
      <c r="U1004" s="28">
        <f t="array" ref="U1004">IFERROR(VLOOKUP($T1004,'Nghi hoc T12'!$H$7:$I$160,2,0),0)</f>
        <v>0</v>
      </c>
      <c r="V1004" s="28">
        <f>IFERROR(VLOOKUP($T1004,No_HP!$B$2:$C$514,2,0),0)</f>
        <v>0</v>
      </c>
      <c r="W1004" s="28" t="str">
        <f t="shared" si="90"/>
        <v>Nghỉ học</v>
      </c>
      <c r="X1004" s="333">
        <f t="shared" si="91"/>
        <v>0</v>
      </c>
      <c r="Y1004" s="333">
        <f t="shared" si="92"/>
        <v>0</v>
      </c>
    </row>
    <row r="1005" spans="1:25" s="2" customFormat="1" ht="21.95" customHeight="1">
      <c r="A1005" s="82">
        <v>10</v>
      </c>
      <c r="B1005" s="91" t="s">
        <v>3357</v>
      </c>
      <c r="C1005" s="83" t="s">
        <v>362</v>
      </c>
      <c r="D1005" s="81" t="s">
        <v>510</v>
      </c>
      <c r="E1005" s="48">
        <v>100997</v>
      </c>
      <c r="F1005" s="30" t="s">
        <v>1771</v>
      </c>
      <c r="G1005" s="29" t="s">
        <v>16</v>
      </c>
      <c r="H1005" s="30" t="s">
        <v>422</v>
      </c>
      <c r="I1005" s="78"/>
      <c r="J1005" s="20"/>
      <c r="K1005" s="20"/>
      <c r="L1005" s="20"/>
      <c r="M1005" s="20"/>
      <c r="N1005" s="69" t="s">
        <v>256</v>
      </c>
      <c r="O1005" s="70">
        <v>0</v>
      </c>
      <c r="P1005" s="70">
        <v>0</v>
      </c>
      <c r="Q1005" s="70">
        <v>0</v>
      </c>
      <c r="R1005" s="70"/>
      <c r="S1005" s="67"/>
      <c r="T1005" s="2" t="str">
        <f t="shared" si="89"/>
        <v>Nguyễn Phạm Nhật Minh_12AS2</v>
      </c>
      <c r="U1005" s="28">
        <f t="array" ref="U1005">IFERROR(VLOOKUP($T1005,'Nghi hoc T12'!$H$7:$I$160,2,0),0)</f>
        <v>0</v>
      </c>
      <c r="V1005" s="28">
        <f>IFERROR(VLOOKUP($T1005,No_HP!$B$2:$C$514,2,0),0)</f>
        <v>0</v>
      </c>
      <c r="W1005" s="28">
        <f t="shared" si="90"/>
        <v>0</v>
      </c>
      <c r="X1005" s="333">
        <f t="shared" si="91"/>
        <v>0</v>
      </c>
      <c r="Y1005" s="333">
        <f t="shared" si="92"/>
        <v>0</v>
      </c>
    </row>
    <row r="1006" spans="1:25" s="2" customFormat="1" ht="21.95" customHeight="1">
      <c r="A1006" s="82">
        <v>11</v>
      </c>
      <c r="B1006" s="91" t="s">
        <v>3357</v>
      </c>
      <c r="C1006" s="83" t="s">
        <v>362</v>
      </c>
      <c r="D1006" s="81" t="s">
        <v>510</v>
      </c>
      <c r="E1006" s="48">
        <v>100998</v>
      </c>
      <c r="F1006" s="30" t="s">
        <v>1742</v>
      </c>
      <c r="G1006" s="29" t="s">
        <v>40</v>
      </c>
      <c r="H1006" s="30" t="s">
        <v>421</v>
      </c>
      <c r="I1006" s="78"/>
      <c r="J1006" s="20"/>
      <c r="K1006" s="20"/>
      <c r="L1006" s="20"/>
      <c r="M1006" s="20"/>
      <c r="N1006" s="69" t="s">
        <v>256</v>
      </c>
      <c r="O1006" s="70">
        <v>0</v>
      </c>
      <c r="P1006" s="70">
        <v>0</v>
      </c>
      <c r="Q1006" s="70">
        <v>0</v>
      </c>
      <c r="R1006" s="70"/>
      <c r="S1006" s="67"/>
      <c r="T1006" s="2" t="str">
        <f t="shared" si="89"/>
        <v>Trần Hồng Hạnh My_12AS1</v>
      </c>
      <c r="U1006" s="28">
        <f t="array" ref="U1006">IFERROR(VLOOKUP($T1006,'Nghi hoc T12'!$H$7:$I$160,2,0),0)</f>
        <v>0</v>
      </c>
      <c r="V1006" s="28">
        <f>IFERROR(VLOOKUP($T1006,No_HP!$B$2:$C$514,2,0),0)</f>
        <v>0</v>
      </c>
      <c r="W1006" s="28">
        <f t="shared" si="90"/>
        <v>0</v>
      </c>
      <c r="X1006" s="333">
        <f t="shared" si="91"/>
        <v>0</v>
      </c>
      <c r="Y1006" s="333">
        <f t="shared" si="92"/>
        <v>0</v>
      </c>
    </row>
    <row r="1007" spans="1:25" s="2" customFormat="1" ht="21.95" customHeight="1">
      <c r="A1007" s="82">
        <v>12</v>
      </c>
      <c r="B1007" s="91" t="s">
        <v>3357</v>
      </c>
      <c r="C1007" s="83" t="s">
        <v>362</v>
      </c>
      <c r="D1007" s="81" t="s">
        <v>510</v>
      </c>
      <c r="E1007" s="48">
        <v>100999</v>
      </c>
      <c r="F1007" s="30" t="s">
        <v>1480</v>
      </c>
      <c r="G1007" s="29" t="s">
        <v>18</v>
      </c>
      <c r="H1007" s="30" t="s">
        <v>418</v>
      </c>
      <c r="I1007" s="78"/>
      <c r="J1007" s="20"/>
      <c r="K1007" s="20"/>
      <c r="L1007" s="20"/>
      <c r="M1007" s="20"/>
      <c r="N1007" s="69" t="s">
        <v>256</v>
      </c>
      <c r="O1007" s="70">
        <v>0</v>
      </c>
      <c r="P1007" s="70">
        <v>0</v>
      </c>
      <c r="Q1007" s="70">
        <v>0</v>
      </c>
      <c r="R1007" s="70"/>
      <c r="S1007" s="67"/>
      <c r="T1007" s="2" t="str">
        <f t="shared" si="89"/>
        <v>Nguyễn Kim Ngân_12AS3</v>
      </c>
      <c r="U1007" s="28">
        <f t="array" ref="U1007">IFERROR(VLOOKUP($T1007,'Nghi hoc T12'!$H$7:$I$160,2,0),0)</f>
        <v>0</v>
      </c>
      <c r="V1007" s="28">
        <f>IFERROR(VLOOKUP($T1007,No_HP!$B$2:$C$514,2,0),0)</f>
        <v>0</v>
      </c>
      <c r="W1007" s="28">
        <f t="shared" si="90"/>
        <v>0</v>
      </c>
      <c r="X1007" s="333">
        <f t="shared" si="91"/>
        <v>0</v>
      </c>
      <c r="Y1007" s="333">
        <f t="shared" si="92"/>
        <v>0</v>
      </c>
    </row>
    <row r="1008" spans="1:25" s="2" customFormat="1" ht="21.95" customHeight="1">
      <c r="A1008" s="82">
        <v>13</v>
      </c>
      <c r="B1008" s="91" t="s">
        <v>3357</v>
      </c>
      <c r="C1008" s="83" t="s">
        <v>362</v>
      </c>
      <c r="D1008" s="81" t="s">
        <v>510</v>
      </c>
      <c r="E1008" s="48">
        <v>101000</v>
      </c>
      <c r="F1008" s="30" t="s">
        <v>154</v>
      </c>
      <c r="G1008" s="29" t="s">
        <v>19</v>
      </c>
      <c r="H1008" s="30" t="s">
        <v>418</v>
      </c>
      <c r="I1008" s="78"/>
      <c r="J1008" s="20"/>
      <c r="K1008" s="20"/>
      <c r="L1008" s="20"/>
      <c r="M1008" s="20"/>
      <c r="N1008" s="69" t="s">
        <v>256</v>
      </c>
      <c r="O1008" s="70">
        <v>0</v>
      </c>
      <c r="P1008" s="70">
        <v>0</v>
      </c>
      <c r="Q1008" s="70">
        <v>0</v>
      </c>
      <c r="R1008" s="70"/>
      <c r="S1008" s="67"/>
      <c r="T1008" s="2" t="str">
        <f t="shared" si="89"/>
        <v>Nguyễn Bảo Ngọc_12AS3</v>
      </c>
      <c r="U1008" s="28">
        <f t="array" ref="U1008">IFERROR(VLOOKUP($T1008,'Nghi hoc T12'!$H$7:$I$160,2,0),0)</f>
        <v>0</v>
      </c>
      <c r="V1008" s="28">
        <f>IFERROR(VLOOKUP($T1008,No_HP!$B$2:$C$514,2,0),0)</f>
        <v>0</v>
      </c>
      <c r="W1008" s="28">
        <f t="shared" si="90"/>
        <v>0</v>
      </c>
      <c r="X1008" s="333">
        <f t="shared" si="91"/>
        <v>0</v>
      </c>
      <c r="Y1008" s="333">
        <f t="shared" si="92"/>
        <v>0</v>
      </c>
    </row>
    <row r="1009" spans="1:25" s="2" customFormat="1" ht="21.95" customHeight="1">
      <c r="A1009" s="82">
        <v>14</v>
      </c>
      <c r="B1009" s="91" t="s">
        <v>3357</v>
      </c>
      <c r="C1009" s="83" t="s">
        <v>362</v>
      </c>
      <c r="D1009" s="81" t="s">
        <v>510</v>
      </c>
      <c r="E1009" s="48">
        <v>101001</v>
      </c>
      <c r="F1009" s="30" t="s">
        <v>180</v>
      </c>
      <c r="G1009" s="29" t="s">
        <v>19</v>
      </c>
      <c r="H1009" s="30" t="s">
        <v>422</v>
      </c>
      <c r="I1009" s="78"/>
      <c r="J1009" s="20"/>
      <c r="K1009" s="20"/>
      <c r="L1009" s="20"/>
      <c r="M1009" s="20"/>
      <c r="N1009" s="69" t="s">
        <v>256</v>
      </c>
      <c r="O1009" s="70">
        <v>0</v>
      </c>
      <c r="P1009" s="70">
        <v>0</v>
      </c>
      <c r="Q1009" s="70">
        <v>0</v>
      </c>
      <c r="R1009" s="70"/>
      <c r="S1009" s="67"/>
      <c r="T1009" s="2" t="str">
        <f t="shared" si="89"/>
        <v>Nguyễn Thị Bảo Ngọc_12AS2</v>
      </c>
      <c r="U1009" s="28">
        <f t="array" ref="U1009">IFERROR(VLOOKUP($T1009,'Nghi hoc T12'!$H$7:$I$160,2,0),0)</f>
        <v>0</v>
      </c>
      <c r="V1009" s="28">
        <f>IFERROR(VLOOKUP($T1009,No_HP!$B$2:$C$514,2,0),0)</f>
        <v>0</v>
      </c>
      <c r="W1009" s="28">
        <f t="shared" si="90"/>
        <v>0</v>
      </c>
      <c r="X1009" s="333">
        <f t="shared" si="91"/>
        <v>0</v>
      </c>
      <c r="Y1009" s="333">
        <f t="shared" si="92"/>
        <v>0</v>
      </c>
    </row>
    <row r="1010" spans="1:25" s="2" customFormat="1" ht="21.95" customHeight="1">
      <c r="A1010" s="82">
        <v>15</v>
      </c>
      <c r="B1010" s="91" t="s">
        <v>3357</v>
      </c>
      <c r="C1010" s="83" t="s">
        <v>362</v>
      </c>
      <c r="D1010" s="81" t="s">
        <v>510</v>
      </c>
      <c r="E1010" s="48">
        <v>101002</v>
      </c>
      <c r="F1010" s="30" t="s">
        <v>1772</v>
      </c>
      <c r="G1010" s="29" t="s">
        <v>87</v>
      </c>
      <c r="H1010" s="30" t="s">
        <v>422</v>
      </c>
      <c r="I1010" s="78"/>
      <c r="J1010" s="20"/>
      <c r="K1010" s="20"/>
      <c r="L1010" s="20"/>
      <c r="M1010" s="20"/>
      <c r="N1010" s="69" t="s">
        <v>256</v>
      </c>
      <c r="O1010" s="70">
        <v>0</v>
      </c>
      <c r="P1010" s="70">
        <v>0</v>
      </c>
      <c r="Q1010" s="70">
        <v>0</v>
      </c>
      <c r="R1010" s="70"/>
      <c r="S1010" s="67"/>
      <c r="T1010" s="2" t="str">
        <f t="shared" si="89"/>
        <v>Mai Huỳnh Khôi Nguyên_12AS2</v>
      </c>
      <c r="U1010" s="28">
        <f t="array" ref="U1010">IFERROR(VLOOKUP($T1010,'Nghi hoc T12'!$H$7:$I$160,2,0),0)</f>
        <v>0</v>
      </c>
      <c r="V1010" s="28">
        <f>IFERROR(VLOOKUP($T1010,No_HP!$B$2:$C$514,2,0),0)</f>
        <v>0</v>
      </c>
      <c r="W1010" s="28">
        <f t="shared" si="90"/>
        <v>0</v>
      </c>
      <c r="X1010" s="333">
        <f t="shared" si="91"/>
        <v>0</v>
      </c>
      <c r="Y1010" s="333">
        <f t="shared" si="92"/>
        <v>0</v>
      </c>
    </row>
    <row r="1011" spans="1:25" s="2" customFormat="1" ht="21.95" customHeight="1">
      <c r="A1011" s="82">
        <v>16</v>
      </c>
      <c r="B1011" s="91" t="s">
        <v>3357</v>
      </c>
      <c r="C1011" s="83" t="s">
        <v>362</v>
      </c>
      <c r="D1011" s="81" t="s">
        <v>510</v>
      </c>
      <c r="E1011" s="48">
        <v>101003</v>
      </c>
      <c r="F1011" s="30" t="s">
        <v>1773</v>
      </c>
      <c r="G1011" s="29" t="s">
        <v>20</v>
      </c>
      <c r="H1011" s="30" t="s">
        <v>422</v>
      </c>
      <c r="I1011" s="78"/>
      <c r="J1011" s="20"/>
      <c r="K1011" s="20"/>
      <c r="L1011" s="20"/>
      <c r="M1011" s="20"/>
      <c r="N1011" s="69" t="s">
        <v>256</v>
      </c>
      <c r="O1011" s="70">
        <v>0</v>
      </c>
      <c r="P1011" s="70">
        <v>0</v>
      </c>
      <c r="Q1011" s="70">
        <v>0</v>
      </c>
      <c r="R1011" s="70"/>
      <c r="S1011" s="67"/>
      <c r="T1011" s="2" t="str">
        <f t="shared" si="89"/>
        <v>Bùi Thị Yến Nhi_12AS2</v>
      </c>
      <c r="U1011" s="28">
        <f t="array" ref="U1011">IFERROR(VLOOKUP($T1011,'Nghi hoc T12'!$H$7:$I$160,2,0),0)</f>
        <v>0</v>
      </c>
      <c r="V1011" s="28">
        <f>IFERROR(VLOOKUP($T1011,No_HP!$B$2:$C$514,2,0),0)</f>
        <v>0</v>
      </c>
      <c r="W1011" s="28">
        <f t="shared" si="90"/>
        <v>0</v>
      </c>
      <c r="X1011" s="333">
        <f t="shared" si="91"/>
        <v>0</v>
      </c>
      <c r="Y1011" s="333">
        <f t="shared" si="92"/>
        <v>0</v>
      </c>
    </row>
    <row r="1012" spans="1:25" s="2" customFormat="1" ht="21.95" customHeight="1">
      <c r="A1012" s="82">
        <v>17</v>
      </c>
      <c r="B1012" s="91" t="s">
        <v>3357</v>
      </c>
      <c r="C1012" s="83" t="s">
        <v>362</v>
      </c>
      <c r="D1012" s="81" t="s">
        <v>510</v>
      </c>
      <c r="E1012" s="48">
        <v>101004</v>
      </c>
      <c r="F1012" s="30" t="s">
        <v>1793</v>
      </c>
      <c r="G1012" s="29" t="s">
        <v>20</v>
      </c>
      <c r="H1012" s="30" t="s">
        <v>418</v>
      </c>
      <c r="I1012" s="78"/>
      <c r="J1012" s="20"/>
      <c r="K1012" s="20"/>
      <c r="L1012" s="20"/>
      <c r="M1012" s="20"/>
      <c r="N1012" s="69" t="s">
        <v>256</v>
      </c>
      <c r="O1012" s="70">
        <v>0</v>
      </c>
      <c r="P1012" s="70">
        <v>0</v>
      </c>
      <c r="Q1012" s="70">
        <v>0</v>
      </c>
      <c r="R1012" s="70"/>
      <c r="S1012" s="67"/>
      <c r="T1012" s="2" t="str">
        <f t="shared" si="89"/>
        <v>Tạ Tuyết Nhi_12AS3</v>
      </c>
      <c r="U1012" s="28">
        <f t="array" ref="U1012">IFERROR(VLOOKUP($T1012,'Nghi hoc T12'!$H$7:$I$160,2,0),0)</f>
        <v>0</v>
      </c>
      <c r="V1012" s="28">
        <f>IFERROR(VLOOKUP($T1012,No_HP!$B$2:$C$514,2,0),0)</f>
        <v>0</v>
      </c>
      <c r="W1012" s="28">
        <f t="shared" si="90"/>
        <v>0</v>
      </c>
      <c r="X1012" s="333">
        <f t="shared" si="91"/>
        <v>0</v>
      </c>
      <c r="Y1012" s="333">
        <f t="shared" si="92"/>
        <v>0</v>
      </c>
    </row>
    <row r="1013" spans="1:25" s="2" customFormat="1" ht="21.95" customHeight="1">
      <c r="A1013" s="82">
        <v>18</v>
      </c>
      <c r="B1013" s="91" t="s">
        <v>3357</v>
      </c>
      <c r="C1013" s="83" t="s">
        <v>362</v>
      </c>
      <c r="D1013" s="81" t="s">
        <v>510</v>
      </c>
      <c r="E1013" s="48">
        <v>101005</v>
      </c>
      <c r="F1013" s="30" t="s">
        <v>1774</v>
      </c>
      <c r="G1013" s="29" t="s">
        <v>21</v>
      </c>
      <c r="H1013" s="30" t="s">
        <v>422</v>
      </c>
      <c r="I1013" s="78"/>
      <c r="J1013" s="20"/>
      <c r="K1013" s="20"/>
      <c r="L1013" s="20"/>
      <c r="M1013" s="20"/>
      <c r="N1013" s="69" t="s">
        <v>256</v>
      </c>
      <c r="O1013" s="70">
        <v>0</v>
      </c>
      <c r="P1013" s="70">
        <v>0</v>
      </c>
      <c r="Q1013" s="70">
        <v>0</v>
      </c>
      <c r="R1013" s="70"/>
      <c r="S1013" s="67"/>
      <c r="T1013" s="2" t="str">
        <f t="shared" si="89"/>
        <v>Lê Đào Quỳnh Như_12AS2</v>
      </c>
      <c r="U1013" s="28">
        <f t="array" ref="U1013">IFERROR(VLOOKUP($T1013,'Nghi hoc T12'!$H$7:$I$160,2,0),0)</f>
        <v>0</v>
      </c>
      <c r="V1013" s="28">
        <f>IFERROR(VLOOKUP($T1013,No_HP!$B$2:$C$514,2,0),0)</f>
        <v>0</v>
      </c>
      <c r="W1013" s="28">
        <f t="shared" si="90"/>
        <v>0</v>
      </c>
      <c r="X1013" s="333">
        <f t="shared" si="91"/>
        <v>0</v>
      </c>
      <c r="Y1013" s="333">
        <f t="shared" si="92"/>
        <v>0</v>
      </c>
    </row>
    <row r="1014" spans="1:25" s="2" customFormat="1" ht="21.95" customHeight="1">
      <c r="A1014" s="82">
        <v>19</v>
      </c>
      <c r="B1014" s="91" t="s">
        <v>3357</v>
      </c>
      <c r="C1014" s="83" t="s">
        <v>362</v>
      </c>
      <c r="D1014" s="81" t="s">
        <v>510</v>
      </c>
      <c r="E1014" s="48">
        <v>101006</v>
      </c>
      <c r="F1014" s="30" t="s">
        <v>298</v>
      </c>
      <c r="G1014" s="29" t="s">
        <v>21</v>
      </c>
      <c r="H1014" s="30" t="s">
        <v>421</v>
      </c>
      <c r="I1014" s="78"/>
      <c r="J1014" s="20"/>
      <c r="K1014" s="20"/>
      <c r="L1014" s="20"/>
      <c r="M1014" s="20"/>
      <c r="N1014" s="69" t="s">
        <v>256</v>
      </c>
      <c r="O1014" s="70">
        <v>0</v>
      </c>
      <c r="P1014" s="70">
        <v>0</v>
      </c>
      <c r="Q1014" s="70">
        <v>0</v>
      </c>
      <c r="R1014" s="70"/>
      <c r="S1014" s="67"/>
      <c r="T1014" s="2" t="str">
        <f t="shared" si="89"/>
        <v>Nguyễn Thị Khánh Như_12AS1</v>
      </c>
      <c r="U1014" s="28">
        <f t="array" ref="U1014">IFERROR(VLOOKUP($T1014,'Nghi hoc T12'!$H$7:$I$160,2,0),0)</f>
        <v>0</v>
      </c>
      <c r="V1014" s="28">
        <f>IFERROR(VLOOKUP($T1014,No_HP!$B$2:$C$514,2,0),0)</f>
        <v>0</v>
      </c>
      <c r="W1014" s="28">
        <f t="shared" si="90"/>
        <v>0</v>
      </c>
      <c r="X1014" s="333">
        <f t="shared" si="91"/>
        <v>0</v>
      </c>
      <c r="Y1014" s="333">
        <f t="shared" si="92"/>
        <v>0</v>
      </c>
    </row>
    <row r="1015" spans="1:25" s="2" customFormat="1" ht="21.95" customHeight="1">
      <c r="A1015" s="82">
        <v>20</v>
      </c>
      <c r="B1015" s="91" t="s">
        <v>3357</v>
      </c>
      <c r="C1015" s="83" t="s">
        <v>362</v>
      </c>
      <c r="D1015" s="81" t="s">
        <v>510</v>
      </c>
      <c r="E1015" s="48">
        <v>101007</v>
      </c>
      <c r="F1015" s="30" t="s">
        <v>156</v>
      </c>
      <c r="G1015" s="29" t="s">
        <v>155</v>
      </c>
      <c r="H1015" s="30" t="s">
        <v>418</v>
      </c>
      <c r="I1015" s="78"/>
      <c r="J1015" s="20"/>
      <c r="K1015" s="20"/>
      <c r="L1015" s="20"/>
      <c r="M1015" s="20"/>
      <c r="N1015" s="69" t="s">
        <v>256</v>
      </c>
      <c r="O1015" s="70">
        <v>0</v>
      </c>
      <c r="P1015" s="70">
        <v>0</v>
      </c>
      <c r="Q1015" s="70">
        <v>0</v>
      </c>
      <c r="R1015" s="70"/>
      <c r="S1015" s="67"/>
      <c r="T1015" s="2" t="str">
        <f t="shared" si="89"/>
        <v>Trần Minh Nhựt_12AS3</v>
      </c>
      <c r="U1015" s="28">
        <f t="array" ref="U1015">IFERROR(VLOOKUP($T1015,'Nghi hoc T12'!$H$7:$I$160,2,0),0)</f>
        <v>0</v>
      </c>
      <c r="V1015" s="28">
        <f>IFERROR(VLOOKUP($T1015,No_HP!$B$2:$C$514,2,0),0)</f>
        <v>0</v>
      </c>
      <c r="W1015" s="28">
        <f t="shared" si="90"/>
        <v>0</v>
      </c>
      <c r="X1015" s="333">
        <f t="shared" si="91"/>
        <v>0</v>
      </c>
      <c r="Y1015" s="333">
        <f t="shared" si="92"/>
        <v>0</v>
      </c>
    </row>
    <row r="1016" spans="1:25" s="2" customFormat="1" ht="21.95" customHeight="1">
      <c r="A1016" s="82">
        <v>21</v>
      </c>
      <c r="B1016" s="91" t="s">
        <v>3357</v>
      </c>
      <c r="C1016" s="83" t="s">
        <v>362</v>
      </c>
      <c r="D1016" s="81" t="s">
        <v>510</v>
      </c>
      <c r="E1016" s="48">
        <v>101008</v>
      </c>
      <c r="F1016" s="30" t="s">
        <v>1794</v>
      </c>
      <c r="G1016" s="29" t="s">
        <v>1795</v>
      </c>
      <c r="H1016" s="30" t="s">
        <v>418</v>
      </c>
      <c r="I1016" s="78"/>
      <c r="J1016" s="20"/>
      <c r="K1016" s="20"/>
      <c r="L1016" s="20"/>
      <c r="M1016" s="20"/>
      <c r="N1016" s="69" t="s">
        <v>256</v>
      </c>
      <c r="O1016" s="70">
        <v>0</v>
      </c>
      <c r="P1016" s="70">
        <v>0</v>
      </c>
      <c r="Q1016" s="70">
        <v>0</v>
      </c>
      <c r="R1016" s="70"/>
      <c r="S1016" s="67"/>
      <c r="T1016" s="2" t="str">
        <f t="shared" si="89"/>
        <v>Trần Thị Khánh Ninh_12AS3</v>
      </c>
      <c r="U1016" s="28">
        <f t="array" ref="U1016">IFERROR(VLOOKUP($T1016,'Nghi hoc T12'!$H$7:$I$160,2,0),0)</f>
        <v>0</v>
      </c>
      <c r="V1016" s="28">
        <f>IFERROR(VLOOKUP($T1016,No_HP!$B$2:$C$514,2,0),0)</f>
        <v>0</v>
      </c>
      <c r="W1016" s="28">
        <f t="shared" si="90"/>
        <v>0</v>
      </c>
      <c r="X1016" s="333">
        <f t="shared" si="91"/>
        <v>0</v>
      </c>
      <c r="Y1016" s="333">
        <f t="shared" si="92"/>
        <v>0</v>
      </c>
    </row>
    <row r="1017" spans="1:25" s="2" customFormat="1" ht="21.95" customHeight="1">
      <c r="A1017" s="82">
        <v>22</v>
      </c>
      <c r="B1017" s="91" t="s">
        <v>3357</v>
      </c>
      <c r="C1017" s="83" t="s">
        <v>362</v>
      </c>
      <c r="D1017" s="81" t="s">
        <v>510</v>
      </c>
      <c r="E1017" s="48">
        <v>101009</v>
      </c>
      <c r="F1017" s="30" t="s">
        <v>1775</v>
      </c>
      <c r="G1017" s="29" t="s">
        <v>42</v>
      </c>
      <c r="H1017" s="30" t="s">
        <v>422</v>
      </c>
      <c r="I1017" s="78"/>
      <c r="J1017" s="20"/>
      <c r="K1017" s="20"/>
      <c r="L1017" s="20"/>
      <c r="M1017" s="20"/>
      <c r="N1017" s="69" t="s">
        <v>256</v>
      </c>
      <c r="O1017" s="70">
        <v>0</v>
      </c>
      <c r="P1017" s="70">
        <v>0</v>
      </c>
      <c r="Q1017" s="70">
        <v>0</v>
      </c>
      <c r="R1017" s="70"/>
      <c r="S1017" s="67"/>
      <c r="T1017" s="2" t="str">
        <f t="shared" si="89"/>
        <v>Lê Thiện Tấn Phát_12AS2</v>
      </c>
      <c r="U1017" s="28">
        <f t="array" ref="U1017">IFERROR(VLOOKUP($T1017,'Nghi hoc T12'!$H$7:$I$160,2,0),0)</f>
        <v>0</v>
      </c>
      <c r="V1017" s="28">
        <f>IFERROR(VLOOKUP($T1017,No_HP!$B$2:$C$514,2,0),0)</f>
        <v>0</v>
      </c>
      <c r="W1017" s="28">
        <f t="shared" si="90"/>
        <v>0</v>
      </c>
      <c r="X1017" s="333">
        <f t="shared" si="91"/>
        <v>0</v>
      </c>
      <c r="Y1017" s="333">
        <f t="shared" si="92"/>
        <v>0</v>
      </c>
    </row>
    <row r="1018" spans="1:25" s="2" customFormat="1" ht="21.95" customHeight="1">
      <c r="A1018" s="82">
        <v>23</v>
      </c>
      <c r="B1018" s="91" t="s">
        <v>3357</v>
      </c>
      <c r="C1018" s="83" t="s">
        <v>362</v>
      </c>
      <c r="D1018" s="81" t="s">
        <v>510</v>
      </c>
      <c r="E1018" s="48">
        <v>101010</v>
      </c>
      <c r="F1018" s="30" t="s">
        <v>1743</v>
      </c>
      <c r="G1018" s="29" t="s">
        <v>70</v>
      </c>
      <c r="H1018" s="30" t="s">
        <v>421</v>
      </c>
      <c r="I1018" s="78"/>
      <c r="J1018" s="20"/>
      <c r="K1018" s="20"/>
      <c r="L1018" s="20"/>
      <c r="M1018" s="20"/>
      <c r="N1018" s="69" t="s">
        <v>256</v>
      </c>
      <c r="O1018" s="70">
        <v>0</v>
      </c>
      <c r="P1018" s="70">
        <v>0</v>
      </c>
      <c r="Q1018" s="70">
        <v>0</v>
      </c>
      <c r="R1018" s="70"/>
      <c r="S1018" s="67"/>
      <c r="T1018" s="2" t="str">
        <f t="shared" si="89"/>
        <v>Hoàng Đại Phong_12AS1</v>
      </c>
      <c r="U1018" s="28">
        <f t="array" ref="U1018">IFERROR(VLOOKUP($T1018,'Nghi hoc T12'!$H$7:$I$160,2,0),0)</f>
        <v>0</v>
      </c>
      <c r="V1018" s="28">
        <f>IFERROR(VLOOKUP($T1018,No_HP!$B$2:$C$514,2,0),0)</f>
        <v>0</v>
      </c>
      <c r="W1018" s="28">
        <f t="shared" si="90"/>
        <v>0</v>
      </c>
      <c r="X1018" s="333">
        <f t="shared" si="91"/>
        <v>0</v>
      </c>
      <c r="Y1018" s="333">
        <f t="shared" si="92"/>
        <v>0</v>
      </c>
    </row>
    <row r="1019" spans="1:25" s="2" customFormat="1" ht="21.95" customHeight="1">
      <c r="A1019" s="82">
        <v>24</v>
      </c>
      <c r="B1019" s="91" t="s">
        <v>3357</v>
      </c>
      <c r="C1019" s="83" t="s">
        <v>362</v>
      </c>
      <c r="D1019" s="81" t="s">
        <v>510</v>
      </c>
      <c r="E1019" s="48">
        <v>101011</v>
      </c>
      <c r="F1019" s="30" t="s">
        <v>157</v>
      </c>
      <c r="G1019" s="29" t="s">
        <v>70</v>
      </c>
      <c r="H1019" s="30" t="s">
        <v>418</v>
      </c>
      <c r="I1019" s="78"/>
      <c r="J1019" s="20"/>
      <c r="K1019" s="20"/>
      <c r="L1019" s="20"/>
      <c r="M1019" s="20"/>
      <c r="N1019" s="69" t="s">
        <v>256</v>
      </c>
      <c r="O1019" s="70">
        <v>0</v>
      </c>
      <c r="P1019" s="70">
        <v>0</v>
      </c>
      <c r="Q1019" s="70">
        <v>0</v>
      </c>
      <c r="R1019" s="70"/>
      <c r="S1019" s="67"/>
      <c r="T1019" s="2" t="str">
        <f t="shared" si="89"/>
        <v>Lê Hoàng Phong_12AS3</v>
      </c>
      <c r="U1019" s="28">
        <f t="array" ref="U1019">IFERROR(VLOOKUP($T1019,'Nghi hoc T12'!$H$7:$I$160,2,0),0)</f>
        <v>0</v>
      </c>
      <c r="V1019" s="28">
        <f>IFERROR(VLOOKUP($T1019,No_HP!$B$2:$C$514,2,0),0)</f>
        <v>0</v>
      </c>
      <c r="W1019" s="28">
        <f t="shared" si="90"/>
        <v>0</v>
      </c>
      <c r="X1019" s="333">
        <f t="shared" si="91"/>
        <v>0</v>
      </c>
      <c r="Y1019" s="333">
        <f t="shared" si="92"/>
        <v>0</v>
      </c>
    </row>
    <row r="1020" spans="1:25" s="2" customFormat="1" ht="21.95" customHeight="1">
      <c r="A1020" s="82">
        <v>25</v>
      </c>
      <c r="B1020" s="91" t="s">
        <v>3357</v>
      </c>
      <c r="C1020" s="83" t="s">
        <v>362</v>
      </c>
      <c r="D1020" s="81" t="s">
        <v>510</v>
      </c>
      <c r="E1020" s="48">
        <v>101012</v>
      </c>
      <c r="F1020" s="30" t="s">
        <v>1744</v>
      </c>
      <c r="G1020" s="29" t="s">
        <v>70</v>
      </c>
      <c r="H1020" s="30" t="s">
        <v>421</v>
      </c>
      <c r="I1020" s="78"/>
      <c r="J1020" s="20"/>
      <c r="K1020" s="20"/>
      <c r="L1020" s="20"/>
      <c r="M1020" s="20"/>
      <c r="N1020" s="69" t="s">
        <v>256</v>
      </c>
      <c r="O1020" s="70">
        <v>0</v>
      </c>
      <c r="P1020" s="70">
        <v>0</v>
      </c>
      <c r="Q1020" s="70">
        <v>0</v>
      </c>
      <c r="R1020" s="70"/>
      <c r="S1020" s="67"/>
      <c r="T1020" s="2" t="str">
        <f t="shared" si="89"/>
        <v>Trần Văn Tuấn Phong_12AS1</v>
      </c>
      <c r="U1020" s="28">
        <f t="array" ref="U1020">IFERROR(VLOOKUP($T1020,'Nghi hoc T12'!$H$7:$I$160,2,0),0)</f>
        <v>0</v>
      </c>
      <c r="V1020" s="28">
        <f>IFERROR(VLOOKUP($T1020,No_HP!$B$2:$C$514,2,0),0)</f>
        <v>0</v>
      </c>
      <c r="W1020" s="28">
        <f t="shared" si="90"/>
        <v>0</v>
      </c>
      <c r="X1020" s="333">
        <f t="shared" si="91"/>
        <v>0</v>
      </c>
      <c r="Y1020" s="333">
        <f t="shared" si="92"/>
        <v>0</v>
      </c>
    </row>
    <row r="1021" spans="1:25" s="2" customFormat="1" ht="21.95" customHeight="1">
      <c r="A1021" s="200">
        <v>1</v>
      </c>
      <c r="B1021" s="91" t="s">
        <v>3358</v>
      </c>
      <c r="C1021" s="185" t="s">
        <v>362</v>
      </c>
      <c r="D1021" s="186" t="s">
        <v>511</v>
      </c>
      <c r="E1021" s="187">
        <v>101013</v>
      </c>
      <c r="F1021" s="188" t="s">
        <v>182</v>
      </c>
      <c r="G1021" s="189" t="s">
        <v>103</v>
      </c>
      <c r="H1021" s="188" t="s">
        <v>418</v>
      </c>
      <c r="I1021" s="190"/>
      <c r="J1021" s="191"/>
      <c r="K1021" s="191"/>
      <c r="L1021" s="191"/>
      <c r="M1021" s="191"/>
      <c r="N1021" s="69" t="s">
        <v>256</v>
      </c>
      <c r="O1021" s="70">
        <v>0</v>
      </c>
      <c r="P1021" s="70">
        <v>0</v>
      </c>
      <c r="Q1021" s="70">
        <v>0</v>
      </c>
      <c r="R1021" s="70"/>
      <c r="S1021" s="67"/>
      <c r="T1021" s="2" t="str">
        <f t="shared" si="89"/>
        <v>Lê Thanh Phú_12AS3</v>
      </c>
      <c r="U1021" s="28">
        <f t="array" ref="U1021">IFERROR(VLOOKUP($T1021,'Nghi hoc T12'!$H$7:$I$160,2,0),0)</f>
        <v>0</v>
      </c>
      <c r="V1021" s="28">
        <f>IFERROR(VLOOKUP($T1021,No_HP!$B$2:$C$514,2,0),0)</f>
        <v>0</v>
      </c>
      <c r="W1021" s="28">
        <f t="shared" si="90"/>
        <v>0</v>
      </c>
      <c r="X1021" s="333">
        <f t="shared" si="91"/>
        <v>0</v>
      </c>
      <c r="Y1021" s="333">
        <f t="shared" si="92"/>
        <v>0</v>
      </c>
    </row>
    <row r="1022" spans="1:25" s="2" customFormat="1" ht="21.95" customHeight="1">
      <c r="A1022" s="82">
        <v>2</v>
      </c>
      <c r="B1022" s="91" t="s">
        <v>3358</v>
      </c>
      <c r="C1022" s="83" t="s">
        <v>362</v>
      </c>
      <c r="D1022" s="81" t="s">
        <v>511</v>
      </c>
      <c r="E1022" s="48">
        <v>101014</v>
      </c>
      <c r="F1022" s="30" t="s">
        <v>1776</v>
      </c>
      <c r="G1022" s="29" t="s">
        <v>103</v>
      </c>
      <c r="H1022" s="30" t="s">
        <v>422</v>
      </c>
      <c r="I1022" s="78"/>
      <c r="J1022" s="20"/>
      <c r="K1022" s="20"/>
      <c r="L1022" s="20"/>
      <c r="M1022" s="20"/>
      <c r="N1022" s="69" t="s">
        <v>256</v>
      </c>
      <c r="O1022" s="70">
        <v>0</v>
      </c>
      <c r="P1022" s="70">
        <v>0</v>
      </c>
      <c r="Q1022" s="70">
        <v>0</v>
      </c>
      <c r="R1022" s="70"/>
      <c r="S1022" s="67"/>
      <c r="T1022" s="2" t="str">
        <f t="shared" si="89"/>
        <v>Lý Gia Phú_12AS2</v>
      </c>
      <c r="U1022" s="28">
        <f t="array" ref="U1022">IFERROR(VLOOKUP($T1022,'Nghi hoc T12'!$H$7:$I$160,2,0),0)</f>
        <v>0</v>
      </c>
      <c r="V1022" s="28">
        <f>IFERROR(VLOOKUP($T1022,No_HP!$B$2:$C$514,2,0),0)</f>
        <v>0</v>
      </c>
      <c r="W1022" s="28">
        <f t="shared" si="90"/>
        <v>0</v>
      </c>
      <c r="X1022" s="333">
        <f t="shared" si="91"/>
        <v>0</v>
      </c>
      <c r="Y1022" s="333">
        <f t="shared" si="92"/>
        <v>0</v>
      </c>
    </row>
    <row r="1023" spans="1:25" s="2" customFormat="1" ht="21.95" customHeight="1">
      <c r="A1023" s="82">
        <v>3</v>
      </c>
      <c r="B1023" s="91" t="s">
        <v>3358</v>
      </c>
      <c r="C1023" s="83" t="s">
        <v>362</v>
      </c>
      <c r="D1023" s="81" t="s">
        <v>511</v>
      </c>
      <c r="E1023" s="48">
        <v>101015</v>
      </c>
      <c r="F1023" s="30" t="s">
        <v>158</v>
      </c>
      <c r="G1023" s="29" t="s">
        <v>71</v>
      </c>
      <c r="H1023" s="30" t="s">
        <v>418</v>
      </c>
      <c r="I1023" s="78"/>
      <c r="J1023" s="20"/>
      <c r="K1023" s="20"/>
      <c r="L1023" s="20"/>
      <c r="M1023" s="20"/>
      <c r="N1023" s="69" t="s">
        <v>256</v>
      </c>
      <c r="O1023" s="70">
        <v>0</v>
      </c>
      <c r="P1023" s="70">
        <v>0</v>
      </c>
      <c r="Q1023" s="70">
        <v>0</v>
      </c>
      <c r="R1023" s="70"/>
      <c r="S1023" s="67"/>
      <c r="T1023" s="2" t="str">
        <f t="shared" si="89"/>
        <v>Nguyễn Hoàng Gia Phúc_12AS3</v>
      </c>
      <c r="U1023" s="28">
        <f t="array" ref="U1023">IFERROR(VLOOKUP($T1023,'Nghi hoc T12'!$H$7:$I$160,2,0),0)</f>
        <v>0</v>
      </c>
      <c r="V1023" s="28">
        <f>IFERROR(VLOOKUP($T1023,No_HP!$B$2:$C$514,2,0),0)</f>
        <v>0</v>
      </c>
      <c r="W1023" s="28">
        <f t="shared" si="90"/>
        <v>0</v>
      </c>
      <c r="X1023" s="333">
        <f t="shared" si="91"/>
        <v>0</v>
      </c>
      <c r="Y1023" s="333">
        <f t="shared" si="92"/>
        <v>0</v>
      </c>
    </row>
    <row r="1024" spans="1:25" s="2" customFormat="1" ht="21.95" customHeight="1">
      <c r="A1024" s="82">
        <v>4</v>
      </c>
      <c r="B1024" s="91" t="s">
        <v>3358</v>
      </c>
      <c r="C1024" s="83" t="s">
        <v>362</v>
      </c>
      <c r="D1024" s="81" t="s">
        <v>511</v>
      </c>
      <c r="E1024" s="48">
        <v>101016</v>
      </c>
      <c r="F1024" s="30" t="s">
        <v>1777</v>
      </c>
      <c r="G1024" s="29" t="s">
        <v>71</v>
      </c>
      <c r="H1024" s="30" t="s">
        <v>422</v>
      </c>
      <c r="I1024" s="78"/>
      <c r="J1024" s="20"/>
      <c r="K1024" s="20"/>
      <c r="L1024" s="20"/>
      <c r="M1024" s="20"/>
      <c r="N1024" s="69" t="s">
        <v>256</v>
      </c>
      <c r="O1024" s="70">
        <v>0</v>
      </c>
      <c r="P1024" s="70">
        <v>0</v>
      </c>
      <c r="Q1024" s="70">
        <v>0</v>
      </c>
      <c r="R1024" s="70"/>
      <c r="S1024" s="67"/>
      <c r="T1024" s="2" t="str">
        <f t="shared" si="89"/>
        <v>Phạm Lê Hoàng Phúc_12AS2</v>
      </c>
      <c r="U1024" s="28">
        <f t="array" ref="U1024">IFERROR(VLOOKUP($T1024,'Nghi hoc T12'!$H$7:$I$160,2,0),0)</f>
        <v>0</v>
      </c>
      <c r="V1024" s="28">
        <f>IFERROR(VLOOKUP($T1024,No_HP!$B$2:$C$514,2,0),0)</f>
        <v>0</v>
      </c>
      <c r="W1024" s="28">
        <f t="shared" si="90"/>
        <v>0</v>
      </c>
      <c r="X1024" s="333">
        <f t="shared" si="91"/>
        <v>0</v>
      </c>
      <c r="Y1024" s="333">
        <f t="shared" si="92"/>
        <v>0</v>
      </c>
    </row>
    <row r="1025" spans="1:25" s="2" customFormat="1" ht="21.95" customHeight="1">
      <c r="A1025" s="82">
        <v>5</v>
      </c>
      <c r="B1025" s="91" t="s">
        <v>3358</v>
      </c>
      <c r="C1025" s="83" t="s">
        <v>362</v>
      </c>
      <c r="D1025" s="81" t="s">
        <v>511</v>
      </c>
      <c r="E1025" s="48">
        <v>101017</v>
      </c>
      <c r="F1025" s="30" t="s">
        <v>1745</v>
      </c>
      <c r="G1025" s="29" t="s">
        <v>71</v>
      </c>
      <c r="H1025" s="30" t="s">
        <v>421</v>
      </c>
      <c r="I1025" s="78"/>
      <c r="J1025" s="20"/>
      <c r="K1025" s="20"/>
      <c r="L1025" s="20"/>
      <c r="M1025" s="20"/>
      <c r="N1025" s="69" t="s">
        <v>256</v>
      </c>
      <c r="O1025" s="70">
        <v>0</v>
      </c>
      <c r="P1025" s="70">
        <v>0</v>
      </c>
      <c r="Q1025" s="70">
        <v>0</v>
      </c>
      <c r="R1025" s="70"/>
      <c r="S1025" s="67"/>
      <c r="T1025" s="2" t="str">
        <f t="shared" si="89"/>
        <v>Võ Hồng Phúc_12AS1</v>
      </c>
      <c r="U1025" s="28">
        <f t="array" ref="U1025">IFERROR(VLOOKUP($T1025,'Nghi hoc T12'!$H$7:$I$160,2,0),0)</f>
        <v>0</v>
      </c>
      <c r="V1025" s="28">
        <f>IFERROR(VLOOKUP($T1025,No_HP!$B$2:$C$514,2,0),0)</f>
        <v>0</v>
      </c>
      <c r="W1025" s="28">
        <f t="shared" si="90"/>
        <v>0</v>
      </c>
      <c r="X1025" s="333">
        <f t="shared" si="91"/>
        <v>0</v>
      </c>
      <c r="Y1025" s="333">
        <f t="shared" si="92"/>
        <v>0</v>
      </c>
    </row>
    <row r="1026" spans="1:25" s="2" customFormat="1" ht="21.95" customHeight="1">
      <c r="A1026" s="82">
        <v>6</v>
      </c>
      <c r="B1026" s="91" t="s">
        <v>3358</v>
      </c>
      <c r="C1026" s="83" t="s">
        <v>362</v>
      </c>
      <c r="D1026" s="81" t="s">
        <v>511</v>
      </c>
      <c r="E1026" s="48">
        <v>101018</v>
      </c>
      <c r="F1026" s="30" t="s">
        <v>1746</v>
      </c>
      <c r="G1026" s="29" t="s">
        <v>43</v>
      </c>
      <c r="H1026" s="30" t="s">
        <v>421</v>
      </c>
      <c r="I1026" s="78"/>
      <c r="J1026" s="20"/>
      <c r="K1026" s="20"/>
      <c r="L1026" s="20"/>
      <c r="M1026" s="20"/>
      <c r="N1026" s="69" t="s">
        <v>256</v>
      </c>
      <c r="O1026" s="70">
        <v>0</v>
      </c>
      <c r="P1026" s="70">
        <v>0</v>
      </c>
      <c r="Q1026" s="70">
        <v>0</v>
      </c>
      <c r="R1026" s="70"/>
      <c r="S1026" s="67"/>
      <c r="T1026" s="2" t="str">
        <f t="shared" si="89"/>
        <v>Đinh Nguyễn Minh Phương_12AS1</v>
      </c>
      <c r="U1026" s="28">
        <f t="array" ref="U1026">IFERROR(VLOOKUP($T1026,'Nghi hoc T12'!$H$7:$I$160,2,0),0)</f>
        <v>0</v>
      </c>
      <c r="V1026" s="28">
        <f>IFERROR(VLOOKUP($T1026,No_HP!$B$2:$C$514,2,0),0)</f>
        <v>0</v>
      </c>
      <c r="W1026" s="28">
        <f t="shared" si="90"/>
        <v>0</v>
      </c>
      <c r="X1026" s="333">
        <f t="shared" si="91"/>
        <v>0</v>
      </c>
      <c r="Y1026" s="333">
        <f t="shared" si="92"/>
        <v>0</v>
      </c>
    </row>
    <row r="1027" spans="1:25" s="2" customFormat="1" ht="21.95" customHeight="1">
      <c r="A1027" s="82">
        <v>7</v>
      </c>
      <c r="B1027" s="91" t="s">
        <v>3358</v>
      </c>
      <c r="C1027" s="83" t="s">
        <v>362</v>
      </c>
      <c r="D1027" s="81" t="s">
        <v>511</v>
      </c>
      <c r="E1027" s="48">
        <v>101019</v>
      </c>
      <c r="F1027" s="30" t="s">
        <v>1778</v>
      </c>
      <c r="G1027" s="29" t="s">
        <v>43</v>
      </c>
      <c r="H1027" s="30" t="s">
        <v>422</v>
      </c>
      <c r="I1027" s="78"/>
      <c r="J1027" s="20"/>
      <c r="K1027" s="20"/>
      <c r="L1027" s="20"/>
      <c r="M1027" s="20"/>
      <c r="N1027" s="69" t="s">
        <v>256</v>
      </c>
      <c r="O1027" s="70">
        <v>0</v>
      </c>
      <c r="P1027" s="70">
        <v>0</v>
      </c>
      <c r="Q1027" s="70">
        <v>0</v>
      </c>
      <c r="R1027" s="70"/>
      <c r="S1027" s="67"/>
      <c r="T1027" s="2" t="str">
        <f t="shared" si="89"/>
        <v>Hà Anh Phương_12AS2</v>
      </c>
      <c r="U1027" s="28">
        <f t="array" ref="U1027">IFERROR(VLOOKUP($T1027,'Nghi hoc T12'!$H$7:$I$160,2,0),0)</f>
        <v>0</v>
      </c>
      <c r="V1027" s="28">
        <f>IFERROR(VLOOKUP($T1027,No_HP!$B$2:$C$514,2,0),0)</f>
        <v>0</v>
      </c>
      <c r="W1027" s="28">
        <f t="shared" si="90"/>
        <v>0</v>
      </c>
      <c r="X1027" s="333">
        <f t="shared" si="91"/>
        <v>0</v>
      </c>
      <c r="Y1027" s="333">
        <f t="shared" si="92"/>
        <v>0</v>
      </c>
    </row>
    <row r="1028" spans="1:25" s="2" customFormat="1" ht="21.95" customHeight="1">
      <c r="A1028" s="82">
        <v>8</v>
      </c>
      <c r="B1028" s="91" t="s">
        <v>3358</v>
      </c>
      <c r="C1028" s="83" t="s">
        <v>362</v>
      </c>
      <c r="D1028" s="81" t="s">
        <v>511</v>
      </c>
      <c r="E1028" s="48">
        <v>101020</v>
      </c>
      <c r="F1028" s="30" t="s">
        <v>159</v>
      </c>
      <c r="G1028" s="29" t="s">
        <v>43</v>
      </c>
      <c r="H1028" s="30" t="s">
        <v>418</v>
      </c>
      <c r="I1028" s="78"/>
      <c r="J1028" s="20"/>
      <c r="K1028" s="20"/>
      <c r="L1028" s="20"/>
      <c r="M1028" s="20"/>
      <c r="N1028" s="69" t="s">
        <v>256</v>
      </c>
      <c r="O1028" s="70">
        <v>0</v>
      </c>
      <c r="P1028" s="70">
        <v>0</v>
      </c>
      <c r="Q1028" s="70">
        <v>0</v>
      </c>
      <c r="R1028" s="70"/>
      <c r="S1028" s="67"/>
      <c r="T1028" s="2" t="str">
        <f t="shared" si="89"/>
        <v>Lầu Thị Kỳ Phương_12AS3</v>
      </c>
      <c r="U1028" s="28">
        <f t="array" ref="U1028">IFERROR(VLOOKUP($T1028,'Nghi hoc T12'!$H$7:$I$160,2,0),0)</f>
        <v>0</v>
      </c>
      <c r="V1028" s="28">
        <f>IFERROR(VLOOKUP($T1028,No_HP!$B$2:$C$514,2,0),0)</f>
        <v>0</v>
      </c>
      <c r="W1028" s="28">
        <f t="shared" si="90"/>
        <v>0</v>
      </c>
      <c r="X1028" s="333">
        <f t="shared" si="91"/>
        <v>0</v>
      </c>
      <c r="Y1028" s="333">
        <f t="shared" si="92"/>
        <v>0</v>
      </c>
    </row>
    <row r="1029" spans="1:25" s="2" customFormat="1" ht="21.95" customHeight="1">
      <c r="A1029" s="82">
        <v>9</v>
      </c>
      <c r="B1029" s="91" t="s">
        <v>3358</v>
      </c>
      <c r="C1029" s="83" t="s">
        <v>362</v>
      </c>
      <c r="D1029" s="81" t="s">
        <v>511</v>
      </c>
      <c r="E1029" s="48">
        <v>101021</v>
      </c>
      <c r="F1029" s="30" t="s">
        <v>1747</v>
      </c>
      <c r="G1029" s="29" t="s">
        <v>43</v>
      </c>
      <c r="H1029" s="30" t="s">
        <v>421</v>
      </c>
      <c r="I1029" s="78"/>
      <c r="J1029" s="20"/>
      <c r="K1029" s="20"/>
      <c r="L1029" s="20"/>
      <c r="M1029" s="20"/>
      <c r="N1029" s="69" t="s">
        <v>256</v>
      </c>
      <c r="O1029" s="70">
        <v>0</v>
      </c>
      <c r="P1029" s="70">
        <v>0</v>
      </c>
      <c r="Q1029" s="70">
        <v>0</v>
      </c>
      <c r="R1029" s="70"/>
      <c r="S1029" s="67"/>
      <c r="T1029" s="2" t="str">
        <f t="shared" si="89"/>
        <v>Trần Mai Phương_12AS1</v>
      </c>
      <c r="U1029" s="28">
        <f t="array" ref="U1029">IFERROR(VLOOKUP($T1029,'Nghi hoc T12'!$H$7:$I$160,2,0),0)</f>
        <v>0</v>
      </c>
      <c r="V1029" s="28">
        <f>IFERROR(VLOOKUP($T1029,No_HP!$B$2:$C$514,2,0),0)</f>
        <v>0</v>
      </c>
      <c r="W1029" s="28">
        <f t="shared" si="90"/>
        <v>0</v>
      </c>
      <c r="X1029" s="333">
        <f t="shared" si="91"/>
        <v>0</v>
      </c>
      <c r="Y1029" s="333">
        <f t="shared" si="92"/>
        <v>0</v>
      </c>
    </row>
    <row r="1030" spans="1:25" s="2" customFormat="1" ht="21.95" customHeight="1">
      <c r="A1030" s="82">
        <v>10</v>
      </c>
      <c r="B1030" s="91" t="s">
        <v>3358</v>
      </c>
      <c r="C1030" s="83" t="s">
        <v>362</v>
      </c>
      <c r="D1030" s="81" t="s">
        <v>511</v>
      </c>
      <c r="E1030" s="48">
        <v>101022</v>
      </c>
      <c r="F1030" s="30" t="s">
        <v>1796</v>
      </c>
      <c r="G1030" s="29" t="s">
        <v>43</v>
      </c>
      <c r="H1030" s="30" t="s">
        <v>418</v>
      </c>
      <c r="I1030" s="78"/>
      <c r="J1030" s="20"/>
      <c r="K1030" s="20"/>
      <c r="L1030" s="20"/>
      <c r="M1030" s="20"/>
      <c r="N1030" s="69" t="s">
        <v>256</v>
      </c>
      <c r="O1030" s="70">
        <v>0</v>
      </c>
      <c r="P1030" s="70">
        <v>0</v>
      </c>
      <c r="Q1030" s="70">
        <v>0</v>
      </c>
      <c r="R1030" s="70"/>
      <c r="S1030" s="67"/>
      <c r="T1030" s="2" t="str">
        <f t="shared" si="89"/>
        <v>Trần Ngọc Thanh Phương_12AS3</v>
      </c>
      <c r="U1030" s="28">
        <f t="array" ref="U1030">IFERROR(VLOOKUP($T1030,'Nghi hoc T12'!$H$7:$I$160,2,0),0)</f>
        <v>0</v>
      </c>
      <c r="V1030" s="28">
        <f>IFERROR(VLOOKUP($T1030,No_HP!$B$2:$C$514,2,0),0)</f>
        <v>0</v>
      </c>
      <c r="W1030" s="28">
        <f t="shared" si="90"/>
        <v>0</v>
      </c>
      <c r="X1030" s="333">
        <f t="shared" si="91"/>
        <v>0</v>
      </c>
      <c r="Y1030" s="333">
        <f t="shared" si="92"/>
        <v>0</v>
      </c>
    </row>
    <row r="1031" spans="1:25" s="2" customFormat="1" ht="21.95" customHeight="1">
      <c r="A1031" s="82">
        <v>11</v>
      </c>
      <c r="B1031" s="91" t="s">
        <v>3358</v>
      </c>
      <c r="C1031" s="83" t="s">
        <v>362</v>
      </c>
      <c r="D1031" s="81" t="s">
        <v>511</v>
      </c>
      <c r="E1031" s="48">
        <v>101023</v>
      </c>
      <c r="F1031" s="30" t="s">
        <v>1748</v>
      </c>
      <c r="G1031" s="29" t="s">
        <v>44</v>
      </c>
      <c r="H1031" s="30" t="s">
        <v>421</v>
      </c>
      <c r="I1031" s="78"/>
      <c r="J1031" s="20"/>
      <c r="K1031" s="20"/>
      <c r="L1031" s="20"/>
      <c r="M1031" s="20"/>
      <c r="N1031" s="69" t="s">
        <v>256</v>
      </c>
      <c r="O1031" s="70">
        <v>0</v>
      </c>
      <c r="P1031" s="70">
        <v>0</v>
      </c>
      <c r="Q1031" s="70">
        <v>0</v>
      </c>
      <c r="R1031" s="70"/>
      <c r="S1031" s="67"/>
      <c r="T1031" s="2" t="str">
        <f t="shared" si="89"/>
        <v>Ngô Tùng Quang_12AS1</v>
      </c>
      <c r="U1031" s="28">
        <f t="array" ref="U1031">IFERROR(VLOOKUP($T1031,'Nghi hoc T12'!$H$7:$I$160,2,0),0)</f>
        <v>0</v>
      </c>
      <c r="V1031" s="28">
        <f>IFERROR(VLOOKUP($T1031,No_HP!$B$2:$C$514,2,0),0)</f>
        <v>0</v>
      </c>
      <c r="W1031" s="28">
        <f t="shared" si="90"/>
        <v>0</v>
      </c>
      <c r="X1031" s="333">
        <f t="shared" si="91"/>
        <v>0</v>
      </c>
      <c r="Y1031" s="333">
        <f t="shared" si="92"/>
        <v>0</v>
      </c>
    </row>
    <row r="1032" spans="1:25" s="2" customFormat="1" ht="21.95" customHeight="1">
      <c r="A1032" s="82">
        <v>12</v>
      </c>
      <c r="B1032" s="91" t="s">
        <v>3358</v>
      </c>
      <c r="C1032" s="83" t="s">
        <v>362</v>
      </c>
      <c r="D1032" s="81" t="s">
        <v>511</v>
      </c>
      <c r="E1032" s="48">
        <v>101024</v>
      </c>
      <c r="F1032" s="30" t="s">
        <v>1779</v>
      </c>
      <c r="G1032" s="29" t="s">
        <v>22</v>
      </c>
      <c r="H1032" s="30" t="s">
        <v>422</v>
      </c>
      <c r="I1032" s="78"/>
      <c r="J1032" s="20"/>
      <c r="K1032" s="20"/>
      <c r="L1032" s="20"/>
      <c r="M1032" s="20"/>
      <c r="N1032" s="69" t="s">
        <v>256</v>
      </c>
      <c r="O1032" s="70">
        <v>0</v>
      </c>
      <c r="P1032" s="70">
        <v>0</v>
      </c>
      <c r="Q1032" s="70">
        <v>0</v>
      </c>
      <c r="R1032" s="70"/>
      <c r="S1032" s="67"/>
      <c r="T1032" s="2" t="str">
        <f t="shared" si="89"/>
        <v>Huỳnh Diễm Quỳnh_12AS2</v>
      </c>
      <c r="U1032" s="28">
        <f t="array" ref="U1032">IFERROR(VLOOKUP($T1032,'Nghi hoc T12'!$H$7:$I$160,2,0),0)</f>
        <v>0</v>
      </c>
      <c r="V1032" s="28">
        <f>IFERROR(VLOOKUP($T1032,No_HP!$B$2:$C$514,2,0),0)</f>
        <v>0</v>
      </c>
      <c r="W1032" s="28">
        <f t="shared" si="90"/>
        <v>0</v>
      </c>
      <c r="X1032" s="333">
        <f t="shared" si="91"/>
        <v>0</v>
      </c>
      <c r="Y1032" s="333">
        <f t="shared" si="92"/>
        <v>0</v>
      </c>
    </row>
    <row r="1033" spans="1:25" s="2" customFormat="1" ht="21.95" customHeight="1">
      <c r="A1033" s="82">
        <v>13</v>
      </c>
      <c r="B1033" s="91" t="s">
        <v>3358</v>
      </c>
      <c r="C1033" s="83" t="s">
        <v>362</v>
      </c>
      <c r="D1033" s="81" t="s">
        <v>511</v>
      </c>
      <c r="E1033" s="48">
        <v>101025</v>
      </c>
      <c r="F1033" s="30" t="s">
        <v>1780</v>
      </c>
      <c r="G1033" s="29" t="s">
        <v>22</v>
      </c>
      <c r="H1033" s="30" t="s">
        <v>422</v>
      </c>
      <c r="I1033" s="78"/>
      <c r="J1033" s="20"/>
      <c r="K1033" s="20"/>
      <c r="L1033" s="20"/>
      <c r="M1033" s="20"/>
      <c r="N1033" s="69" t="s">
        <v>256</v>
      </c>
      <c r="O1033" s="70">
        <v>0</v>
      </c>
      <c r="P1033" s="70">
        <v>0</v>
      </c>
      <c r="Q1033" s="70">
        <v>0</v>
      </c>
      <c r="R1033" s="70"/>
      <c r="S1033" s="67"/>
      <c r="T1033" s="2" t="str">
        <f t="shared" si="89"/>
        <v>Mai Như Quỳnh_12AS2</v>
      </c>
      <c r="U1033" s="28">
        <f t="array" ref="U1033">IFERROR(VLOOKUP($T1033,'Nghi hoc T12'!$H$7:$I$160,2,0),0)</f>
        <v>0</v>
      </c>
      <c r="V1033" s="28">
        <f>IFERROR(VLOOKUP($T1033,No_HP!$B$2:$C$514,2,0),0)</f>
        <v>0</v>
      </c>
      <c r="W1033" s="28">
        <f t="shared" si="90"/>
        <v>0</v>
      </c>
      <c r="X1033" s="333">
        <f t="shared" si="91"/>
        <v>0</v>
      </c>
      <c r="Y1033" s="333">
        <f t="shared" si="92"/>
        <v>0</v>
      </c>
    </row>
    <row r="1034" spans="1:25" s="2" customFormat="1" ht="21.95" customHeight="1">
      <c r="A1034" s="82">
        <v>14</v>
      </c>
      <c r="B1034" s="91" t="s">
        <v>3358</v>
      </c>
      <c r="C1034" s="83" t="s">
        <v>362</v>
      </c>
      <c r="D1034" s="81" t="s">
        <v>511</v>
      </c>
      <c r="E1034" s="48">
        <v>101026</v>
      </c>
      <c r="F1034" s="30" t="s">
        <v>160</v>
      </c>
      <c r="G1034" s="29" t="s">
        <v>93</v>
      </c>
      <c r="H1034" s="30" t="s">
        <v>418</v>
      </c>
      <c r="I1034" s="78"/>
      <c r="J1034" s="20"/>
      <c r="K1034" s="20"/>
      <c r="L1034" s="20"/>
      <c r="M1034" s="20"/>
      <c r="N1034" s="69" t="s">
        <v>256</v>
      </c>
      <c r="O1034" s="70">
        <v>0</v>
      </c>
      <c r="P1034" s="70">
        <v>0</v>
      </c>
      <c r="Q1034" s="70">
        <v>0</v>
      </c>
      <c r="R1034" s="70"/>
      <c r="S1034" s="67"/>
      <c r="T1034" s="2" t="str">
        <f t="shared" ref="T1034:T1097" si="93">TRIM(F1034&amp;" "&amp;G1034&amp;"_"&amp;H1034)</f>
        <v>Nguyễn Thành Tài_12AS3</v>
      </c>
      <c r="U1034" s="28">
        <f t="array" ref="U1034">IFERROR(VLOOKUP($T1034,'Nghi hoc T12'!$H$7:$I$160,2,0),0)</f>
        <v>0</v>
      </c>
      <c r="V1034" s="28">
        <f>IFERROR(VLOOKUP($T1034,No_HP!$B$2:$C$514,2,0),0)</f>
        <v>0</v>
      </c>
      <c r="W1034" s="28">
        <f t="shared" ref="W1034:W1097" si="94">I1034</f>
        <v>0</v>
      </c>
      <c r="X1034" s="333">
        <f t="shared" ref="X1034:X1097" si="95">O1034</f>
        <v>0</v>
      </c>
      <c r="Y1034" s="333">
        <f t="shared" ref="Y1034:Y1097" si="96">P1034</f>
        <v>0</v>
      </c>
    </row>
    <row r="1035" spans="1:25" s="2" customFormat="1" ht="21.95" customHeight="1">
      <c r="A1035" s="82">
        <v>15</v>
      </c>
      <c r="B1035" s="91" t="s">
        <v>3358</v>
      </c>
      <c r="C1035" s="83" t="s">
        <v>362</v>
      </c>
      <c r="D1035" s="81" t="s">
        <v>511</v>
      </c>
      <c r="E1035" s="48">
        <v>101027</v>
      </c>
      <c r="F1035" s="30" t="s">
        <v>183</v>
      </c>
      <c r="G1035" s="29" t="s">
        <v>24</v>
      </c>
      <c r="H1035" s="30" t="s">
        <v>421</v>
      </c>
      <c r="I1035" s="78"/>
      <c r="J1035" s="20"/>
      <c r="K1035" s="20"/>
      <c r="L1035" s="20"/>
      <c r="M1035" s="20"/>
      <c r="N1035" s="69" t="s">
        <v>256</v>
      </c>
      <c r="O1035" s="70">
        <v>0</v>
      </c>
      <c r="P1035" s="70">
        <v>0</v>
      </c>
      <c r="Q1035" s="70">
        <v>0</v>
      </c>
      <c r="R1035" s="70"/>
      <c r="S1035" s="67"/>
      <c r="T1035" s="2" t="str">
        <f t="shared" si="93"/>
        <v>Nguyễn Thanh Tâm_12AS1</v>
      </c>
      <c r="U1035" s="28">
        <f t="array" ref="U1035">IFERROR(VLOOKUP($T1035,'Nghi hoc T12'!$H$7:$I$160,2,0),0)</f>
        <v>0</v>
      </c>
      <c r="V1035" s="28">
        <f>IFERROR(VLOOKUP($T1035,No_HP!$B$2:$C$514,2,0),0)</f>
        <v>0</v>
      </c>
      <c r="W1035" s="28">
        <f t="shared" si="94"/>
        <v>0</v>
      </c>
      <c r="X1035" s="333">
        <f t="shared" si="95"/>
        <v>0</v>
      </c>
      <c r="Y1035" s="333">
        <f t="shared" si="96"/>
        <v>0</v>
      </c>
    </row>
    <row r="1036" spans="1:25" s="2" customFormat="1" ht="21.95" customHeight="1">
      <c r="A1036" s="82">
        <v>16</v>
      </c>
      <c r="B1036" s="91" t="s">
        <v>3358</v>
      </c>
      <c r="C1036" s="83" t="s">
        <v>362</v>
      </c>
      <c r="D1036" s="81" t="s">
        <v>511</v>
      </c>
      <c r="E1036" s="48">
        <v>101028</v>
      </c>
      <c r="F1036" s="30" t="s">
        <v>1797</v>
      </c>
      <c r="G1036" s="29" t="s">
        <v>26</v>
      </c>
      <c r="H1036" s="30" t="s">
        <v>418</v>
      </c>
      <c r="I1036" s="78"/>
      <c r="J1036" s="20"/>
      <c r="K1036" s="20"/>
      <c r="L1036" s="20"/>
      <c r="M1036" s="20"/>
      <c r="N1036" s="69" t="s">
        <v>256</v>
      </c>
      <c r="O1036" s="70">
        <v>0</v>
      </c>
      <c r="P1036" s="70">
        <v>0</v>
      </c>
      <c r="Q1036" s="70">
        <v>0</v>
      </c>
      <c r="R1036" s="70"/>
      <c r="S1036" s="67"/>
      <c r="T1036" s="2" t="str">
        <f t="shared" si="93"/>
        <v>Hoàng Chí Thanh_12AS3</v>
      </c>
      <c r="U1036" s="28">
        <f t="array" ref="U1036">IFERROR(VLOOKUP($T1036,'Nghi hoc T12'!$H$7:$I$160,2,0),0)</f>
        <v>0</v>
      </c>
      <c r="V1036" s="28">
        <f>IFERROR(VLOOKUP($T1036,No_HP!$B$2:$C$514,2,0),0)</f>
        <v>0</v>
      </c>
      <c r="W1036" s="28">
        <f t="shared" si="94"/>
        <v>0</v>
      </c>
      <c r="X1036" s="333">
        <f t="shared" si="95"/>
        <v>0</v>
      </c>
      <c r="Y1036" s="333">
        <f t="shared" si="96"/>
        <v>0</v>
      </c>
    </row>
    <row r="1037" spans="1:25" s="2" customFormat="1" ht="21.95" customHeight="1">
      <c r="A1037" s="82">
        <v>17</v>
      </c>
      <c r="B1037" s="91" t="s">
        <v>3358</v>
      </c>
      <c r="C1037" s="83" t="s">
        <v>362</v>
      </c>
      <c r="D1037" s="81" t="s">
        <v>511</v>
      </c>
      <c r="E1037" s="48">
        <v>101029</v>
      </c>
      <c r="F1037" s="30" t="s">
        <v>303</v>
      </c>
      <c r="G1037" s="29" t="s">
        <v>27</v>
      </c>
      <c r="H1037" s="30" t="s">
        <v>421</v>
      </c>
      <c r="I1037" s="78"/>
      <c r="J1037" s="20"/>
      <c r="K1037" s="20"/>
      <c r="L1037" s="20"/>
      <c r="M1037" s="20"/>
      <c r="N1037" s="69" t="s">
        <v>256</v>
      </c>
      <c r="O1037" s="70">
        <v>0</v>
      </c>
      <c r="P1037" s="70">
        <v>0</v>
      </c>
      <c r="Q1037" s="70">
        <v>0</v>
      </c>
      <c r="R1037" s="70"/>
      <c r="S1037" s="67"/>
      <c r="T1037" s="2" t="str">
        <f t="shared" si="93"/>
        <v>Phạm Ngọc Thành_12AS1</v>
      </c>
      <c r="U1037" s="28">
        <f t="array" ref="U1037">IFERROR(VLOOKUP($T1037,'Nghi hoc T12'!$H$7:$I$160,2,0),0)</f>
        <v>0</v>
      </c>
      <c r="V1037" s="28">
        <f>IFERROR(VLOOKUP($T1037,No_HP!$B$2:$C$514,2,0),0)</f>
        <v>0</v>
      </c>
      <c r="W1037" s="28">
        <f t="shared" si="94"/>
        <v>0</v>
      </c>
      <c r="X1037" s="333">
        <f t="shared" si="95"/>
        <v>0</v>
      </c>
      <c r="Y1037" s="333">
        <f t="shared" si="96"/>
        <v>0</v>
      </c>
    </row>
    <row r="1038" spans="1:25" s="2" customFormat="1" ht="21.95" customHeight="1">
      <c r="A1038" s="82">
        <v>18</v>
      </c>
      <c r="B1038" s="91" t="s">
        <v>3358</v>
      </c>
      <c r="C1038" s="83" t="s">
        <v>362</v>
      </c>
      <c r="D1038" s="81" t="s">
        <v>511</v>
      </c>
      <c r="E1038" s="48">
        <v>101030</v>
      </c>
      <c r="F1038" s="30" t="s">
        <v>1798</v>
      </c>
      <c r="G1038" s="29" t="s">
        <v>49</v>
      </c>
      <c r="H1038" s="30" t="s">
        <v>418</v>
      </c>
      <c r="I1038" s="78"/>
      <c r="J1038" s="20"/>
      <c r="K1038" s="20"/>
      <c r="L1038" s="20"/>
      <c r="M1038" s="20"/>
      <c r="N1038" s="69" t="s">
        <v>256</v>
      </c>
      <c r="O1038" s="70">
        <v>0</v>
      </c>
      <c r="P1038" s="70">
        <v>0</v>
      </c>
      <c r="Q1038" s="70">
        <v>0</v>
      </c>
      <c r="R1038" s="70"/>
      <c r="S1038" s="67"/>
      <c r="T1038" s="2" t="str">
        <f t="shared" si="93"/>
        <v>Lương Ngọc Phương Thảo_12AS3</v>
      </c>
      <c r="U1038" s="28">
        <f t="array" ref="U1038">IFERROR(VLOOKUP($T1038,'Nghi hoc T12'!$H$7:$I$160,2,0),0)</f>
        <v>0</v>
      </c>
      <c r="V1038" s="28">
        <f>IFERROR(VLOOKUP($T1038,No_HP!$B$2:$C$514,2,0),0)</f>
        <v>0</v>
      </c>
      <c r="W1038" s="28">
        <f t="shared" si="94"/>
        <v>0</v>
      </c>
      <c r="X1038" s="333">
        <f t="shared" si="95"/>
        <v>0</v>
      </c>
      <c r="Y1038" s="333">
        <f t="shared" si="96"/>
        <v>0</v>
      </c>
    </row>
    <row r="1039" spans="1:25" s="2" customFormat="1" ht="21.95" customHeight="1">
      <c r="A1039" s="82">
        <v>19</v>
      </c>
      <c r="B1039" s="91" t="s">
        <v>3358</v>
      </c>
      <c r="C1039" s="83" t="s">
        <v>362</v>
      </c>
      <c r="D1039" s="81" t="s">
        <v>511</v>
      </c>
      <c r="E1039" s="48">
        <v>101031</v>
      </c>
      <c r="F1039" s="30" t="s">
        <v>1799</v>
      </c>
      <c r="G1039" s="29" t="s">
        <v>48</v>
      </c>
      <c r="H1039" s="30" t="s">
        <v>418</v>
      </c>
      <c r="I1039" s="78"/>
      <c r="J1039" s="20"/>
      <c r="K1039" s="20"/>
      <c r="L1039" s="20"/>
      <c r="M1039" s="20"/>
      <c r="N1039" s="69" t="s">
        <v>256</v>
      </c>
      <c r="O1039" s="70">
        <v>0</v>
      </c>
      <c r="P1039" s="70">
        <v>0</v>
      </c>
      <c r="Q1039" s="70">
        <v>0</v>
      </c>
      <c r="R1039" s="70"/>
      <c r="S1039" s="67"/>
      <c r="T1039" s="2" t="str">
        <f t="shared" si="93"/>
        <v>Nguyễn Bùi Bảo Thắng_12AS3</v>
      </c>
      <c r="U1039" s="28">
        <f t="array" ref="U1039">IFERROR(VLOOKUP($T1039,'Nghi hoc T12'!$H$7:$I$160,2,0),0)</f>
        <v>0</v>
      </c>
      <c r="V1039" s="28">
        <f>IFERROR(VLOOKUP($T1039,No_HP!$B$2:$C$514,2,0),0)</f>
        <v>0</v>
      </c>
      <c r="W1039" s="28">
        <f t="shared" si="94"/>
        <v>0</v>
      </c>
      <c r="X1039" s="333">
        <f t="shared" si="95"/>
        <v>0</v>
      </c>
      <c r="Y1039" s="333">
        <f t="shared" si="96"/>
        <v>0</v>
      </c>
    </row>
    <row r="1040" spans="1:25" s="2" customFormat="1" ht="21.95" customHeight="1">
      <c r="A1040" s="82">
        <v>20</v>
      </c>
      <c r="B1040" s="91" t="s">
        <v>3358</v>
      </c>
      <c r="C1040" s="83" t="s">
        <v>362</v>
      </c>
      <c r="D1040" s="81" t="s">
        <v>511</v>
      </c>
      <c r="E1040" s="48">
        <v>101032</v>
      </c>
      <c r="F1040" s="30" t="s">
        <v>1749</v>
      </c>
      <c r="G1040" s="29" t="s">
        <v>48</v>
      </c>
      <c r="H1040" s="30" t="s">
        <v>421</v>
      </c>
      <c r="I1040" s="78"/>
      <c r="J1040" s="20"/>
      <c r="K1040" s="20"/>
      <c r="L1040" s="20"/>
      <c r="M1040" s="20"/>
      <c r="N1040" s="69" t="s">
        <v>256</v>
      </c>
      <c r="O1040" s="70">
        <v>0</v>
      </c>
      <c r="P1040" s="70">
        <v>0</v>
      </c>
      <c r="Q1040" s="70">
        <v>0</v>
      </c>
      <c r="R1040" s="70"/>
      <c r="S1040" s="67"/>
      <c r="T1040" s="2" t="str">
        <f t="shared" si="93"/>
        <v>Phạm Quyết Thắng_12AS1</v>
      </c>
      <c r="U1040" s="28">
        <f t="array" ref="U1040">IFERROR(VLOOKUP($T1040,'Nghi hoc T12'!$H$7:$I$160,2,0),0)</f>
        <v>0</v>
      </c>
      <c r="V1040" s="28">
        <f>IFERROR(VLOOKUP($T1040,No_HP!$B$2:$C$514,2,0),0)</f>
        <v>0</v>
      </c>
      <c r="W1040" s="28">
        <f t="shared" si="94"/>
        <v>0</v>
      </c>
      <c r="X1040" s="333">
        <f t="shared" si="95"/>
        <v>0</v>
      </c>
      <c r="Y1040" s="333">
        <f t="shared" si="96"/>
        <v>0</v>
      </c>
    </row>
    <row r="1041" spans="1:25" s="2" customFormat="1" ht="21.95" customHeight="1">
      <c r="A1041" s="82">
        <v>21</v>
      </c>
      <c r="B1041" s="91" t="s">
        <v>3358</v>
      </c>
      <c r="C1041" s="83" t="s">
        <v>362</v>
      </c>
      <c r="D1041" s="81" t="s">
        <v>511</v>
      </c>
      <c r="E1041" s="48">
        <v>101033</v>
      </c>
      <c r="F1041" s="30" t="s">
        <v>1781</v>
      </c>
      <c r="G1041" s="29" t="s">
        <v>161</v>
      </c>
      <c r="H1041" s="30" t="s">
        <v>422</v>
      </c>
      <c r="I1041" s="78"/>
      <c r="J1041" s="20"/>
      <c r="K1041" s="20"/>
      <c r="L1041" s="20"/>
      <c r="M1041" s="20"/>
      <c r="N1041" s="69" t="s">
        <v>256</v>
      </c>
      <c r="O1041" s="70">
        <v>0</v>
      </c>
      <c r="P1041" s="70">
        <v>0</v>
      </c>
      <c r="Q1041" s="70">
        <v>0</v>
      </c>
      <c r="R1041" s="70"/>
      <c r="S1041" s="67"/>
      <c r="T1041" s="2" t="str">
        <f t="shared" si="93"/>
        <v>Vũ Bảo Thiên_12AS2</v>
      </c>
      <c r="U1041" s="28">
        <f t="array" ref="U1041">IFERROR(VLOOKUP($T1041,'Nghi hoc T12'!$H$7:$I$160,2,0),0)</f>
        <v>0</v>
      </c>
      <c r="V1041" s="28">
        <f>IFERROR(VLOOKUP($T1041,No_HP!$B$2:$C$514,2,0),0)</f>
        <v>0</v>
      </c>
      <c r="W1041" s="28">
        <f t="shared" si="94"/>
        <v>0</v>
      </c>
      <c r="X1041" s="333">
        <f t="shared" si="95"/>
        <v>0</v>
      </c>
      <c r="Y1041" s="333">
        <f t="shared" si="96"/>
        <v>0</v>
      </c>
    </row>
    <row r="1042" spans="1:25" s="2" customFormat="1" ht="21.95" customHeight="1">
      <c r="A1042" s="82">
        <v>22</v>
      </c>
      <c r="B1042" s="91" t="s">
        <v>3358</v>
      </c>
      <c r="C1042" s="83" t="s">
        <v>362</v>
      </c>
      <c r="D1042" s="81" t="s">
        <v>511</v>
      </c>
      <c r="E1042" s="48">
        <v>101034</v>
      </c>
      <c r="F1042" s="30" t="s">
        <v>1386</v>
      </c>
      <c r="G1042" s="29" t="s">
        <v>1750</v>
      </c>
      <c r="H1042" s="30" t="s">
        <v>421</v>
      </c>
      <c r="I1042" s="78"/>
      <c r="J1042" s="20"/>
      <c r="K1042" s="20"/>
      <c r="L1042" s="20"/>
      <c r="M1042" s="20"/>
      <c r="N1042" s="69" t="s">
        <v>256</v>
      </c>
      <c r="O1042" s="70">
        <v>0</v>
      </c>
      <c r="P1042" s="70">
        <v>0</v>
      </c>
      <c r="Q1042" s="70">
        <v>0</v>
      </c>
      <c r="R1042" s="70"/>
      <c r="S1042" s="67"/>
      <c r="T1042" s="2" t="str">
        <f t="shared" si="93"/>
        <v>Nguyễn Hồng Thọ_12AS1</v>
      </c>
      <c r="U1042" s="28">
        <f t="array" ref="U1042">IFERROR(VLOOKUP($T1042,'Nghi hoc T12'!$H$7:$I$160,2,0),0)</f>
        <v>0</v>
      </c>
      <c r="V1042" s="28">
        <f>IFERROR(VLOOKUP($T1042,No_HP!$B$2:$C$514,2,0),0)</f>
        <v>0</v>
      </c>
      <c r="W1042" s="28">
        <f t="shared" si="94"/>
        <v>0</v>
      </c>
      <c r="X1042" s="333">
        <f t="shared" si="95"/>
        <v>0</v>
      </c>
      <c r="Y1042" s="333">
        <f t="shared" si="96"/>
        <v>0</v>
      </c>
    </row>
    <row r="1043" spans="1:25" s="2" customFormat="1" ht="21.95" customHeight="1">
      <c r="A1043" s="82">
        <v>23</v>
      </c>
      <c r="B1043" s="91" t="s">
        <v>3358</v>
      </c>
      <c r="C1043" s="83" t="s">
        <v>362</v>
      </c>
      <c r="D1043" s="81" t="s">
        <v>511</v>
      </c>
      <c r="E1043" s="48">
        <v>101035</v>
      </c>
      <c r="F1043" s="30" t="s">
        <v>185</v>
      </c>
      <c r="G1043" s="29" t="s">
        <v>1782</v>
      </c>
      <c r="H1043" s="30" t="s">
        <v>422</v>
      </c>
      <c r="I1043" s="78"/>
      <c r="J1043" s="20"/>
      <c r="K1043" s="20"/>
      <c r="L1043" s="20"/>
      <c r="M1043" s="20"/>
      <c r="N1043" s="69" t="s">
        <v>256</v>
      </c>
      <c r="O1043" s="70">
        <v>0</v>
      </c>
      <c r="P1043" s="70">
        <v>0</v>
      </c>
      <c r="Q1043" s="70">
        <v>0</v>
      </c>
      <c r="R1043" s="70"/>
      <c r="S1043" s="67"/>
      <c r="T1043" s="2" t="str">
        <f t="shared" si="93"/>
        <v>Phạm Thị Thanh Thúy_12AS2</v>
      </c>
      <c r="U1043" s="28">
        <f t="array" ref="U1043">IFERROR(VLOOKUP($T1043,'Nghi hoc T12'!$H$7:$I$160,2,0),0)</f>
        <v>0</v>
      </c>
      <c r="V1043" s="28">
        <f>IFERROR(VLOOKUP($T1043,No_HP!$B$2:$C$514,2,0),0)</f>
        <v>0</v>
      </c>
      <c r="W1043" s="28">
        <f t="shared" si="94"/>
        <v>0</v>
      </c>
      <c r="X1043" s="333">
        <f t="shared" si="95"/>
        <v>0</v>
      </c>
      <c r="Y1043" s="333">
        <f t="shared" si="96"/>
        <v>0</v>
      </c>
    </row>
    <row r="1044" spans="1:25" s="2" customFormat="1" ht="21.95" customHeight="1">
      <c r="A1044" s="82">
        <v>24</v>
      </c>
      <c r="B1044" s="91" t="s">
        <v>3358</v>
      </c>
      <c r="C1044" s="83" t="s">
        <v>362</v>
      </c>
      <c r="D1044" s="81" t="s">
        <v>511</v>
      </c>
      <c r="E1044" s="48">
        <v>101036</v>
      </c>
      <c r="F1044" s="30" t="s">
        <v>1800</v>
      </c>
      <c r="G1044" s="29" t="s">
        <v>162</v>
      </c>
      <c r="H1044" s="30" t="s">
        <v>418</v>
      </c>
      <c r="I1044" s="78"/>
      <c r="J1044" s="20"/>
      <c r="K1044" s="20"/>
      <c r="L1044" s="20"/>
      <c r="M1044" s="20"/>
      <c r="N1044" s="69" t="s">
        <v>256</v>
      </c>
      <c r="O1044" s="70">
        <v>0</v>
      </c>
      <c r="P1044" s="70">
        <v>0</v>
      </c>
      <c r="Q1044" s="70">
        <v>0</v>
      </c>
      <c r="R1044" s="70"/>
      <c r="S1044" s="67"/>
      <c r="T1044" s="2" t="str">
        <f t="shared" si="93"/>
        <v>Nguyễn Ái Phương Thùy_12AS3</v>
      </c>
      <c r="U1044" s="28">
        <f t="array" ref="U1044">IFERROR(VLOOKUP($T1044,'Nghi hoc T12'!$H$7:$I$160,2,0),0)</f>
        <v>0</v>
      </c>
      <c r="V1044" s="28">
        <f>IFERROR(VLOOKUP($T1044,No_HP!$B$2:$C$514,2,0),0)</f>
        <v>0</v>
      </c>
      <c r="W1044" s="28">
        <f t="shared" si="94"/>
        <v>0</v>
      </c>
      <c r="X1044" s="333">
        <f t="shared" si="95"/>
        <v>0</v>
      </c>
      <c r="Y1044" s="333">
        <f t="shared" si="96"/>
        <v>0</v>
      </c>
    </row>
    <row r="1045" spans="1:25" s="2" customFormat="1" ht="21.95" customHeight="1">
      <c r="A1045" s="82">
        <v>25</v>
      </c>
      <c r="B1045" s="91" t="s">
        <v>3358</v>
      </c>
      <c r="C1045" s="83" t="s">
        <v>362</v>
      </c>
      <c r="D1045" s="81" t="s">
        <v>511</v>
      </c>
      <c r="E1045" s="48">
        <v>101037</v>
      </c>
      <c r="F1045" s="30" t="s">
        <v>133</v>
      </c>
      <c r="G1045" s="29" t="s">
        <v>238</v>
      </c>
      <c r="H1045" s="30" t="s">
        <v>422</v>
      </c>
      <c r="I1045" s="78"/>
      <c r="J1045" s="20"/>
      <c r="K1045" s="20"/>
      <c r="L1045" s="20"/>
      <c r="M1045" s="20"/>
      <c r="N1045" s="69" t="s">
        <v>256</v>
      </c>
      <c r="O1045" s="70">
        <v>0</v>
      </c>
      <c r="P1045" s="70">
        <v>0</v>
      </c>
      <c r="Q1045" s="70">
        <v>0</v>
      </c>
      <c r="R1045" s="70"/>
      <c r="S1045" s="67"/>
      <c r="T1045" s="2" t="str">
        <f t="shared" si="93"/>
        <v>Phạm Thị Thu Thủy_12AS2</v>
      </c>
      <c r="U1045" s="28">
        <f t="array" ref="U1045">IFERROR(VLOOKUP($T1045,'Nghi hoc T12'!$H$7:$I$160,2,0),0)</f>
        <v>0</v>
      </c>
      <c r="V1045" s="28">
        <f>IFERROR(VLOOKUP($T1045,No_HP!$B$2:$C$514,2,0),0)</f>
        <v>0</v>
      </c>
      <c r="W1045" s="28">
        <f t="shared" si="94"/>
        <v>0</v>
      </c>
      <c r="X1045" s="333">
        <f t="shared" si="95"/>
        <v>0</v>
      </c>
      <c r="Y1045" s="333">
        <f t="shared" si="96"/>
        <v>0</v>
      </c>
    </row>
    <row r="1046" spans="1:25" s="2" customFormat="1" ht="21.95" customHeight="1">
      <c r="A1046" s="200">
        <v>1</v>
      </c>
      <c r="B1046" s="91" t="s">
        <v>3359</v>
      </c>
      <c r="C1046" s="185" t="s">
        <v>362</v>
      </c>
      <c r="D1046" s="186" t="s">
        <v>512</v>
      </c>
      <c r="E1046" s="187">
        <v>101038</v>
      </c>
      <c r="F1046" s="188" t="s">
        <v>1801</v>
      </c>
      <c r="G1046" s="189" t="s">
        <v>1802</v>
      </c>
      <c r="H1046" s="188" t="s">
        <v>418</v>
      </c>
      <c r="I1046" s="190"/>
      <c r="J1046" s="191"/>
      <c r="K1046" s="191"/>
      <c r="L1046" s="191"/>
      <c r="M1046" s="191"/>
      <c r="N1046" s="69" t="s">
        <v>256</v>
      </c>
      <c r="O1046" s="70">
        <v>0</v>
      </c>
      <c r="P1046" s="70">
        <v>0</v>
      </c>
      <c r="Q1046" s="70">
        <v>0</v>
      </c>
      <c r="R1046" s="70"/>
      <c r="S1046" s="67"/>
      <c r="T1046" s="2" t="str">
        <f t="shared" si="93"/>
        <v>Nguyễn Mai Kiều Thuyết_12AS3</v>
      </c>
      <c r="U1046" s="28">
        <f t="array" ref="U1046">IFERROR(VLOOKUP($T1046,'Nghi hoc T12'!$H$7:$I$160,2,0),0)</f>
        <v>0</v>
      </c>
      <c r="V1046" s="28">
        <f>IFERROR(VLOOKUP($T1046,No_HP!$B$2:$C$514,2,0),0)</f>
        <v>0</v>
      </c>
      <c r="W1046" s="28">
        <f t="shared" si="94"/>
        <v>0</v>
      </c>
      <c r="X1046" s="333">
        <f t="shared" si="95"/>
        <v>0</v>
      </c>
      <c r="Y1046" s="333">
        <f t="shared" si="96"/>
        <v>0</v>
      </c>
    </row>
    <row r="1047" spans="1:25" s="2" customFormat="1" ht="21.95" customHeight="1">
      <c r="A1047" s="82">
        <v>2</v>
      </c>
      <c r="B1047" s="91" t="s">
        <v>3359</v>
      </c>
      <c r="C1047" s="83" t="s">
        <v>362</v>
      </c>
      <c r="D1047" s="81" t="s">
        <v>512</v>
      </c>
      <c r="E1047" s="48">
        <v>101039</v>
      </c>
      <c r="F1047" s="30" t="s">
        <v>1751</v>
      </c>
      <c r="G1047" s="29" t="s">
        <v>28</v>
      </c>
      <c r="H1047" s="30" t="s">
        <v>421</v>
      </c>
      <c r="I1047" s="78"/>
      <c r="J1047" s="20"/>
      <c r="K1047" s="20"/>
      <c r="L1047" s="20"/>
      <c r="M1047" s="20"/>
      <c r="N1047" s="69" t="s">
        <v>256</v>
      </c>
      <c r="O1047" s="70">
        <v>0</v>
      </c>
      <c r="P1047" s="70">
        <v>0</v>
      </c>
      <c r="Q1047" s="70"/>
      <c r="R1047" s="70"/>
      <c r="S1047" s="67"/>
      <c r="T1047" s="2" t="str">
        <f t="shared" si="93"/>
        <v>Dương Hoàng Minh Thư_12AS1</v>
      </c>
      <c r="U1047" s="28">
        <f t="array" ref="U1047">IFERROR(VLOOKUP($T1047,'Nghi hoc T12'!$H$7:$I$160,2,0),0)</f>
        <v>0</v>
      </c>
      <c r="V1047" s="28">
        <f>IFERROR(VLOOKUP($T1047,No_HP!$B$2:$C$514,2,0),0)</f>
        <v>0</v>
      </c>
      <c r="W1047" s="28">
        <f t="shared" si="94"/>
        <v>0</v>
      </c>
      <c r="X1047" s="333">
        <f t="shared" si="95"/>
        <v>0</v>
      </c>
      <c r="Y1047" s="333">
        <f t="shared" si="96"/>
        <v>0</v>
      </c>
    </row>
    <row r="1048" spans="1:25" s="2" customFormat="1" ht="21.95" customHeight="1">
      <c r="A1048" s="82">
        <v>3</v>
      </c>
      <c r="B1048" s="91" t="s">
        <v>3359</v>
      </c>
      <c r="C1048" s="83" t="s">
        <v>362</v>
      </c>
      <c r="D1048" s="81" t="s">
        <v>512</v>
      </c>
      <c r="E1048" s="48">
        <v>101040</v>
      </c>
      <c r="F1048" s="30" t="s">
        <v>163</v>
      </c>
      <c r="G1048" s="29" t="s">
        <v>28</v>
      </c>
      <c r="H1048" s="30" t="s">
        <v>422</v>
      </c>
      <c r="I1048" s="78"/>
      <c r="J1048" s="20"/>
      <c r="K1048" s="20"/>
      <c r="L1048" s="20"/>
      <c r="M1048" s="20"/>
      <c r="N1048" s="69" t="s">
        <v>256</v>
      </c>
      <c r="O1048" s="70">
        <v>0</v>
      </c>
      <c r="P1048" s="70">
        <v>0</v>
      </c>
      <c r="Q1048" s="70">
        <v>0</v>
      </c>
      <c r="R1048" s="70"/>
      <c r="S1048" s="67"/>
      <c r="T1048" s="2" t="str">
        <f t="shared" si="93"/>
        <v>Nguyễn Lê Minh Thư_12AS2</v>
      </c>
      <c r="U1048" s="28">
        <f t="array" ref="U1048">IFERROR(VLOOKUP($T1048,'Nghi hoc T12'!$H$7:$I$160,2,0),0)</f>
        <v>0</v>
      </c>
      <c r="V1048" s="28">
        <f>IFERROR(VLOOKUP($T1048,No_HP!$B$2:$C$514,2,0),0)</f>
        <v>0</v>
      </c>
      <c r="W1048" s="28">
        <f t="shared" si="94"/>
        <v>0</v>
      </c>
      <c r="X1048" s="333">
        <f t="shared" si="95"/>
        <v>0</v>
      </c>
      <c r="Y1048" s="333">
        <f t="shared" si="96"/>
        <v>0</v>
      </c>
    </row>
    <row r="1049" spans="1:25" s="2" customFormat="1" ht="21.95" customHeight="1">
      <c r="A1049" s="82">
        <v>4</v>
      </c>
      <c r="B1049" s="91" t="s">
        <v>3359</v>
      </c>
      <c r="C1049" s="83" t="s">
        <v>362</v>
      </c>
      <c r="D1049" s="81" t="s">
        <v>512</v>
      </c>
      <c r="E1049" s="48">
        <v>101041</v>
      </c>
      <c r="F1049" s="30" t="s">
        <v>239</v>
      </c>
      <c r="G1049" s="29" t="s">
        <v>28</v>
      </c>
      <c r="H1049" s="30" t="s">
        <v>421</v>
      </c>
      <c r="I1049" s="78"/>
      <c r="J1049" s="20"/>
      <c r="K1049" s="20"/>
      <c r="L1049" s="20"/>
      <c r="M1049" s="20"/>
      <c r="N1049" s="69" t="s">
        <v>256</v>
      </c>
      <c r="O1049" s="70">
        <v>0</v>
      </c>
      <c r="P1049" s="70">
        <v>0</v>
      </c>
      <c r="Q1049" s="70">
        <v>0</v>
      </c>
      <c r="R1049" s="70"/>
      <c r="S1049" s="67"/>
      <c r="T1049" s="2" t="str">
        <f t="shared" si="93"/>
        <v>Nguyễn Ngọc Anh Thư_12AS1</v>
      </c>
      <c r="U1049" s="28">
        <f t="array" ref="U1049">IFERROR(VLOOKUP($T1049,'Nghi hoc T12'!$H$7:$I$160,2,0),0)</f>
        <v>0</v>
      </c>
      <c r="V1049" s="28">
        <f>IFERROR(VLOOKUP($T1049,No_HP!$B$2:$C$514,2,0),0)</f>
        <v>0</v>
      </c>
      <c r="W1049" s="28">
        <f t="shared" si="94"/>
        <v>0</v>
      </c>
      <c r="X1049" s="333">
        <f t="shared" si="95"/>
        <v>0</v>
      </c>
      <c r="Y1049" s="333">
        <f t="shared" si="96"/>
        <v>0</v>
      </c>
    </row>
    <row r="1050" spans="1:25" s="2" customFormat="1" ht="21.95" customHeight="1">
      <c r="A1050" s="82">
        <v>5</v>
      </c>
      <c r="B1050" s="91" t="s">
        <v>3359</v>
      </c>
      <c r="C1050" s="83" t="s">
        <v>362</v>
      </c>
      <c r="D1050" s="81" t="s">
        <v>512</v>
      </c>
      <c r="E1050" s="48">
        <v>101042</v>
      </c>
      <c r="F1050" s="30" t="s">
        <v>1803</v>
      </c>
      <c r="G1050" s="29" t="s">
        <v>28</v>
      </c>
      <c r="H1050" s="30" t="s">
        <v>418</v>
      </c>
      <c r="I1050" s="78"/>
      <c r="J1050" s="20"/>
      <c r="K1050" s="20"/>
      <c r="L1050" s="20"/>
      <c r="M1050" s="20"/>
      <c r="N1050" s="69" t="s">
        <v>256</v>
      </c>
      <c r="O1050" s="70">
        <v>0</v>
      </c>
      <c r="P1050" s="70">
        <v>0</v>
      </c>
      <c r="Q1050" s="70">
        <v>0</v>
      </c>
      <c r="R1050" s="70"/>
      <c r="S1050" s="67"/>
      <c r="T1050" s="2" t="str">
        <f t="shared" si="93"/>
        <v>Phan Ngọc Minh Thư_12AS3</v>
      </c>
      <c r="U1050" s="28">
        <f t="array" ref="U1050">IFERROR(VLOOKUP($T1050,'Nghi hoc T12'!$H$7:$I$160,2,0),0)</f>
        <v>0</v>
      </c>
      <c r="V1050" s="28">
        <f>IFERROR(VLOOKUP($T1050,No_HP!$B$2:$C$514,2,0),0)</f>
        <v>0</v>
      </c>
      <c r="W1050" s="28">
        <f t="shared" si="94"/>
        <v>0</v>
      </c>
      <c r="X1050" s="333">
        <f t="shared" si="95"/>
        <v>0</v>
      </c>
      <c r="Y1050" s="333">
        <f t="shared" si="96"/>
        <v>0</v>
      </c>
    </row>
    <row r="1051" spans="1:25" s="2" customFormat="1" ht="21.95" customHeight="1">
      <c r="A1051" s="82">
        <v>6</v>
      </c>
      <c r="B1051" s="91" t="s">
        <v>3359</v>
      </c>
      <c r="C1051" s="83" t="s">
        <v>362</v>
      </c>
      <c r="D1051" s="81" t="s">
        <v>512</v>
      </c>
      <c r="E1051" s="48">
        <v>101043</v>
      </c>
      <c r="F1051" s="30" t="s">
        <v>307</v>
      </c>
      <c r="G1051" s="29" t="s">
        <v>111</v>
      </c>
      <c r="H1051" s="30" t="s">
        <v>421</v>
      </c>
      <c r="I1051" s="78"/>
      <c r="J1051" s="20"/>
      <c r="K1051" s="20"/>
      <c r="L1051" s="20"/>
      <c r="M1051" s="20"/>
      <c r="N1051" s="69" t="s">
        <v>256</v>
      </c>
      <c r="O1051" s="70">
        <v>0</v>
      </c>
      <c r="P1051" s="70">
        <v>0</v>
      </c>
      <c r="Q1051" s="70">
        <v>0</v>
      </c>
      <c r="R1051" s="70"/>
      <c r="S1051" s="67"/>
      <c r="T1051" s="2" t="str">
        <f t="shared" si="93"/>
        <v>Vũ Thị Thương_12AS1</v>
      </c>
      <c r="U1051" s="28">
        <f t="array" ref="U1051">IFERROR(VLOOKUP($T1051,'Nghi hoc T12'!$H$7:$I$160,2,0),0)</f>
        <v>0</v>
      </c>
      <c r="V1051" s="28">
        <f>IFERROR(VLOOKUP($T1051,No_HP!$B$2:$C$514,2,0),0)</f>
        <v>0</v>
      </c>
      <c r="W1051" s="28">
        <f t="shared" si="94"/>
        <v>0</v>
      </c>
      <c r="X1051" s="333">
        <f t="shared" si="95"/>
        <v>0</v>
      </c>
      <c r="Y1051" s="333">
        <f t="shared" si="96"/>
        <v>0</v>
      </c>
    </row>
    <row r="1052" spans="1:25" s="2" customFormat="1" ht="21.95" customHeight="1">
      <c r="A1052" s="82">
        <v>7</v>
      </c>
      <c r="B1052" s="91" t="s">
        <v>3359</v>
      </c>
      <c r="C1052" s="83" t="s">
        <v>362</v>
      </c>
      <c r="D1052" s="81" t="s">
        <v>512</v>
      </c>
      <c r="E1052" s="48">
        <v>101044</v>
      </c>
      <c r="F1052" s="30" t="s">
        <v>312</v>
      </c>
      <c r="G1052" s="29" t="s">
        <v>80</v>
      </c>
      <c r="H1052" s="30" t="s">
        <v>421</v>
      </c>
      <c r="I1052" s="78"/>
      <c r="J1052" s="20"/>
      <c r="K1052" s="20"/>
      <c r="L1052" s="20"/>
      <c r="M1052" s="20"/>
      <c r="N1052" s="69" t="s">
        <v>256</v>
      </c>
      <c r="O1052" s="70">
        <v>0</v>
      </c>
      <c r="P1052" s="70">
        <v>0</v>
      </c>
      <c r="Q1052" s="70">
        <v>0</v>
      </c>
      <c r="R1052" s="70"/>
      <c r="S1052" s="67"/>
      <c r="T1052" s="2" t="str">
        <f t="shared" si="93"/>
        <v>Nguyễn Thị Cẩm Tiên_12AS1</v>
      </c>
      <c r="U1052" s="28">
        <f t="array" ref="U1052">IFERROR(VLOOKUP($T1052,'Nghi hoc T12'!$H$7:$I$160,2,0),0)</f>
        <v>0</v>
      </c>
      <c r="V1052" s="28">
        <f>IFERROR(VLOOKUP($T1052,No_HP!$B$2:$C$514,2,0),0)</f>
        <v>0</v>
      </c>
      <c r="W1052" s="28">
        <f t="shared" si="94"/>
        <v>0</v>
      </c>
      <c r="X1052" s="333">
        <f t="shared" si="95"/>
        <v>0</v>
      </c>
      <c r="Y1052" s="333">
        <f t="shared" si="96"/>
        <v>0</v>
      </c>
    </row>
    <row r="1053" spans="1:25" s="2" customFormat="1" ht="21.95" customHeight="1">
      <c r="A1053" s="82">
        <v>8</v>
      </c>
      <c r="B1053" s="91" t="s">
        <v>3359</v>
      </c>
      <c r="C1053" s="83" t="s">
        <v>362</v>
      </c>
      <c r="D1053" s="81" t="s">
        <v>512</v>
      </c>
      <c r="E1053" s="48">
        <v>101045</v>
      </c>
      <c r="F1053" s="30" t="s">
        <v>1752</v>
      </c>
      <c r="G1053" s="29" t="s">
        <v>215</v>
      </c>
      <c r="H1053" s="30" t="s">
        <v>421</v>
      </c>
      <c r="I1053" s="78"/>
      <c r="J1053" s="20"/>
      <c r="K1053" s="20"/>
      <c r="L1053" s="20"/>
      <c r="M1053" s="20"/>
      <c r="N1053" s="69" t="s">
        <v>256</v>
      </c>
      <c r="O1053" s="70">
        <v>0</v>
      </c>
      <c r="P1053" s="70">
        <v>0</v>
      </c>
      <c r="Q1053" s="70">
        <v>0</v>
      </c>
      <c r="R1053" s="70"/>
      <c r="S1053" s="67"/>
      <c r="T1053" s="2" t="str">
        <f t="shared" si="93"/>
        <v>Trần Vũ Chí Tiến_12AS1</v>
      </c>
      <c r="U1053" s="28">
        <f t="array" ref="U1053">IFERROR(VLOOKUP($T1053,'Nghi hoc T12'!$H$7:$I$160,2,0),0)</f>
        <v>0</v>
      </c>
      <c r="V1053" s="28">
        <f>IFERROR(VLOOKUP($T1053,No_HP!$B$2:$C$514,2,0),0)</f>
        <v>0</v>
      </c>
      <c r="W1053" s="28">
        <f t="shared" si="94"/>
        <v>0</v>
      </c>
      <c r="X1053" s="333">
        <f t="shared" si="95"/>
        <v>0</v>
      </c>
      <c r="Y1053" s="333">
        <f t="shared" si="96"/>
        <v>0</v>
      </c>
    </row>
    <row r="1054" spans="1:25" s="2" customFormat="1" ht="21.95" customHeight="1">
      <c r="A1054" s="82">
        <v>9</v>
      </c>
      <c r="B1054" s="91" t="s">
        <v>3359</v>
      </c>
      <c r="C1054" s="83" t="s">
        <v>362</v>
      </c>
      <c r="D1054" s="81" t="s">
        <v>512</v>
      </c>
      <c r="E1054" s="48">
        <v>101046</v>
      </c>
      <c r="F1054" s="30" t="s">
        <v>1753</v>
      </c>
      <c r="G1054" s="29" t="s">
        <v>30</v>
      </c>
      <c r="H1054" s="30" t="s">
        <v>421</v>
      </c>
      <c r="I1054" s="78"/>
      <c r="J1054" s="20"/>
      <c r="K1054" s="20"/>
      <c r="L1054" s="20"/>
      <c r="M1054" s="20"/>
      <c r="N1054" s="69" t="s">
        <v>256</v>
      </c>
      <c r="O1054" s="70">
        <v>0</v>
      </c>
      <c r="P1054" s="70">
        <v>0</v>
      </c>
      <c r="Q1054" s="70">
        <v>0</v>
      </c>
      <c r="R1054" s="70"/>
      <c r="S1054" s="67"/>
      <c r="T1054" s="2" t="str">
        <f t="shared" si="93"/>
        <v>Lưu Huyền Trang_12AS1</v>
      </c>
      <c r="U1054" s="28">
        <f t="array" ref="U1054">IFERROR(VLOOKUP($T1054,'Nghi hoc T12'!$H$7:$I$160,2,0),0)</f>
        <v>0</v>
      </c>
      <c r="V1054" s="28">
        <f>IFERROR(VLOOKUP($T1054,No_HP!$B$2:$C$514,2,0),0)</f>
        <v>0</v>
      </c>
      <c r="W1054" s="28">
        <f t="shared" si="94"/>
        <v>0</v>
      </c>
      <c r="X1054" s="333">
        <f t="shared" si="95"/>
        <v>0</v>
      </c>
      <c r="Y1054" s="333">
        <f t="shared" si="96"/>
        <v>0</v>
      </c>
    </row>
    <row r="1055" spans="1:25" s="2" customFormat="1" ht="21.95" customHeight="1">
      <c r="A1055" s="82">
        <v>10</v>
      </c>
      <c r="B1055" s="91" t="s">
        <v>3359</v>
      </c>
      <c r="C1055" s="83" t="s">
        <v>362</v>
      </c>
      <c r="D1055" s="81" t="s">
        <v>512</v>
      </c>
      <c r="E1055" s="48">
        <v>101047</v>
      </c>
      <c r="F1055" s="30" t="s">
        <v>1804</v>
      </c>
      <c r="G1055" s="29" t="s">
        <v>30</v>
      </c>
      <c r="H1055" s="30" t="s">
        <v>418</v>
      </c>
      <c r="I1055" s="78"/>
      <c r="J1055" s="20"/>
      <c r="K1055" s="20"/>
      <c r="L1055" s="20"/>
      <c r="M1055" s="20"/>
      <c r="N1055" s="69" t="s">
        <v>256</v>
      </c>
      <c r="O1055" s="70">
        <v>0</v>
      </c>
      <c r="P1055" s="70">
        <v>0</v>
      </c>
      <c r="Q1055" s="70">
        <v>0</v>
      </c>
      <c r="R1055" s="70"/>
      <c r="S1055" s="67"/>
      <c r="T1055" s="2" t="str">
        <f t="shared" si="93"/>
        <v>Phạm Thị Huyền Trang_12AS3</v>
      </c>
      <c r="U1055" s="28">
        <f t="array" ref="U1055">IFERROR(VLOOKUP($T1055,'Nghi hoc T12'!$H$7:$I$160,2,0),0)</f>
        <v>0</v>
      </c>
      <c r="V1055" s="28">
        <f>IFERROR(VLOOKUP($T1055,No_HP!$B$2:$C$514,2,0),0)</f>
        <v>0</v>
      </c>
      <c r="W1055" s="28">
        <f t="shared" si="94"/>
        <v>0</v>
      </c>
      <c r="X1055" s="333">
        <f t="shared" si="95"/>
        <v>0</v>
      </c>
      <c r="Y1055" s="333">
        <f t="shared" si="96"/>
        <v>0</v>
      </c>
    </row>
    <row r="1056" spans="1:25" s="2" customFormat="1" ht="21.95" customHeight="1">
      <c r="A1056" s="82">
        <v>11</v>
      </c>
      <c r="B1056" s="91" t="s">
        <v>3359</v>
      </c>
      <c r="C1056" s="83" t="s">
        <v>362</v>
      </c>
      <c r="D1056" s="81" t="s">
        <v>512</v>
      </c>
      <c r="E1056" s="48">
        <v>101048</v>
      </c>
      <c r="F1056" s="30" t="s">
        <v>1783</v>
      </c>
      <c r="G1056" s="29" t="s">
        <v>30</v>
      </c>
      <c r="H1056" s="30" t="s">
        <v>422</v>
      </c>
      <c r="I1056" s="78"/>
      <c r="J1056" s="20"/>
      <c r="K1056" s="20"/>
      <c r="L1056" s="20"/>
      <c r="M1056" s="20"/>
      <c r="N1056" s="69" t="s">
        <v>256</v>
      </c>
      <c r="O1056" s="70">
        <v>0</v>
      </c>
      <c r="P1056" s="70">
        <v>0</v>
      </c>
      <c r="Q1056" s="70">
        <v>0</v>
      </c>
      <c r="R1056" s="70"/>
      <c r="S1056" s="67"/>
      <c r="T1056" s="2" t="str">
        <f t="shared" si="93"/>
        <v>Văn Uyên Trang_12AS2</v>
      </c>
      <c r="U1056" s="28">
        <f t="array" ref="U1056">IFERROR(VLOOKUP($T1056,'Nghi hoc T12'!$H$7:$I$160,2,0),0)</f>
        <v>0</v>
      </c>
      <c r="V1056" s="28">
        <f>IFERROR(VLOOKUP($T1056,No_HP!$B$2:$C$514,2,0),0)</f>
        <v>0</v>
      </c>
      <c r="W1056" s="28">
        <f t="shared" si="94"/>
        <v>0</v>
      </c>
      <c r="X1056" s="333">
        <f t="shared" si="95"/>
        <v>0</v>
      </c>
      <c r="Y1056" s="333">
        <f t="shared" si="96"/>
        <v>0</v>
      </c>
    </row>
    <row r="1057" spans="1:25" s="2" customFormat="1" ht="21.95" customHeight="1">
      <c r="A1057" s="82">
        <v>12</v>
      </c>
      <c r="B1057" s="91" t="s">
        <v>3359</v>
      </c>
      <c r="C1057" s="83" t="s">
        <v>362</v>
      </c>
      <c r="D1057" s="81" t="s">
        <v>512</v>
      </c>
      <c r="E1057" s="48">
        <v>101049</v>
      </c>
      <c r="F1057" s="30" t="s">
        <v>1754</v>
      </c>
      <c r="G1057" s="29" t="s">
        <v>31</v>
      </c>
      <c r="H1057" s="30" t="s">
        <v>421</v>
      </c>
      <c r="I1057" s="78"/>
      <c r="J1057" s="20"/>
      <c r="K1057" s="20"/>
      <c r="L1057" s="20"/>
      <c r="M1057" s="20"/>
      <c r="N1057" s="69" t="s">
        <v>256</v>
      </c>
      <c r="O1057" s="70">
        <v>0</v>
      </c>
      <c r="P1057" s="70">
        <v>0</v>
      </c>
      <c r="Q1057" s="70">
        <v>0</v>
      </c>
      <c r="R1057" s="70"/>
      <c r="S1057" s="67"/>
      <c r="T1057" s="2" t="str">
        <f t="shared" si="93"/>
        <v>Nguyễn Trần Ánh Trúc_12AS1</v>
      </c>
      <c r="U1057" s="28">
        <f t="array" ref="U1057">IFERROR(VLOOKUP($T1057,'Nghi hoc T12'!$H$7:$I$160,2,0),0)</f>
        <v>0</v>
      </c>
      <c r="V1057" s="28">
        <f>IFERROR(VLOOKUP($T1057,No_HP!$B$2:$C$514,2,0),0)</f>
        <v>0</v>
      </c>
      <c r="W1057" s="28">
        <f t="shared" si="94"/>
        <v>0</v>
      </c>
      <c r="X1057" s="333">
        <f t="shared" si="95"/>
        <v>0</v>
      </c>
      <c r="Y1057" s="333">
        <f t="shared" si="96"/>
        <v>0</v>
      </c>
    </row>
    <row r="1058" spans="1:25" s="2" customFormat="1" ht="21.95" customHeight="1">
      <c r="A1058" s="82">
        <v>13</v>
      </c>
      <c r="B1058" s="91" t="s">
        <v>3359</v>
      </c>
      <c r="C1058" s="83" t="s">
        <v>362</v>
      </c>
      <c r="D1058" s="81" t="s">
        <v>512</v>
      </c>
      <c r="E1058" s="48">
        <v>101050</v>
      </c>
      <c r="F1058" s="30" t="s">
        <v>1805</v>
      </c>
      <c r="G1058" s="29" t="s">
        <v>31</v>
      </c>
      <c r="H1058" s="30" t="s">
        <v>418</v>
      </c>
      <c r="I1058" s="78"/>
      <c r="J1058" s="20"/>
      <c r="K1058" s="20"/>
      <c r="L1058" s="20"/>
      <c r="M1058" s="20"/>
      <c r="N1058" s="69" t="s">
        <v>256</v>
      </c>
      <c r="O1058" s="70">
        <v>0</v>
      </c>
      <c r="P1058" s="70">
        <v>0</v>
      </c>
      <c r="Q1058" s="70">
        <v>0</v>
      </c>
      <c r="R1058" s="70"/>
      <c r="S1058" s="67"/>
      <c r="T1058" s="2" t="str">
        <f t="shared" si="93"/>
        <v>Trần Lê Thanh Trúc_12AS3</v>
      </c>
      <c r="U1058" s="28">
        <f t="array" ref="U1058">IFERROR(VLOOKUP($T1058,'Nghi hoc T12'!$H$7:$I$160,2,0),0)</f>
        <v>0</v>
      </c>
      <c r="V1058" s="28">
        <f>IFERROR(VLOOKUP($T1058,No_HP!$B$2:$C$514,2,0),0)</f>
        <v>0</v>
      </c>
      <c r="W1058" s="28">
        <f t="shared" si="94"/>
        <v>0</v>
      </c>
      <c r="X1058" s="333">
        <f t="shared" si="95"/>
        <v>0</v>
      </c>
      <c r="Y1058" s="333">
        <f t="shared" si="96"/>
        <v>0</v>
      </c>
    </row>
    <row r="1059" spans="1:25" s="2" customFormat="1" ht="21.95" customHeight="1">
      <c r="A1059" s="82">
        <v>14</v>
      </c>
      <c r="B1059" s="91" t="s">
        <v>3359</v>
      </c>
      <c r="C1059" s="83" t="s">
        <v>362</v>
      </c>
      <c r="D1059" s="81" t="s">
        <v>512</v>
      </c>
      <c r="E1059" s="48">
        <v>101051</v>
      </c>
      <c r="F1059" s="30" t="s">
        <v>160</v>
      </c>
      <c r="G1059" s="29" t="s">
        <v>32</v>
      </c>
      <c r="H1059" s="30" t="s">
        <v>421</v>
      </c>
      <c r="I1059" s="78"/>
      <c r="J1059" s="20"/>
      <c r="K1059" s="20"/>
      <c r="L1059" s="20"/>
      <c r="M1059" s="20"/>
      <c r="N1059" s="69" t="s">
        <v>256</v>
      </c>
      <c r="O1059" s="70">
        <v>0</v>
      </c>
      <c r="P1059" s="70">
        <v>0</v>
      </c>
      <c r="Q1059" s="70">
        <v>0</v>
      </c>
      <c r="R1059" s="70"/>
      <c r="S1059" s="67"/>
      <c r="T1059" s="2" t="str">
        <f t="shared" si="93"/>
        <v>Nguyễn Thành Trung_12AS1</v>
      </c>
      <c r="U1059" s="28">
        <f t="array" ref="U1059">IFERROR(VLOOKUP($T1059,'Nghi hoc T12'!$H$7:$I$160,2,0),0)</f>
        <v>0</v>
      </c>
      <c r="V1059" s="28">
        <f>IFERROR(VLOOKUP($T1059,No_HP!$B$2:$C$514,2,0),0)</f>
        <v>0</v>
      </c>
      <c r="W1059" s="28">
        <f t="shared" si="94"/>
        <v>0</v>
      </c>
      <c r="X1059" s="333">
        <f t="shared" si="95"/>
        <v>0</v>
      </c>
      <c r="Y1059" s="333">
        <f t="shared" si="96"/>
        <v>0</v>
      </c>
    </row>
    <row r="1060" spans="1:25" s="2" customFormat="1" ht="21.95" customHeight="1">
      <c r="A1060" s="82">
        <v>15</v>
      </c>
      <c r="B1060" s="91" t="s">
        <v>3359</v>
      </c>
      <c r="C1060" s="83" t="s">
        <v>362</v>
      </c>
      <c r="D1060" s="81" t="s">
        <v>512</v>
      </c>
      <c r="E1060" s="48">
        <v>101052</v>
      </c>
      <c r="F1060" s="30" t="s">
        <v>1755</v>
      </c>
      <c r="G1060" s="29" t="s">
        <v>52</v>
      </c>
      <c r="H1060" s="30" t="s">
        <v>421</v>
      </c>
      <c r="I1060" s="78"/>
      <c r="J1060" s="20"/>
      <c r="K1060" s="20"/>
      <c r="L1060" s="20"/>
      <c r="M1060" s="20"/>
      <c r="N1060" s="69" t="s">
        <v>256</v>
      </c>
      <c r="O1060" s="70">
        <v>0</v>
      </c>
      <c r="P1060" s="70">
        <v>0</v>
      </c>
      <c r="Q1060" s="70">
        <v>0</v>
      </c>
      <c r="R1060" s="70"/>
      <c r="S1060" s="67"/>
      <c r="T1060" s="2" t="str">
        <f t="shared" si="93"/>
        <v>Nguyễn Đặng Anh Tuấn_12AS1</v>
      </c>
      <c r="U1060" s="28">
        <f t="array" ref="U1060">IFERROR(VLOOKUP($T1060,'Nghi hoc T12'!$H$7:$I$160,2,0),0)</f>
        <v>0</v>
      </c>
      <c r="V1060" s="28">
        <f>IFERROR(VLOOKUP($T1060,No_HP!$B$2:$C$514,2,0),0)</f>
        <v>0</v>
      </c>
      <c r="W1060" s="28">
        <f t="shared" si="94"/>
        <v>0</v>
      </c>
      <c r="X1060" s="333">
        <f t="shared" si="95"/>
        <v>0</v>
      </c>
      <c r="Y1060" s="333">
        <f t="shared" si="96"/>
        <v>0</v>
      </c>
    </row>
    <row r="1061" spans="1:25" s="2" customFormat="1" ht="21.95" customHeight="1">
      <c r="A1061" s="82">
        <v>16</v>
      </c>
      <c r="B1061" s="91" t="s">
        <v>3359</v>
      </c>
      <c r="C1061" s="83" t="s">
        <v>362</v>
      </c>
      <c r="D1061" s="81" t="s">
        <v>512</v>
      </c>
      <c r="E1061" s="48">
        <v>101053</v>
      </c>
      <c r="F1061" s="30" t="s">
        <v>1756</v>
      </c>
      <c r="G1061" s="29" t="s">
        <v>110</v>
      </c>
      <c r="H1061" s="30" t="s">
        <v>421</v>
      </c>
      <c r="I1061" s="78"/>
      <c r="J1061" s="20"/>
      <c r="K1061" s="20"/>
      <c r="L1061" s="20"/>
      <c r="M1061" s="20"/>
      <c r="N1061" s="69" t="s">
        <v>256</v>
      </c>
      <c r="O1061" s="70">
        <v>0</v>
      </c>
      <c r="P1061" s="70">
        <v>0</v>
      </c>
      <c r="Q1061" s="70">
        <v>0</v>
      </c>
      <c r="R1061" s="70"/>
      <c r="S1061" s="67"/>
      <c r="T1061" s="2" t="str">
        <f t="shared" si="93"/>
        <v>Nguyễn Hữu Thanh Tùng_12AS1</v>
      </c>
      <c r="U1061" s="28">
        <f t="array" ref="U1061">IFERROR(VLOOKUP($T1061,'Nghi hoc T12'!$H$7:$I$160,2,0),0)</f>
        <v>0</v>
      </c>
      <c r="V1061" s="28">
        <f>IFERROR(VLOOKUP($T1061,No_HP!$B$2:$C$514,2,0),0)</f>
        <v>0</v>
      </c>
      <c r="W1061" s="28">
        <f t="shared" si="94"/>
        <v>0</v>
      </c>
      <c r="X1061" s="333">
        <f t="shared" si="95"/>
        <v>0</v>
      </c>
      <c r="Y1061" s="333">
        <f t="shared" si="96"/>
        <v>0</v>
      </c>
    </row>
    <row r="1062" spans="1:25" s="2" customFormat="1" ht="21.95" customHeight="1">
      <c r="A1062" s="82">
        <v>17</v>
      </c>
      <c r="B1062" s="91" t="s">
        <v>3359</v>
      </c>
      <c r="C1062" s="83" t="s">
        <v>362</v>
      </c>
      <c r="D1062" s="81" t="s">
        <v>512</v>
      </c>
      <c r="E1062" s="48">
        <v>101054</v>
      </c>
      <c r="F1062" s="30" t="s">
        <v>189</v>
      </c>
      <c r="G1062" s="29" t="s">
        <v>188</v>
      </c>
      <c r="H1062" s="30" t="s">
        <v>422</v>
      </c>
      <c r="I1062" s="78"/>
      <c r="J1062" s="20"/>
      <c r="K1062" s="20"/>
      <c r="L1062" s="20"/>
      <c r="M1062" s="20"/>
      <c r="N1062" s="69" t="s">
        <v>256</v>
      </c>
      <c r="O1062" s="70">
        <v>0</v>
      </c>
      <c r="P1062" s="70">
        <v>0</v>
      </c>
      <c r="Q1062" s="70">
        <v>0</v>
      </c>
      <c r="R1062" s="70"/>
      <c r="S1062" s="67"/>
      <c r="T1062" s="2" t="str">
        <f t="shared" si="93"/>
        <v>Vũ Thị Phương Uyên_12AS2</v>
      </c>
      <c r="U1062" s="28">
        <f t="array" ref="U1062">IFERROR(VLOOKUP($T1062,'Nghi hoc T12'!$H$7:$I$160,2,0),0)</f>
        <v>0</v>
      </c>
      <c r="V1062" s="28">
        <f>IFERROR(VLOOKUP($T1062,No_HP!$B$2:$C$514,2,0),0)</f>
        <v>0</v>
      </c>
      <c r="W1062" s="28">
        <f t="shared" si="94"/>
        <v>0</v>
      </c>
      <c r="X1062" s="333">
        <f t="shared" si="95"/>
        <v>0</v>
      </c>
      <c r="Y1062" s="333">
        <f t="shared" si="96"/>
        <v>0</v>
      </c>
    </row>
    <row r="1063" spans="1:25" s="2" customFormat="1" ht="21.95" customHeight="1">
      <c r="A1063" s="82">
        <v>18</v>
      </c>
      <c r="B1063" s="91" t="s">
        <v>3359</v>
      </c>
      <c r="C1063" s="83" t="s">
        <v>362</v>
      </c>
      <c r="D1063" s="81" t="s">
        <v>512</v>
      </c>
      <c r="E1063" s="48">
        <v>101055</v>
      </c>
      <c r="F1063" s="30" t="s">
        <v>1757</v>
      </c>
      <c r="G1063" s="29" t="s">
        <v>60</v>
      </c>
      <c r="H1063" s="30" t="s">
        <v>421</v>
      </c>
      <c r="I1063" s="78"/>
      <c r="J1063" s="20"/>
      <c r="K1063" s="20"/>
      <c r="L1063" s="20"/>
      <c r="M1063" s="20"/>
      <c r="N1063" s="69" t="s">
        <v>256</v>
      </c>
      <c r="O1063" s="70">
        <v>0</v>
      </c>
      <c r="P1063" s="70">
        <v>0</v>
      </c>
      <c r="Q1063" s="70">
        <v>0</v>
      </c>
      <c r="R1063" s="70"/>
      <c r="S1063" s="67"/>
      <c r="T1063" s="2" t="str">
        <f t="shared" si="93"/>
        <v>Lâm Ngọc Thanh Vân_12AS1</v>
      </c>
      <c r="U1063" s="28">
        <f t="array" ref="U1063">IFERROR(VLOOKUP($T1063,'Nghi hoc T12'!$H$7:$I$160,2,0),0)</f>
        <v>0</v>
      </c>
      <c r="V1063" s="28">
        <f>IFERROR(VLOOKUP($T1063,No_HP!$B$2:$C$514,2,0),0)</f>
        <v>0</v>
      </c>
      <c r="W1063" s="28">
        <f t="shared" si="94"/>
        <v>0</v>
      </c>
      <c r="X1063" s="333">
        <f t="shared" si="95"/>
        <v>0</v>
      </c>
      <c r="Y1063" s="333">
        <f t="shared" si="96"/>
        <v>0</v>
      </c>
    </row>
    <row r="1064" spans="1:25" s="2" customFormat="1" ht="21.95" customHeight="1">
      <c r="A1064" s="82">
        <v>19</v>
      </c>
      <c r="B1064" s="91" t="s">
        <v>3359</v>
      </c>
      <c r="C1064" s="83" t="s">
        <v>362</v>
      </c>
      <c r="D1064" s="81" t="s">
        <v>512</v>
      </c>
      <c r="E1064" s="48">
        <v>101056</v>
      </c>
      <c r="F1064" s="30" t="s">
        <v>1806</v>
      </c>
      <c r="G1064" s="29" t="s">
        <v>33</v>
      </c>
      <c r="H1064" s="30" t="s">
        <v>418</v>
      </c>
      <c r="I1064" s="78"/>
      <c r="J1064" s="20"/>
      <c r="K1064" s="20"/>
      <c r="L1064" s="20"/>
      <c r="M1064" s="20"/>
      <c r="N1064" s="69" t="s">
        <v>256</v>
      </c>
      <c r="O1064" s="70">
        <v>0</v>
      </c>
      <c r="P1064" s="70">
        <v>0</v>
      </c>
      <c r="Q1064" s="70">
        <v>0</v>
      </c>
      <c r="R1064" s="70"/>
      <c r="S1064" s="67"/>
      <c r="T1064" s="2" t="str">
        <f t="shared" si="93"/>
        <v>Lê Xuân Anh Việt_12AS3</v>
      </c>
      <c r="U1064" s="28">
        <f t="array" ref="U1064">IFERROR(VLOOKUP($T1064,'Nghi hoc T12'!$H$7:$I$160,2,0),0)</f>
        <v>0</v>
      </c>
      <c r="V1064" s="28">
        <f>IFERROR(VLOOKUP($T1064,No_HP!$B$2:$C$514,2,0),0)</f>
        <v>0</v>
      </c>
      <c r="W1064" s="28">
        <f t="shared" si="94"/>
        <v>0</v>
      </c>
      <c r="X1064" s="333">
        <f t="shared" si="95"/>
        <v>0</v>
      </c>
      <c r="Y1064" s="333">
        <f t="shared" si="96"/>
        <v>0</v>
      </c>
    </row>
    <row r="1065" spans="1:25" s="2" customFormat="1" ht="21.95" customHeight="1">
      <c r="A1065" s="82">
        <v>20</v>
      </c>
      <c r="B1065" s="91" t="s">
        <v>3359</v>
      </c>
      <c r="C1065" s="83" t="s">
        <v>362</v>
      </c>
      <c r="D1065" s="81" t="s">
        <v>512</v>
      </c>
      <c r="E1065" s="48">
        <v>101057</v>
      </c>
      <c r="F1065" s="30" t="s">
        <v>165</v>
      </c>
      <c r="G1065" s="29" t="s">
        <v>61</v>
      </c>
      <c r="H1065" s="30" t="s">
        <v>421</v>
      </c>
      <c r="I1065" s="78"/>
      <c r="J1065" s="20"/>
      <c r="K1065" s="20"/>
      <c r="L1065" s="20"/>
      <c r="M1065" s="20"/>
      <c r="N1065" s="69" t="s">
        <v>256</v>
      </c>
      <c r="O1065" s="70">
        <v>0</v>
      </c>
      <c r="P1065" s="70">
        <v>0</v>
      </c>
      <c r="Q1065" s="70">
        <v>0</v>
      </c>
      <c r="R1065" s="70"/>
      <c r="S1065" s="67"/>
      <c r="T1065" s="2" t="str">
        <f t="shared" si="93"/>
        <v>Nguyễn Đức Vinh_12AS1</v>
      </c>
      <c r="U1065" s="28">
        <f t="array" ref="U1065">IFERROR(VLOOKUP($T1065,'Nghi hoc T12'!$H$7:$I$160,2,0),0)</f>
        <v>0</v>
      </c>
      <c r="V1065" s="28">
        <f>IFERROR(VLOOKUP($T1065,No_HP!$B$2:$C$514,2,0),0)</f>
        <v>0</v>
      </c>
      <c r="W1065" s="28">
        <f t="shared" si="94"/>
        <v>0</v>
      </c>
      <c r="X1065" s="333">
        <f t="shared" si="95"/>
        <v>0</v>
      </c>
      <c r="Y1065" s="333">
        <f t="shared" si="96"/>
        <v>0</v>
      </c>
    </row>
    <row r="1066" spans="1:25" s="2" customFormat="1" ht="21.95" customHeight="1">
      <c r="A1066" s="82">
        <v>21</v>
      </c>
      <c r="B1066" s="91" t="s">
        <v>3359</v>
      </c>
      <c r="C1066" s="83" t="s">
        <v>362</v>
      </c>
      <c r="D1066" s="81" t="s">
        <v>512</v>
      </c>
      <c r="E1066" s="48">
        <v>101058</v>
      </c>
      <c r="F1066" s="30" t="s">
        <v>190</v>
      </c>
      <c r="G1066" s="29" t="s">
        <v>99</v>
      </c>
      <c r="H1066" s="30" t="s">
        <v>422</v>
      </c>
      <c r="I1066" s="78"/>
      <c r="J1066" s="20"/>
      <c r="K1066" s="20"/>
      <c r="L1066" s="20"/>
      <c r="M1066" s="20"/>
      <c r="N1066" s="69" t="s">
        <v>256</v>
      </c>
      <c r="O1066" s="70">
        <v>0</v>
      </c>
      <c r="P1066" s="70">
        <v>0</v>
      </c>
      <c r="Q1066" s="70">
        <v>0</v>
      </c>
      <c r="R1066" s="70"/>
      <c r="S1066" s="67"/>
      <c r="T1066" s="2" t="str">
        <f t="shared" si="93"/>
        <v>Đậu Long Vũ_12AS2</v>
      </c>
      <c r="U1066" s="28">
        <f t="array" ref="U1066">IFERROR(VLOOKUP($T1066,'Nghi hoc T12'!$H$7:$I$160,2,0),0)</f>
        <v>0</v>
      </c>
      <c r="V1066" s="28">
        <f>IFERROR(VLOOKUP($T1066,No_HP!$B$2:$C$514,2,0),0)</f>
        <v>0</v>
      </c>
      <c r="W1066" s="28">
        <f t="shared" si="94"/>
        <v>0</v>
      </c>
      <c r="X1066" s="333">
        <f t="shared" si="95"/>
        <v>0</v>
      </c>
      <c r="Y1066" s="333">
        <f t="shared" si="96"/>
        <v>0</v>
      </c>
    </row>
    <row r="1067" spans="1:25" s="2" customFormat="1" ht="21.95" customHeight="1">
      <c r="A1067" s="82">
        <v>22</v>
      </c>
      <c r="B1067" s="91" t="s">
        <v>3359</v>
      </c>
      <c r="C1067" s="83" t="s">
        <v>362</v>
      </c>
      <c r="D1067" s="81" t="s">
        <v>512</v>
      </c>
      <c r="E1067" s="48">
        <v>101059</v>
      </c>
      <c r="F1067" s="30" t="s">
        <v>1807</v>
      </c>
      <c r="G1067" s="29" t="s">
        <v>34</v>
      </c>
      <c r="H1067" s="30" t="s">
        <v>418</v>
      </c>
      <c r="I1067" s="78"/>
      <c r="J1067" s="20"/>
      <c r="K1067" s="20"/>
      <c r="L1067" s="20"/>
      <c r="M1067" s="20"/>
      <c r="N1067" s="69" t="s">
        <v>256</v>
      </c>
      <c r="O1067" s="70">
        <v>0</v>
      </c>
      <c r="P1067" s="70">
        <v>0</v>
      </c>
      <c r="Q1067" s="70">
        <v>0</v>
      </c>
      <c r="R1067" s="70"/>
      <c r="S1067" s="67"/>
      <c r="T1067" s="2" t="str">
        <f t="shared" si="93"/>
        <v>Trịnh Ngọc Yến Vy_12AS3</v>
      </c>
      <c r="U1067" s="28">
        <f t="array" ref="U1067">IFERROR(VLOOKUP($T1067,'Nghi hoc T12'!$H$7:$I$160,2,0),0)</f>
        <v>0</v>
      </c>
      <c r="V1067" s="28">
        <f>IFERROR(VLOOKUP($T1067,No_HP!$B$2:$C$514,2,0),0)</f>
        <v>0</v>
      </c>
      <c r="W1067" s="28">
        <f t="shared" si="94"/>
        <v>0</v>
      </c>
      <c r="X1067" s="333">
        <f t="shared" si="95"/>
        <v>0</v>
      </c>
      <c r="Y1067" s="333">
        <f t="shared" si="96"/>
        <v>0</v>
      </c>
    </row>
    <row r="1068" spans="1:25" s="2" customFormat="1" ht="21.95" customHeight="1">
      <c r="A1068" s="82">
        <v>23</v>
      </c>
      <c r="B1068" s="91" t="s">
        <v>3359</v>
      </c>
      <c r="C1068" s="83" t="s">
        <v>362</v>
      </c>
      <c r="D1068" s="81" t="s">
        <v>512</v>
      </c>
      <c r="E1068" s="48">
        <v>101060</v>
      </c>
      <c r="F1068" s="30" t="s">
        <v>1784</v>
      </c>
      <c r="G1068" s="29" t="s">
        <v>1624</v>
      </c>
      <c r="H1068" s="30" t="s">
        <v>422</v>
      </c>
      <c r="I1068" s="78"/>
      <c r="J1068" s="20"/>
      <c r="K1068" s="20"/>
      <c r="L1068" s="20"/>
      <c r="M1068" s="20"/>
      <c r="N1068" s="69" t="s">
        <v>256</v>
      </c>
      <c r="O1068" s="70">
        <v>0</v>
      </c>
      <c r="P1068" s="70">
        <v>0</v>
      </c>
      <c r="Q1068" s="70">
        <v>0</v>
      </c>
      <c r="R1068" s="70"/>
      <c r="S1068" s="67"/>
      <c r="T1068" s="2" t="str">
        <f t="shared" si="93"/>
        <v>Chặc Gia Vỹ_12AS2</v>
      </c>
      <c r="U1068" s="28">
        <f t="array" ref="U1068">IFERROR(VLOOKUP($T1068,'Nghi hoc T12'!$H$7:$I$160,2,0),0)</f>
        <v>0</v>
      </c>
      <c r="V1068" s="28">
        <f>IFERROR(VLOOKUP($T1068,No_HP!$B$2:$C$514,2,0),0)</f>
        <v>0</v>
      </c>
      <c r="W1068" s="28">
        <f t="shared" si="94"/>
        <v>0</v>
      </c>
      <c r="X1068" s="333">
        <f t="shared" si="95"/>
        <v>0</v>
      </c>
      <c r="Y1068" s="333">
        <f t="shared" si="96"/>
        <v>0</v>
      </c>
    </row>
    <row r="1069" spans="1:25" s="2" customFormat="1" ht="21.95" customHeight="1">
      <c r="A1069" s="82">
        <v>24</v>
      </c>
      <c r="B1069" s="91" t="s">
        <v>3359</v>
      </c>
      <c r="C1069" s="83" t="s">
        <v>362</v>
      </c>
      <c r="D1069" s="81" t="s">
        <v>512</v>
      </c>
      <c r="E1069" s="48">
        <v>101061</v>
      </c>
      <c r="F1069" s="30" t="s">
        <v>166</v>
      </c>
      <c r="G1069" s="29" t="s">
        <v>1624</v>
      </c>
      <c r="H1069" s="30" t="s">
        <v>418</v>
      </c>
      <c r="I1069" s="78"/>
      <c r="J1069" s="20"/>
      <c r="K1069" s="20"/>
      <c r="L1069" s="20"/>
      <c r="M1069" s="20"/>
      <c r="N1069" s="69" t="s">
        <v>256</v>
      </c>
      <c r="O1069" s="70">
        <v>0</v>
      </c>
      <c r="P1069" s="70">
        <v>0</v>
      </c>
      <c r="Q1069" s="70">
        <v>0</v>
      </c>
      <c r="R1069" s="70"/>
      <c r="S1069" s="67"/>
      <c r="T1069" s="2" t="str">
        <f t="shared" si="93"/>
        <v>Nguyễn Gia Vỹ_12AS3</v>
      </c>
      <c r="U1069" s="28">
        <f t="array" ref="U1069">IFERROR(VLOOKUP($T1069,'Nghi hoc T12'!$H$7:$I$160,2,0),0)</f>
        <v>0</v>
      </c>
      <c r="V1069" s="28">
        <f>IFERROR(VLOOKUP($T1069,No_HP!$B$2:$C$514,2,0),0)</f>
        <v>0</v>
      </c>
      <c r="W1069" s="28">
        <f t="shared" si="94"/>
        <v>0</v>
      </c>
      <c r="X1069" s="333">
        <f t="shared" si="95"/>
        <v>0</v>
      </c>
      <c r="Y1069" s="333">
        <f t="shared" si="96"/>
        <v>0</v>
      </c>
    </row>
    <row r="1070" spans="1:25" s="2" customFormat="1" ht="21.95" customHeight="1">
      <c r="A1070" s="200">
        <v>1</v>
      </c>
      <c r="B1070" s="91" t="s">
        <v>3360</v>
      </c>
      <c r="C1070" s="185" t="s">
        <v>363</v>
      </c>
      <c r="D1070" s="186" t="s">
        <v>513</v>
      </c>
      <c r="E1070" s="187">
        <v>101062</v>
      </c>
      <c r="F1070" s="188" t="s">
        <v>1835</v>
      </c>
      <c r="G1070" s="189" t="s">
        <v>63</v>
      </c>
      <c r="H1070" s="188" t="s">
        <v>433</v>
      </c>
      <c r="I1070" s="190"/>
      <c r="J1070" s="191"/>
      <c r="K1070" s="191"/>
      <c r="L1070" s="191"/>
      <c r="M1070" s="191"/>
      <c r="N1070" s="69" t="s">
        <v>256</v>
      </c>
      <c r="O1070" s="70">
        <v>0</v>
      </c>
      <c r="P1070" s="70">
        <v>0</v>
      </c>
      <c r="Q1070" s="70">
        <v>0</v>
      </c>
      <c r="R1070" s="70"/>
      <c r="S1070" s="67"/>
      <c r="T1070" s="2" t="str">
        <f t="shared" si="93"/>
        <v>Nguyễn Thị Bình An_12AS5</v>
      </c>
      <c r="U1070" s="28">
        <f t="array" ref="U1070">IFERROR(VLOOKUP($T1070,'Nghi hoc T12'!$H$7:$I$160,2,0),0)</f>
        <v>0</v>
      </c>
      <c r="V1070" s="28">
        <f>IFERROR(VLOOKUP($T1070,No_HP!$B$2:$C$514,2,0),0)</f>
        <v>0</v>
      </c>
      <c r="W1070" s="28">
        <f t="shared" si="94"/>
        <v>0</v>
      </c>
      <c r="X1070" s="333">
        <f t="shared" si="95"/>
        <v>0</v>
      </c>
      <c r="Y1070" s="333">
        <f t="shared" si="96"/>
        <v>0</v>
      </c>
    </row>
    <row r="1071" spans="1:25" s="2" customFormat="1" ht="21.95" customHeight="1">
      <c r="A1071" s="82">
        <v>2</v>
      </c>
      <c r="B1071" s="91" t="s">
        <v>3360</v>
      </c>
      <c r="C1071" s="83" t="s">
        <v>363</v>
      </c>
      <c r="D1071" s="81" t="s">
        <v>513</v>
      </c>
      <c r="E1071" s="48">
        <v>101063</v>
      </c>
      <c r="F1071" s="30" t="s">
        <v>122</v>
      </c>
      <c r="G1071" s="29" t="s">
        <v>5</v>
      </c>
      <c r="H1071" s="30" t="s">
        <v>433</v>
      </c>
      <c r="I1071" s="78"/>
      <c r="J1071" s="20"/>
      <c r="K1071" s="20"/>
      <c r="L1071" s="20"/>
      <c r="M1071" s="20"/>
      <c r="N1071" s="69" t="s">
        <v>256</v>
      </c>
      <c r="O1071" s="70">
        <v>0</v>
      </c>
      <c r="P1071" s="70">
        <v>0</v>
      </c>
      <c r="Q1071" s="70">
        <v>0</v>
      </c>
      <c r="R1071" s="70"/>
      <c r="S1071" s="67"/>
      <c r="T1071" s="2" t="str">
        <f t="shared" si="93"/>
        <v>Đặng Minh Anh_12AS5</v>
      </c>
      <c r="U1071" s="28">
        <f t="array" ref="U1071">IFERROR(VLOOKUP($T1071,'Nghi hoc T12'!$H$7:$I$160,2,0),0)</f>
        <v>0</v>
      </c>
      <c r="V1071" s="28">
        <f>IFERROR(VLOOKUP($T1071,No_HP!$B$2:$C$514,2,0),0)</f>
        <v>0</v>
      </c>
      <c r="W1071" s="28">
        <f t="shared" si="94"/>
        <v>0</v>
      </c>
      <c r="X1071" s="333">
        <f t="shared" si="95"/>
        <v>0</v>
      </c>
      <c r="Y1071" s="333">
        <f t="shared" si="96"/>
        <v>0</v>
      </c>
    </row>
    <row r="1072" spans="1:25" s="2" customFormat="1" ht="21.95" customHeight="1">
      <c r="A1072" s="82">
        <v>3</v>
      </c>
      <c r="B1072" s="91" t="s">
        <v>3360</v>
      </c>
      <c r="C1072" s="83" t="s">
        <v>363</v>
      </c>
      <c r="D1072" s="81" t="s">
        <v>513</v>
      </c>
      <c r="E1072" s="48">
        <v>101064</v>
      </c>
      <c r="F1072" s="30" t="s">
        <v>1808</v>
      </c>
      <c r="G1072" s="29" t="s">
        <v>5</v>
      </c>
      <c r="H1072" s="30" t="s">
        <v>419</v>
      </c>
      <c r="I1072" s="78"/>
      <c r="J1072" s="20"/>
      <c r="K1072" s="20"/>
      <c r="L1072" s="20"/>
      <c r="M1072" s="20"/>
      <c r="N1072" s="69" t="s">
        <v>256</v>
      </c>
      <c r="O1072" s="70">
        <v>0</v>
      </c>
      <c r="P1072" s="70">
        <v>0</v>
      </c>
      <c r="Q1072" s="70">
        <v>0</v>
      </c>
      <c r="R1072" s="70"/>
      <c r="S1072" s="67"/>
      <c r="T1072" s="2" t="str">
        <f t="shared" si="93"/>
        <v>Đoàn Minh Anh_12AS4</v>
      </c>
      <c r="U1072" s="28">
        <f t="array" ref="U1072">IFERROR(VLOOKUP($T1072,'Nghi hoc T12'!$H$7:$I$160,2,0),0)</f>
        <v>0</v>
      </c>
      <c r="V1072" s="28">
        <f>IFERROR(VLOOKUP($T1072,No_HP!$B$2:$C$514,2,0),0)</f>
        <v>0</v>
      </c>
      <c r="W1072" s="28">
        <f t="shared" si="94"/>
        <v>0</v>
      </c>
      <c r="X1072" s="333">
        <f t="shared" si="95"/>
        <v>0</v>
      </c>
      <c r="Y1072" s="333">
        <f t="shared" si="96"/>
        <v>0</v>
      </c>
    </row>
    <row r="1073" spans="1:25" s="2" customFormat="1" ht="21.95" customHeight="1">
      <c r="A1073" s="82">
        <v>4</v>
      </c>
      <c r="B1073" s="91" t="s">
        <v>3360</v>
      </c>
      <c r="C1073" s="83" t="s">
        <v>363</v>
      </c>
      <c r="D1073" s="81" t="s">
        <v>513</v>
      </c>
      <c r="E1073" s="48">
        <v>101065</v>
      </c>
      <c r="F1073" s="30" t="s">
        <v>1809</v>
      </c>
      <c r="G1073" s="29" t="s">
        <v>5</v>
      </c>
      <c r="H1073" s="30" t="s">
        <v>419</v>
      </c>
      <c r="I1073" s="78"/>
      <c r="J1073" s="20"/>
      <c r="K1073" s="20"/>
      <c r="L1073" s="20"/>
      <c r="M1073" s="20"/>
      <c r="N1073" s="69" t="s">
        <v>256</v>
      </c>
      <c r="O1073" s="70">
        <v>0</v>
      </c>
      <c r="P1073" s="70">
        <v>0</v>
      </c>
      <c r="Q1073" s="70">
        <v>0</v>
      </c>
      <c r="R1073" s="70"/>
      <c r="S1073" s="67"/>
      <c r="T1073" s="2" t="str">
        <f t="shared" si="93"/>
        <v>Lê Viết Việt Anh_12AS4</v>
      </c>
      <c r="U1073" s="28">
        <f t="array" ref="U1073">IFERROR(VLOOKUP($T1073,'Nghi hoc T12'!$H$7:$I$160,2,0),0)</f>
        <v>0</v>
      </c>
      <c r="V1073" s="28">
        <f>IFERROR(VLOOKUP($T1073,No_HP!$B$2:$C$514,2,0),0)</f>
        <v>0</v>
      </c>
      <c r="W1073" s="28">
        <f t="shared" si="94"/>
        <v>0</v>
      </c>
      <c r="X1073" s="333">
        <f t="shared" si="95"/>
        <v>0</v>
      </c>
      <c r="Y1073" s="333">
        <f t="shared" si="96"/>
        <v>0</v>
      </c>
    </row>
    <row r="1074" spans="1:25" s="2" customFormat="1" ht="21.95" customHeight="1">
      <c r="A1074" s="82">
        <v>5</v>
      </c>
      <c r="B1074" s="91" t="s">
        <v>3360</v>
      </c>
      <c r="C1074" s="83" t="s">
        <v>363</v>
      </c>
      <c r="D1074" s="81" t="s">
        <v>513</v>
      </c>
      <c r="E1074" s="48">
        <v>101066</v>
      </c>
      <c r="F1074" s="30" t="s">
        <v>165</v>
      </c>
      <c r="G1074" s="29" t="s">
        <v>5</v>
      </c>
      <c r="H1074" s="30" t="s">
        <v>434</v>
      </c>
      <c r="I1074" s="78"/>
      <c r="J1074" s="20"/>
      <c r="K1074" s="20"/>
      <c r="L1074" s="20"/>
      <c r="M1074" s="20"/>
      <c r="N1074" s="69" t="s">
        <v>256</v>
      </c>
      <c r="O1074" s="70">
        <v>0</v>
      </c>
      <c r="P1074" s="70">
        <v>0</v>
      </c>
      <c r="Q1074" s="70">
        <v>0</v>
      </c>
      <c r="R1074" s="70"/>
      <c r="S1074" s="67"/>
      <c r="T1074" s="2" t="str">
        <f t="shared" si="93"/>
        <v>Nguyễn Đức Anh_12AS6</v>
      </c>
      <c r="U1074" s="28">
        <f t="array" ref="U1074">IFERROR(VLOOKUP($T1074,'Nghi hoc T12'!$H$7:$I$160,2,0),0)</f>
        <v>0</v>
      </c>
      <c r="V1074" s="28">
        <f>IFERROR(VLOOKUP($T1074,No_HP!$B$2:$C$514,2,0),0)</f>
        <v>0</v>
      </c>
      <c r="W1074" s="28">
        <f t="shared" si="94"/>
        <v>0</v>
      </c>
      <c r="X1074" s="333">
        <f t="shared" si="95"/>
        <v>0</v>
      </c>
      <c r="Y1074" s="333">
        <f t="shared" si="96"/>
        <v>0</v>
      </c>
    </row>
    <row r="1075" spans="1:25" s="2" customFormat="1" ht="21.95" customHeight="1">
      <c r="A1075" s="82">
        <v>6</v>
      </c>
      <c r="B1075" s="91" t="s">
        <v>3360</v>
      </c>
      <c r="C1075" s="83" t="s">
        <v>363</v>
      </c>
      <c r="D1075" s="81" t="s">
        <v>513</v>
      </c>
      <c r="E1075" s="48">
        <v>101067</v>
      </c>
      <c r="F1075" s="30" t="s">
        <v>1866</v>
      </c>
      <c r="G1075" s="29" t="s">
        <v>5</v>
      </c>
      <c r="H1075" s="30" t="s">
        <v>434</v>
      </c>
      <c r="I1075" s="78"/>
      <c r="J1075" s="20"/>
      <c r="K1075" s="20"/>
      <c r="L1075" s="20"/>
      <c r="M1075" s="20"/>
      <c r="N1075" s="69" t="s">
        <v>256</v>
      </c>
      <c r="O1075" s="70">
        <v>0</v>
      </c>
      <c r="P1075" s="70">
        <v>0</v>
      </c>
      <c r="Q1075" s="70">
        <v>0</v>
      </c>
      <c r="R1075" s="70"/>
      <c r="S1075" s="67"/>
      <c r="T1075" s="2" t="str">
        <f t="shared" si="93"/>
        <v>Nguyễn Hữu Tuấn Anh_12AS6</v>
      </c>
      <c r="U1075" s="28">
        <f t="array" ref="U1075">IFERROR(VLOOKUP($T1075,'Nghi hoc T12'!$H$7:$I$160,2,0),0)</f>
        <v>0</v>
      </c>
      <c r="V1075" s="28">
        <f>IFERROR(VLOOKUP($T1075,No_HP!$B$2:$C$514,2,0),0)</f>
        <v>0</v>
      </c>
      <c r="W1075" s="28">
        <f t="shared" si="94"/>
        <v>0</v>
      </c>
      <c r="X1075" s="333">
        <f t="shared" si="95"/>
        <v>0</v>
      </c>
      <c r="Y1075" s="333">
        <f t="shared" si="96"/>
        <v>0</v>
      </c>
    </row>
    <row r="1076" spans="1:25" s="2" customFormat="1" ht="21.95" customHeight="1">
      <c r="A1076" s="82">
        <v>7</v>
      </c>
      <c r="B1076" s="91" t="s">
        <v>3360</v>
      </c>
      <c r="C1076" s="83" t="s">
        <v>363</v>
      </c>
      <c r="D1076" s="81" t="s">
        <v>513</v>
      </c>
      <c r="E1076" s="48">
        <v>101068</v>
      </c>
      <c r="F1076" s="30" t="s">
        <v>1836</v>
      </c>
      <c r="G1076" s="29" t="s">
        <v>5</v>
      </c>
      <c r="H1076" s="30" t="s">
        <v>433</v>
      </c>
      <c r="I1076" s="78" t="s">
        <v>529</v>
      </c>
      <c r="J1076" s="20"/>
      <c r="K1076" s="20"/>
      <c r="L1076" s="20"/>
      <c r="M1076" s="20"/>
      <c r="N1076" s="69" t="s">
        <v>256</v>
      </c>
      <c r="O1076" s="70">
        <v>0</v>
      </c>
      <c r="P1076" s="70">
        <v>0</v>
      </c>
      <c r="Q1076" s="70" t="s">
        <v>3334</v>
      </c>
      <c r="R1076" s="70"/>
      <c r="S1076" s="67"/>
      <c r="T1076" s="2" t="str">
        <f t="shared" si="93"/>
        <v>Trần Ngọc Minh Anh_12AS5</v>
      </c>
      <c r="U1076" s="28" t="str">
        <f t="array" ref="U1076">IFERROR(VLOOKUP($T1076,'Nghi hoc T12'!$H$7:$I$160,2,0),0)</f>
        <v>NgiH</v>
      </c>
      <c r="V1076" s="28">
        <f>IFERROR(VLOOKUP($T1076,No_HP!$B$2:$C$514,2,0),0)</f>
        <v>0</v>
      </c>
      <c r="W1076" s="28" t="str">
        <f t="shared" si="94"/>
        <v>Nghỉ học</v>
      </c>
      <c r="X1076" s="333">
        <f t="shared" si="95"/>
        <v>0</v>
      </c>
      <c r="Y1076" s="333">
        <f t="shared" si="96"/>
        <v>0</v>
      </c>
    </row>
    <row r="1077" spans="1:25" s="2" customFormat="1" ht="21.95" customHeight="1">
      <c r="A1077" s="82">
        <v>8</v>
      </c>
      <c r="B1077" s="91" t="s">
        <v>3360</v>
      </c>
      <c r="C1077" s="83" t="s">
        <v>363</v>
      </c>
      <c r="D1077" s="81" t="s">
        <v>513</v>
      </c>
      <c r="E1077" s="48">
        <v>101069</v>
      </c>
      <c r="F1077" s="30" t="s">
        <v>1117</v>
      </c>
      <c r="G1077" s="29" t="s">
        <v>5</v>
      </c>
      <c r="H1077" s="30" t="s">
        <v>419</v>
      </c>
      <c r="I1077" s="78"/>
      <c r="J1077" s="20"/>
      <c r="K1077" s="20"/>
      <c r="L1077" s="20"/>
      <c r="M1077" s="20"/>
      <c r="N1077" s="69" t="s">
        <v>256</v>
      </c>
      <c r="O1077" s="70">
        <v>0</v>
      </c>
      <c r="P1077" s="70">
        <v>0</v>
      </c>
      <c r="Q1077" s="70">
        <v>0</v>
      </c>
      <c r="R1077" s="70"/>
      <c r="S1077" s="67"/>
      <c r="T1077" s="2" t="str">
        <f t="shared" si="93"/>
        <v>Vũ Thị Ngọc Anh_12AS4</v>
      </c>
      <c r="U1077" s="28">
        <f t="array" ref="U1077">IFERROR(VLOOKUP($T1077,'Nghi hoc T12'!$H$7:$I$160,2,0),0)</f>
        <v>0</v>
      </c>
      <c r="V1077" s="28">
        <f>IFERROR(VLOOKUP($T1077,No_HP!$B$2:$C$514,2,0),0)</f>
        <v>0</v>
      </c>
      <c r="W1077" s="28">
        <f t="shared" si="94"/>
        <v>0</v>
      </c>
      <c r="X1077" s="333">
        <f t="shared" si="95"/>
        <v>0</v>
      </c>
      <c r="Y1077" s="333">
        <f t="shared" si="96"/>
        <v>0</v>
      </c>
    </row>
    <row r="1078" spans="1:25" s="2" customFormat="1" ht="21.95" customHeight="1">
      <c r="A1078" s="82">
        <v>9</v>
      </c>
      <c r="B1078" s="91" t="s">
        <v>3360</v>
      </c>
      <c r="C1078" s="83" t="s">
        <v>363</v>
      </c>
      <c r="D1078" s="81" t="s">
        <v>513</v>
      </c>
      <c r="E1078" s="48">
        <v>101070</v>
      </c>
      <c r="F1078" s="30" t="s">
        <v>191</v>
      </c>
      <c r="G1078" s="29" t="s">
        <v>76</v>
      </c>
      <c r="H1078" s="30" t="s">
        <v>433</v>
      </c>
      <c r="I1078" s="78"/>
      <c r="J1078" s="20"/>
      <c r="K1078" s="20"/>
      <c r="L1078" s="20"/>
      <c r="M1078" s="20"/>
      <c r="N1078" s="69" t="s">
        <v>256</v>
      </c>
      <c r="O1078" s="70">
        <v>0</v>
      </c>
      <c r="P1078" s="70">
        <v>0</v>
      </c>
      <c r="Q1078" s="70">
        <v>0</v>
      </c>
      <c r="R1078" s="70"/>
      <c r="S1078" s="67"/>
      <c r="T1078" s="2" t="str">
        <f t="shared" si="93"/>
        <v>Võ Kim Ánh_12AS5</v>
      </c>
      <c r="U1078" s="28">
        <f t="array" ref="U1078">IFERROR(VLOOKUP($T1078,'Nghi hoc T12'!$H$7:$I$160,2,0),0)</f>
        <v>0</v>
      </c>
      <c r="V1078" s="28">
        <f>IFERROR(VLOOKUP($T1078,No_HP!$B$2:$C$514,2,0),0)</f>
        <v>0</v>
      </c>
      <c r="W1078" s="28">
        <f t="shared" si="94"/>
        <v>0</v>
      </c>
      <c r="X1078" s="333">
        <f t="shared" si="95"/>
        <v>0</v>
      </c>
      <c r="Y1078" s="333">
        <f t="shared" si="96"/>
        <v>0</v>
      </c>
    </row>
    <row r="1079" spans="1:25" s="2" customFormat="1" ht="21.95" customHeight="1">
      <c r="A1079" s="82">
        <v>10</v>
      </c>
      <c r="B1079" s="91" t="s">
        <v>3360</v>
      </c>
      <c r="C1079" s="83" t="s">
        <v>363</v>
      </c>
      <c r="D1079" s="81" t="s">
        <v>513</v>
      </c>
      <c r="E1079" s="48">
        <v>101071</v>
      </c>
      <c r="F1079" s="30" t="s">
        <v>1810</v>
      </c>
      <c r="G1079" s="29" t="s">
        <v>83</v>
      </c>
      <c r="H1079" s="30" t="s">
        <v>419</v>
      </c>
      <c r="I1079" s="78"/>
      <c r="J1079" s="20"/>
      <c r="K1079" s="20"/>
      <c r="L1079" s="20"/>
      <c r="M1079" s="20"/>
      <c r="N1079" s="69" t="s">
        <v>256</v>
      </c>
      <c r="O1079" s="70">
        <v>0</v>
      </c>
      <c r="P1079" s="70">
        <v>0</v>
      </c>
      <c r="Q1079" s="70">
        <v>0</v>
      </c>
      <c r="R1079" s="70"/>
      <c r="S1079" s="67"/>
      <c r="T1079" s="2" t="str">
        <f t="shared" si="93"/>
        <v>Hồ Gia Bảo_12AS4</v>
      </c>
      <c r="U1079" s="28">
        <f t="array" ref="U1079">IFERROR(VLOOKUP($T1079,'Nghi hoc T12'!$H$7:$I$160,2,0),0)</f>
        <v>0</v>
      </c>
      <c r="V1079" s="28">
        <f>IFERROR(VLOOKUP($T1079,No_HP!$B$2:$C$514,2,0),0)</f>
        <v>0</v>
      </c>
      <c r="W1079" s="28">
        <f t="shared" si="94"/>
        <v>0</v>
      </c>
      <c r="X1079" s="333">
        <f t="shared" si="95"/>
        <v>0</v>
      </c>
      <c r="Y1079" s="333">
        <f t="shared" si="96"/>
        <v>0</v>
      </c>
    </row>
    <row r="1080" spans="1:25" s="2" customFormat="1" ht="21.95" customHeight="1">
      <c r="A1080" s="82">
        <v>11</v>
      </c>
      <c r="B1080" s="91" t="s">
        <v>3360</v>
      </c>
      <c r="C1080" s="83" t="s">
        <v>363</v>
      </c>
      <c r="D1080" s="81" t="s">
        <v>513</v>
      </c>
      <c r="E1080" s="48">
        <v>101072</v>
      </c>
      <c r="F1080" s="30" t="s">
        <v>192</v>
      </c>
      <c r="G1080" s="29" t="s">
        <v>83</v>
      </c>
      <c r="H1080" s="30" t="s">
        <v>434</v>
      </c>
      <c r="I1080" s="78"/>
      <c r="J1080" s="20"/>
      <c r="K1080" s="20"/>
      <c r="L1080" s="20"/>
      <c r="M1080" s="20"/>
      <c r="N1080" s="69" t="s">
        <v>256</v>
      </c>
      <c r="O1080" s="70">
        <v>0</v>
      </c>
      <c r="P1080" s="70">
        <v>0</v>
      </c>
      <c r="Q1080" s="70">
        <v>0</v>
      </c>
      <c r="R1080" s="70"/>
      <c r="S1080" s="67"/>
      <c r="T1080" s="2" t="str">
        <f t="shared" si="93"/>
        <v>Trần Quốc Bảo_12AS6</v>
      </c>
      <c r="U1080" s="28">
        <f t="array" ref="U1080">IFERROR(VLOOKUP($T1080,'Nghi hoc T12'!$H$7:$I$160,2,0),0)</f>
        <v>0</v>
      </c>
      <c r="V1080" s="28">
        <f>IFERROR(VLOOKUP($T1080,No_HP!$B$2:$C$514,2,0),0)</f>
        <v>0</v>
      </c>
      <c r="W1080" s="28">
        <f t="shared" si="94"/>
        <v>0</v>
      </c>
      <c r="X1080" s="333">
        <f t="shared" si="95"/>
        <v>0</v>
      </c>
      <c r="Y1080" s="333">
        <f t="shared" si="96"/>
        <v>0</v>
      </c>
    </row>
    <row r="1081" spans="1:25" s="2" customFormat="1" ht="21.95" customHeight="1">
      <c r="A1081" s="82">
        <v>12</v>
      </c>
      <c r="B1081" s="91" t="s">
        <v>3360</v>
      </c>
      <c r="C1081" s="83" t="s">
        <v>363</v>
      </c>
      <c r="D1081" s="81" t="s">
        <v>513</v>
      </c>
      <c r="E1081" s="48">
        <v>101073</v>
      </c>
      <c r="F1081" s="30" t="s">
        <v>207</v>
      </c>
      <c r="G1081" s="29" t="s">
        <v>77</v>
      </c>
      <c r="H1081" s="30" t="s">
        <v>434</v>
      </c>
      <c r="I1081" s="78"/>
      <c r="J1081" s="20"/>
      <c r="K1081" s="20"/>
      <c r="L1081" s="20"/>
      <c r="M1081" s="20"/>
      <c r="N1081" s="69" t="s">
        <v>256</v>
      </c>
      <c r="O1081" s="70">
        <v>0</v>
      </c>
      <c r="P1081" s="70">
        <v>0</v>
      </c>
      <c r="Q1081" s="70">
        <v>0</v>
      </c>
      <c r="R1081" s="70"/>
      <c r="S1081" s="67"/>
      <c r="T1081" s="2" t="str">
        <f t="shared" si="93"/>
        <v>Phạm Văn Bình_12AS6</v>
      </c>
      <c r="U1081" s="28">
        <f t="array" ref="U1081">IFERROR(VLOOKUP($T1081,'Nghi hoc T12'!$H$7:$I$160,2,0),0)</f>
        <v>0</v>
      </c>
      <c r="V1081" s="28">
        <f>IFERROR(VLOOKUP($T1081,No_HP!$B$2:$C$514,2,0),0)</f>
        <v>0</v>
      </c>
      <c r="W1081" s="28">
        <f t="shared" si="94"/>
        <v>0</v>
      </c>
      <c r="X1081" s="333">
        <f t="shared" si="95"/>
        <v>0</v>
      </c>
      <c r="Y1081" s="333">
        <f t="shared" si="96"/>
        <v>0</v>
      </c>
    </row>
    <row r="1082" spans="1:25" s="2" customFormat="1" ht="21.95" customHeight="1">
      <c r="A1082" s="82">
        <v>13</v>
      </c>
      <c r="B1082" s="91" t="s">
        <v>3360</v>
      </c>
      <c r="C1082" s="83" t="s">
        <v>363</v>
      </c>
      <c r="D1082" s="81" t="s">
        <v>513</v>
      </c>
      <c r="E1082" s="48">
        <v>101074</v>
      </c>
      <c r="F1082" s="30" t="s">
        <v>1837</v>
      </c>
      <c r="G1082" s="29" t="s">
        <v>107</v>
      </c>
      <c r="H1082" s="30" t="s">
        <v>433</v>
      </c>
      <c r="I1082" s="78"/>
      <c r="J1082" s="20"/>
      <c r="K1082" s="20"/>
      <c r="L1082" s="20"/>
      <c r="M1082" s="20"/>
      <c r="N1082" s="69" t="s">
        <v>256</v>
      </c>
      <c r="O1082" s="70">
        <v>0</v>
      </c>
      <c r="P1082" s="70">
        <v>0</v>
      </c>
      <c r="Q1082" s="70">
        <v>0</v>
      </c>
      <c r="R1082" s="70"/>
      <c r="S1082" s="67"/>
      <c r="T1082" s="2" t="str">
        <f t="shared" si="93"/>
        <v>Đặng Ngọc Minh Châu_12AS5</v>
      </c>
      <c r="U1082" s="28">
        <f t="array" ref="U1082">IFERROR(VLOOKUP($T1082,'Nghi hoc T12'!$H$7:$I$160,2,0),0)</f>
        <v>0</v>
      </c>
      <c r="V1082" s="28">
        <f>IFERROR(VLOOKUP($T1082,No_HP!$B$2:$C$514,2,0),0)</f>
        <v>0</v>
      </c>
      <c r="W1082" s="28">
        <f t="shared" si="94"/>
        <v>0</v>
      </c>
      <c r="X1082" s="333">
        <f t="shared" si="95"/>
        <v>0</v>
      </c>
      <c r="Y1082" s="333">
        <f t="shared" si="96"/>
        <v>0</v>
      </c>
    </row>
    <row r="1083" spans="1:25" s="2" customFormat="1" ht="21.95" customHeight="1">
      <c r="A1083" s="82">
        <v>14</v>
      </c>
      <c r="B1083" s="91" t="s">
        <v>3360</v>
      </c>
      <c r="C1083" s="83" t="s">
        <v>363</v>
      </c>
      <c r="D1083" s="81" t="s">
        <v>513</v>
      </c>
      <c r="E1083" s="48">
        <v>101075</v>
      </c>
      <c r="F1083" s="30" t="s">
        <v>1838</v>
      </c>
      <c r="G1083" s="29" t="s">
        <v>107</v>
      </c>
      <c r="H1083" s="30" t="s">
        <v>433</v>
      </c>
      <c r="I1083" s="78"/>
      <c r="J1083" s="20"/>
      <c r="K1083" s="20"/>
      <c r="L1083" s="20"/>
      <c r="M1083" s="20"/>
      <c r="N1083" s="69" t="s">
        <v>256</v>
      </c>
      <c r="O1083" s="70">
        <v>0</v>
      </c>
      <c r="P1083" s="70">
        <v>0</v>
      </c>
      <c r="Q1083" s="70">
        <v>0</v>
      </c>
      <c r="R1083" s="70"/>
      <c r="S1083" s="67"/>
      <c r="T1083" s="2" t="str">
        <f t="shared" si="93"/>
        <v>Đoàn Nguyên Hoàng Châu_12AS5</v>
      </c>
      <c r="U1083" s="28">
        <f t="array" ref="U1083">IFERROR(VLOOKUP($T1083,'Nghi hoc T12'!$H$7:$I$160,2,0),0)</f>
        <v>0</v>
      </c>
      <c r="V1083" s="28">
        <f>IFERROR(VLOOKUP($T1083,No_HP!$B$2:$C$514,2,0),0)</f>
        <v>0</v>
      </c>
      <c r="W1083" s="28">
        <f t="shared" si="94"/>
        <v>0</v>
      </c>
      <c r="X1083" s="333">
        <f t="shared" si="95"/>
        <v>0</v>
      </c>
      <c r="Y1083" s="333">
        <f t="shared" si="96"/>
        <v>0</v>
      </c>
    </row>
    <row r="1084" spans="1:25" s="2" customFormat="1" ht="21.95" customHeight="1">
      <c r="A1084" s="82">
        <v>15</v>
      </c>
      <c r="B1084" s="91" t="s">
        <v>3360</v>
      </c>
      <c r="C1084" s="83" t="s">
        <v>363</v>
      </c>
      <c r="D1084" s="81" t="s">
        <v>513</v>
      </c>
      <c r="E1084" s="48">
        <v>101076</v>
      </c>
      <c r="F1084" s="30" t="s">
        <v>1867</v>
      </c>
      <c r="G1084" s="29" t="s">
        <v>107</v>
      </c>
      <c r="H1084" s="30" t="s">
        <v>434</v>
      </c>
      <c r="I1084" s="78"/>
      <c r="J1084" s="20"/>
      <c r="K1084" s="20"/>
      <c r="L1084" s="20"/>
      <c r="M1084" s="20"/>
      <c r="N1084" s="69" t="s">
        <v>256</v>
      </c>
      <c r="O1084" s="70">
        <v>0</v>
      </c>
      <c r="P1084" s="70">
        <v>0</v>
      </c>
      <c r="Q1084" s="70">
        <v>0</v>
      </c>
      <c r="R1084" s="70"/>
      <c r="S1084" s="67"/>
      <c r="T1084" s="2" t="str">
        <f t="shared" si="93"/>
        <v>Mai Đoàn Hồng Châu_12AS6</v>
      </c>
      <c r="U1084" s="28">
        <f t="array" ref="U1084">IFERROR(VLOOKUP($T1084,'Nghi hoc T12'!$H$7:$I$160,2,0),0)</f>
        <v>0</v>
      </c>
      <c r="V1084" s="28">
        <f>IFERROR(VLOOKUP($T1084,No_HP!$B$2:$C$514,2,0),0)</f>
        <v>0</v>
      </c>
      <c r="W1084" s="28">
        <f t="shared" si="94"/>
        <v>0</v>
      </c>
      <c r="X1084" s="333">
        <f t="shared" si="95"/>
        <v>0</v>
      </c>
      <c r="Y1084" s="333">
        <f t="shared" si="96"/>
        <v>0</v>
      </c>
    </row>
    <row r="1085" spans="1:25" s="2" customFormat="1" ht="21.95" customHeight="1">
      <c r="A1085" s="82">
        <v>16</v>
      </c>
      <c r="B1085" s="91" t="s">
        <v>3360</v>
      </c>
      <c r="C1085" s="83" t="s">
        <v>363</v>
      </c>
      <c r="D1085" s="81" t="s">
        <v>513</v>
      </c>
      <c r="E1085" s="48">
        <v>101077</v>
      </c>
      <c r="F1085" s="30" t="s">
        <v>1393</v>
      </c>
      <c r="G1085" s="29" t="s">
        <v>107</v>
      </c>
      <c r="H1085" s="30" t="s">
        <v>419</v>
      </c>
      <c r="I1085" s="78"/>
      <c r="J1085" s="20"/>
      <c r="K1085" s="20"/>
      <c r="L1085" s="20"/>
      <c r="M1085" s="20"/>
      <c r="N1085" s="69" t="s">
        <v>256</v>
      </c>
      <c r="O1085" s="70">
        <v>0</v>
      </c>
      <c r="P1085" s="70">
        <v>0</v>
      </c>
      <c r="Q1085" s="70">
        <v>0</v>
      </c>
      <c r="R1085" s="70"/>
      <c r="S1085" s="67"/>
      <c r="T1085" s="2" t="str">
        <f t="shared" si="93"/>
        <v>Phạm Thị Hồng Châu_12AS4</v>
      </c>
      <c r="U1085" s="28">
        <f t="array" ref="U1085">IFERROR(VLOOKUP($T1085,'Nghi hoc T12'!$H$7:$I$160,2,0),0)</f>
        <v>0</v>
      </c>
      <c r="V1085" s="28">
        <f>IFERROR(VLOOKUP($T1085,No_HP!$B$2:$C$514,2,0),0)</f>
        <v>0</v>
      </c>
      <c r="W1085" s="28">
        <f t="shared" si="94"/>
        <v>0</v>
      </c>
      <c r="X1085" s="333">
        <f t="shared" si="95"/>
        <v>0</v>
      </c>
      <c r="Y1085" s="333">
        <f t="shared" si="96"/>
        <v>0</v>
      </c>
    </row>
    <row r="1086" spans="1:25" s="2" customFormat="1" ht="21.95" customHeight="1">
      <c r="A1086" s="82">
        <v>17</v>
      </c>
      <c r="B1086" s="91" t="s">
        <v>3360</v>
      </c>
      <c r="C1086" s="83" t="s">
        <v>363</v>
      </c>
      <c r="D1086" s="81" t="s">
        <v>513</v>
      </c>
      <c r="E1086" s="48">
        <v>101078</v>
      </c>
      <c r="F1086" s="30" t="s">
        <v>1839</v>
      </c>
      <c r="G1086" s="29" t="s">
        <v>193</v>
      </c>
      <c r="H1086" s="30" t="s">
        <v>433</v>
      </c>
      <c r="I1086" s="78"/>
      <c r="J1086" s="20"/>
      <c r="K1086" s="20"/>
      <c r="L1086" s="20"/>
      <c r="M1086" s="20"/>
      <c r="N1086" s="69" t="s">
        <v>256</v>
      </c>
      <c r="O1086" s="70">
        <v>0</v>
      </c>
      <c r="P1086" s="70">
        <v>0</v>
      </c>
      <c r="Q1086" s="70">
        <v>0</v>
      </c>
      <c r="R1086" s="70"/>
      <c r="S1086" s="67"/>
      <c r="T1086" s="2" t="str">
        <f t="shared" si="93"/>
        <v>Sơn Nguyễn Ngọc Diệu_12AS5</v>
      </c>
      <c r="U1086" s="28">
        <f t="array" ref="U1086">IFERROR(VLOOKUP($T1086,'Nghi hoc T12'!$H$7:$I$160,2,0),0)</f>
        <v>0</v>
      </c>
      <c r="V1086" s="28">
        <f>IFERROR(VLOOKUP($T1086,No_HP!$B$2:$C$514,2,0),0)</f>
        <v>0</v>
      </c>
      <c r="W1086" s="28">
        <f t="shared" si="94"/>
        <v>0</v>
      </c>
      <c r="X1086" s="333">
        <f t="shared" si="95"/>
        <v>0</v>
      </c>
      <c r="Y1086" s="333">
        <f t="shared" si="96"/>
        <v>0</v>
      </c>
    </row>
    <row r="1087" spans="1:25" s="2" customFormat="1" ht="21.95" customHeight="1">
      <c r="A1087" s="82">
        <v>18</v>
      </c>
      <c r="B1087" s="91" t="s">
        <v>3360</v>
      </c>
      <c r="C1087" s="83" t="s">
        <v>363</v>
      </c>
      <c r="D1087" s="81" t="s">
        <v>513</v>
      </c>
      <c r="E1087" s="48">
        <v>101079</v>
      </c>
      <c r="F1087" s="30" t="s">
        <v>1868</v>
      </c>
      <c r="G1087" s="29" t="s">
        <v>7</v>
      </c>
      <c r="H1087" s="30" t="s">
        <v>434</v>
      </c>
      <c r="I1087" s="78"/>
      <c r="J1087" s="20"/>
      <c r="K1087" s="20"/>
      <c r="L1087" s="20"/>
      <c r="M1087" s="20"/>
      <c r="N1087" s="69" t="s">
        <v>256</v>
      </c>
      <c r="O1087" s="70">
        <v>0</v>
      </c>
      <c r="P1087" s="70">
        <v>0</v>
      </c>
      <c r="Q1087" s="70">
        <v>0</v>
      </c>
      <c r="R1087" s="70"/>
      <c r="S1087" s="67"/>
      <c r="T1087" s="2" t="str">
        <f t="shared" si="93"/>
        <v>Bùi Trí Đạt_12AS6</v>
      </c>
      <c r="U1087" s="28">
        <f t="array" ref="U1087">IFERROR(VLOOKUP($T1087,'Nghi hoc T12'!$H$7:$I$160,2,0),0)</f>
        <v>0</v>
      </c>
      <c r="V1087" s="28">
        <f>IFERROR(VLOOKUP($T1087,No_HP!$B$2:$C$514,2,0),0)</f>
        <v>0</v>
      </c>
      <c r="W1087" s="28">
        <f t="shared" si="94"/>
        <v>0</v>
      </c>
      <c r="X1087" s="333">
        <f t="shared" si="95"/>
        <v>0</v>
      </c>
      <c r="Y1087" s="333">
        <f t="shared" si="96"/>
        <v>0</v>
      </c>
    </row>
    <row r="1088" spans="1:25" s="2" customFormat="1" ht="21.95" customHeight="1">
      <c r="A1088" s="82">
        <v>19</v>
      </c>
      <c r="B1088" s="91" t="s">
        <v>3360</v>
      </c>
      <c r="C1088" s="83" t="s">
        <v>363</v>
      </c>
      <c r="D1088" s="81" t="s">
        <v>513</v>
      </c>
      <c r="E1088" s="48">
        <v>101080</v>
      </c>
      <c r="F1088" s="30" t="s">
        <v>160</v>
      </c>
      <c r="G1088" s="29" t="s">
        <v>7</v>
      </c>
      <c r="H1088" s="30" t="s">
        <v>419</v>
      </c>
      <c r="I1088" s="78"/>
      <c r="J1088" s="20"/>
      <c r="K1088" s="20"/>
      <c r="L1088" s="20"/>
      <c r="M1088" s="20"/>
      <c r="N1088" s="69" t="s">
        <v>256</v>
      </c>
      <c r="O1088" s="70">
        <v>0</v>
      </c>
      <c r="P1088" s="70">
        <v>0</v>
      </c>
      <c r="Q1088" s="70">
        <v>0</v>
      </c>
      <c r="R1088" s="70"/>
      <c r="S1088" s="67"/>
      <c r="T1088" s="2" t="str">
        <f t="shared" si="93"/>
        <v>Nguyễn Thành Đạt_12AS4</v>
      </c>
      <c r="U1088" s="28">
        <f t="array" ref="U1088">IFERROR(VLOOKUP($T1088,'Nghi hoc T12'!$H$7:$I$160,2,0),0)</f>
        <v>0</v>
      </c>
      <c r="V1088" s="28">
        <f>IFERROR(VLOOKUP($T1088,No_HP!$B$2:$C$514,2,0),0)</f>
        <v>0</v>
      </c>
      <c r="W1088" s="28">
        <f t="shared" si="94"/>
        <v>0</v>
      </c>
      <c r="X1088" s="333">
        <f t="shared" si="95"/>
        <v>0</v>
      </c>
      <c r="Y1088" s="333">
        <f t="shared" si="96"/>
        <v>0</v>
      </c>
    </row>
    <row r="1089" spans="1:25" s="2" customFormat="1" ht="21.95" customHeight="1">
      <c r="A1089" s="82">
        <v>20</v>
      </c>
      <c r="B1089" s="91" t="s">
        <v>3360</v>
      </c>
      <c r="C1089" s="83" t="s">
        <v>363</v>
      </c>
      <c r="D1089" s="81" t="s">
        <v>513</v>
      </c>
      <c r="E1089" s="48">
        <v>101081</v>
      </c>
      <c r="F1089" s="30" t="s">
        <v>1811</v>
      </c>
      <c r="G1089" s="29" t="s">
        <v>1812</v>
      </c>
      <c r="H1089" s="30" t="s">
        <v>419</v>
      </c>
      <c r="I1089" s="78"/>
      <c r="J1089" s="20"/>
      <c r="K1089" s="20"/>
      <c r="L1089" s="20"/>
      <c r="M1089" s="20"/>
      <c r="N1089" s="69" t="s">
        <v>256</v>
      </c>
      <c r="O1089" s="70">
        <v>0</v>
      </c>
      <c r="P1089" s="70">
        <v>0</v>
      </c>
      <c r="Q1089" s="70">
        <v>0</v>
      </c>
      <c r="R1089" s="70"/>
      <c r="S1089" s="67"/>
      <c r="T1089" s="2" t="str">
        <f t="shared" si="93"/>
        <v>Nguyễn Lâm Chấn Đông_12AS4</v>
      </c>
      <c r="U1089" s="28">
        <f t="array" ref="U1089">IFERROR(VLOOKUP($T1089,'Nghi hoc T12'!$H$7:$I$160,2,0),0)</f>
        <v>0</v>
      </c>
      <c r="V1089" s="28">
        <f>IFERROR(VLOOKUP($T1089,No_HP!$B$2:$C$514,2,0),0)</f>
        <v>0</v>
      </c>
      <c r="W1089" s="28">
        <f t="shared" si="94"/>
        <v>0</v>
      </c>
      <c r="X1089" s="333">
        <f t="shared" si="95"/>
        <v>0</v>
      </c>
      <c r="Y1089" s="333">
        <f t="shared" si="96"/>
        <v>0</v>
      </c>
    </row>
    <row r="1090" spans="1:25" s="2" customFormat="1" ht="21.95" customHeight="1">
      <c r="A1090" s="82">
        <v>21</v>
      </c>
      <c r="B1090" s="91" t="s">
        <v>3360</v>
      </c>
      <c r="C1090" s="83" t="s">
        <v>363</v>
      </c>
      <c r="D1090" s="81" t="s">
        <v>513</v>
      </c>
      <c r="E1090" s="48">
        <v>101082</v>
      </c>
      <c r="F1090" s="30" t="s">
        <v>1869</v>
      </c>
      <c r="G1090" s="29" t="s">
        <v>78</v>
      </c>
      <c r="H1090" s="30" t="s">
        <v>434</v>
      </c>
      <c r="I1090" s="78"/>
      <c r="J1090" s="20"/>
      <c r="K1090" s="20"/>
      <c r="L1090" s="20"/>
      <c r="M1090" s="20"/>
      <c r="N1090" s="69" t="s">
        <v>256</v>
      </c>
      <c r="O1090" s="70">
        <v>0</v>
      </c>
      <c r="P1090" s="70">
        <v>0</v>
      </c>
      <c r="Q1090" s="70">
        <v>0</v>
      </c>
      <c r="R1090" s="70"/>
      <c r="S1090" s="67"/>
      <c r="T1090" s="2" t="str">
        <f t="shared" si="93"/>
        <v>Trần Hoàng Chí Hào_12AS6</v>
      </c>
      <c r="U1090" s="28">
        <f t="array" ref="U1090">IFERROR(VLOOKUP($T1090,'Nghi hoc T12'!$H$7:$I$160,2,0),0)</f>
        <v>0</v>
      </c>
      <c r="V1090" s="28">
        <f>IFERROR(VLOOKUP($T1090,No_HP!$B$2:$C$514,2,0),0)</f>
        <v>0</v>
      </c>
      <c r="W1090" s="28">
        <f t="shared" si="94"/>
        <v>0</v>
      </c>
      <c r="X1090" s="333">
        <f t="shared" si="95"/>
        <v>0</v>
      </c>
      <c r="Y1090" s="333">
        <f t="shared" si="96"/>
        <v>0</v>
      </c>
    </row>
    <row r="1091" spans="1:25" s="2" customFormat="1" ht="21.95" customHeight="1">
      <c r="A1091" s="82">
        <v>22</v>
      </c>
      <c r="B1091" s="91" t="s">
        <v>3360</v>
      </c>
      <c r="C1091" s="83" t="s">
        <v>363</v>
      </c>
      <c r="D1091" s="81" t="s">
        <v>513</v>
      </c>
      <c r="E1091" s="48">
        <v>101083</v>
      </c>
      <c r="F1091" s="30" t="s">
        <v>1262</v>
      </c>
      <c r="G1091" s="29" t="s">
        <v>84</v>
      </c>
      <c r="H1091" s="30" t="s">
        <v>434</v>
      </c>
      <c r="I1091" s="78"/>
      <c r="J1091" s="20"/>
      <c r="K1091" s="20"/>
      <c r="L1091" s="20"/>
      <c r="M1091" s="20"/>
      <c r="N1091" s="69" t="s">
        <v>256</v>
      </c>
      <c r="O1091" s="70">
        <v>0</v>
      </c>
      <c r="P1091" s="70">
        <v>0</v>
      </c>
      <c r="Q1091" s="70">
        <v>0</v>
      </c>
      <c r="R1091" s="70"/>
      <c r="S1091" s="67"/>
      <c r="T1091" s="2" t="str">
        <f t="shared" si="93"/>
        <v>Nguyễn Ngọc Gia Hân_12AS6</v>
      </c>
      <c r="U1091" s="28">
        <f t="array" ref="U1091">IFERROR(VLOOKUP($T1091,'Nghi hoc T12'!$H$7:$I$160,2,0),0)</f>
        <v>0</v>
      </c>
      <c r="V1091" s="28">
        <f>IFERROR(VLOOKUP($T1091,No_HP!$B$2:$C$514,2,0),0)</f>
        <v>0</v>
      </c>
      <c r="W1091" s="28">
        <f t="shared" si="94"/>
        <v>0</v>
      </c>
      <c r="X1091" s="333">
        <f t="shared" si="95"/>
        <v>0</v>
      </c>
      <c r="Y1091" s="333">
        <f t="shared" si="96"/>
        <v>0</v>
      </c>
    </row>
    <row r="1092" spans="1:25" s="2" customFormat="1" ht="21.95" customHeight="1">
      <c r="A1092" s="82">
        <v>23</v>
      </c>
      <c r="B1092" s="91" t="s">
        <v>3360</v>
      </c>
      <c r="C1092" s="83" t="s">
        <v>363</v>
      </c>
      <c r="D1092" s="81" t="s">
        <v>513</v>
      </c>
      <c r="E1092" s="48">
        <v>101084</v>
      </c>
      <c r="F1092" s="30" t="s">
        <v>1840</v>
      </c>
      <c r="G1092" s="29" t="s">
        <v>84</v>
      </c>
      <c r="H1092" s="30" t="s">
        <v>433</v>
      </c>
      <c r="I1092" s="78"/>
      <c r="J1092" s="20"/>
      <c r="K1092" s="20"/>
      <c r="L1092" s="20"/>
      <c r="M1092" s="20"/>
      <c r="N1092" s="69" t="s">
        <v>256</v>
      </c>
      <c r="O1092" s="70">
        <v>0</v>
      </c>
      <c r="P1092" s="70">
        <v>0</v>
      </c>
      <c r="Q1092" s="70">
        <v>0</v>
      </c>
      <c r="R1092" s="70"/>
      <c r="S1092" s="67"/>
      <c r="T1092" s="2" t="str">
        <f t="shared" si="93"/>
        <v>Trần Đỗ Gia Hân_12AS5</v>
      </c>
      <c r="U1092" s="28">
        <f t="array" ref="U1092">IFERROR(VLOOKUP($T1092,'Nghi hoc T12'!$H$7:$I$160,2,0),0)</f>
        <v>0</v>
      </c>
      <c r="V1092" s="28">
        <f>IFERROR(VLOOKUP($T1092,No_HP!$B$2:$C$514,2,0),0)</f>
        <v>0</v>
      </c>
      <c r="W1092" s="28">
        <f t="shared" si="94"/>
        <v>0</v>
      </c>
      <c r="X1092" s="333">
        <f t="shared" si="95"/>
        <v>0</v>
      </c>
      <c r="Y1092" s="333">
        <f t="shared" si="96"/>
        <v>0</v>
      </c>
    </row>
    <row r="1093" spans="1:25" s="2" customFormat="1" ht="21.95" customHeight="1">
      <c r="A1093" s="82">
        <v>24</v>
      </c>
      <c r="B1093" s="91" t="s">
        <v>3360</v>
      </c>
      <c r="C1093" s="83" t="s">
        <v>363</v>
      </c>
      <c r="D1093" s="81" t="s">
        <v>513</v>
      </c>
      <c r="E1093" s="48">
        <v>101085</v>
      </c>
      <c r="F1093" s="30" t="s">
        <v>186</v>
      </c>
      <c r="G1093" s="29" t="s">
        <v>104</v>
      </c>
      <c r="H1093" s="30" t="s">
        <v>433</v>
      </c>
      <c r="I1093" s="78"/>
      <c r="J1093" s="20"/>
      <c r="K1093" s="20"/>
      <c r="L1093" s="20"/>
      <c r="M1093" s="20"/>
      <c r="N1093" s="69" t="s">
        <v>256</v>
      </c>
      <c r="O1093" s="70">
        <v>0</v>
      </c>
      <c r="P1093" s="70">
        <v>0</v>
      </c>
      <c r="Q1093" s="70">
        <v>0</v>
      </c>
      <c r="R1093" s="70"/>
      <c r="S1093" s="67"/>
      <c r="T1093" s="2" t="str">
        <f t="shared" si="93"/>
        <v>Nguyễn Minh Hậu_12AS5</v>
      </c>
      <c r="U1093" s="28">
        <f t="array" ref="U1093">IFERROR(VLOOKUP($T1093,'Nghi hoc T12'!$H$7:$I$160,2,0),0)</f>
        <v>0</v>
      </c>
      <c r="V1093" s="28">
        <f>IFERROR(VLOOKUP($T1093,No_HP!$B$2:$C$514,2,0),0)</f>
        <v>0</v>
      </c>
      <c r="W1093" s="28">
        <f t="shared" si="94"/>
        <v>0</v>
      </c>
      <c r="X1093" s="333">
        <f t="shared" si="95"/>
        <v>0</v>
      </c>
      <c r="Y1093" s="333">
        <f t="shared" si="96"/>
        <v>0</v>
      </c>
    </row>
    <row r="1094" spans="1:25" s="2" customFormat="1" ht="21.95" customHeight="1">
      <c r="A1094" s="82">
        <v>25</v>
      </c>
      <c r="B1094" s="91" t="s">
        <v>3360</v>
      </c>
      <c r="C1094" s="83" t="s">
        <v>363</v>
      </c>
      <c r="D1094" s="81" t="s">
        <v>513</v>
      </c>
      <c r="E1094" s="48">
        <v>101086</v>
      </c>
      <c r="F1094" s="30" t="s">
        <v>1870</v>
      </c>
      <c r="G1094" s="29" t="s">
        <v>8</v>
      </c>
      <c r="H1094" s="30" t="s">
        <v>434</v>
      </c>
      <c r="I1094" s="78"/>
      <c r="J1094" s="20"/>
      <c r="K1094" s="20"/>
      <c r="L1094" s="20"/>
      <c r="M1094" s="20"/>
      <c r="N1094" s="69" t="s">
        <v>256</v>
      </c>
      <c r="O1094" s="70">
        <v>0</v>
      </c>
      <c r="P1094" s="70">
        <v>0</v>
      </c>
      <c r="Q1094" s="70">
        <v>0</v>
      </c>
      <c r="R1094" s="70"/>
      <c r="S1094" s="67"/>
      <c r="T1094" s="2" t="str">
        <f t="shared" si="93"/>
        <v>Nguyễn Thụy Thanh Hiền_12AS6</v>
      </c>
      <c r="U1094" s="28">
        <f t="array" ref="U1094">IFERROR(VLOOKUP($T1094,'Nghi hoc T12'!$H$7:$I$160,2,0),0)</f>
        <v>0</v>
      </c>
      <c r="V1094" s="28">
        <f>IFERROR(VLOOKUP($T1094,No_HP!$B$2:$C$514,2,0),0)</f>
        <v>0</v>
      </c>
      <c r="W1094" s="28">
        <f t="shared" si="94"/>
        <v>0</v>
      </c>
      <c r="X1094" s="333">
        <f t="shared" si="95"/>
        <v>0</v>
      </c>
      <c r="Y1094" s="333">
        <f t="shared" si="96"/>
        <v>0</v>
      </c>
    </row>
    <row r="1095" spans="1:25" s="2" customFormat="1" ht="21.95" customHeight="1">
      <c r="A1095" s="82">
        <v>26</v>
      </c>
      <c r="B1095" s="91" t="s">
        <v>3360</v>
      </c>
      <c r="C1095" s="83" t="s">
        <v>363</v>
      </c>
      <c r="D1095" s="81" t="s">
        <v>513</v>
      </c>
      <c r="E1095" s="48">
        <v>101087</v>
      </c>
      <c r="F1095" s="30" t="s">
        <v>194</v>
      </c>
      <c r="G1095" s="29" t="s">
        <v>145</v>
      </c>
      <c r="H1095" s="30" t="s">
        <v>434</v>
      </c>
      <c r="I1095" s="78"/>
      <c r="J1095" s="20"/>
      <c r="K1095" s="20"/>
      <c r="L1095" s="20"/>
      <c r="M1095" s="20"/>
      <c r="N1095" s="69" t="s">
        <v>256</v>
      </c>
      <c r="O1095" s="70">
        <v>0</v>
      </c>
      <c r="P1095" s="70">
        <v>0</v>
      </c>
      <c r="Q1095" s="70">
        <v>0</v>
      </c>
      <c r="R1095" s="70"/>
      <c r="S1095" s="67"/>
      <c r="T1095" s="2" t="str">
        <f t="shared" si="93"/>
        <v>Hồ Ngọc Hiệp_12AS6</v>
      </c>
      <c r="U1095" s="28">
        <f t="array" ref="U1095">IFERROR(VLOOKUP($T1095,'Nghi hoc T12'!$H$7:$I$160,2,0),0)</f>
        <v>0</v>
      </c>
      <c r="V1095" s="28">
        <f>IFERROR(VLOOKUP($T1095,No_HP!$B$2:$C$514,2,0),0)</f>
        <v>0</v>
      </c>
      <c r="W1095" s="28">
        <f t="shared" si="94"/>
        <v>0</v>
      </c>
      <c r="X1095" s="333">
        <f t="shared" si="95"/>
        <v>0</v>
      </c>
      <c r="Y1095" s="333">
        <f t="shared" si="96"/>
        <v>0</v>
      </c>
    </row>
    <row r="1096" spans="1:25" s="2" customFormat="1" ht="21.95" customHeight="1">
      <c r="A1096" s="82">
        <v>27</v>
      </c>
      <c r="B1096" s="91" t="s">
        <v>3360</v>
      </c>
      <c r="C1096" s="83" t="s">
        <v>363</v>
      </c>
      <c r="D1096" s="81" t="s">
        <v>513</v>
      </c>
      <c r="E1096" s="48">
        <v>101088</v>
      </c>
      <c r="F1096" s="30" t="s">
        <v>41</v>
      </c>
      <c r="G1096" s="29" t="s">
        <v>211</v>
      </c>
      <c r="H1096" s="30" t="s">
        <v>434</v>
      </c>
      <c r="I1096" s="78" t="s">
        <v>408</v>
      </c>
      <c r="J1096" s="20"/>
      <c r="K1096" s="20"/>
      <c r="L1096" s="20"/>
      <c r="M1096" s="20"/>
      <c r="N1096" s="69" t="s">
        <v>256</v>
      </c>
      <c r="O1096" s="70" t="s">
        <v>400</v>
      </c>
      <c r="P1096" s="70" t="s">
        <v>401</v>
      </c>
      <c r="Q1096" s="70"/>
      <c r="R1096" s="70"/>
      <c r="S1096" s="67"/>
      <c r="T1096" s="2" t="str">
        <f t="shared" si="93"/>
        <v>Nguyễn Thị Hồng Thắm_12AS6</v>
      </c>
      <c r="U1096" s="28">
        <f t="array" ref="U1096">IFERROR(VLOOKUP($T1096,'Nghi hoc T12'!$H$7:$I$160,2,0),0)</f>
        <v>0</v>
      </c>
      <c r="V1096" s="28">
        <v>0</v>
      </c>
      <c r="W1096" s="28" t="str">
        <f t="shared" si="94"/>
        <v>HN</v>
      </c>
      <c r="X1096" s="333" t="str">
        <f t="shared" si="95"/>
        <v>Trí tuệ</v>
      </c>
      <c r="Y1096" s="333" t="str">
        <f t="shared" si="96"/>
        <v>Nhẹ</v>
      </c>
    </row>
    <row r="1097" spans="1:25" s="2" customFormat="1" ht="21.95" customHeight="1">
      <c r="A1097" s="82">
        <v>28</v>
      </c>
      <c r="B1097" s="91" t="s">
        <v>3360</v>
      </c>
      <c r="C1097" s="83" t="s">
        <v>363</v>
      </c>
      <c r="D1097" s="81" t="s">
        <v>513</v>
      </c>
      <c r="E1097" s="48">
        <v>101089</v>
      </c>
      <c r="F1097" s="30" t="s">
        <v>214</v>
      </c>
      <c r="G1097" s="29" t="s">
        <v>213</v>
      </c>
      <c r="H1097" s="30" t="s">
        <v>433</v>
      </c>
      <c r="I1097" s="78" t="s">
        <v>408</v>
      </c>
      <c r="J1097" s="20"/>
      <c r="K1097" s="20"/>
      <c r="L1097" s="20"/>
      <c r="M1097" s="20"/>
      <c r="N1097" s="69" t="s">
        <v>256</v>
      </c>
      <c r="O1097" s="70" t="s">
        <v>400</v>
      </c>
      <c r="P1097" s="70" t="s">
        <v>401</v>
      </c>
      <c r="Q1097" s="70"/>
      <c r="R1097" s="70"/>
      <c r="S1097" s="67"/>
      <c r="T1097" s="2" t="str">
        <f t="shared" si="93"/>
        <v>Trần Ngọc Bảo Thy_12AS5</v>
      </c>
      <c r="U1097" s="28">
        <f t="array" ref="U1097">IFERROR(VLOOKUP($T1097,'Nghi hoc T12'!$H$7:$I$160,2,0),0)</f>
        <v>0</v>
      </c>
      <c r="V1097" s="28">
        <f>IFERROR(VLOOKUP($T1097,No_HP!$B$2:$C$514,2,0),0)</f>
        <v>0</v>
      </c>
      <c r="W1097" s="28" t="str">
        <f t="shared" si="94"/>
        <v>HN</v>
      </c>
      <c r="X1097" s="333" t="str">
        <f t="shared" si="95"/>
        <v>Trí tuệ</v>
      </c>
      <c r="Y1097" s="333" t="str">
        <f t="shared" si="96"/>
        <v>Nhẹ</v>
      </c>
    </row>
    <row r="1098" spans="1:25" s="2" customFormat="1" ht="21.95" customHeight="1">
      <c r="A1098" s="200">
        <v>1</v>
      </c>
      <c r="B1098" s="91" t="s">
        <v>3361</v>
      </c>
      <c r="C1098" s="185" t="s">
        <v>363</v>
      </c>
      <c r="D1098" s="186" t="s">
        <v>1605</v>
      </c>
      <c r="E1098" s="187">
        <v>101090</v>
      </c>
      <c r="F1098" s="188" t="s">
        <v>1871</v>
      </c>
      <c r="G1098" s="189" t="s">
        <v>9</v>
      </c>
      <c r="H1098" s="188" t="s">
        <v>434</v>
      </c>
      <c r="I1098" s="190"/>
      <c r="J1098" s="191"/>
      <c r="K1098" s="191"/>
      <c r="L1098" s="191"/>
      <c r="M1098" s="191"/>
      <c r="N1098" s="69" t="s">
        <v>256</v>
      </c>
      <c r="O1098" s="70"/>
      <c r="P1098" s="70"/>
      <c r="Q1098" s="70">
        <v>0</v>
      </c>
      <c r="R1098" s="70"/>
      <c r="S1098" s="67"/>
      <c r="T1098" s="2" t="str">
        <f t="shared" ref="T1098:T1161" si="97">TRIM(F1098&amp;" "&amp;G1098&amp;"_"&amp;H1098)</f>
        <v>Phan Trung Hiếu_12AS6</v>
      </c>
      <c r="U1098" s="28">
        <f t="array" ref="U1098">IFERROR(VLOOKUP($T1098,'Nghi hoc T12'!$H$7:$I$160,2,0),0)</f>
        <v>0</v>
      </c>
      <c r="V1098" s="28">
        <f>IFERROR(VLOOKUP($T1098,No_HP!$B$2:$C$514,2,0),0)</f>
        <v>0</v>
      </c>
      <c r="W1098" s="28">
        <f t="shared" ref="W1098:W1161" si="98">I1098</f>
        <v>0</v>
      </c>
      <c r="X1098" s="333">
        <f t="shared" ref="X1098:X1161" si="99">O1098</f>
        <v>0</v>
      </c>
      <c r="Y1098" s="333">
        <f t="shared" ref="Y1098:Y1161" si="100">P1098</f>
        <v>0</v>
      </c>
    </row>
    <row r="1099" spans="1:25" s="2" customFormat="1" ht="21.95" customHeight="1">
      <c r="A1099" s="82">
        <v>2</v>
      </c>
      <c r="B1099" s="91" t="s">
        <v>3361</v>
      </c>
      <c r="C1099" s="83" t="s">
        <v>363</v>
      </c>
      <c r="D1099" s="81" t="s">
        <v>1605</v>
      </c>
      <c r="E1099" s="48">
        <v>101091</v>
      </c>
      <c r="F1099" s="30" t="s">
        <v>1813</v>
      </c>
      <c r="G1099" s="29" t="s">
        <v>90</v>
      </c>
      <c r="H1099" s="30" t="s">
        <v>419</v>
      </c>
      <c r="I1099" s="78"/>
      <c r="J1099" s="20"/>
      <c r="K1099" s="20"/>
      <c r="L1099" s="20"/>
      <c r="M1099" s="20"/>
      <c r="N1099" s="69" t="s">
        <v>256</v>
      </c>
      <c r="O1099" s="70"/>
      <c r="P1099" s="70"/>
      <c r="Q1099" s="70">
        <v>0</v>
      </c>
      <c r="R1099" s="70"/>
      <c r="S1099" s="67"/>
      <c r="T1099" s="2" t="str">
        <f t="shared" si="97"/>
        <v>Trịnh Thị Khánh Hòa_12AS4</v>
      </c>
      <c r="U1099" s="28">
        <f t="array" ref="U1099">IFERROR(VLOOKUP($T1099,'Nghi hoc T12'!$H$7:$I$160,2,0),0)</f>
        <v>0</v>
      </c>
      <c r="V1099" s="28">
        <f>IFERROR(VLOOKUP($T1099,No_HP!$B$2:$C$514,2,0),0)</f>
        <v>0</v>
      </c>
      <c r="W1099" s="28">
        <f t="shared" si="98"/>
        <v>0</v>
      </c>
      <c r="X1099" s="333">
        <f t="shared" si="99"/>
        <v>0</v>
      </c>
      <c r="Y1099" s="333">
        <f t="shared" si="100"/>
        <v>0</v>
      </c>
    </row>
    <row r="1100" spans="1:25" s="2" customFormat="1" ht="21.95" customHeight="1">
      <c r="A1100" s="82">
        <v>3</v>
      </c>
      <c r="B1100" s="91" t="s">
        <v>3361</v>
      </c>
      <c r="C1100" s="83" t="s">
        <v>363</v>
      </c>
      <c r="D1100" s="81" t="s">
        <v>1605</v>
      </c>
      <c r="E1100" s="48">
        <v>101092</v>
      </c>
      <c r="F1100" s="30" t="s">
        <v>1841</v>
      </c>
      <c r="G1100" s="29" t="s">
        <v>90</v>
      </c>
      <c r="H1100" s="30" t="s">
        <v>433</v>
      </c>
      <c r="I1100" s="78"/>
      <c r="J1100" s="20"/>
      <c r="K1100" s="20"/>
      <c r="L1100" s="20"/>
      <c r="M1100" s="20"/>
      <c r="N1100" s="69" t="s">
        <v>256</v>
      </c>
      <c r="O1100" s="70">
        <v>0</v>
      </c>
      <c r="P1100" s="70">
        <v>0</v>
      </c>
      <c r="Q1100" s="70">
        <v>0</v>
      </c>
      <c r="R1100" s="70"/>
      <c r="S1100" s="67"/>
      <c r="T1100" s="2" t="str">
        <f t="shared" si="97"/>
        <v>Trương Tôn Hòa_12AS5</v>
      </c>
      <c r="U1100" s="28">
        <f t="array" ref="U1100">IFERROR(VLOOKUP($T1100,'Nghi hoc T12'!$H$7:$I$160,2,0),0)</f>
        <v>0</v>
      </c>
      <c r="V1100" s="28">
        <f>IFERROR(VLOOKUP($T1100,No_HP!$B$2:$C$514,2,0),0)</f>
        <v>0</v>
      </c>
      <c r="W1100" s="28">
        <f t="shared" si="98"/>
        <v>0</v>
      </c>
      <c r="X1100" s="333">
        <f t="shared" si="99"/>
        <v>0</v>
      </c>
      <c r="Y1100" s="333">
        <f t="shared" si="100"/>
        <v>0</v>
      </c>
    </row>
    <row r="1101" spans="1:25" s="2" customFormat="1" ht="21.95" customHeight="1">
      <c r="A1101" s="82">
        <v>4</v>
      </c>
      <c r="B1101" s="91" t="s">
        <v>3361</v>
      </c>
      <c r="C1101" s="83" t="s">
        <v>363</v>
      </c>
      <c r="D1101" s="81" t="s">
        <v>1605</v>
      </c>
      <c r="E1101" s="48">
        <v>101093</v>
      </c>
      <c r="F1101" s="30" t="s">
        <v>1872</v>
      </c>
      <c r="G1101" s="29" t="s">
        <v>10</v>
      </c>
      <c r="H1101" s="30" t="s">
        <v>434</v>
      </c>
      <c r="I1101" s="78"/>
      <c r="J1101" s="20"/>
      <c r="K1101" s="20"/>
      <c r="L1101" s="20"/>
      <c r="M1101" s="20"/>
      <c r="N1101" s="69" t="s">
        <v>256</v>
      </c>
      <c r="O1101" s="70">
        <v>0</v>
      </c>
      <c r="P1101" s="70">
        <v>0</v>
      </c>
      <c r="Q1101" s="70">
        <v>0</v>
      </c>
      <c r="R1101" s="70"/>
      <c r="S1101" s="67"/>
      <c r="T1101" s="2" t="str">
        <f t="shared" si="97"/>
        <v>Nguyễn Ích Thanh Hoàng_12AS6</v>
      </c>
      <c r="U1101" s="28">
        <f t="array" ref="U1101">IFERROR(VLOOKUP($T1101,'Nghi hoc T12'!$H$7:$I$160,2,0),0)</f>
        <v>0</v>
      </c>
      <c r="V1101" s="28">
        <f>IFERROR(VLOOKUP($T1101,No_HP!$B$2:$C$514,2,0),0)</f>
        <v>0</v>
      </c>
      <c r="W1101" s="28">
        <f t="shared" si="98"/>
        <v>0</v>
      </c>
      <c r="X1101" s="333">
        <f t="shared" si="99"/>
        <v>0</v>
      </c>
      <c r="Y1101" s="333">
        <f t="shared" si="100"/>
        <v>0</v>
      </c>
    </row>
    <row r="1102" spans="1:25" s="2" customFormat="1" ht="21.95" customHeight="1">
      <c r="A1102" s="82">
        <v>5</v>
      </c>
      <c r="B1102" s="91" t="s">
        <v>3361</v>
      </c>
      <c r="C1102" s="83" t="s">
        <v>363</v>
      </c>
      <c r="D1102" s="81" t="s">
        <v>1605</v>
      </c>
      <c r="E1102" s="48">
        <v>101094</v>
      </c>
      <c r="F1102" s="30" t="s">
        <v>195</v>
      </c>
      <c r="G1102" s="29" t="s">
        <v>10</v>
      </c>
      <c r="H1102" s="30" t="s">
        <v>433</v>
      </c>
      <c r="I1102" s="78"/>
      <c r="J1102" s="20"/>
      <c r="K1102" s="20"/>
      <c r="L1102" s="20"/>
      <c r="M1102" s="20"/>
      <c r="N1102" s="69" t="s">
        <v>256</v>
      </c>
      <c r="O1102" s="70">
        <v>0</v>
      </c>
      <c r="P1102" s="70">
        <v>0</v>
      </c>
      <c r="Q1102" s="70">
        <v>0</v>
      </c>
      <c r="R1102" s="70"/>
      <c r="S1102" s="67"/>
      <c r="T1102" s="2" t="str">
        <f t="shared" si="97"/>
        <v>Vũ Minh Hoàng_12AS5</v>
      </c>
      <c r="U1102" s="28">
        <f t="array" ref="U1102">IFERROR(VLOOKUP($T1102,'Nghi hoc T12'!$H$7:$I$160,2,0),0)</f>
        <v>0</v>
      </c>
      <c r="V1102" s="28">
        <f>IFERROR(VLOOKUP($T1102,No_HP!$B$2:$C$514,2,0),0)</f>
        <v>0</v>
      </c>
      <c r="W1102" s="28">
        <f t="shared" si="98"/>
        <v>0</v>
      </c>
      <c r="X1102" s="333">
        <f t="shared" si="99"/>
        <v>0</v>
      </c>
      <c r="Y1102" s="333">
        <f t="shared" si="100"/>
        <v>0</v>
      </c>
    </row>
    <row r="1103" spans="1:25" s="2" customFormat="1" ht="21.95" customHeight="1">
      <c r="A1103" s="82">
        <v>6</v>
      </c>
      <c r="B1103" s="91" t="s">
        <v>3361</v>
      </c>
      <c r="C1103" s="83" t="s">
        <v>363</v>
      </c>
      <c r="D1103" s="81" t="s">
        <v>1605</v>
      </c>
      <c r="E1103" s="48">
        <v>101095</v>
      </c>
      <c r="F1103" s="30" t="s">
        <v>1814</v>
      </c>
      <c r="G1103" s="29" t="s">
        <v>11</v>
      </c>
      <c r="H1103" s="30" t="s">
        <v>419</v>
      </c>
      <c r="I1103" s="78"/>
      <c r="J1103" s="20"/>
      <c r="K1103" s="20"/>
      <c r="L1103" s="20"/>
      <c r="M1103" s="20"/>
      <c r="N1103" s="69" t="s">
        <v>256</v>
      </c>
      <c r="O1103" s="70">
        <v>0</v>
      </c>
      <c r="P1103" s="70">
        <v>0</v>
      </c>
      <c r="Q1103" s="70">
        <v>0</v>
      </c>
      <c r="R1103" s="70"/>
      <c r="S1103" s="67"/>
      <c r="T1103" s="2" t="str">
        <f t="shared" si="97"/>
        <v>Đoàn Quang Huy_12AS4</v>
      </c>
      <c r="U1103" s="28">
        <f t="array" ref="U1103">IFERROR(VLOOKUP($T1103,'Nghi hoc T12'!$H$7:$I$160,2,0),0)</f>
        <v>0</v>
      </c>
      <c r="V1103" s="28">
        <f>IFERROR(VLOOKUP($T1103,No_HP!$B$2:$C$514,2,0),0)</f>
        <v>0</v>
      </c>
      <c r="W1103" s="28">
        <f t="shared" si="98"/>
        <v>0</v>
      </c>
      <c r="X1103" s="333">
        <f t="shared" si="99"/>
        <v>0</v>
      </c>
      <c r="Y1103" s="333">
        <f t="shared" si="100"/>
        <v>0</v>
      </c>
    </row>
    <row r="1104" spans="1:25" s="2" customFormat="1" ht="21.95" customHeight="1">
      <c r="A1104" s="82">
        <v>7</v>
      </c>
      <c r="B1104" s="91" t="s">
        <v>3361</v>
      </c>
      <c r="C1104" s="83" t="s">
        <v>363</v>
      </c>
      <c r="D1104" s="81" t="s">
        <v>1605</v>
      </c>
      <c r="E1104" s="48">
        <v>101096</v>
      </c>
      <c r="F1104" s="30" t="s">
        <v>45</v>
      </c>
      <c r="G1104" s="29" t="s">
        <v>11</v>
      </c>
      <c r="H1104" s="30" t="s">
        <v>433</v>
      </c>
      <c r="I1104" s="78"/>
      <c r="J1104" s="20"/>
      <c r="K1104" s="20"/>
      <c r="L1104" s="20"/>
      <c r="M1104" s="20"/>
      <c r="N1104" s="69" t="s">
        <v>256</v>
      </c>
      <c r="O1104" s="70">
        <v>0</v>
      </c>
      <c r="P1104" s="70">
        <v>0</v>
      </c>
      <c r="Q1104" s="70">
        <v>0</v>
      </c>
      <c r="R1104" s="70"/>
      <c r="S1104" s="67"/>
      <c r="T1104" s="2" t="str">
        <f t="shared" si="97"/>
        <v>Nguyễn Quang Huy_12AS5</v>
      </c>
      <c r="U1104" s="28">
        <f t="array" ref="U1104">IFERROR(VLOOKUP($T1104,'Nghi hoc T12'!$H$7:$I$160,2,0),0)</f>
        <v>0</v>
      </c>
      <c r="V1104" s="28">
        <f>IFERROR(VLOOKUP($T1104,No_HP!$B$2:$C$514,2,0),0)</f>
        <v>0</v>
      </c>
      <c r="W1104" s="28">
        <f t="shared" si="98"/>
        <v>0</v>
      </c>
      <c r="X1104" s="333">
        <f t="shared" si="99"/>
        <v>0</v>
      </c>
      <c r="Y1104" s="333">
        <f t="shared" si="100"/>
        <v>0</v>
      </c>
    </row>
    <row r="1105" spans="1:25" s="2" customFormat="1" ht="21.95" customHeight="1">
      <c r="A1105" s="82">
        <v>8</v>
      </c>
      <c r="B1105" s="91" t="s">
        <v>3361</v>
      </c>
      <c r="C1105" s="83" t="s">
        <v>363</v>
      </c>
      <c r="D1105" s="81" t="s">
        <v>1605</v>
      </c>
      <c r="E1105" s="48">
        <v>101097</v>
      </c>
      <c r="F1105" s="30" t="s">
        <v>1842</v>
      </c>
      <c r="G1105" s="29" t="s">
        <v>11</v>
      </c>
      <c r="H1105" s="30" t="s">
        <v>433</v>
      </c>
      <c r="I1105" s="78"/>
      <c r="J1105" s="20"/>
      <c r="K1105" s="20"/>
      <c r="L1105" s="20"/>
      <c r="M1105" s="20"/>
      <c r="N1105" s="69" t="s">
        <v>256</v>
      </c>
      <c r="O1105" s="70">
        <v>0</v>
      </c>
      <c r="P1105" s="70">
        <v>0</v>
      </c>
      <c r="Q1105" s="70">
        <v>0</v>
      </c>
      <c r="R1105" s="70"/>
      <c r="S1105" s="67"/>
      <c r="T1105" s="2" t="str">
        <f t="shared" si="97"/>
        <v>Phan Nhựt Huy_12AS5</v>
      </c>
      <c r="U1105" s="28">
        <f t="array" ref="U1105">IFERROR(VLOOKUP($T1105,'Nghi hoc T12'!$H$7:$I$160,2,0),0)</f>
        <v>0</v>
      </c>
      <c r="V1105" s="28">
        <f>IFERROR(VLOOKUP($T1105,No_HP!$B$2:$C$514,2,0),0)</f>
        <v>0</v>
      </c>
      <c r="W1105" s="28">
        <f t="shared" si="98"/>
        <v>0</v>
      </c>
      <c r="X1105" s="333">
        <f t="shared" si="99"/>
        <v>0</v>
      </c>
      <c r="Y1105" s="333">
        <f t="shared" si="100"/>
        <v>0</v>
      </c>
    </row>
    <row r="1106" spans="1:25" s="2" customFormat="1" ht="21.95" customHeight="1">
      <c r="A1106" s="82">
        <v>9</v>
      </c>
      <c r="B1106" s="91" t="s">
        <v>3361</v>
      </c>
      <c r="C1106" s="83" t="s">
        <v>363</v>
      </c>
      <c r="D1106" s="81" t="s">
        <v>1605</v>
      </c>
      <c r="E1106" s="48">
        <v>101098</v>
      </c>
      <c r="F1106" s="30" t="s">
        <v>196</v>
      </c>
      <c r="G1106" s="29" t="s">
        <v>11</v>
      </c>
      <c r="H1106" s="30" t="s">
        <v>434</v>
      </c>
      <c r="I1106" s="78"/>
      <c r="J1106" s="20"/>
      <c r="K1106" s="20"/>
      <c r="L1106" s="20"/>
      <c r="M1106" s="20"/>
      <c r="N1106" s="69" t="s">
        <v>256</v>
      </c>
      <c r="O1106" s="70">
        <v>0</v>
      </c>
      <c r="P1106" s="70">
        <v>0</v>
      </c>
      <c r="Q1106" s="70">
        <v>0</v>
      </c>
      <c r="R1106" s="70"/>
      <c r="S1106" s="67"/>
      <c r="T1106" s="2" t="str">
        <f t="shared" si="97"/>
        <v>Trần Gia Huy_12AS6</v>
      </c>
      <c r="U1106" s="28">
        <f t="array" ref="U1106">IFERROR(VLOOKUP($T1106,'Nghi hoc T12'!$H$7:$I$160,2,0),0)</f>
        <v>0</v>
      </c>
      <c r="V1106" s="28">
        <f>IFERROR(VLOOKUP($T1106,No_HP!$B$2:$C$514,2,0),0)</f>
        <v>0</v>
      </c>
      <c r="W1106" s="28">
        <f t="shared" si="98"/>
        <v>0</v>
      </c>
      <c r="X1106" s="333">
        <f t="shared" si="99"/>
        <v>0</v>
      </c>
      <c r="Y1106" s="333">
        <f t="shared" si="100"/>
        <v>0</v>
      </c>
    </row>
    <row r="1107" spans="1:25" s="2" customFormat="1" ht="21.95" customHeight="1">
      <c r="A1107" s="82">
        <v>10</v>
      </c>
      <c r="B1107" s="91" t="s">
        <v>3361</v>
      </c>
      <c r="C1107" s="83" t="s">
        <v>363</v>
      </c>
      <c r="D1107" s="81" t="s">
        <v>1605</v>
      </c>
      <c r="E1107" s="48">
        <v>101099</v>
      </c>
      <c r="F1107" s="30" t="s">
        <v>1873</v>
      </c>
      <c r="G1107" s="29" t="s">
        <v>1721</v>
      </c>
      <c r="H1107" s="30" t="s">
        <v>434</v>
      </c>
      <c r="I1107" s="78"/>
      <c r="J1107" s="20"/>
      <c r="K1107" s="20"/>
      <c r="L1107" s="20"/>
      <c r="M1107" s="20"/>
      <c r="N1107" s="69" t="s">
        <v>256</v>
      </c>
      <c r="O1107" s="70">
        <v>0</v>
      </c>
      <c r="P1107" s="70">
        <v>0</v>
      </c>
      <c r="Q1107" s="70">
        <v>0</v>
      </c>
      <c r="R1107" s="70"/>
      <c r="S1107" s="67"/>
      <c r="T1107" s="2" t="str">
        <f t="shared" si="97"/>
        <v>Bùi Nguyễn Thúy Huỳnh_12AS6</v>
      </c>
      <c r="U1107" s="28">
        <f t="array" ref="U1107">IFERROR(VLOOKUP($T1107,'Nghi hoc T12'!$H$7:$I$160,2,0),0)</f>
        <v>0</v>
      </c>
      <c r="V1107" s="28">
        <f>IFERROR(VLOOKUP($T1107,No_HP!$B$2:$C$514,2,0),0)</f>
        <v>0</v>
      </c>
      <c r="W1107" s="28">
        <f t="shared" si="98"/>
        <v>0</v>
      </c>
      <c r="X1107" s="333">
        <f t="shared" si="99"/>
        <v>0</v>
      </c>
      <c r="Y1107" s="333">
        <f t="shared" si="100"/>
        <v>0</v>
      </c>
    </row>
    <row r="1108" spans="1:25" s="2" customFormat="1" ht="21.95" customHeight="1">
      <c r="A1108" s="82">
        <v>11</v>
      </c>
      <c r="B1108" s="91" t="s">
        <v>3361</v>
      </c>
      <c r="C1108" s="83" t="s">
        <v>363</v>
      </c>
      <c r="D1108" s="81" t="s">
        <v>1605</v>
      </c>
      <c r="E1108" s="48">
        <v>101100</v>
      </c>
      <c r="F1108" s="30" t="s">
        <v>1414</v>
      </c>
      <c r="G1108" s="29" t="s">
        <v>54</v>
      </c>
      <c r="H1108" s="30" t="s">
        <v>419</v>
      </c>
      <c r="I1108" s="78"/>
      <c r="J1108" s="20"/>
      <c r="K1108" s="20"/>
      <c r="L1108" s="20"/>
      <c r="M1108" s="20"/>
      <c r="N1108" s="69" t="s">
        <v>256</v>
      </c>
      <c r="O1108" s="70">
        <v>0</v>
      </c>
      <c r="P1108" s="70">
        <v>0</v>
      </c>
      <c r="Q1108" s="70">
        <v>0</v>
      </c>
      <c r="R1108" s="70"/>
      <c r="S1108" s="67"/>
      <c r="T1108" s="2" t="str">
        <f t="shared" si="97"/>
        <v>Phạm Thị Ngọc Hương_12AS4</v>
      </c>
      <c r="U1108" s="28">
        <f t="array" ref="U1108">IFERROR(VLOOKUP($T1108,'Nghi hoc T12'!$H$7:$I$160,2,0),0)</f>
        <v>0</v>
      </c>
      <c r="V1108" s="28">
        <f>IFERROR(VLOOKUP($T1108,No_HP!$B$2:$C$514,2,0),0)</f>
        <v>0</v>
      </c>
      <c r="W1108" s="28">
        <f t="shared" si="98"/>
        <v>0</v>
      </c>
      <c r="X1108" s="333">
        <f t="shared" si="99"/>
        <v>0</v>
      </c>
      <c r="Y1108" s="333">
        <f t="shared" si="100"/>
        <v>0</v>
      </c>
    </row>
    <row r="1109" spans="1:25" s="2" customFormat="1" ht="21.95" customHeight="1">
      <c r="A1109" s="82">
        <v>12</v>
      </c>
      <c r="B1109" s="91" t="s">
        <v>3361</v>
      </c>
      <c r="C1109" s="83" t="s">
        <v>363</v>
      </c>
      <c r="D1109" s="81" t="s">
        <v>1605</v>
      </c>
      <c r="E1109" s="48">
        <v>101101</v>
      </c>
      <c r="F1109" s="30" t="s">
        <v>197</v>
      </c>
      <c r="G1109" s="29" t="s">
        <v>79</v>
      </c>
      <c r="H1109" s="30" t="s">
        <v>419</v>
      </c>
      <c r="I1109" s="78"/>
      <c r="J1109" s="20"/>
      <c r="K1109" s="20"/>
      <c r="L1109" s="20"/>
      <c r="M1109" s="20"/>
      <c r="N1109" s="69" t="s">
        <v>256</v>
      </c>
      <c r="O1109" s="70">
        <v>0</v>
      </c>
      <c r="P1109" s="70">
        <v>0</v>
      </c>
      <c r="Q1109" s="70">
        <v>0</v>
      </c>
      <c r="R1109" s="70"/>
      <c r="S1109" s="67"/>
      <c r="T1109" s="2" t="str">
        <f t="shared" si="97"/>
        <v>Lê Thái Khang_12AS4</v>
      </c>
      <c r="U1109" s="28">
        <f t="array" ref="U1109">IFERROR(VLOOKUP($T1109,'Nghi hoc T12'!$H$7:$I$160,2,0),0)</f>
        <v>0</v>
      </c>
      <c r="V1109" s="28">
        <f>IFERROR(VLOOKUP($T1109,No_HP!$B$2:$C$514,2,0),0)</f>
        <v>0</v>
      </c>
      <c r="W1109" s="28">
        <f t="shared" si="98"/>
        <v>0</v>
      </c>
      <c r="X1109" s="333">
        <f t="shared" si="99"/>
        <v>0</v>
      </c>
      <c r="Y1109" s="333">
        <f t="shared" si="100"/>
        <v>0</v>
      </c>
    </row>
    <row r="1110" spans="1:25" s="2" customFormat="1" ht="21.95" customHeight="1">
      <c r="A1110" s="82">
        <v>13</v>
      </c>
      <c r="B1110" s="91" t="s">
        <v>3361</v>
      </c>
      <c r="C1110" s="83" t="s">
        <v>363</v>
      </c>
      <c r="D1110" s="81" t="s">
        <v>1605</v>
      </c>
      <c r="E1110" s="48">
        <v>101102</v>
      </c>
      <c r="F1110" s="30" t="s">
        <v>208</v>
      </c>
      <c r="G1110" s="29" t="s">
        <v>55</v>
      </c>
      <c r="H1110" s="30" t="s">
        <v>434</v>
      </c>
      <c r="I1110" s="78"/>
      <c r="J1110" s="20"/>
      <c r="K1110" s="20"/>
      <c r="L1110" s="20"/>
      <c r="M1110" s="20"/>
      <c r="N1110" s="69" t="s">
        <v>256</v>
      </c>
      <c r="O1110" s="70">
        <v>0</v>
      </c>
      <c r="P1110" s="70">
        <v>0</v>
      </c>
      <c r="Q1110" s="70">
        <v>0</v>
      </c>
      <c r="R1110" s="70"/>
      <c r="S1110" s="67"/>
      <c r="T1110" s="2" t="str">
        <f t="shared" si="97"/>
        <v>Nguyễn Đăng Khoa_12AS6</v>
      </c>
      <c r="U1110" s="28">
        <f t="array" ref="U1110">IFERROR(VLOOKUP($T1110,'Nghi hoc T12'!$H$7:$I$160,2,0),0)</f>
        <v>0</v>
      </c>
      <c r="V1110" s="28">
        <f>IFERROR(VLOOKUP($T1110,No_HP!$B$2:$C$514,2,0),0)</f>
        <v>0</v>
      </c>
      <c r="W1110" s="28">
        <f t="shared" si="98"/>
        <v>0</v>
      </c>
      <c r="X1110" s="333">
        <f t="shared" si="99"/>
        <v>0</v>
      </c>
      <c r="Y1110" s="333">
        <f t="shared" si="100"/>
        <v>0</v>
      </c>
    </row>
    <row r="1111" spans="1:25" s="2" customFormat="1" ht="21.95" customHeight="1">
      <c r="A1111" s="82">
        <v>14</v>
      </c>
      <c r="B1111" s="91" t="s">
        <v>3361</v>
      </c>
      <c r="C1111" s="83" t="s">
        <v>363</v>
      </c>
      <c r="D1111" s="81" t="s">
        <v>1605</v>
      </c>
      <c r="E1111" s="48">
        <v>101103</v>
      </c>
      <c r="F1111" s="30" t="s">
        <v>208</v>
      </c>
      <c r="G1111" s="29" t="s">
        <v>13</v>
      </c>
      <c r="H1111" s="30" t="s">
        <v>419</v>
      </c>
      <c r="I1111" s="78" t="s">
        <v>529</v>
      </c>
      <c r="J1111" s="20"/>
      <c r="K1111" s="20"/>
      <c r="L1111" s="20"/>
      <c r="M1111" s="20"/>
      <c r="N1111" s="69" t="s">
        <v>256</v>
      </c>
      <c r="O1111" s="70">
        <v>0</v>
      </c>
      <c r="P1111" s="70">
        <v>0</v>
      </c>
      <c r="Q1111" s="70" t="s">
        <v>3334</v>
      </c>
      <c r="R1111" s="70"/>
      <c r="S1111" s="67"/>
      <c r="T1111" s="2" t="str">
        <f t="shared" si="97"/>
        <v>Nguyễn Đăng Khôi_12AS4</v>
      </c>
      <c r="U1111" s="28" t="str">
        <f t="array" ref="U1111">IFERROR(VLOOKUP($T1111,'Nghi hoc T12'!$H$7:$I$160,2,0),0)</f>
        <v>NgiH</v>
      </c>
      <c r="V1111" s="28">
        <f>IFERROR(VLOOKUP($T1111,No_HP!$B$2:$C$514,2,0),0)</f>
        <v>0</v>
      </c>
      <c r="W1111" s="28" t="str">
        <f t="shared" si="98"/>
        <v>Nghỉ học</v>
      </c>
      <c r="X1111" s="333">
        <f t="shared" si="99"/>
        <v>0</v>
      </c>
      <c r="Y1111" s="333">
        <f t="shared" si="100"/>
        <v>0</v>
      </c>
    </row>
    <row r="1112" spans="1:25" s="2" customFormat="1" ht="21.95" customHeight="1">
      <c r="A1112" s="82">
        <v>15</v>
      </c>
      <c r="B1112" s="91" t="s">
        <v>3361</v>
      </c>
      <c r="C1112" s="83" t="s">
        <v>363</v>
      </c>
      <c r="D1112" s="81" t="s">
        <v>1605</v>
      </c>
      <c r="E1112" s="48">
        <v>101104</v>
      </c>
      <c r="F1112" s="30" t="s">
        <v>1581</v>
      </c>
      <c r="G1112" s="29" t="s">
        <v>1643</v>
      </c>
      <c r="H1112" s="30" t="s">
        <v>433</v>
      </c>
      <c r="I1112" s="78"/>
      <c r="J1112" s="20"/>
      <c r="K1112" s="20"/>
      <c r="L1112" s="20"/>
      <c r="M1112" s="20"/>
      <c r="N1112" s="69" t="s">
        <v>256</v>
      </c>
      <c r="O1112" s="70">
        <v>0</v>
      </c>
      <c r="P1112" s="70">
        <v>0</v>
      </c>
      <c r="Q1112" s="70">
        <v>0</v>
      </c>
      <c r="R1112" s="70"/>
      <c r="S1112" s="67"/>
      <c r="T1112" s="2" t="str">
        <f t="shared" si="97"/>
        <v>Vũ Ngọc Khuê_12AS5</v>
      </c>
      <c r="U1112" s="28">
        <f t="array" ref="U1112">IFERROR(VLOOKUP($T1112,'Nghi hoc T12'!$H$7:$I$160,2,0),0)</f>
        <v>0</v>
      </c>
      <c r="V1112" s="28">
        <f>IFERROR(VLOOKUP($T1112,No_HP!$B$2:$C$514,2,0),0)</f>
        <v>0</v>
      </c>
      <c r="W1112" s="28">
        <f t="shared" si="98"/>
        <v>0</v>
      </c>
      <c r="X1112" s="333">
        <f t="shared" si="99"/>
        <v>0</v>
      </c>
      <c r="Y1112" s="333">
        <f t="shared" si="100"/>
        <v>0</v>
      </c>
    </row>
    <row r="1113" spans="1:25" s="2" customFormat="1" ht="21.95" customHeight="1">
      <c r="A1113" s="82">
        <v>16</v>
      </c>
      <c r="B1113" s="91" t="s">
        <v>3361</v>
      </c>
      <c r="C1113" s="83" t="s">
        <v>363</v>
      </c>
      <c r="D1113" s="81" t="s">
        <v>1605</v>
      </c>
      <c r="E1113" s="48">
        <v>101105</v>
      </c>
      <c r="F1113" s="30" t="s">
        <v>1815</v>
      </c>
      <c r="G1113" s="29" t="s">
        <v>68</v>
      </c>
      <c r="H1113" s="30" t="s">
        <v>419</v>
      </c>
      <c r="I1113" s="78"/>
      <c r="J1113" s="20"/>
      <c r="K1113" s="20"/>
      <c r="L1113" s="20"/>
      <c r="M1113" s="20"/>
      <c r="N1113" s="69" t="s">
        <v>256</v>
      </c>
      <c r="O1113" s="70">
        <v>0</v>
      </c>
      <c r="P1113" s="70">
        <v>0</v>
      </c>
      <c r="Q1113" s="70"/>
      <c r="R1113" s="70"/>
      <c r="S1113" s="67"/>
      <c r="T1113" s="2" t="str">
        <f t="shared" si="97"/>
        <v>Nguyễn Ngọc Tuấn Kiệt_12AS4</v>
      </c>
      <c r="U1113" s="28">
        <f t="array" ref="U1113">IFERROR(VLOOKUP($T1113,'Nghi hoc T12'!$H$7:$I$160,2,0),0)</f>
        <v>0</v>
      </c>
      <c r="V1113" s="28">
        <f>IFERROR(VLOOKUP($T1113,No_HP!$B$2:$C$514,2,0),0)</f>
        <v>0</v>
      </c>
      <c r="W1113" s="28">
        <f t="shared" si="98"/>
        <v>0</v>
      </c>
      <c r="X1113" s="333">
        <f t="shared" si="99"/>
        <v>0</v>
      </c>
      <c r="Y1113" s="333">
        <f t="shared" si="100"/>
        <v>0</v>
      </c>
    </row>
    <row r="1114" spans="1:25" s="2" customFormat="1" ht="21.95" customHeight="1">
      <c r="A1114" s="82">
        <v>17</v>
      </c>
      <c r="B1114" s="91" t="s">
        <v>3361</v>
      </c>
      <c r="C1114" s="83" t="s">
        <v>363</v>
      </c>
      <c r="D1114" s="81" t="s">
        <v>1605</v>
      </c>
      <c r="E1114" s="48">
        <v>101106</v>
      </c>
      <c r="F1114" s="30" t="s">
        <v>1843</v>
      </c>
      <c r="G1114" s="29" t="s">
        <v>92</v>
      </c>
      <c r="H1114" s="30" t="s">
        <v>433</v>
      </c>
      <c r="I1114" s="78"/>
      <c r="J1114" s="20"/>
      <c r="K1114" s="20"/>
      <c r="L1114" s="20"/>
      <c r="M1114" s="20"/>
      <c r="N1114" s="69" t="s">
        <v>256</v>
      </c>
      <c r="O1114" s="70">
        <v>0</v>
      </c>
      <c r="P1114" s="70">
        <v>0</v>
      </c>
      <c r="Q1114" s="70">
        <v>0</v>
      </c>
      <c r="R1114" s="70"/>
      <c r="S1114" s="67"/>
      <c r="T1114" s="2" t="str">
        <f t="shared" si="97"/>
        <v>Nguyễn Trần Ngọc Lâm_12AS5</v>
      </c>
      <c r="U1114" s="28">
        <f t="array" ref="U1114">IFERROR(VLOOKUP($T1114,'Nghi hoc T12'!$H$7:$I$160,2,0),0)</f>
        <v>0</v>
      </c>
      <c r="V1114" s="28">
        <f>IFERROR(VLOOKUP($T1114,No_HP!$B$2:$C$514,2,0),0)</f>
        <v>0</v>
      </c>
      <c r="W1114" s="28">
        <f t="shared" si="98"/>
        <v>0</v>
      </c>
      <c r="X1114" s="333">
        <f t="shared" si="99"/>
        <v>0</v>
      </c>
      <c r="Y1114" s="333">
        <f t="shared" si="100"/>
        <v>0</v>
      </c>
    </row>
    <row r="1115" spans="1:25" s="2" customFormat="1" ht="21.95" customHeight="1">
      <c r="A1115" s="82">
        <v>18</v>
      </c>
      <c r="B1115" s="91" t="s">
        <v>3361</v>
      </c>
      <c r="C1115" s="83" t="s">
        <v>363</v>
      </c>
      <c r="D1115" s="81" t="s">
        <v>1605</v>
      </c>
      <c r="E1115" s="48">
        <v>101107</v>
      </c>
      <c r="F1115" s="30" t="s">
        <v>1844</v>
      </c>
      <c r="G1115" s="29" t="s">
        <v>38</v>
      </c>
      <c r="H1115" s="30" t="s">
        <v>433</v>
      </c>
      <c r="I1115" s="78"/>
      <c r="J1115" s="20"/>
      <c r="K1115" s="20"/>
      <c r="L1115" s="20"/>
      <c r="M1115" s="20"/>
      <c r="N1115" s="69" t="s">
        <v>256</v>
      </c>
      <c r="O1115" s="70">
        <v>0</v>
      </c>
      <c r="P1115" s="70">
        <v>0</v>
      </c>
      <c r="Q1115" s="70">
        <v>0</v>
      </c>
      <c r="R1115" s="70"/>
      <c r="S1115" s="67"/>
      <c r="T1115" s="2" t="str">
        <f t="shared" si="97"/>
        <v>Đào Quang Linh_12AS5</v>
      </c>
      <c r="U1115" s="28">
        <f t="array" ref="U1115">IFERROR(VLOOKUP($T1115,'Nghi hoc T12'!$H$7:$I$160,2,0),0)</f>
        <v>0</v>
      </c>
      <c r="V1115" s="28">
        <f>IFERROR(VLOOKUP($T1115,No_HP!$B$2:$C$514,2,0),0)</f>
        <v>0</v>
      </c>
      <c r="W1115" s="28">
        <f t="shared" si="98"/>
        <v>0</v>
      </c>
      <c r="X1115" s="333">
        <f t="shared" si="99"/>
        <v>0</v>
      </c>
      <c r="Y1115" s="333">
        <f t="shared" si="100"/>
        <v>0</v>
      </c>
    </row>
    <row r="1116" spans="1:25" s="2" customFormat="1" ht="21.95" customHeight="1">
      <c r="A1116" s="82">
        <v>19</v>
      </c>
      <c r="B1116" s="91" t="s">
        <v>3361</v>
      </c>
      <c r="C1116" s="83" t="s">
        <v>363</v>
      </c>
      <c r="D1116" s="81" t="s">
        <v>1605</v>
      </c>
      <c r="E1116" s="48">
        <v>101108</v>
      </c>
      <c r="F1116" s="30" t="s">
        <v>1816</v>
      </c>
      <c r="G1116" s="29" t="s">
        <v>38</v>
      </c>
      <c r="H1116" s="30" t="s">
        <v>419</v>
      </c>
      <c r="I1116" s="78"/>
      <c r="J1116" s="20"/>
      <c r="K1116" s="20"/>
      <c r="L1116" s="20"/>
      <c r="M1116" s="20"/>
      <c r="N1116" s="69" t="s">
        <v>256</v>
      </c>
      <c r="O1116" s="70">
        <v>0</v>
      </c>
      <c r="P1116" s="70">
        <v>0</v>
      </c>
      <c r="Q1116" s="70">
        <v>0</v>
      </c>
      <c r="R1116" s="70"/>
      <c r="S1116" s="67"/>
      <c r="T1116" s="2" t="str">
        <f t="shared" si="97"/>
        <v>Hoàng Nguyễn Khánh Linh_12AS4</v>
      </c>
      <c r="U1116" s="28">
        <f t="array" ref="U1116">IFERROR(VLOOKUP($T1116,'Nghi hoc T12'!$H$7:$I$160,2,0),0)</f>
        <v>0</v>
      </c>
      <c r="V1116" s="28">
        <f>IFERROR(VLOOKUP($T1116,No_HP!$B$2:$C$514,2,0),0)</f>
        <v>0</v>
      </c>
      <c r="W1116" s="28">
        <f t="shared" si="98"/>
        <v>0</v>
      </c>
      <c r="X1116" s="333">
        <f t="shared" si="99"/>
        <v>0</v>
      </c>
      <c r="Y1116" s="333">
        <f t="shared" si="100"/>
        <v>0</v>
      </c>
    </row>
    <row r="1117" spans="1:25" s="2" customFormat="1" ht="21.95" customHeight="1">
      <c r="A1117" s="82">
        <v>20</v>
      </c>
      <c r="B1117" s="91" t="s">
        <v>3361</v>
      </c>
      <c r="C1117" s="83" t="s">
        <v>363</v>
      </c>
      <c r="D1117" s="81" t="s">
        <v>1605</v>
      </c>
      <c r="E1117" s="48">
        <v>101109</v>
      </c>
      <c r="F1117" s="30" t="s">
        <v>1874</v>
      </c>
      <c r="G1117" s="29" t="s">
        <v>38</v>
      </c>
      <c r="H1117" s="30" t="s">
        <v>434</v>
      </c>
      <c r="I1117" s="78"/>
      <c r="J1117" s="20"/>
      <c r="K1117" s="20"/>
      <c r="L1117" s="20"/>
      <c r="M1117" s="20"/>
      <c r="N1117" s="69" t="s">
        <v>256</v>
      </c>
      <c r="O1117" s="70">
        <v>0</v>
      </c>
      <c r="P1117" s="70">
        <v>0</v>
      </c>
      <c r="Q1117" s="70">
        <v>0</v>
      </c>
      <c r="R1117" s="70"/>
      <c r="S1117" s="67"/>
      <c r="T1117" s="2" t="str">
        <f t="shared" si="97"/>
        <v>Nguyễn Bảo Gia Linh_12AS6</v>
      </c>
      <c r="U1117" s="28">
        <f t="array" ref="U1117">IFERROR(VLOOKUP($T1117,'Nghi hoc T12'!$H$7:$I$160,2,0),0)</f>
        <v>0</v>
      </c>
      <c r="V1117" s="28">
        <f>IFERROR(VLOOKUP($T1117,No_HP!$B$2:$C$514,2,0),0)</f>
        <v>0</v>
      </c>
      <c r="W1117" s="28">
        <f t="shared" si="98"/>
        <v>0</v>
      </c>
      <c r="X1117" s="333">
        <f t="shared" si="99"/>
        <v>0</v>
      </c>
      <c r="Y1117" s="333">
        <f t="shared" si="100"/>
        <v>0</v>
      </c>
    </row>
    <row r="1118" spans="1:25" s="2" customFormat="1" ht="21.95" customHeight="1">
      <c r="A1118" s="82">
        <v>21</v>
      </c>
      <c r="B1118" s="91" t="s">
        <v>3361</v>
      </c>
      <c r="C1118" s="83" t="s">
        <v>363</v>
      </c>
      <c r="D1118" s="81" t="s">
        <v>1605</v>
      </c>
      <c r="E1118" s="48">
        <v>101110</v>
      </c>
      <c r="F1118" s="30" t="s">
        <v>1817</v>
      </c>
      <c r="G1118" s="29" t="s">
        <v>38</v>
      </c>
      <c r="H1118" s="30" t="s">
        <v>419</v>
      </c>
      <c r="I1118" s="78"/>
      <c r="J1118" s="20"/>
      <c r="K1118" s="20"/>
      <c r="L1118" s="20"/>
      <c r="M1118" s="20"/>
      <c r="N1118" s="69" t="s">
        <v>256</v>
      </c>
      <c r="O1118" s="70">
        <v>0</v>
      </c>
      <c r="P1118" s="70">
        <v>0</v>
      </c>
      <c r="Q1118" s="70">
        <v>0</v>
      </c>
      <c r="R1118" s="70"/>
      <c r="S1118" s="67"/>
      <c r="T1118" s="2" t="str">
        <f t="shared" si="97"/>
        <v>Nguyễn Quỳnh Yến Linh_12AS4</v>
      </c>
      <c r="U1118" s="28">
        <f t="array" ref="U1118">IFERROR(VLOOKUP($T1118,'Nghi hoc T12'!$H$7:$I$160,2,0),0)</f>
        <v>0</v>
      </c>
      <c r="V1118" s="28">
        <f>IFERROR(VLOOKUP($T1118,No_HP!$B$2:$C$514,2,0),0)</f>
        <v>0</v>
      </c>
      <c r="W1118" s="28">
        <f t="shared" si="98"/>
        <v>0</v>
      </c>
      <c r="X1118" s="333">
        <f t="shared" si="99"/>
        <v>0</v>
      </c>
      <c r="Y1118" s="333">
        <f t="shared" si="100"/>
        <v>0</v>
      </c>
    </row>
    <row r="1119" spans="1:25" s="2" customFormat="1" ht="21.95" customHeight="1">
      <c r="A1119" s="82">
        <v>22</v>
      </c>
      <c r="B1119" s="91" t="s">
        <v>3361</v>
      </c>
      <c r="C1119" s="83" t="s">
        <v>363</v>
      </c>
      <c r="D1119" s="81" t="s">
        <v>1605</v>
      </c>
      <c r="E1119" s="48">
        <v>101111</v>
      </c>
      <c r="F1119" s="30" t="s">
        <v>231</v>
      </c>
      <c r="G1119" s="29" t="s">
        <v>38</v>
      </c>
      <c r="H1119" s="30" t="s">
        <v>419</v>
      </c>
      <c r="I1119" s="78"/>
      <c r="J1119" s="20"/>
      <c r="K1119" s="20"/>
      <c r="L1119" s="20"/>
      <c r="M1119" s="20"/>
      <c r="N1119" s="69" t="s">
        <v>256</v>
      </c>
      <c r="O1119" s="70">
        <v>0</v>
      </c>
      <c r="P1119" s="70">
        <v>0</v>
      </c>
      <c r="Q1119" s="70">
        <v>0</v>
      </c>
      <c r="R1119" s="70"/>
      <c r="S1119" s="67"/>
      <c r="T1119" s="2" t="str">
        <f t="shared" si="97"/>
        <v>Nguyễn Thị Phương Linh_12AS4</v>
      </c>
      <c r="U1119" s="28">
        <f t="array" ref="U1119">IFERROR(VLOOKUP($T1119,'Nghi hoc T12'!$H$7:$I$160,2,0),0)</f>
        <v>0</v>
      </c>
      <c r="V1119" s="28">
        <f>IFERROR(VLOOKUP($T1119,No_HP!$B$2:$C$514,2,0),0)</f>
        <v>0</v>
      </c>
      <c r="W1119" s="28">
        <f t="shared" si="98"/>
        <v>0</v>
      </c>
      <c r="X1119" s="333">
        <f t="shared" si="99"/>
        <v>0</v>
      </c>
      <c r="Y1119" s="333">
        <f t="shared" si="100"/>
        <v>0</v>
      </c>
    </row>
    <row r="1120" spans="1:25" s="2" customFormat="1" ht="21.95" customHeight="1">
      <c r="A1120" s="82">
        <v>23</v>
      </c>
      <c r="B1120" s="91" t="s">
        <v>3361</v>
      </c>
      <c r="C1120" s="83" t="s">
        <v>363</v>
      </c>
      <c r="D1120" s="81" t="s">
        <v>1605</v>
      </c>
      <c r="E1120" s="48">
        <v>101112</v>
      </c>
      <c r="F1120" s="30" t="s">
        <v>1845</v>
      </c>
      <c r="G1120" s="29" t="s">
        <v>38</v>
      </c>
      <c r="H1120" s="30" t="s">
        <v>433</v>
      </c>
      <c r="I1120" s="78"/>
      <c r="J1120" s="20"/>
      <c r="K1120" s="20"/>
      <c r="L1120" s="20"/>
      <c r="M1120" s="20"/>
      <c r="N1120" s="69" t="s">
        <v>256</v>
      </c>
      <c r="O1120" s="70">
        <v>0</v>
      </c>
      <c r="P1120" s="70">
        <v>0</v>
      </c>
      <c r="Q1120" s="70">
        <v>0</v>
      </c>
      <c r="R1120" s="70"/>
      <c r="S1120" s="67"/>
      <c r="T1120" s="2" t="str">
        <f t="shared" si="97"/>
        <v>Nguyễn Trúc Linh_12AS5</v>
      </c>
      <c r="U1120" s="28">
        <f t="array" ref="U1120">IFERROR(VLOOKUP($T1120,'Nghi hoc T12'!$H$7:$I$160,2,0),0)</f>
        <v>0</v>
      </c>
      <c r="V1120" s="28">
        <f>IFERROR(VLOOKUP($T1120,No_HP!$B$2:$C$514,2,0),0)</f>
        <v>0</v>
      </c>
      <c r="W1120" s="28">
        <f t="shared" si="98"/>
        <v>0</v>
      </c>
      <c r="X1120" s="333">
        <f t="shared" si="99"/>
        <v>0</v>
      </c>
      <c r="Y1120" s="333">
        <f t="shared" si="100"/>
        <v>0</v>
      </c>
    </row>
    <row r="1121" spans="1:25" s="2" customFormat="1" ht="21.95" customHeight="1">
      <c r="A1121" s="82">
        <v>24</v>
      </c>
      <c r="B1121" s="91" t="s">
        <v>3361</v>
      </c>
      <c r="C1121" s="83" t="s">
        <v>363</v>
      </c>
      <c r="D1121" s="81" t="s">
        <v>1605</v>
      </c>
      <c r="E1121" s="48">
        <v>101113</v>
      </c>
      <c r="F1121" s="30" t="s">
        <v>1875</v>
      </c>
      <c r="G1121" s="29" t="s">
        <v>38</v>
      </c>
      <c r="H1121" s="30" t="s">
        <v>434</v>
      </c>
      <c r="I1121" s="78"/>
      <c r="J1121" s="20"/>
      <c r="K1121" s="20"/>
      <c r="L1121" s="20"/>
      <c r="M1121" s="20"/>
      <c r="N1121" s="69" t="s">
        <v>256</v>
      </c>
      <c r="O1121" s="70">
        <v>0</v>
      </c>
      <c r="P1121" s="70">
        <v>0</v>
      </c>
      <c r="Q1121" s="70">
        <v>0</v>
      </c>
      <c r="R1121" s="70"/>
      <c r="S1121" s="67"/>
      <c r="T1121" s="2" t="str">
        <f t="shared" si="97"/>
        <v>Phạm Hoài Linh_12AS6</v>
      </c>
      <c r="U1121" s="28">
        <f t="array" ref="U1121">IFERROR(VLOOKUP($T1121,'Nghi hoc T12'!$H$7:$I$160,2,0),0)</f>
        <v>0</v>
      </c>
      <c r="V1121" s="28">
        <f>IFERROR(VLOOKUP($T1121,No_HP!$B$2:$C$514,2,0),0)</f>
        <v>0</v>
      </c>
      <c r="W1121" s="28">
        <f t="shared" si="98"/>
        <v>0</v>
      </c>
      <c r="X1121" s="333">
        <f t="shared" si="99"/>
        <v>0</v>
      </c>
      <c r="Y1121" s="333">
        <f t="shared" si="100"/>
        <v>0</v>
      </c>
    </row>
    <row r="1122" spans="1:25" s="2" customFormat="1" ht="21.95" customHeight="1">
      <c r="A1122" s="82">
        <v>25</v>
      </c>
      <c r="B1122" s="91" t="s">
        <v>3361</v>
      </c>
      <c r="C1122" s="83" t="s">
        <v>363</v>
      </c>
      <c r="D1122" s="81" t="s">
        <v>1605</v>
      </c>
      <c r="E1122" s="48">
        <v>101114</v>
      </c>
      <c r="F1122" s="30" t="s">
        <v>1818</v>
      </c>
      <c r="G1122" s="29" t="s">
        <v>38</v>
      </c>
      <c r="H1122" s="30" t="s">
        <v>419</v>
      </c>
      <c r="I1122" s="78"/>
      <c r="J1122" s="20"/>
      <c r="K1122" s="20"/>
      <c r="L1122" s="20"/>
      <c r="M1122" s="20"/>
      <c r="N1122" s="69" t="s">
        <v>256</v>
      </c>
      <c r="O1122" s="70">
        <v>0</v>
      </c>
      <c r="P1122" s="70">
        <v>0</v>
      </c>
      <c r="Q1122" s="70">
        <v>0</v>
      </c>
      <c r="R1122" s="70"/>
      <c r="S1122" s="67"/>
      <c r="T1122" s="2" t="str">
        <f t="shared" si="97"/>
        <v>Phạm Thị Yến Linh_12AS4</v>
      </c>
      <c r="U1122" s="28">
        <f t="array" ref="U1122">IFERROR(VLOOKUP($T1122,'Nghi hoc T12'!$H$7:$I$160,2,0),0)</f>
        <v>0</v>
      </c>
      <c r="V1122" s="28">
        <f>IFERROR(VLOOKUP($T1122,No_HP!$B$2:$C$514,2,0),0)</f>
        <v>0</v>
      </c>
      <c r="W1122" s="28">
        <f t="shared" si="98"/>
        <v>0</v>
      </c>
      <c r="X1122" s="333">
        <f t="shared" si="99"/>
        <v>0</v>
      </c>
      <c r="Y1122" s="333">
        <f t="shared" si="100"/>
        <v>0</v>
      </c>
    </row>
    <row r="1123" spans="1:25" s="2" customFormat="1" ht="21.95" customHeight="1">
      <c r="A1123" s="82">
        <v>26</v>
      </c>
      <c r="B1123" s="91" t="s">
        <v>3361</v>
      </c>
      <c r="C1123" s="83" t="s">
        <v>363</v>
      </c>
      <c r="D1123" s="81" t="s">
        <v>1605</v>
      </c>
      <c r="E1123" s="48">
        <v>101115</v>
      </c>
      <c r="F1123" s="30" t="s">
        <v>1819</v>
      </c>
      <c r="G1123" s="29" t="s">
        <v>38</v>
      </c>
      <c r="H1123" s="30" t="s">
        <v>419</v>
      </c>
      <c r="I1123" s="78"/>
      <c r="J1123" s="20"/>
      <c r="K1123" s="20"/>
      <c r="L1123" s="20"/>
      <c r="M1123" s="20"/>
      <c r="N1123" s="69" t="s">
        <v>256</v>
      </c>
      <c r="O1123" s="70">
        <v>0</v>
      </c>
      <c r="P1123" s="70">
        <v>0</v>
      </c>
      <c r="Q1123" s="70">
        <v>0</v>
      </c>
      <c r="R1123" s="70"/>
      <c r="S1123" s="67"/>
      <c r="T1123" s="2" t="str">
        <f t="shared" si="97"/>
        <v>Phan Trần Ngọc Linh_12AS4</v>
      </c>
      <c r="U1123" s="28">
        <f t="array" ref="U1123">IFERROR(VLOOKUP($T1123,'Nghi hoc T12'!$H$7:$I$160,2,0),0)</f>
        <v>0</v>
      </c>
      <c r="V1123" s="28">
        <f>IFERROR(VLOOKUP($T1123,No_HP!$B$2:$C$514,2,0),0)</f>
        <v>0</v>
      </c>
      <c r="W1123" s="28">
        <f t="shared" si="98"/>
        <v>0</v>
      </c>
      <c r="X1123" s="333">
        <f t="shared" si="99"/>
        <v>0</v>
      </c>
      <c r="Y1123" s="333">
        <f t="shared" si="100"/>
        <v>0</v>
      </c>
    </row>
    <row r="1124" spans="1:25" s="2" customFormat="1" ht="21.95" customHeight="1">
      <c r="A1124" s="82">
        <v>27</v>
      </c>
      <c r="B1124" s="91" t="s">
        <v>3361</v>
      </c>
      <c r="C1124" s="83" t="s">
        <v>363</v>
      </c>
      <c r="D1124" s="81" t="s">
        <v>1605</v>
      </c>
      <c r="E1124" s="48">
        <v>101116</v>
      </c>
      <c r="F1124" s="30" t="s">
        <v>142</v>
      </c>
      <c r="G1124" s="29" t="s">
        <v>152</v>
      </c>
      <c r="H1124" s="30" t="s">
        <v>433</v>
      </c>
      <c r="I1124" s="78"/>
      <c r="J1124" s="20"/>
      <c r="K1124" s="20"/>
      <c r="L1124" s="20"/>
      <c r="M1124" s="20"/>
      <c r="N1124" s="69" t="s">
        <v>256</v>
      </c>
      <c r="O1124" s="70">
        <v>0</v>
      </c>
      <c r="P1124" s="70">
        <v>0</v>
      </c>
      <c r="Q1124" s="70">
        <v>0</v>
      </c>
      <c r="R1124" s="70"/>
      <c r="S1124" s="67"/>
      <c r="T1124" s="2" t="str">
        <f t="shared" si="97"/>
        <v>Nguyễn Tấn Lộc_12AS5</v>
      </c>
      <c r="U1124" s="28">
        <f t="array" ref="U1124">IFERROR(VLOOKUP($T1124,'Nghi hoc T12'!$H$7:$I$160,2,0),0)</f>
        <v>0</v>
      </c>
      <c r="V1124" s="28">
        <f>IFERROR(VLOOKUP($T1124,No_HP!$B$2:$C$514,2,0),0)</f>
        <v>0</v>
      </c>
      <c r="W1124" s="28">
        <f t="shared" si="98"/>
        <v>0</v>
      </c>
      <c r="X1124" s="333">
        <f t="shared" si="99"/>
        <v>0</v>
      </c>
      <c r="Y1124" s="333">
        <f t="shared" si="100"/>
        <v>0</v>
      </c>
    </row>
    <row r="1125" spans="1:25" s="2" customFormat="1" ht="21.95" customHeight="1">
      <c r="A1125" s="82">
        <v>28</v>
      </c>
      <c r="B1125" s="91" t="s">
        <v>3361</v>
      </c>
      <c r="C1125" s="83" t="s">
        <v>363</v>
      </c>
      <c r="D1125" s="81" t="s">
        <v>1605</v>
      </c>
      <c r="E1125" s="48">
        <v>101117</v>
      </c>
      <c r="F1125" s="30" t="s">
        <v>1876</v>
      </c>
      <c r="G1125" s="29" t="s">
        <v>153</v>
      </c>
      <c r="H1125" s="30" t="s">
        <v>434</v>
      </c>
      <c r="I1125" s="78"/>
      <c r="J1125" s="20"/>
      <c r="K1125" s="20"/>
      <c r="L1125" s="20"/>
      <c r="M1125" s="20"/>
      <c r="N1125" s="69" t="s">
        <v>256</v>
      </c>
      <c r="O1125" s="70">
        <v>0</v>
      </c>
      <c r="P1125" s="70">
        <v>0</v>
      </c>
      <c r="Q1125" s="70">
        <v>0</v>
      </c>
      <c r="R1125" s="70"/>
      <c r="S1125" s="67"/>
      <c r="T1125" s="2" t="str">
        <f t="shared" si="97"/>
        <v>Lữ Huỳnh Anh Luân_12AS6</v>
      </c>
      <c r="U1125" s="28">
        <f t="array" ref="U1125">IFERROR(VLOOKUP($T1125,'Nghi hoc T12'!$H$7:$I$160,2,0),0)</f>
        <v>0</v>
      </c>
      <c r="V1125" s="28">
        <f>IFERROR(VLOOKUP($T1125,No_HP!$B$2:$C$514,2,0),0)</f>
        <v>0</v>
      </c>
      <c r="W1125" s="28">
        <f t="shared" si="98"/>
        <v>0</v>
      </c>
      <c r="X1125" s="333">
        <f t="shared" si="99"/>
        <v>0</v>
      </c>
      <c r="Y1125" s="333">
        <f t="shared" si="100"/>
        <v>0</v>
      </c>
    </row>
    <row r="1126" spans="1:25" s="2" customFormat="1" ht="21.95" customHeight="1">
      <c r="A1126" s="200">
        <v>1</v>
      </c>
      <c r="B1126" s="91" t="s">
        <v>3362</v>
      </c>
      <c r="C1126" s="185" t="s">
        <v>363</v>
      </c>
      <c r="D1126" s="186" t="s">
        <v>514</v>
      </c>
      <c r="E1126" s="187">
        <v>101118</v>
      </c>
      <c r="F1126" s="188" t="s">
        <v>1820</v>
      </c>
      <c r="G1126" s="189" t="s">
        <v>1821</v>
      </c>
      <c r="H1126" s="188" t="s">
        <v>419</v>
      </c>
      <c r="I1126" s="190"/>
      <c r="J1126" s="191"/>
      <c r="K1126" s="191"/>
      <c r="L1126" s="191"/>
      <c r="M1126" s="191"/>
      <c r="N1126" s="69" t="s">
        <v>256</v>
      </c>
      <c r="O1126" s="70">
        <v>0</v>
      </c>
      <c r="P1126" s="70">
        <v>0</v>
      </c>
      <c r="Q1126" s="70">
        <v>0</v>
      </c>
      <c r="R1126" s="70"/>
      <c r="S1126" s="67"/>
      <c r="T1126" s="2" t="str">
        <f t="shared" si="97"/>
        <v>Nguyễn Thị Úc Lynh_12AS4</v>
      </c>
      <c r="U1126" s="28">
        <f t="array" ref="U1126">IFERROR(VLOOKUP($T1126,'Nghi hoc T12'!$H$7:$I$160,2,0),0)</f>
        <v>0</v>
      </c>
      <c r="V1126" s="28">
        <f>IFERROR(VLOOKUP($T1126,No_HP!$B$2:$C$514,2,0),0)</f>
        <v>0</v>
      </c>
      <c r="W1126" s="28">
        <f t="shared" si="98"/>
        <v>0</v>
      </c>
      <c r="X1126" s="333">
        <f t="shared" si="99"/>
        <v>0</v>
      </c>
      <c r="Y1126" s="333">
        <f t="shared" si="100"/>
        <v>0</v>
      </c>
    </row>
    <row r="1127" spans="1:25" s="2" customFormat="1" ht="21.95" customHeight="1">
      <c r="A1127" s="82">
        <v>2</v>
      </c>
      <c r="B1127" s="91" t="s">
        <v>3362</v>
      </c>
      <c r="C1127" s="83" t="s">
        <v>363</v>
      </c>
      <c r="D1127" s="81" t="s">
        <v>514</v>
      </c>
      <c r="E1127" s="48">
        <v>101119</v>
      </c>
      <c r="F1127" s="30" t="s">
        <v>1877</v>
      </c>
      <c r="G1127" s="29" t="s">
        <v>16</v>
      </c>
      <c r="H1127" s="30" t="s">
        <v>434</v>
      </c>
      <c r="I1127" s="78"/>
      <c r="J1127" s="20"/>
      <c r="K1127" s="20"/>
      <c r="L1127" s="20"/>
      <c r="M1127" s="20"/>
      <c r="N1127" s="69" t="s">
        <v>256</v>
      </c>
      <c r="O1127" s="70">
        <v>0</v>
      </c>
      <c r="P1127" s="70">
        <v>0</v>
      </c>
      <c r="Q1127" s="70">
        <v>0</v>
      </c>
      <c r="R1127" s="70"/>
      <c r="S1127" s="67"/>
      <c r="T1127" s="2" t="str">
        <f t="shared" si="97"/>
        <v>Lưu Ngọc Minh_12AS6</v>
      </c>
      <c r="U1127" s="28">
        <f t="array" ref="U1127">IFERROR(VLOOKUP($T1127,'Nghi hoc T12'!$H$7:$I$160,2,0),0)</f>
        <v>0</v>
      </c>
      <c r="V1127" s="28">
        <f>IFERROR(VLOOKUP($T1127,No_HP!$B$2:$C$514,2,0),0)</f>
        <v>0</v>
      </c>
      <c r="W1127" s="28">
        <f t="shared" si="98"/>
        <v>0</v>
      </c>
      <c r="X1127" s="333">
        <f t="shared" si="99"/>
        <v>0</v>
      </c>
      <c r="Y1127" s="333">
        <f t="shared" si="100"/>
        <v>0</v>
      </c>
    </row>
    <row r="1128" spans="1:25" s="2" customFormat="1" ht="21.95" customHeight="1">
      <c r="A1128" s="82">
        <v>3</v>
      </c>
      <c r="B1128" s="91" t="s">
        <v>3362</v>
      </c>
      <c r="C1128" s="83" t="s">
        <v>363</v>
      </c>
      <c r="D1128" s="81" t="s">
        <v>514</v>
      </c>
      <c r="E1128" s="48">
        <v>101120</v>
      </c>
      <c r="F1128" s="30" t="s">
        <v>1593</v>
      </c>
      <c r="G1128" s="29" t="s">
        <v>40</v>
      </c>
      <c r="H1128" s="30" t="s">
        <v>419</v>
      </c>
      <c r="I1128" s="78"/>
      <c r="J1128" s="20"/>
      <c r="K1128" s="20"/>
      <c r="L1128" s="20"/>
      <c r="M1128" s="20"/>
      <c r="N1128" s="69" t="s">
        <v>256</v>
      </c>
      <c r="O1128" s="70">
        <v>0</v>
      </c>
      <c r="P1128" s="70">
        <v>0</v>
      </c>
      <c r="Q1128" s="70">
        <v>0</v>
      </c>
      <c r="R1128" s="70"/>
      <c r="S1128" s="67"/>
      <c r="T1128" s="2" t="str">
        <f t="shared" si="97"/>
        <v>Hà Thị Diễm My_12AS4</v>
      </c>
      <c r="U1128" s="28">
        <f t="array" ref="U1128">IFERROR(VLOOKUP($T1128,'Nghi hoc T12'!$H$7:$I$160,2,0),0)</f>
        <v>0</v>
      </c>
      <c r="V1128" s="28">
        <f>IFERROR(VLOOKUP($T1128,No_HP!$B$2:$C$514,2,0),0)</f>
        <v>0</v>
      </c>
      <c r="W1128" s="28">
        <f t="shared" si="98"/>
        <v>0</v>
      </c>
      <c r="X1128" s="333">
        <f t="shared" si="99"/>
        <v>0</v>
      </c>
      <c r="Y1128" s="333">
        <f t="shared" si="100"/>
        <v>0</v>
      </c>
    </row>
    <row r="1129" spans="1:25" s="2" customFormat="1" ht="21.95" customHeight="1">
      <c r="A1129" s="82">
        <v>4</v>
      </c>
      <c r="B1129" s="91" t="s">
        <v>3362</v>
      </c>
      <c r="C1129" s="83" t="s">
        <v>363</v>
      </c>
      <c r="D1129" s="81" t="s">
        <v>514</v>
      </c>
      <c r="E1129" s="48">
        <v>101121</v>
      </c>
      <c r="F1129" s="30" t="s">
        <v>1822</v>
      </c>
      <c r="G1129" s="29" t="s">
        <v>40</v>
      </c>
      <c r="H1129" s="30" t="s">
        <v>419</v>
      </c>
      <c r="I1129" s="78"/>
      <c r="J1129" s="20"/>
      <c r="K1129" s="20"/>
      <c r="L1129" s="20"/>
      <c r="M1129" s="20"/>
      <c r="N1129" s="69" t="s">
        <v>256</v>
      </c>
      <c r="O1129" s="70">
        <v>0</v>
      </c>
      <c r="P1129" s="70">
        <v>0</v>
      </c>
      <c r="Q1129" s="70">
        <v>0</v>
      </c>
      <c r="R1129" s="70"/>
      <c r="S1129" s="67"/>
      <c r="T1129" s="2" t="str">
        <f t="shared" si="97"/>
        <v>Nguyễn Huỳnh Thảo My_12AS4</v>
      </c>
      <c r="U1129" s="28">
        <f t="array" ref="U1129">IFERROR(VLOOKUP($T1129,'Nghi hoc T12'!$H$7:$I$160,2,0),0)</f>
        <v>0</v>
      </c>
      <c r="V1129" s="28">
        <f>IFERROR(VLOOKUP($T1129,No_HP!$B$2:$C$514,2,0),0)</f>
        <v>0</v>
      </c>
      <c r="W1129" s="28">
        <f t="shared" si="98"/>
        <v>0</v>
      </c>
      <c r="X1129" s="333">
        <f t="shared" si="99"/>
        <v>0</v>
      </c>
      <c r="Y1129" s="333">
        <f t="shared" si="100"/>
        <v>0</v>
      </c>
    </row>
    <row r="1130" spans="1:25" s="2" customFormat="1" ht="21.95" customHeight="1">
      <c r="A1130" s="82">
        <v>5</v>
      </c>
      <c r="B1130" s="91" t="s">
        <v>3362</v>
      </c>
      <c r="C1130" s="83" t="s">
        <v>363</v>
      </c>
      <c r="D1130" s="81" t="s">
        <v>514</v>
      </c>
      <c r="E1130" s="48">
        <v>101122</v>
      </c>
      <c r="F1130" s="30" t="s">
        <v>1878</v>
      </c>
      <c r="G1130" s="29" t="s">
        <v>40</v>
      </c>
      <c r="H1130" s="30" t="s">
        <v>434</v>
      </c>
      <c r="I1130" s="78"/>
      <c r="J1130" s="20"/>
      <c r="K1130" s="20"/>
      <c r="L1130" s="20"/>
      <c r="M1130" s="20"/>
      <c r="N1130" s="69" t="s">
        <v>256</v>
      </c>
      <c r="O1130" s="70">
        <v>0</v>
      </c>
      <c r="P1130" s="70">
        <v>0</v>
      </c>
      <c r="Q1130" s="70">
        <v>0</v>
      </c>
      <c r="R1130" s="70"/>
      <c r="S1130" s="67"/>
      <c r="T1130" s="2" t="str">
        <f t="shared" si="97"/>
        <v>Nguyễn Trà My_12AS6</v>
      </c>
      <c r="U1130" s="28">
        <f t="array" ref="U1130">IFERROR(VLOOKUP($T1130,'Nghi hoc T12'!$H$7:$I$160,2,0),0)</f>
        <v>0</v>
      </c>
      <c r="V1130" s="28">
        <f>IFERROR(VLOOKUP($T1130,No_HP!$B$2:$C$514,2,0),0)</f>
        <v>0</v>
      </c>
      <c r="W1130" s="28">
        <f t="shared" si="98"/>
        <v>0</v>
      </c>
      <c r="X1130" s="333">
        <f t="shared" si="99"/>
        <v>0</v>
      </c>
      <c r="Y1130" s="333">
        <f t="shared" si="100"/>
        <v>0</v>
      </c>
    </row>
    <row r="1131" spans="1:25" s="2" customFormat="1" ht="21.95" customHeight="1">
      <c r="A1131" s="82">
        <v>6</v>
      </c>
      <c r="B1131" s="91" t="s">
        <v>3362</v>
      </c>
      <c r="C1131" s="83" t="s">
        <v>363</v>
      </c>
      <c r="D1131" s="81" t="s">
        <v>514</v>
      </c>
      <c r="E1131" s="48">
        <v>101123</v>
      </c>
      <c r="F1131" s="30" t="s">
        <v>1846</v>
      </c>
      <c r="G1131" s="29" t="s">
        <v>40</v>
      </c>
      <c r="H1131" s="30" t="s">
        <v>433</v>
      </c>
      <c r="I1131" s="78"/>
      <c r="J1131" s="20"/>
      <c r="K1131" s="20"/>
      <c r="L1131" s="20"/>
      <c r="M1131" s="20"/>
      <c r="N1131" s="69" t="s">
        <v>256</v>
      </c>
      <c r="O1131" s="70">
        <v>0</v>
      </c>
      <c r="P1131" s="70">
        <v>0</v>
      </c>
      <c r="Q1131" s="70">
        <v>0</v>
      </c>
      <c r="R1131" s="70"/>
      <c r="S1131" s="67"/>
      <c r="T1131" s="2" t="str">
        <f t="shared" si="97"/>
        <v>Phan Khánh My_12AS5</v>
      </c>
      <c r="U1131" s="28">
        <f t="array" ref="U1131">IFERROR(VLOOKUP($T1131,'Nghi hoc T12'!$H$7:$I$160,2,0),0)</f>
        <v>0</v>
      </c>
      <c r="V1131" s="28">
        <f>IFERROR(VLOOKUP($T1131,No_HP!$B$2:$C$514,2,0),0)</f>
        <v>0</v>
      </c>
      <c r="W1131" s="28">
        <f t="shared" si="98"/>
        <v>0</v>
      </c>
      <c r="X1131" s="333">
        <f t="shared" si="99"/>
        <v>0</v>
      </c>
      <c r="Y1131" s="333">
        <f t="shared" si="100"/>
        <v>0</v>
      </c>
    </row>
    <row r="1132" spans="1:25" s="2" customFormat="1" ht="21.95" customHeight="1">
      <c r="A1132" s="82">
        <v>7</v>
      </c>
      <c r="B1132" s="91" t="s">
        <v>3362</v>
      </c>
      <c r="C1132" s="83" t="s">
        <v>363</v>
      </c>
      <c r="D1132" s="81" t="s">
        <v>514</v>
      </c>
      <c r="E1132" s="48">
        <v>101124</v>
      </c>
      <c r="F1132" s="30" t="s">
        <v>1847</v>
      </c>
      <c r="G1132" s="29" t="s">
        <v>18</v>
      </c>
      <c r="H1132" s="30" t="s">
        <v>433</v>
      </c>
      <c r="I1132" s="78"/>
      <c r="J1132" s="20"/>
      <c r="K1132" s="20"/>
      <c r="L1132" s="20"/>
      <c r="M1132" s="20"/>
      <c r="N1132" s="69" t="s">
        <v>256</v>
      </c>
      <c r="O1132" s="70">
        <v>0</v>
      </c>
      <c r="P1132" s="70">
        <v>0</v>
      </c>
      <c r="Q1132" s="70">
        <v>0</v>
      </c>
      <c r="R1132" s="70"/>
      <c r="S1132" s="67"/>
      <c r="T1132" s="2" t="str">
        <f t="shared" si="97"/>
        <v>Phan Thị Tuyết Ngân_12AS5</v>
      </c>
      <c r="U1132" s="28">
        <f t="array" ref="U1132">IFERROR(VLOOKUP($T1132,'Nghi hoc T12'!$H$7:$I$160,2,0),0)</f>
        <v>0</v>
      </c>
      <c r="V1132" s="28">
        <f>IFERROR(VLOOKUP($T1132,No_HP!$B$2:$C$514,2,0),0)</f>
        <v>0</v>
      </c>
      <c r="W1132" s="28">
        <f t="shared" si="98"/>
        <v>0</v>
      </c>
      <c r="X1132" s="333">
        <f t="shared" si="99"/>
        <v>0</v>
      </c>
      <c r="Y1132" s="333">
        <f t="shared" si="100"/>
        <v>0</v>
      </c>
    </row>
    <row r="1133" spans="1:25" s="2" customFormat="1" ht="21.95" customHeight="1">
      <c r="A1133" s="82">
        <v>8</v>
      </c>
      <c r="B1133" s="91" t="s">
        <v>3362</v>
      </c>
      <c r="C1133" s="83" t="s">
        <v>363</v>
      </c>
      <c r="D1133" s="81" t="s">
        <v>514</v>
      </c>
      <c r="E1133" s="48">
        <v>101125</v>
      </c>
      <c r="F1133" s="30" t="s">
        <v>1823</v>
      </c>
      <c r="G1133" s="29" t="s">
        <v>18</v>
      </c>
      <c r="H1133" s="30" t="s">
        <v>419</v>
      </c>
      <c r="I1133" s="78"/>
      <c r="J1133" s="20"/>
      <c r="K1133" s="20"/>
      <c r="L1133" s="20"/>
      <c r="M1133" s="20"/>
      <c r="N1133" s="69" t="s">
        <v>256</v>
      </c>
      <c r="O1133" s="70">
        <v>0</v>
      </c>
      <c r="P1133" s="70">
        <v>0</v>
      </c>
      <c r="Q1133" s="70">
        <v>0</v>
      </c>
      <c r="R1133" s="70"/>
      <c r="S1133" s="67"/>
      <c r="T1133" s="2" t="str">
        <f t="shared" si="97"/>
        <v>Võ Nguyễn Thanh Ngân_12AS4</v>
      </c>
      <c r="U1133" s="28">
        <f t="array" ref="U1133">IFERROR(VLOOKUP($T1133,'Nghi hoc T12'!$H$7:$I$160,2,0),0)</f>
        <v>0</v>
      </c>
      <c r="V1133" s="28">
        <f>IFERROR(VLOOKUP($T1133,No_HP!$B$2:$C$514,2,0),0)</f>
        <v>0</v>
      </c>
      <c r="W1133" s="28">
        <f t="shared" si="98"/>
        <v>0</v>
      </c>
      <c r="X1133" s="333">
        <f t="shared" si="99"/>
        <v>0</v>
      </c>
      <c r="Y1133" s="333">
        <f t="shared" si="100"/>
        <v>0</v>
      </c>
    </row>
    <row r="1134" spans="1:25" s="2" customFormat="1" ht="21.95" customHeight="1">
      <c r="A1134" s="82">
        <v>9</v>
      </c>
      <c r="B1134" s="91" t="s">
        <v>3362</v>
      </c>
      <c r="C1134" s="83" t="s">
        <v>363</v>
      </c>
      <c r="D1134" s="81" t="s">
        <v>514</v>
      </c>
      <c r="E1134" s="48">
        <v>101126</v>
      </c>
      <c r="F1134" s="30" t="s">
        <v>1651</v>
      </c>
      <c r="G1134" s="29" t="s">
        <v>96</v>
      </c>
      <c r="H1134" s="30" t="s">
        <v>434</v>
      </c>
      <c r="I1134" s="78"/>
      <c r="J1134" s="20"/>
      <c r="K1134" s="20"/>
      <c r="L1134" s="20"/>
      <c r="M1134" s="20"/>
      <c r="N1134" s="69" t="s">
        <v>256</v>
      </c>
      <c r="O1134" s="70">
        <v>0</v>
      </c>
      <c r="P1134" s="70">
        <v>0</v>
      </c>
      <c r="Q1134" s="70">
        <v>0</v>
      </c>
      <c r="R1134" s="70"/>
      <c r="S1134" s="67"/>
      <c r="T1134" s="2" t="str">
        <f t="shared" si="97"/>
        <v>Trần Đại Nghĩa_12AS6</v>
      </c>
      <c r="U1134" s="28">
        <f t="array" ref="U1134">IFERROR(VLOOKUP($T1134,'Nghi hoc T12'!$H$7:$I$160,2,0),0)</f>
        <v>0</v>
      </c>
      <c r="V1134" s="28">
        <f>IFERROR(VLOOKUP($T1134,No_HP!$B$2:$C$514,2,0),0)</f>
        <v>0</v>
      </c>
      <c r="W1134" s="28">
        <f t="shared" si="98"/>
        <v>0</v>
      </c>
      <c r="X1134" s="333">
        <f t="shared" si="99"/>
        <v>0</v>
      </c>
      <c r="Y1134" s="333">
        <f t="shared" si="100"/>
        <v>0</v>
      </c>
    </row>
    <row r="1135" spans="1:25" s="2" customFormat="1" ht="21.95" customHeight="1">
      <c r="A1135" s="82">
        <v>10</v>
      </c>
      <c r="B1135" s="91" t="s">
        <v>3362</v>
      </c>
      <c r="C1135" s="83" t="s">
        <v>363</v>
      </c>
      <c r="D1135" s="81" t="s">
        <v>514</v>
      </c>
      <c r="E1135" s="48">
        <v>101127</v>
      </c>
      <c r="F1135" s="30" t="s">
        <v>209</v>
      </c>
      <c r="G1135" s="29" t="s">
        <v>19</v>
      </c>
      <c r="H1135" s="30" t="s">
        <v>434</v>
      </c>
      <c r="I1135" s="78"/>
      <c r="J1135" s="20"/>
      <c r="K1135" s="20"/>
      <c r="L1135" s="20"/>
      <c r="M1135" s="20"/>
      <c r="N1135" s="69" t="s">
        <v>256</v>
      </c>
      <c r="O1135" s="70">
        <v>0</v>
      </c>
      <c r="P1135" s="70">
        <v>0</v>
      </c>
      <c r="Q1135" s="70">
        <v>0</v>
      </c>
      <c r="R1135" s="70"/>
      <c r="S1135" s="67"/>
      <c r="T1135" s="2" t="str">
        <f t="shared" si="97"/>
        <v>Lê Nguyễn Bảo Ngọc_12AS6</v>
      </c>
      <c r="U1135" s="28">
        <f t="array" ref="U1135">IFERROR(VLOOKUP($T1135,'Nghi hoc T12'!$H$7:$I$160,2,0),0)</f>
        <v>0</v>
      </c>
      <c r="V1135" s="28">
        <f>IFERROR(VLOOKUP($T1135,No_HP!$B$2:$C$514,2,0),0)</f>
        <v>0</v>
      </c>
      <c r="W1135" s="28">
        <f t="shared" si="98"/>
        <v>0</v>
      </c>
      <c r="X1135" s="333">
        <f t="shared" si="99"/>
        <v>0</v>
      </c>
      <c r="Y1135" s="333">
        <f t="shared" si="100"/>
        <v>0</v>
      </c>
    </row>
    <row r="1136" spans="1:25" s="2" customFormat="1" ht="21.95" customHeight="1">
      <c r="A1136" s="82">
        <v>11</v>
      </c>
      <c r="B1136" s="91" t="s">
        <v>3362</v>
      </c>
      <c r="C1136" s="83" t="s">
        <v>363</v>
      </c>
      <c r="D1136" s="81" t="s">
        <v>514</v>
      </c>
      <c r="E1136" s="48">
        <v>101128</v>
      </c>
      <c r="F1136" s="30" t="s">
        <v>210</v>
      </c>
      <c r="G1136" s="29" t="s">
        <v>19</v>
      </c>
      <c r="H1136" s="30" t="s">
        <v>419</v>
      </c>
      <c r="I1136" s="78"/>
      <c r="J1136" s="20"/>
      <c r="K1136" s="20"/>
      <c r="L1136" s="20"/>
      <c r="M1136" s="20"/>
      <c r="N1136" s="69" t="s">
        <v>256</v>
      </c>
      <c r="O1136" s="70">
        <v>0</v>
      </c>
      <c r="P1136" s="70">
        <v>0</v>
      </c>
      <c r="Q1136" s="70">
        <v>0</v>
      </c>
      <c r="R1136" s="70"/>
      <c r="S1136" s="67"/>
      <c r="T1136" s="2" t="str">
        <f t="shared" si="97"/>
        <v>Võ Minh Ngọc_12AS4</v>
      </c>
      <c r="U1136" s="28">
        <f t="array" ref="U1136">IFERROR(VLOOKUP($T1136,'Nghi hoc T12'!$H$7:$I$160,2,0),0)</f>
        <v>0</v>
      </c>
      <c r="V1136" s="28">
        <f>IFERROR(VLOOKUP($T1136,No_HP!$B$2:$C$514,2,0),0)</f>
        <v>0</v>
      </c>
      <c r="W1136" s="28">
        <f t="shared" si="98"/>
        <v>0</v>
      </c>
      <c r="X1136" s="333">
        <f t="shared" si="99"/>
        <v>0</v>
      </c>
      <c r="Y1136" s="333">
        <f t="shared" si="100"/>
        <v>0</v>
      </c>
    </row>
    <row r="1137" spans="1:25" s="2" customFormat="1" ht="21.95" customHeight="1">
      <c r="A1137" s="82">
        <v>12</v>
      </c>
      <c r="B1137" s="91" t="s">
        <v>3362</v>
      </c>
      <c r="C1137" s="83" t="s">
        <v>363</v>
      </c>
      <c r="D1137" s="81" t="s">
        <v>514</v>
      </c>
      <c r="E1137" s="48">
        <v>101129</v>
      </c>
      <c r="F1137" s="30" t="s">
        <v>1848</v>
      </c>
      <c r="G1137" s="29" t="s">
        <v>198</v>
      </c>
      <c r="H1137" s="30" t="s">
        <v>433</v>
      </c>
      <c r="I1137" s="78"/>
      <c r="J1137" s="20"/>
      <c r="K1137" s="20"/>
      <c r="L1137" s="20"/>
      <c r="M1137" s="20"/>
      <c r="N1137" s="69" t="s">
        <v>256</v>
      </c>
      <c r="O1137" s="70">
        <v>0</v>
      </c>
      <c r="P1137" s="70">
        <v>0</v>
      </c>
      <c r="Q1137" s="70">
        <v>0</v>
      </c>
      <c r="R1137" s="70"/>
      <c r="S1137" s="67"/>
      <c r="T1137" s="2" t="str">
        <f t="shared" si="97"/>
        <v>Lê Nguyễn Thanh Nhàn_12AS5</v>
      </c>
      <c r="U1137" s="28">
        <f t="array" ref="U1137">IFERROR(VLOOKUP($T1137,'Nghi hoc T12'!$H$7:$I$160,2,0),0)</f>
        <v>0</v>
      </c>
      <c r="V1137" s="28">
        <f>IFERROR(VLOOKUP($T1137,No_HP!$B$2:$C$514,2,0),0)</f>
        <v>0</v>
      </c>
      <c r="W1137" s="28">
        <f t="shared" si="98"/>
        <v>0</v>
      </c>
      <c r="X1137" s="333">
        <f t="shared" si="99"/>
        <v>0</v>
      </c>
      <c r="Y1137" s="333">
        <f t="shared" si="100"/>
        <v>0</v>
      </c>
    </row>
    <row r="1138" spans="1:25" s="2" customFormat="1" ht="21.95" customHeight="1">
      <c r="A1138" s="82">
        <v>13</v>
      </c>
      <c r="B1138" s="91" t="s">
        <v>3362</v>
      </c>
      <c r="C1138" s="83" t="s">
        <v>363</v>
      </c>
      <c r="D1138" s="81" t="s">
        <v>514</v>
      </c>
      <c r="E1138" s="48">
        <v>101130</v>
      </c>
      <c r="F1138" s="30" t="s">
        <v>259</v>
      </c>
      <c r="G1138" s="29" t="s">
        <v>102</v>
      </c>
      <c r="H1138" s="30" t="s">
        <v>434</v>
      </c>
      <c r="I1138" s="78"/>
      <c r="J1138" s="20"/>
      <c r="K1138" s="20"/>
      <c r="L1138" s="20"/>
      <c r="M1138" s="20"/>
      <c r="N1138" s="69" t="s">
        <v>256</v>
      </c>
      <c r="O1138" s="70">
        <v>0</v>
      </c>
      <c r="P1138" s="70">
        <v>0</v>
      </c>
      <c r="Q1138" s="70">
        <v>0</v>
      </c>
      <c r="R1138" s="70"/>
      <c r="S1138" s="67"/>
      <c r="T1138" s="2" t="str">
        <f t="shared" si="97"/>
        <v>Nguyễn Thiện Nhân_12AS6</v>
      </c>
      <c r="U1138" s="28">
        <f t="array" ref="U1138">IFERROR(VLOOKUP($T1138,'Nghi hoc T12'!$H$7:$I$160,2,0),0)</f>
        <v>0</v>
      </c>
      <c r="V1138" s="28">
        <f>IFERROR(VLOOKUP($T1138,No_HP!$B$2:$C$514,2,0),0)</f>
        <v>0</v>
      </c>
      <c r="W1138" s="28">
        <f t="shared" si="98"/>
        <v>0</v>
      </c>
      <c r="X1138" s="333">
        <f t="shared" si="99"/>
        <v>0</v>
      </c>
      <c r="Y1138" s="333">
        <f t="shared" si="100"/>
        <v>0</v>
      </c>
    </row>
    <row r="1139" spans="1:25" s="2" customFormat="1" ht="21.95" customHeight="1">
      <c r="A1139" s="82">
        <v>14</v>
      </c>
      <c r="B1139" s="91" t="s">
        <v>3362</v>
      </c>
      <c r="C1139" s="83" t="s">
        <v>363</v>
      </c>
      <c r="D1139" s="81" t="s">
        <v>514</v>
      </c>
      <c r="E1139" s="48">
        <v>101131</v>
      </c>
      <c r="F1139" s="30" t="s">
        <v>1879</v>
      </c>
      <c r="G1139" s="29" t="s">
        <v>20</v>
      </c>
      <c r="H1139" s="30" t="s">
        <v>434</v>
      </c>
      <c r="I1139" s="78"/>
      <c r="J1139" s="20"/>
      <c r="K1139" s="20"/>
      <c r="L1139" s="20"/>
      <c r="M1139" s="20"/>
      <c r="N1139" s="69" t="s">
        <v>256</v>
      </c>
      <c r="O1139" s="70">
        <v>0</v>
      </c>
      <c r="P1139" s="70">
        <v>0</v>
      </c>
      <c r="Q1139" s="70">
        <v>0</v>
      </c>
      <c r="R1139" s="70"/>
      <c r="S1139" s="67"/>
      <c r="T1139" s="2" t="str">
        <f t="shared" si="97"/>
        <v>Đặng Ngọc Uyên Nhi_12AS6</v>
      </c>
      <c r="U1139" s="28">
        <f t="array" ref="U1139">IFERROR(VLOOKUP($T1139,'Nghi hoc T12'!$H$7:$I$160,2,0),0)</f>
        <v>0</v>
      </c>
      <c r="V1139" s="28">
        <f>IFERROR(VLOOKUP($T1139,No_HP!$B$2:$C$514,2,0),0)</f>
        <v>0</v>
      </c>
      <c r="W1139" s="28">
        <f t="shared" si="98"/>
        <v>0</v>
      </c>
      <c r="X1139" s="333">
        <f t="shared" si="99"/>
        <v>0</v>
      </c>
      <c r="Y1139" s="333">
        <f t="shared" si="100"/>
        <v>0</v>
      </c>
    </row>
    <row r="1140" spans="1:25" s="2" customFormat="1" ht="21.95" customHeight="1">
      <c r="A1140" s="82">
        <v>15</v>
      </c>
      <c r="B1140" s="91" t="s">
        <v>3362</v>
      </c>
      <c r="C1140" s="83" t="s">
        <v>363</v>
      </c>
      <c r="D1140" s="81" t="s">
        <v>514</v>
      </c>
      <c r="E1140" s="48">
        <v>101132</v>
      </c>
      <c r="F1140" s="30" t="s">
        <v>1880</v>
      </c>
      <c r="G1140" s="29" t="s">
        <v>20</v>
      </c>
      <c r="H1140" s="30" t="s">
        <v>434</v>
      </c>
      <c r="I1140" s="78"/>
      <c r="J1140" s="20"/>
      <c r="K1140" s="20"/>
      <c r="L1140" s="20"/>
      <c r="M1140" s="20"/>
      <c r="N1140" s="69" t="s">
        <v>256</v>
      </c>
      <c r="O1140" s="70">
        <v>0</v>
      </c>
      <c r="P1140" s="70">
        <v>0</v>
      </c>
      <c r="Q1140" s="70">
        <v>0</v>
      </c>
      <c r="R1140" s="70"/>
      <c r="S1140" s="67"/>
      <c r="T1140" s="2" t="str">
        <f t="shared" si="97"/>
        <v>Đặng Võ Yến Nhi_12AS6</v>
      </c>
      <c r="U1140" s="28">
        <f t="array" ref="U1140">IFERROR(VLOOKUP($T1140,'Nghi hoc T12'!$H$7:$I$160,2,0),0)</f>
        <v>0</v>
      </c>
      <c r="V1140" s="28">
        <f>IFERROR(VLOOKUP($T1140,No_HP!$B$2:$C$514,2,0),0)</f>
        <v>0</v>
      </c>
      <c r="W1140" s="28">
        <f t="shared" si="98"/>
        <v>0</v>
      </c>
      <c r="X1140" s="333">
        <f t="shared" si="99"/>
        <v>0</v>
      </c>
      <c r="Y1140" s="333">
        <f t="shared" si="100"/>
        <v>0</v>
      </c>
    </row>
    <row r="1141" spans="1:25" s="2" customFormat="1" ht="21.95" customHeight="1">
      <c r="A1141" s="82">
        <v>16</v>
      </c>
      <c r="B1141" s="91" t="s">
        <v>3362</v>
      </c>
      <c r="C1141" s="83" t="s">
        <v>363</v>
      </c>
      <c r="D1141" s="81" t="s">
        <v>514</v>
      </c>
      <c r="E1141" s="48">
        <v>101133</v>
      </c>
      <c r="F1141" s="30" t="s">
        <v>1849</v>
      </c>
      <c r="G1141" s="29" t="s">
        <v>20</v>
      </c>
      <c r="H1141" s="30" t="s">
        <v>433</v>
      </c>
      <c r="I1141" s="78"/>
      <c r="J1141" s="20"/>
      <c r="K1141" s="20"/>
      <c r="L1141" s="20"/>
      <c r="M1141" s="20"/>
      <c r="N1141" s="69" t="s">
        <v>256</v>
      </c>
      <c r="O1141" s="70">
        <v>0</v>
      </c>
      <c r="P1141" s="70">
        <v>0</v>
      </c>
      <c r="Q1141" s="70">
        <v>0</v>
      </c>
      <c r="R1141" s="70"/>
      <c r="S1141" s="67"/>
      <c r="T1141" s="2" t="str">
        <f t="shared" si="97"/>
        <v>Đinh Thị Yến Nhi_12AS5</v>
      </c>
      <c r="U1141" s="28">
        <f t="array" ref="U1141">IFERROR(VLOOKUP($T1141,'Nghi hoc T12'!$H$7:$I$160,2,0),0)</f>
        <v>0</v>
      </c>
      <c r="V1141" s="28">
        <f>IFERROR(VLOOKUP($T1141,No_HP!$B$2:$C$514,2,0),0)</f>
        <v>0</v>
      </c>
      <c r="W1141" s="28">
        <f t="shared" si="98"/>
        <v>0</v>
      </c>
      <c r="X1141" s="333">
        <f t="shared" si="99"/>
        <v>0</v>
      </c>
      <c r="Y1141" s="333">
        <f t="shared" si="100"/>
        <v>0</v>
      </c>
    </row>
    <row r="1142" spans="1:25" s="2" customFormat="1" ht="21.95" customHeight="1">
      <c r="A1142" s="82">
        <v>17</v>
      </c>
      <c r="B1142" s="91" t="s">
        <v>3362</v>
      </c>
      <c r="C1142" s="83" t="s">
        <v>363</v>
      </c>
      <c r="D1142" s="81" t="s">
        <v>514</v>
      </c>
      <c r="E1142" s="48">
        <v>101134</v>
      </c>
      <c r="F1142" s="30" t="s">
        <v>1850</v>
      </c>
      <c r="G1142" s="29" t="s">
        <v>20</v>
      </c>
      <c r="H1142" s="30" t="s">
        <v>433</v>
      </c>
      <c r="I1142" s="78"/>
      <c r="J1142" s="20"/>
      <c r="K1142" s="20"/>
      <c r="L1142" s="20"/>
      <c r="M1142" s="20"/>
      <c r="N1142" s="69" t="s">
        <v>256</v>
      </c>
      <c r="O1142" s="70">
        <v>0</v>
      </c>
      <c r="P1142" s="70">
        <v>0</v>
      </c>
      <c r="Q1142" s="70">
        <v>0</v>
      </c>
      <c r="R1142" s="70"/>
      <c r="S1142" s="67"/>
      <c r="T1142" s="2" t="str">
        <f t="shared" si="97"/>
        <v>Phan Thị Thảo Nhi_12AS5</v>
      </c>
      <c r="U1142" s="28">
        <f t="array" ref="U1142">IFERROR(VLOOKUP($T1142,'Nghi hoc T12'!$H$7:$I$160,2,0),0)</f>
        <v>0</v>
      </c>
      <c r="V1142" s="28">
        <f>IFERROR(VLOOKUP($T1142,No_HP!$B$2:$C$514,2,0),0)</f>
        <v>0</v>
      </c>
      <c r="W1142" s="28">
        <f t="shared" si="98"/>
        <v>0</v>
      </c>
      <c r="X1142" s="333">
        <f t="shared" si="99"/>
        <v>0</v>
      </c>
      <c r="Y1142" s="333">
        <f t="shared" si="100"/>
        <v>0</v>
      </c>
    </row>
    <row r="1143" spans="1:25" s="2" customFormat="1" ht="21.95" customHeight="1">
      <c r="A1143" s="82">
        <v>18</v>
      </c>
      <c r="B1143" s="91" t="s">
        <v>3362</v>
      </c>
      <c r="C1143" s="83" t="s">
        <v>363</v>
      </c>
      <c r="D1143" s="81" t="s">
        <v>514</v>
      </c>
      <c r="E1143" s="48">
        <v>101135</v>
      </c>
      <c r="F1143" s="30" t="s">
        <v>1851</v>
      </c>
      <c r="G1143" s="29" t="s">
        <v>20</v>
      </c>
      <c r="H1143" s="30" t="s">
        <v>433</v>
      </c>
      <c r="I1143" s="78"/>
      <c r="J1143" s="20"/>
      <c r="K1143" s="20"/>
      <c r="L1143" s="20"/>
      <c r="M1143" s="20"/>
      <c r="N1143" s="69" t="s">
        <v>256</v>
      </c>
      <c r="O1143" s="70">
        <v>0</v>
      </c>
      <c r="P1143" s="70">
        <v>0</v>
      </c>
      <c r="Q1143" s="70">
        <v>0</v>
      </c>
      <c r="R1143" s="70"/>
      <c r="S1143" s="67"/>
      <c r="T1143" s="2" t="str">
        <f t="shared" si="97"/>
        <v>Trần Kim Trúc Nhi_12AS5</v>
      </c>
      <c r="U1143" s="28">
        <f t="array" ref="U1143">IFERROR(VLOOKUP($T1143,'Nghi hoc T12'!$H$7:$I$160,2,0),0)</f>
        <v>0</v>
      </c>
      <c r="V1143" s="28">
        <f>IFERROR(VLOOKUP($T1143,No_HP!$B$2:$C$514,2,0),0)</f>
        <v>0</v>
      </c>
      <c r="W1143" s="28">
        <f t="shared" si="98"/>
        <v>0</v>
      </c>
      <c r="X1143" s="333">
        <f t="shared" si="99"/>
        <v>0</v>
      </c>
      <c r="Y1143" s="333">
        <f t="shared" si="100"/>
        <v>0</v>
      </c>
    </row>
    <row r="1144" spans="1:25" s="2" customFormat="1" ht="21.95" customHeight="1">
      <c r="A1144" s="82">
        <v>19</v>
      </c>
      <c r="B1144" s="91" t="s">
        <v>3362</v>
      </c>
      <c r="C1144" s="83" t="s">
        <v>363</v>
      </c>
      <c r="D1144" s="81" t="s">
        <v>514</v>
      </c>
      <c r="E1144" s="48">
        <v>101136</v>
      </c>
      <c r="F1144" s="30" t="s">
        <v>1881</v>
      </c>
      <c r="G1144" s="29" t="s">
        <v>20</v>
      </c>
      <c r="H1144" s="30" t="s">
        <v>434</v>
      </c>
      <c r="I1144" s="78"/>
      <c r="J1144" s="20"/>
      <c r="K1144" s="20"/>
      <c r="L1144" s="20"/>
      <c r="M1144" s="20"/>
      <c r="N1144" s="69" t="s">
        <v>256</v>
      </c>
      <c r="O1144" s="70">
        <v>0</v>
      </c>
      <c r="P1144" s="70">
        <v>0</v>
      </c>
      <c r="Q1144" s="70">
        <v>0</v>
      </c>
      <c r="R1144" s="70"/>
      <c r="S1144" s="67"/>
      <c r="T1144" s="2" t="str">
        <f t="shared" si="97"/>
        <v>Trần Ngọc Yến Nhi_12AS6</v>
      </c>
      <c r="U1144" s="28">
        <f t="array" ref="U1144">IFERROR(VLOOKUP($T1144,'Nghi hoc T12'!$H$7:$I$160,2,0),0)</f>
        <v>0</v>
      </c>
      <c r="V1144" s="28">
        <f>IFERROR(VLOOKUP($T1144,No_HP!$B$2:$C$514,2,0),0)</f>
        <v>0</v>
      </c>
      <c r="W1144" s="28">
        <f t="shared" si="98"/>
        <v>0</v>
      </c>
      <c r="X1144" s="333">
        <f t="shared" si="99"/>
        <v>0</v>
      </c>
      <c r="Y1144" s="333">
        <f t="shared" si="100"/>
        <v>0</v>
      </c>
    </row>
    <row r="1145" spans="1:25" s="2" customFormat="1" ht="21.95" customHeight="1">
      <c r="A1145" s="82">
        <v>20</v>
      </c>
      <c r="B1145" s="91" t="s">
        <v>3362</v>
      </c>
      <c r="C1145" s="83" t="s">
        <v>363</v>
      </c>
      <c r="D1145" s="81" t="s">
        <v>514</v>
      </c>
      <c r="E1145" s="48">
        <v>101137</v>
      </c>
      <c r="F1145" s="30" t="s">
        <v>1824</v>
      </c>
      <c r="G1145" s="29" t="s">
        <v>21</v>
      </c>
      <c r="H1145" s="30" t="s">
        <v>419</v>
      </c>
      <c r="I1145" s="78"/>
      <c r="J1145" s="20"/>
      <c r="K1145" s="20"/>
      <c r="L1145" s="20"/>
      <c r="M1145" s="20"/>
      <c r="N1145" s="69" t="s">
        <v>256</v>
      </c>
      <c r="O1145" s="70">
        <v>0</v>
      </c>
      <c r="P1145" s="70">
        <v>0</v>
      </c>
      <c r="Q1145" s="70">
        <v>0</v>
      </c>
      <c r="R1145" s="70"/>
      <c r="S1145" s="67"/>
      <c r="T1145" s="2" t="str">
        <f t="shared" si="97"/>
        <v>Lâm Thị Tâm Như_12AS4</v>
      </c>
      <c r="U1145" s="28">
        <f t="array" ref="U1145">IFERROR(VLOOKUP($T1145,'Nghi hoc T12'!$H$7:$I$160,2,0),0)</f>
        <v>0</v>
      </c>
      <c r="V1145" s="28">
        <f>IFERROR(VLOOKUP($T1145,No_HP!$B$2:$C$514,2,0),0)</f>
        <v>0</v>
      </c>
      <c r="W1145" s="28">
        <f t="shared" si="98"/>
        <v>0</v>
      </c>
      <c r="X1145" s="333">
        <f t="shared" si="99"/>
        <v>0</v>
      </c>
      <c r="Y1145" s="333">
        <f t="shared" si="100"/>
        <v>0</v>
      </c>
    </row>
    <row r="1146" spans="1:25" s="2" customFormat="1" ht="21.95" customHeight="1">
      <c r="A1146" s="82">
        <v>21</v>
      </c>
      <c r="B1146" s="91" t="s">
        <v>3362</v>
      </c>
      <c r="C1146" s="83" t="s">
        <v>363</v>
      </c>
      <c r="D1146" s="81" t="s">
        <v>514</v>
      </c>
      <c r="E1146" s="48">
        <v>101138</v>
      </c>
      <c r="F1146" s="30" t="s">
        <v>317</v>
      </c>
      <c r="G1146" s="29" t="s">
        <v>70</v>
      </c>
      <c r="H1146" s="30" t="s">
        <v>419</v>
      </c>
      <c r="I1146" s="78"/>
      <c r="J1146" s="20"/>
      <c r="K1146" s="20"/>
      <c r="L1146" s="20"/>
      <c r="M1146" s="20"/>
      <c r="N1146" s="69" t="s">
        <v>256</v>
      </c>
      <c r="O1146" s="70">
        <v>0</v>
      </c>
      <c r="P1146" s="70">
        <v>0</v>
      </c>
      <c r="Q1146" s="70">
        <v>0</v>
      </c>
      <c r="R1146" s="70"/>
      <c r="S1146" s="67"/>
      <c r="T1146" s="2" t="str">
        <f t="shared" si="97"/>
        <v>Cao Thanh Phong_12AS4</v>
      </c>
      <c r="U1146" s="28">
        <f t="array" ref="U1146">IFERROR(VLOOKUP($T1146,'Nghi hoc T12'!$H$7:$I$160,2,0),0)</f>
        <v>0</v>
      </c>
      <c r="V1146" s="28">
        <f>IFERROR(VLOOKUP($T1146,No_HP!$B$2:$C$514,2,0),0)</f>
        <v>0</v>
      </c>
      <c r="W1146" s="28">
        <f t="shared" si="98"/>
        <v>0</v>
      </c>
      <c r="X1146" s="333">
        <f t="shared" si="99"/>
        <v>0</v>
      </c>
      <c r="Y1146" s="333">
        <f t="shared" si="100"/>
        <v>0</v>
      </c>
    </row>
    <row r="1147" spans="1:25" s="2" customFormat="1" ht="21.95" customHeight="1">
      <c r="A1147" s="82">
        <v>22</v>
      </c>
      <c r="B1147" s="91" t="s">
        <v>3362</v>
      </c>
      <c r="C1147" s="83" t="s">
        <v>363</v>
      </c>
      <c r="D1147" s="81" t="s">
        <v>514</v>
      </c>
      <c r="E1147" s="48">
        <v>101139</v>
      </c>
      <c r="F1147" s="30" t="s">
        <v>1882</v>
      </c>
      <c r="G1147" s="29" t="s">
        <v>70</v>
      </c>
      <c r="H1147" s="30" t="s">
        <v>434</v>
      </c>
      <c r="I1147" s="78"/>
      <c r="J1147" s="20"/>
      <c r="K1147" s="20"/>
      <c r="L1147" s="20"/>
      <c r="M1147" s="20"/>
      <c r="N1147" s="69" t="s">
        <v>256</v>
      </c>
      <c r="O1147" s="70">
        <v>0</v>
      </c>
      <c r="P1147" s="70">
        <v>0</v>
      </c>
      <c r="Q1147" s="70">
        <v>0</v>
      </c>
      <c r="R1147" s="70"/>
      <c r="S1147" s="67"/>
      <c r="T1147" s="2" t="str">
        <f t="shared" si="97"/>
        <v>Hồ Xuân Phong_12AS6</v>
      </c>
      <c r="U1147" s="28">
        <f t="array" ref="U1147">IFERROR(VLOOKUP($T1147,'Nghi hoc T12'!$H$7:$I$160,2,0),0)</f>
        <v>0</v>
      </c>
      <c r="V1147" s="28">
        <f>IFERROR(VLOOKUP($T1147,No_HP!$B$2:$C$514,2,0),0)</f>
        <v>0</v>
      </c>
      <c r="W1147" s="28">
        <f t="shared" si="98"/>
        <v>0</v>
      </c>
      <c r="X1147" s="333">
        <f t="shared" si="99"/>
        <v>0</v>
      </c>
      <c r="Y1147" s="333">
        <f t="shared" si="100"/>
        <v>0</v>
      </c>
    </row>
    <row r="1148" spans="1:25" s="2" customFormat="1" ht="21.95" customHeight="1">
      <c r="A1148" s="82">
        <v>23</v>
      </c>
      <c r="B1148" s="91" t="s">
        <v>3362</v>
      </c>
      <c r="C1148" s="83" t="s">
        <v>363</v>
      </c>
      <c r="D1148" s="81" t="s">
        <v>514</v>
      </c>
      <c r="E1148" s="48">
        <v>101140</v>
      </c>
      <c r="F1148" s="30" t="s">
        <v>200</v>
      </c>
      <c r="G1148" s="29" t="s">
        <v>70</v>
      </c>
      <c r="H1148" s="30" t="s">
        <v>433</v>
      </c>
      <c r="I1148" s="78"/>
      <c r="J1148" s="20"/>
      <c r="K1148" s="20"/>
      <c r="L1148" s="20"/>
      <c r="M1148" s="20"/>
      <c r="N1148" s="69" t="s">
        <v>256</v>
      </c>
      <c r="O1148" s="70">
        <v>0</v>
      </c>
      <c r="P1148" s="70">
        <v>0</v>
      </c>
      <c r="Q1148" s="70">
        <v>0</v>
      </c>
      <c r="R1148" s="70"/>
      <c r="S1148" s="67"/>
      <c r="T1148" s="2" t="str">
        <f t="shared" si="97"/>
        <v>Lê Trung Phong_12AS5</v>
      </c>
      <c r="U1148" s="28">
        <f t="array" ref="U1148">IFERROR(VLOOKUP($T1148,'Nghi hoc T12'!$H$7:$I$160,2,0),0)</f>
        <v>0</v>
      </c>
      <c r="V1148" s="28">
        <f>IFERROR(VLOOKUP($T1148,No_HP!$B$2:$C$514,2,0),0)</f>
        <v>0</v>
      </c>
      <c r="W1148" s="28">
        <f t="shared" si="98"/>
        <v>0</v>
      </c>
      <c r="X1148" s="333">
        <f t="shared" si="99"/>
        <v>0</v>
      </c>
      <c r="Y1148" s="333">
        <f t="shared" si="100"/>
        <v>0</v>
      </c>
    </row>
    <row r="1149" spans="1:25" s="2" customFormat="1" ht="21.95" customHeight="1">
      <c r="A1149" s="82">
        <v>24</v>
      </c>
      <c r="B1149" s="91" t="s">
        <v>3362</v>
      </c>
      <c r="C1149" s="83" t="s">
        <v>363</v>
      </c>
      <c r="D1149" s="81" t="s">
        <v>514</v>
      </c>
      <c r="E1149" s="48">
        <v>101141</v>
      </c>
      <c r="F1149" s="30" t="s">
        <v>1852</v>
      </c>
      <c r="G1149" s="29" t="s">
        <v>103</v>
      </c>
      <c r="H1149" s="30" t="s">
        <v>433</v>
      </c>
      <c r="I1149" s="78"/>
      <c r="J1149" s="20"/>
      <c r="K1149" s="20"/>
      <c r="L1149" s="20"/>
      <c r="M1149" s="20"/>
      <c r="N1149" s="69" t="s">
        <v>256</v>
      </c>
      <c r="O1149" s="70">
        <v>0</v>
      </c>
      <c r="P1149" s="70">
        <v>0</v>
      </c>
      <c r="Q1149" s="70">
        <v>0</v>
      </c>
      <c r="R1149" s="70"/>
      <c r="S1149" s="67"/>
      <c r="T1149" s="2" t="str">
        <f t="shared" si="97"/>
        <v>Phan Như Phú_12AS5</v>
      </c>
      <c r="U1149" s="28">
        <f t="array" ref="U1149">IFERROR(VLOOKUP($T1149,'Nghi hoc T12'!$H$7:$I$160,2,0),0)</f>
        <v>0</v>
      </c>
      <c r="V1149" s="28">
        <f>IFERROR(VLOOKUP($T1149,No_HP!$B$2:$C$514,2,0),0)</f>
        <v>0</v>
      </c>
      <c r="W1149" s="28">
        <f t="shared" si="98"/>
        <v>0</v>
      </c>
      <c r="X1149" s="333">
        <f t="shared" si="99"/>
        <v>0</v>
      </c>
      <c r="Y1149" s="333">
        <f t="shared" si="100"/>
        <v>0</v>
      </c>
    </row>
    <row r="1150" spans="1:25" s="2" customFormat="1" ht="21.95" customHeight="1">
      <c r="A1150" s="82">
        <v>25</v>
      </c>
      <c r="B1150" s="91" t="s">
        <v>3362</v>
      </c>
      <c r="C1150" s="83" t="s">
        <v>363</v>
      </c>
      <c r="D1150" s="81" t="s">
        <v>514</v>
      </c>
      <c r="E1150" s="48">
        <v>101142</v>
      </c>
      <c r="F1150" s="30" t="s">
        <v>1825</v>
      </c>
      <c r="G1150" s="29" t="s">
        <v>71</v>
      </c>
      <c r="H1150" s="30" t="s">
        <v>419</v>
      </c>
      <c r="I1150" s="78"/>
      <c r="J1150" s="20"/>
      <c r="K1150" s="20"/>
      <c r="L1150" s="20"/>
      <c r="M1150" s="20"/>
      <c r="N1150" s="69" t="s">
        <v>256</v>
      </c>
      <c r="O1150" s="70">
        <v>0</v>
      </c>
      <c r="P1150" s="70">
        <v>0</v>
      </c>
      <c r="Q1150" s="70">
        <v>0</v>
      </c>
      <c r="R1150" s="70"/>
      <c r="S1150" s="67"/>
      <c r="T1150" s="2" t="str">
        <f t="shared" si="97"/>
        <v>Thân Trọng Phúc_12AS4</v>
      </c>
      <c r="U1150" s="28">
        <f t="array" ref="U1150">IFERROR(VLOOKUP($T1150,'Nghi hoc T12'!$H$7:$I$160,2,0),0)</f>
        <v>0</v>
      </c>
      <c r="V1150" s="28">
        <f>IFERROR(VLOOKUP($T1150,No_HP!$B$2:$C$514,2,0),0)</f>
        <v>0</v>
      </c>
      <c r="W1150" s="28">
        <f t="shared" si="98"/>
        <v>0</v>
      </c>
      <c r="X1150" s="333">
        <f t="shared" si="99"/>
        <v>0</v>
      </c>
      <c r="Y1150" s="333">
        <f t="shared" si="100"/>
        <v>0</v>
      </c>
    </row>
    <row r="1151" spans="1:25" s="2" customFormat="1" ht="21.95" customHeight="1">
      <c r="A1151" s="82">
        <v>26</v>
      </c>
      <c r="B1151" s="91" t="s">
        <v>3362</v>
      </c>
      <c r="C1151" s="83" t="s">
        <v>363</v>
      </c>
      <c r="D1151" s="81" t="s">
        <v>514</v>
      </c>
      <c r="E1151" s="48">
        <v>101143</v>
      </c>
      <c r="F1151" s="30" t="s">
        <v>1853</v>
      </c>
      <c r="G1151" s="29" t="s">
        <v>43</v>
      </c>
      <c r="H1151" s="30" t="s">
        <v>433</v>
      </c>
      <c r="I1151" s="78"/>
      <c r="J1151" s="20"/>
      <c r="K1151" s="20"/>
      <c r="L1151" s="20"/>
      <c r="M1151" s="20"/>
      <c r="N1151" s="69" t="s">
        <v>256</v>
      </c>
      <c r="O1151" s="70">
        <v>0</v>
      </c>
      <c r="P1151" s="70">
        <v>0</v>
      </c>
      <c r="Q1151" s="70">
        <v>0</v>
      </c>
      <c r="R1151" s="70"/>
      <c r="S1151" s="67"/>
      <c r="T1151" s="2" t="str">
        <f t="shared" si="97"/>
        <v>Đỗ Thị Nguyên Phương_12AS5</v>
      </c>
      <c r="U1151" s="28">
        <f t="array" ref="U1151">IFERROR(VLOOKUP($T1151,'Nghi hoc T12'!$H$7:$I$160,2,0),0)</f>
        <v>0</v>
      </c>
      <c r="V1151" s="28">
        <f>IFERROR(VLOOKUP($T1151,No_HP!$B$2:$C$514,2,0),0)</f>
        <v>0</v>
      </c>
      <c r="W1151" s="28">
        <f t="shared" si="98"/>
        <v>0</v>
      </c>
      <c r="X1151" s="333">
        <f t="shared" si="99"/>
        <v>0</v>
      </c>
      <c r="Y1151" s="333">
        <f t="shared" si="100"/>
        <v>0</v>
      </c>
    </row>
    <row r="1152" spans="1:25" s="2" customFormat="1" ht="21.95" customHeight="1">
      <c r="A1152" s="82">
        <v>27</v>
      </c>
      <c r="B1152" s="91" t="s">
        <v>3362</v>
      </c>
      <c r="C1152" s="83" t="s">
        <v>363</v>
      </c>
      <c r="D1152" s="81" t="s">
        <v>514</v>
      </c>
      <c r="E1152" s="48">
        <v>101144</v>
      </c>
      <c r="F1152" s="30" t="s">
        <v>1883</v>
      </c>
      <c r="G1152" s="29" t="s">
        <v>43</v>
      </c>
      <c r="H1152" s="30" t="s">
        <v>434</v>
      </c>
      <c r="I1152" s="78"/>
      <c r="J1152" s="20"/>
      <c r="K1152" s="20"/>
      <c r="L1152" s="20"/>
      <c r="M1152" s="20"/>
      <c r="N1152" s="69" t="s">
        <v>256</v>
      </c>
      <c r="O1152" s="70">
        <v>0</v>
      </c>
      <c r="P1152" s="70">
        <v>0</v>
      </c>
      <c r="Q1152" s="70">
        <v>0</v>
      </c>
      <c r="R1152" s="70"/>
      <c r="S1152" s="67"/>
      <c r="T1152" s="2" t="str">
        <f t="shared" si="97"/>
        <v>Lê Mai Phương_12AS6</v>
      </c>
      <c r="U1152" s="28">
        <f t="array" ref="U1152">IFERROR(VLOOKUP($T1152,'Nghi hoc T12'!$H$7:$I$160,2,0),0)</f>
        <v>0</v>
      </c>
      <c r="V1152" s="28">
        <f>IFERROR(VLOOKUP($T1152,No_HP!$B$2:$C$514,2,0),0)</f>
        <v>0</v>
      </c>
      <c r="W1152" s="28">
        <f t="shared" si="98"/>
        <v>0</v>
      </c>
      <c r="X1152" s="333">
        <f t="shared" si="99"/>
        <v>0</v>
      </c>
      <c r="Y1152" s="333">
        <f t="shared" si="100"/>
        <v>0</v>
      </c>
    </row>
    <row r="1153" spans="1:25" s="2" customFormat="1" ht="21.95" customHeight="1">
      <c r="A1153" s="82">
        <v>28</v>
      </c>
      <c r="B1153" s="91" t="s">
        <v>3362</v>
      </c>
      <c r="C1153" s="83" t="s">
        <v>363</v>
      </c>
      <c r="D1153" s="81" t="s">
        <v>514</v>
      </c>
      <c r="E1153" s="48">
        <v>101145</v>
      </c>
      <c r="F1153" s="30" t="s">
        <v>1826</v>
      </c>
      <c r="G1153" s="29" t="s">
        <v>43</v>
      </c>
      <c r="H1153" s="30" t="s">
        <v>419</v>
      </c>
      <c r="I1153" s="78"/>
      <c r="J1153" s="20"/>
      <c r="K1153" s="20"/>
      <c r="L1153" s="20"/>
      <c r="M1153" s="20"/>
      <c r="N1153" s="69" t="s">
        <v>256</v>
      </c>
      <c r="O1153" s="70">
        <v>0</v>
      </c>
      <c r="P1153" s="70">
        <v>0</v>
      </c>
      <c r="Q1153" s="70">
        <v>0</v>
      </c>
      <c r="R1153" s="70"/>
      <c r="S1153" s="67"/>
      <c r="T1153" s="2" t="str">
        <f t="shared" si="97"/>
        <v>Phạm Nhã Phương_12AS4</v>
      </c>
      <c r="U1153" s="28">
        <f t="array" ref="U1153">IFERROR(VLOOKUP($T1153,'Nghi hoc T12'!$H$7:$I$160,2,0),0)</f>
        <v>0</v>
      </c>
      <c r="V1153" s="28">
        <f>IFERROR(VLOOKUP($T1153,No_HP!$B$2:$C$514,2,0),0)</f>
        <v>0</v>
      </c>
      <c r="W1153" s="28">
        <f t="shared" si="98"/>
        <v>0</v>
      </c>
      <c r="X1153" s="333">
        <f t="shared" si="99"/>
        <v>0</v>
      </c>
      <c r="Y1153" s="333">
        <f t="shared" si="100"/>
        <v>0</v>
      </c>
    </row>
    <row r="1154" spans="1:25" s="2" customFormat="1" ht="21.95" customHeight="1">
      <c r="A1154" s="200">
        <v>1</v>
      </c>
      <c r="B1154" s="91" t="s">
        <v>3363</v>
      </c>
      <c r="C1154" s="185" t="s">
        <v>363</v>
      </c>
      <c r="D1154" s="186" t="s">
        <v>515</v>
      </c>
      <c r="E1154" s="187">
        <v>101146</v>
      </c>
      <c r="F1154" s="188" t="s">
        <v>1827</v>
      </c>
      <c r="G1154" s="189" t="s">
        <v>43</v>
      </c>
      <c r="H1154" s="188" t="s">
        <v>419</v>
      </c>
      <c r="I1154" s="190"/>
      <c r="J1154" s="191"/>
      <c r="K1154" s="191"/>
      <c r="L1154" s="191"/>
      <c r="M1154" s="191"/>
      <c r="N1154" s="69" t="s">
        <v>256</v>
      </c>
      <c r="O1154" s="70">
        <v>0</v>
      </c>
      <c r="P1154" s="70">
        <v>0</v>
      </c>
      <c r="Q1154" s="70">
        <v>0</v>
      </c>
      <c r="R1154" s="70"/>
      <c r="S1154" s="67"/>
      <c r="T1154" s="2" t="str">
        <f t="shared" si="97"/>
        <v>Phạm Vũ Hoài Phương_12AS4</v>
      </c>
      <c r="U1154" s="28">
        <f t="array" ref="U1154">IFERROR(VLOOKUP($T1154,'Nghi hoc T12'!$H$7:$I$160,2,0),0)</f>
        <v>0</v>
      </c>
      <c r="V1154" s="28">
        <f>IFERROR(VLOOKUP($T1154,No_HP!$B$2:$C$514,2,0),0)</f>
        <v>0</v>
      </c>
      <c r="W1154" s="28">
        <f t="shared" si="98"/>
        <v>0</v>
      </c>
      <c r="X1154" s="333">
        <f t="shared" si="99"/>
        <v>0</v>
      </c>
      <c r="Y1154" s="333">
        <f t="shared" si="100"/>
        <v>0</v>
      </c>
    </row>
    <row r="1155" spans="1:25" s="2" customFormat="1" ht="21.95" customHeight="1">
      <c r="A1155" s="82">
        <v>2</v>
      </c>
      <c r="B1155" s="91" t="s">
        <v>3363</v>
      </c>
      <c r="C1155" s="83" t="s">
        <v>363</v>
      </c>
      <c r="D1155" s="81" t="s">
        <v>515</v>
      </c>
      <c r="E1155" s="48">
        <v>101147</v>
      </c>
      <c r="F1155" s="30" t="s">
        <v>1884</v>
      </c>
      <c r="G1155" s="29" t="s">
        <v>43</v>
      </c>
      <c r="H1155" s="30" t="s">
        <v>434</v>
      </c>
      <c r="I1155" s="78"/>
      <c r="J1155" s="20"/>
      <c r="K1155" s="20"/>
      <c r="L1155" s="20"/>
      <c r="M1155" s="20"/>
      <c r="N1155" s="69" t="s">
        <v>256</v>
      </c>
      <c r="O1155" s="70">
        <v>0</v>
      </c>
      <c r="P1155" s="70">
        <v>0</v>
      </c>
      <c r="Q1155" s="70">
        <v>0</v>
      </c>
      <c r="R1155" s="70"/>
      <c r="S1155" s="67"/>
      <c r="T1155" s="2" t="str">
        <f t="shared" si="97"/>
        <v>Trần Phạm Nam Phương_12AS6</v>
      </c>
      <c r="U1155" s="28">
        <f t="array" ref="U1155">IFERROR(VLOOKUP($T1155,'Nghi hoc T12'!$H$7:$I$160,2,0),0)</f>
        <v>0</v>
      </c>
      <c r="V1155" s="28">
        <f>IFERROR(VLOOKUP($T1155,No_HP!$B$2:$C$514,2,0),0)</f>
        <v>0</v>
      </c>
      <c r="W1155" s="28">
        <f t="shared" si="98"/>
        <v>0</v>
      </c>
      <c r="X1155" s="333">
        <f t="shared" si="99"/>
        <v>0</v>
      </c>
      <c r="Y1155" s="333">
        <f t="shared" si="100"/>
        <v>0</v>
      </c>
    </row>
    <row r="1156" spans="1:25" s="2" customFormat="1" ht="21.95" customHeight="1">
      <c r="A1156" s="82">
        <v>3</v>
      </c>
      <c r="B1156" s="91" t="s">
        <v>3363</v>
      </c>
      <c r="C1156" s="83" t="s">
        <v>363</v>
      </c>
      <c r="D1156" s="81" t="s">
        <v>515</v>
      </c>
      <c r="E1156" s="48">
        <v>101148</v>
      </c>
      <c r="F1156" s="30" t="s">
        <v>1156</v>
      </c>
      <c r="G1156" s="29" t="s">
        <v>44</v>
      </c>
      <c r="H1156" s="30" t="s">
        <v>419</v>
      </c>
      <c r="I1156" s="78"/>
      <c r="J1156" s="20"/>
      <c r="K1156" s="20"/>
      <c r="L1156" s="20"/>
      <c r="M1156" s="20"/>
      <c r="N1156" s="69" t="s">
        <v>256</v>
      </c>
      <c r="O1156" s="70">
        <v>0</v>
      </c>
      <c r="P1156" s="70">
        <v>0</v>
      </c>
      <c r="Q1156" s="70">
        <v>0</v>
      </c>
      <c r="R1156" s="70"/>
      <c r="S1156" s="67"/>
      <c r="T1156" s="2" t="str">
        <f t="shared" si="97"/>
        <v>Phạm Mai Quang_12AS4</v>
      </c>
      <c r="U1156" s="28">
        <f t="array" ref="U1156">IFERROR(VLOOKUP($T1156,'Nghi hoc T12'!$H$7:$I$160,2,0),0)</f>
        <v>0</v>
      </c>
      <c r="V1156" s="28">
        <f>IFERROR(VLOOKUP($T1156,No_HP!$B$2:$C$514,2,0),0)</f>
        <v>0</v>
      </c>
      <c r="W1156" s="28">
        <f t="shared" si="98"/>
        <v>0</v>
      </c>
      <c r="X1156" s="333">
        <f t="shared" si="99"/>
        <v>0</v>
      </c>
      <c r="Y1156" s="333">
        <f t="shared" si="100"/>
        <v>0</v>
      </c>
    </row>
    <row r="1157" spans="1:25" s="2" customFormat="1" ht="21.95" customHeight="1">
      <c r="A1157" s="82">
        <v>4</v>
      </c>
      <c r="B1157" s="91" t="s">
        <v>3363</v>
      </c>
      <c r="C1157" s="83" t="s">
        <v>363</v>
      </c>
      <c r="D1157" s="81" t="s">
        <v>515</v>
      </c>
      <c r="E1157" s="48">
        <v>101149</v>
      </c>
      <c r="F1157" s="30" t="s">
        <v>1274</v>
      </c>
      <c r="G1157" s="29" t="s">
        <v>57</v>
      </c>
      <c r="H1157" s="30" t="s">
        <v>433</v>
      </c>
      <c r="I1157" s="78"/>
      <c r="J1157" s="20"/>
      <c r="K1157" s="20"/>
      <c r="L1157" s="20"/>
      <c r="M1157" s="20"/>
      <c r="N1157" s="69" t="s">
        <v>256</v>
      </c>
      <c r="O1157" s="70">
        <v>0</v>
      </c>
      <c r="P1157" s="70">
        <v>0</v>
      </c>
      <c r="Q1157" s="70">
        <v>0</v>
      </c>
      <c r="R1157" s="70"/>
      <c r="S1157" s="67"/>
      <c r="T1157" s="2" t="str">
        <f t="shared" si="97"/>
        <v>Hồ Minh Quân_12AS5</v>
      </c>
      <c r="U1157" s="28">
        <f t="array" ref="U1157">IFERROR(VLOOKUP($T1157,'Nghi hoc T12'!$H$7:$I$160,2,0),0)</f>
        <v>0</v>
      </c>
      <c r="V1157" s="28">
        <f>IFERROR(VLOOKUP($T1157,No_HP!$B$2:$C$514,2,0),0)</f>
        <v>0</v>
      </c>
      <c r="W1157" s="28">
        <f t="shared" si="98"/>
        <v>0</v>
      </c>
      <c r="X1157" s="333">
        <f t="shared" si="99"/>
        <v>0</v>
      </c>
      <c r="Y1157" s="333">
        <f t="shared" si="100"/>
        <v>0</v>
      </c>
    </row>
    <row r="1158" spans="1:25" s="2" customFormat="1" ht="21.95" customHeight="1">
      <c r="A1158" s="82">
        <v>5</v>
      </c>
      <c r="B1158" s="91" t="s">
        <v>3363</v>
      </c>
      <c r="C1158" s="83" t="s">
        <v>363</v>
      </c>
      <c r="D1158" s="81" t="s">
        <v>515</v>
      </c>
      <c r="E1158" s="48">
        <v>101150</v>
      </c>
      <c r="F1158" s="30" t="s">
        <v>1854</v>
      </c>
      <c r="G1158" s="29" t="s">
        <v>57</v>
      </c>
      <c r="H1158" s="30" t="s">
        <v>433</v>
      </c>
      <c r="I1158" s="78"/>
      <c r="J1158" s="20"/>
      <c r="K1158" s="20"/>
      <c r="L1158" s="20"/>
      <c r="M1158" s="20"/>
      <c r="N1158" s="69" t="s">
        <v>256</v>
      </c>
      <c r="O1158" s="70">
        <v>0</v>
      </c>
      <c r="P1158" s="70">
        <v>0</v>
      </c>
      <c r="Q1158" s="70">
        <v>0</v>
      </c>
      <c r="R1158" s="70"/>
      <c r="S1158" s="67"/>
      <c r="T1158" s="2" t="str">
        <f t="shared" si="97"/>
        <v>Trịnh Lê Quân_12AS5</v>
      </c>
      <c r="U1158" s="28">
        <f t="array" ref="U1158">IFERROR(VLOOKUP($T1158,'Nghi hoc T12'!$H$7:$I$160,2,0),0)</f>
        <v>0</v>
      </c>
      <c r="V1158" s="28">
        <f>IFERROR(VLOOKUP($T1158,No_HP!$B$2:$C$514,2,0),0)</f>
        <v>0</v>
      </c>
      <c r="W1158" s="28">
        <f t="shared" si="98"/>
        <v>0</v>
      </c>
      <c r="X1158" s="333">
        <f t="shared" si="99"/>
        <v>0</v>
      </c>
      <c r="Y1158" s="333">
        <f t="shared" si="100"/>
        <v>0</v>
      </c>
    </row>
    <row r="1159" spans="1:25" s="2" customFormat="1" ht="21.95" customHeight="1">
      <c r="A1159" s="82">
        <v>6</v>
      </c>
      <c r="B1159" s="91" t="s">
        <v>3363</v>
      </c>
      <c r="C1159" s="83" t="s">
        <v>363</v>
      </c>
      <c r="D1159" s="81" t="s">
        <v>515</v>
      </c>
      <c r="E1159" s="48">
        <v>101151</v>
      </c>
      <c r="F1159" s="30" t="s">
        <v>1885</v>
      </c>
      <c r="G1159" s="29" t="s">
        <v>1886</v>
      </c>
      <c r="H1159" s="30" t="s">
        <v>434</v>
      </c>
      <c r="I1159" s="78"/>
      <c r="J1159" s="20"/>
      <c r="K1159" s="20"/>
      <c r="L1159" s="20"/>
      <c r="M1159" s="20"/>
      <c r="N1159" s="69" t="s">
        <v>256</v>
      </c>
      <c r="O1159" s="70">
        <v>0</v>
      </c>
      <c r="P1159" s="70">
        <v>0</v>
      </c>
      <c r="Q1159" s="70">
        <v>0</v>
      </c>
      <c r="R1159" s="70"/>
      <c r="S1159" s="67"/>
      <c r="T1159" s="2" t="str">
        <f t="shared" si="97"/>
        <v>Lý Đa Ra_12AS6</v>
      </c>
      <c r="U1159" s="28">
        <f t="array" ref="U1159">IFERROR(VLOOKUP($T1159,'Nghi hoc T12'!$H$7:$I$160,2,0),0)</f>
        <v>0</v>
      </c>
      <c r="V1159" s="28">
        <f>IFERROR(VLOOKUP($T1159,No_HP!$B$2:$C$514,2,0),0)</f>
        <v>0</v>
      </c>
      <c r="W1159" s="28">
        <f t="shared" si="98"/>
        <v>0</v>
      </c>
      <c r="X1159" s="333">
        <f t="shared" si="99"/>
        <v>0</v>
      </c>
      <c r="Y1159" s="333">
        <f t="shared" si="100"/>
        <v>0</v>
      </c>
    </row>
    <row r="1160" spans="1:25" s="2" customFormat="1" ht="21.95" customHeight="1">
      <c r="A1160" s="82">
        <v>7</v>
      </c>
      <c r="B1160" s="91" t="s">
        <v>3363</v>
      </c>
      <c r="C1160" s="83" t="s">
        <v>363</v>
      </c>
      <c r="D1160" s="81" t="s">
        <v>515</v>
      </c>
      <c r="E1160" s="48">
        <v>101152</v>
      </c>
      <c r="F1160" s="30" t="s">
        <v>45</v>
      </c>
      <c r="G1160" s="29" t="s">
        <v>47</v>
      </c>
      <c r="H1160" s="30" t="s">
        <v>434</v>
      </c>
      <c r="I1160" s="78"/>
      <c r="J1160" s="20"/>
      <c r="K1160" s="20"/>
      <c r="L1160" s="20"/>
      <c r="M1160" s="20"/>
      <c r="N1160" s="69" t="s">
        <v>256</v>
      </c>
      <c r="O1160" s="70">
        <v>0</v>
      </c>
      <c r="P1160" s="70">
        <v>0</v>
      </c>
      <c r="Q1160" s="70">
        <v>0</v>
      </c>
      <c r="R1160" s="70"/>
      <c r="S1160" s="67"/>
      <c r="T1160" s="2" t="str">
        <f t="shared" si="97"/>
        <v>Nguyễn Quang Sang_12AS6</v>
      </c>
      <c r="U1160" s="28">
        <f t="array" ref="U1160">IFERROR(VLOOKUP($T1160,'Nghi hoc T12'!$H$7:$I$160,2,0),0)</f>
        <v>0</v>
      </c>
      <c r="V1160" s="28">
        <f>IFERROR(VLOOKUP($T1160,No_HP!$B$2:$C$514,2,0),0)</f>
        <v>0</v>
      </c>
      <c r="W1160" s="28">
        <f t="shared" si="98"/>
        <v>0</v>
      </c>
      <c r="X1160" s="333">
        <f t="shared" si="99"/>
        <v>0</v>
      </c>
      <c r="Y1160" s="333">
        <f t="shared" si="100"/>
        <v>0</v>
      </c>
    </row>
    <row r="1161" spans="1:25" s="2" customFormat="1" ht="21.95" customHeight="1">
      <c r="A1161" s="82">
        <v>8</v>
      </c>
      <c r="B1161" s="91" t="s">
        <v>3363</v>
      </c>
      <c r="C1161" s="83" t="s">
        <v>363</v>
      </c>
      <c r="D1161" s="81" t="s">
        <v>515</v>
      </c>
      <c r="E1161" s="48">
        <v>101153</v>
      </c>
      <c r="F1161" s="30" t="s">
        <v>201</v>
      </c>
      <c r="G1161" s="29" t="s">
        <v>93</v>
      </c>
      <c r="H1161" s="30" t="s">
        <v>434</v>
      </c>
      <c r="I1161" s="78"/>
      <c r="J1161" s="20"/>
      <c r="K1161" s="20"/>
      <c r="L1161" s="20"/>
      <c r="M1161" s="20"/>
      <c r="N1161" s="69" t="s">
        <v>256</v>
      </c>
      <c r="O1161" s="70">
        <v>0</v>
      </c>
      <c r="P1161" s="70">
        <v>0</v>
      </c>
      <c r="Q1161" s="70">
        <v>0</v>
      </c>
      <c r="R1161" s="70"/>
      <c r="S1161" s="67"/>
      <c r="T1161" s="2" t="str">
        <f t="shared" si="97"/>
        <v>Nguyễn Hữu Tài_12AS6</v>
      </c>
      <c r="U1161" s="28">
        <f t="array" ref="U1161">IFERROR(VLOOKUP($T1161,'Nghi hoc T12'!$H$7:$I$160,2,0),0)</f>
        <v>0</v>
      </c>
      <c r="V1161" s="28">
        <f>IFERROR(VLOOKUP($T1161,No_HP!$B$2:$C$514,2,0),0)</f>
        <v>0</v>
      </c>
      <c r="W1161" s="28">
        <f t="shared" si="98"/>
        <v>0</v>
      </c>
      <c r="X1161" s="333">
        <f t="shared" si="99"/>
        <v>0</v>
      </c>
      <c r="Y1161" s="333">
        <f t="shared" si="100"/>
        <v>0</v>
      </c>
    </row>
    <row r="1162" spans="1:25" s="2" customFormat="1" ht="21.95" customHeight="1">
      <c r="A1162" s="82">
        <v>9</v>
      </c>
      <c r="B1162" s="91" t="s">
        <v>3363</v>
      </c>
      <c r="C1162" s="83" t="s">
        <v>363</v>
      </c>
      <c r="D1162" s="81" t="s">
        <v>515</v>
      </c>
      <c r="E1162" s="48">
        <v>101154</v>
      </c>
      <c r="F1162" s="30" t="s">
        <v>202</v>
      </c>
      <c r="G1162" s="29" t="s">
        <v>26</v>
      </c>
      <c r="H1162" s="30" t="s">
        <v>433</v>
      </c>
      <c r="I1162" s="78"/>
      <c r="J1162" s="20"/>
      <c r="K1162" s="20"/>
      <c r="L1162" s="20"/>
      <c r="M1162" s="20"/>
      <c r="N1162" s="69" t="s">
        <v>256</v>
      </c>
      <c r="O1162" s="70">
        <v>0</v>
      </c>
      <c r="P1162" s="70">
        <v>0</v>
      </c>
      <c r="Q1162" s="70">
        <v>0</v>
      </c>
      <c r="R1162" s="70"/>
      <c r="S1162" s="67"/>
      <c r="T1162" s="2" t="str">
        <f t="shared" ref="T1162:T1225" si="101">TRIM(F1162&amp;" "&amp;G1162&amp;"_"&amp;H1162)</f>
        <v>Nguyễn Chí Thanh_12AS5</v>
      </c>
      <c r="U1162" s="28">
        <f t="array" ref="U1162">IFERROR(VLOOKUP($T1162,'Nghi hoc T12'!$H$7:$I$160,2,0),0)</f>
        <v>0</v>
      </c>
      <c r="V1162" s="28">
        <f>IFERROR(VLOOKUP($T1162,No_HP!$B$2:$C$514,2,0),0)</f>
        <v>0</v>
      </c>
      <c r="W1162" s="28">
        <f t="shared" ref="W1162:W1225" si="102">I1162</f>
        <v>0</v>
      </c>
      <c r="X1162" s="333">
        <f t="shared" ref="X1162:X1225" si="103">O1162</f>
        <v>0</v>
      </c>
      <c r="Y1162" s="333">
        <f t="shared" ref="Y1162:Y1225" si="104">P1162</f>
        <v>0</v>
      </c>
    </row>
    <row r="1163" spans="1:25" s="2" customFormat="1" ht="21.95" customHeight="1">
      <c r="A1163" s="82">
        <v>10</v>
      </c>
      <c r="B1163" s="91" t="s">
        <v>3363</v>
      </c>
      <c r="C1163" s="83" t="s">
        <v>363</v>
      </c>
      <c r="D1163" s="81" t="s">
        <v>515</v>
      </c>
      <c r="E1163" s="48">
        <v>101155</v>
      </c>
      <c r="F1163" s="30" t="s">
        <v>1855</v>
      </c>
      <c r="G1163" s="29" t="s">
        <v>26</v>
      </c>
      <c r="H1163" s="30" t="s">
        <v>433</v>
      </c>
      <c r="I1163" s="78"/>
      <c r="J1163" s="20"/>
      <c r="K1163" s="20"/>
      <c r="L1163" s="20"/>
      <c r="M1163" s="20"/>
      <c r="N1163" s="69" t="s">
        <v>256</v>
      </c>
      <c r="O1163" s="70">
        <v>0</v>
      </c>
      <c r="P1163" s="70">
        <v>0</v>
      </c>
      <c r="Q1163" s="70">
        <v>0</v>
      </c>
      <c r="R1163" s="70"/>
      <c r="S1163" s="67"/>
      <c r="T1163" s="2" t="str">
        <f t="shared" si="101"/>
        <v>Phạm Xuân Thanh_12AS5</v>
      </c>
      <c r="U1163" s="28">
        <f t="array" ref="U1163">IFERROR(VLOOKUP($T1163,'Nghi hoc T12'!$H$7:$I$160,2,0),0)</f>
        <v>0</v>
      </c>
      <c r="V1163" s="28">
        <f>IFERROR(VLOOKUP($T1163,No_HP!$B$2:$C$514,2,0),0)</f>
        <v>0</v>
      </c>
      <c r="W1163" s="28">
        <f t="shared" si="102"/>
        <v>0</v>
      </c>
      <c r="X1163" s="333">
        <f t="shared" si="103"/>
        <v>0</v>
      </c>
      <c r="Y1163" s="333">
        <f t="shared" si="104"/>
        <v>0</v>
      </c>
    </row>
    <row r="1164" spans="1:25" s="2" customFormat="1" ht="21.95" customHeight="1">
      <c r="A1164" s="82">
        <v>11</v>
      </c>
      <c r="B1164" s="91" t="s">
        <v>3363</v>
      </c>
      <c r="C1164" s="83" t="s">
        <v>363</v>
      </c>
      <c r="D1164" s="81" t="s">
        <v>515</v>
      </c>
      <c r="E1164" s="48">
        <v>101156</v>
      </c>
      <c r="F1164" s="30" t="s">
        <v>1648</v>
      </c>
      <c r="G1164" s="29" t="s">
        <v>27</v>
      </c>
      <c r="H1164" s="30" t="s">
        <v>433</v>
      </c>
      <c r="I1164" s="78" t="s">
        <v>529</v>
      </c>
      <c r="J1164" s="20"/>
      <c r="K1164" s="20"/>
      <c r="L1164" s="20"/>
      <c r="M1164" s="20"/>
      <c r="N1164" s="69" t="s">
        <v>256</v>
      </c>
      <c r="O1164" s="70">
        <v>0</v>
      </c>
      <c r="P1164" s="70">
        <v>0</v>
      </c>
      <c r="Q1164" s="70" t="s">
        <v>3334</v>
      </c>
      <c r="R1164" s="70"/>
      <c r="S1164" s="67"/>
      <c r="T1164" s="2" t="str">
        <f t="shared" si="101"/>
        <v>Vũ Tiến Thành_12AS5</v>
      </c>
      <c r="U1164" s="28" t="str">
        <f t="array" ref="U1164">IFERROR(VLOOKUP($T1164,'Nghi hoc T12'!$H$7:$I$160,2,0),0)</f>
        <v>NgiH</v>
      </c>
      <c r="V1164" s="28">
        <f>IFERROR(VLOOKUP($T1164,No_HP!$B$2:$C$514,2,0),0)</f>
        <v>0</v>
      </c>
      <c r="W1164" s="28" t="str">
        <f t="shared" si="102"/>
        <v>Nghỉ học</v>
      </c>
      <c r="X1164" s="333">
        <f t="shared" si="103"/>
        <v>0</v>
      </c>
      <c r="Y1164" s="333">
        <f t="shared" si="104"/>
        <v>0</v>
      </c>
    </row>
    <row r="1165" spans="1:25" s="2" customFormat="1" ht="21.95" customHeight="1">
      <c r="A1165" s="82">
        <v>12</v>
      </c>
      <c r="B1165" s="91" t="s">
        <v>3363</v>
      </c>
      <c r="C1165" s="83" t="s">
        <v>363</v>
      </c>
      <c r="D1165" s="81" t="s">
        <v>515</v>
      </c>
      <c r="E1165" s="48">
        <v>101157</v>
      </c>
      <c r="F1165" s="30" t="s">
        <v>1547</v>
      </c>
      <c r="G1165" s="29" t="s">
        <v>49</v>
      </c>
      <c r="H1165" s="30" t="s">
        <v>434</v>
      </c>
      <c r="I1165" s="78"/>
      <c r="J1165" s="20"/>
      <c r="K1165" s="20"/>
      <c r="L1165" s="20"/>
      <c r="M1165" s="20"/>
      <c r="N1165" s="69" t="s">
        <v>256</v>
      </c>
      <c r="O1165" s="70">
        <v>0</v>
      </c>
      <c r="P1165" s="70">
        <v>0</v>
      </c>
      <c r="Q1165" s="70">
        <v>0</v>
      </c>
      <c r="R1165" s="70"/>
      <c r="S1165" s="67"/>
      <c r="T1165" s="2" t="str">
        <f t="shared" si="101"/>
        <v>Hoàng Thu Thảo_12AS6</v>
      </c>
      <c r="U1165" s="28">
        <f t="array" ref="U1165">IFERROR(VLOOKUP($T1165,'Nghi hoc T12'!$H$7:$I$160,2,0),0)</f>
        <v>0</v>
      </c>
      <c r="V1165" s="28">
        <f>IFERROR(VLOOKUP($T1165,No_HP!$B$2:$C$514,2,0),0)</f>
        <v>0</v>
      </c>
      <c r="W1165" s="28">
        <f t="shared" si="102"/>
        <v>0</v>
      </c>
      <c r="X1165" s="333">
        <f t="shared" si="103"/>
        <v>0</v>
      </c>
      <c r="Y1165" s="333">
        <f t="shared" si="104"/>
        <v>0</v>
      </c>
    </row>
    <row r="1166" spans="1:25" s="2" customFormat="1" ht="21.95" customHeight="1">
      <c r="A1166" s="82">
        <v>13</v>
      </c>
      <c r="B1166" s="91" t="s">
        <v>3363</v>
      </c>
      <c r="C1166" s="83" t="s">
        <v>363</v>
      </c>
      <c r="D1166" s="81" t="s">
        <v>515</v>
      </c>
      <c r="E1166" s="48">
        <v>101158</v>
      </c>
      <c r="F1166" s="30" t="s">
        <v>1856</v>
      </c>
      <c r="G1166" s="29" t="s">
        <v>49</v>
      </c>
      <c r="H1166" s="30" t="s">
        <v>433</v>
      </c>
      <c r="I1166" s="78"/>
      <c r="J1166" s="20"/>
      <c r="K1166" s="20"/>
      <c r="L1166" s="20"/>
      <c r="M1166" s="20"/>
      <c r="N1166" s="69" t="s">
        <v>256</v>
      </c>
      <c r="O1166" s="70">
        <v>0</v>
      </c>
      <c r="P1166" s="70">
        <v>0</v>
      </c>
      <c r="Q1166" s="70"/>
      <c r="R1166" s="70"/>
      <c r="S1166" s="67"/>
      <c r="T1166" s="2" t="str">
        <f t="shared" si="101"/>
        <v>Nguyễn Lê Thanh Thảo_12AS5</v>
      </c>
      <c r="U1166" s="28">
        <f t="array" ref="U1166">IFERROR(VLOOKUP($T1166,'Nghi hoc T12'!$H$7:$I$160,2,0),0)</f>
        <v>0</v>
      </c>
      <c r="V1166" s="28">
        <f>IFERROR(VLOOKUP($T1166,No_HP!$B$2:$C$514,2,0),0)</f>
        <v>0</v>
      </c>
      <c r="W1166" s="28">
        <f t="shared" si="102"/>
        <v>0</v>
      </c>
      <c r="X1166" s="333">
        <f t="shared" si="103"/>
        <v>0</v>
      </c>
      <c r="Y1166" s="333">
        <f t="shared" si="104"/>
        <v>0</v>
      </c>
    </row>
    <row r="1167" spans="1:25" s="2" customFormat="1" ht="21.95" customHeight="1">
      <c r="A1167" s="82">
        <v>14</v>
      </c>
      <c r="B1167" s="91" t="s">
        <v>3363</v>
      </c>
      <c r="C1167" s="83" t="s">
        <v>363</v>
      </c>
      <c r="D1167" s="81" t="s">
        <v>515</v>
      </c>
      <c r="E1167" s="48">
        <v>101159</v>
      </c>
      <c r="F1167" s="30" t="s">
        <v>203</v>
      </c>
      <c r="G1167" s="29" t="s">
        <v>49</v>
      </c>
      <c r="H1167" s="30" t="s">
        <v>434</v>
      </c>
      <c r="I1167" s="78"/>
      <c r="J1167" s="20"/>
      <c r="K1167" s="20"/>
      <c r="L1167" s="20"/>
      <c r="M1167" s="20"/>
      <c r="N1167" s="69" t="s">
        <v>256</v>
      </c>
      <c r="O1167" s="70">
        <v>0</v>
      </c>
      <c r="P1167" s="70">
        <v>0</v>
      </c>
      <c r="Q1167" s="70">
        <v>0</v>
      </c>
      <c r="R1167" s="70"/>
      <c r="S1167" s="67"/>
      <c r="T1167" s="2" t="str">
        <f t="shared" si="101"/>
        <v>Nguyễn Ngọc Phương Thảo_12AS6</v>
      </c>
      <c r="U1167" s="28">
        <f t="array" ref="U1167">IFERROR(VLOOKUP($T1167,'Nghi hoc T12'!$H$7:$I$160,2,0),0)</f>
        <v>0</v>
      </c>
      <c r="V1167" s="28">
        <f>IFERROR(VLOOKUP($T1167,No_HP!$B$2:$C$514,2,0),0)</f>
        <v>0</v>
      </c>
      <c r="W1167" s="28">
        <f t="shared" si="102"/>
        <v>0</v>
      </c>
      <c r="X1167" s="333">
        <f t="shared" si="103"/>
        <v>0</v>
      </c>
      <c r="Y1167" s="333">
        <f t="shared" si="104"/>
        <v>0</v>
      </c>
    </row>
    <row r="1168" spans="1:25" s="2" customFormat="1" ht="21.95" customHeight="1">
      <c r="A1168" s="82">
        <v>15</v>
      </c>
      <c r="B1168" s="91" t="s">
        <v>3363</v>
      </c>
      <c r="C1168" s="83" t="s">
        <v>363</v>
      </c>
      <c r="D1168" s="81" t="s">
        <v>515</v>
      </c>
      <c r="E1168" s="48">
        <v>101160</v>
      </c>
      <c r="F1168" s="30" t="s">
        <v>1887</v>
      </c>
      <c r="G1168" s="29" t="s">
        <v>49</v>
      </c>
      <c r="H1168" s="30" t="s">
        <v>434</v>
      </c>
      <c r="I1168" s="78"/>
      <c r="J1168" s="20"/>
      <c r="K1168" s="20"/>
      <c r="L1168" s="20"/>
      <c r="M1168" s="20"/>
      <c r="N1168" s="69" t="s">
        <v>256</v>
      </c>
      <c r="O1168" s="70">
        <v>0</v>
      </c>
      <c r="P1168" s="70">
        <v>0</v>
      </c>
      <c r="Q1168" s="70">
        <v>0</v>
      </c>
      <c r="R1168" s="70"/>
      <c r="S1168" s="67"/>
      <c r="T1168" s="2" t="str">
        <f t="shared" si="101"/>
        <v>Phạm Nguyên Thảo_12AS6</v>
      </c>
      <c r="U1168" s="28">
        <f t="array" ref="U1168">IFERROR(VLOOKUP($T1168,'Nghi hoc T12'!$H$7:$I$160,2,0),0)</f>
        <v>0</v>
      </c>
      <c r="V1168" s="28">
        <f>IFERROR(VLOOKUP($T1168,No_HP!$B$2:$C$514,2,0),0)</f>
        <v>0</v>
      </c>
      <c r="W1168" s="28">
        <f t="shared" si="102"/>
        <v>0</v>
      </c>
      <c r="X1168" s="333">
        <f t="shared" si="103"/>
        <v>0</v>
      </c>
      <c r="Y1168" s="333">
        <f t="shared" si="104"/>
        <v>0</v>
      </c>
    </row>
    <row r="1169" spans="1:25" s="2" customFormat="1" ht="21.95" customHeight="1">
      <c r="A1169" s="82">
        <v>16</v>
      </c>
      <c r="B1169" s="91" t="s">
        <v>3363</v>
      </c>
      <c r="C1169" s="83" t="s">
        <v>363</v>
      </c>
      <c r="D1169" s="81" t="s">
        <v>515</v>
      </c>
      <c r="E1169" s="48">
        <v>101161</v>
      </c>
      <c r="F1169" s="30" t="s">
        <v>204</v>
      </c>
      <c r="G1169" s="29" t="s">
        <v>49</v>
      </c>
      <c r="H1169" s="30" t="s">
        <v>419</v>
      </c>
      <c r="I1169" s="78"/>
      <c r="J1169" s="20"/>
      <c r="K1169" s="20"/>
      <c r="L1169" s="20"/>
      <c r="M1169" s="20"/>
      <c r="N1169" s="69" t="s">
        <v>256</v>
      </c>
      <c r="O1169" s="70">
        <v>0</v>
      </c>
      <c r="P1169" s="70">
        <v>0</v>
      </c>
      <c r="Q1169" s="70">
        <v>0</v>
      </c>
      <c r="R1169" s="70"/>
      <c r="S1169" s="67"/>
      <c r="T1169" s="2" t="str">
        <f t="shared" si="101"/>
        <v>Vũ Thị Thanh Thảo_12AS4</v>
      </c>
      <c r="U1169" s="28">
        <f t="array" ref="U1169">IFERROR(VLOOKUP($T1169,'Nghi hoc T12'!$H$7:$I$160,2,0),0)</f>
        <v>0</v>
      </c>
      <c r="V1169" s="28">
        <f>IFERROR(VLOOKUP($T1169,No_HP!$B$2:$C$514,2,0),0)</f>
        <v>0</v>
      </c>
      <c r="W1169" s="28">
        <f t="shared" si="102"/>
        <v>0</v>
      </c>
      <c r="X1169" s="333">
        <f t="shared" si="103"/>
        <v>0</v>
      </c>
      <c r="Y1169" s="333">
        <f t="shared" si="104"/>
        <v>0</v>
      </c>
    </row>
    <row r="1170" spans="1:25" s="2" customFormat="1" ht="21.95" customHeight="1">
      <c r="A1170" s="82">
        <v>17</v>
      </c>
      <c r="B1170" s="91" t="s">
        <v>3363</v>
      </c>
      <c r="C1170" s="83" t="s">
        <v>363</v>
      </c>
      <c r="D1170" s="81" t="s">
        <v>515</v>
      </c>
      <c r="E1170" s="48">
        <v>101162</v>
      </c>
      <c r="F1170" s="30" t="s">
        <v>205</v>
      </c>
      <c r="G1170" s="29" t="s">
        <v>50</v>
      </c>
      <c r="H1170" s="30" t="s">
        <v>434</v>
      </c>
      <c r="I1170" s="78"/>
      <c r="J1170" s="20"/>
      <c r="K1170" s="20"/>
      <c r="L1170" s="20"/>
      <c r="M1170" s="20"/>
      <c r="N1170" s="69" t="s">
        <v>256</v>
      </c>
      <c r="O1170" s="70">
        <v>0</v>
      </c>
      <c r="P1170" s="70">
        <v>0</v>
      </c>
      <c r="Q1170" s="70">
        <v>0</v>
      </c>
      <c r="R1170" s="70"/>
      <c r="S1170" s="67"/>
      <c r="T1170" s="2" t="str">
        <f t="shared" si="101"/>
        <v>Đinh Tiến Thiện_12AS6</v>
      </c>
      <c r="U1170" s="28">
        <f t="array" ref="U1170">IFERROR(VLOOKUP($T1170,'Nghi hoc T12'!$H$7:$I$160,2,0),0)</f>
        <v>0</v>
      </c>
      <c r="V1170" s="28">
        <f>IFERROR(VLOOKUP($T1170,No_HP!$B$2:$C$514,2,0),0)</f>
        <v>0</v>
      </c>
      <c r="W1170" s="28">
        <f t="shared" si="102"/>
        <v>0</v>
      </c>
      <c r="X1170" s="333">
        <f t="shared" si="103"/>
        <v>0</v>
      </c>
      <c r="Y1170" s="333">
        <f t="shared" si="104"/>
        <v>0</v>
      </c>
    </row>
    <row r="1171" spans="1:25" s="2" customFormat="1" ht="21.95" customHeight="1">
      <c r="A1171" s="82">
        <v>18</v>
      </c>
      <c r="B1171" s="91" t="s">
        <v>3363</v>
      </c>
      <c r="C1171" s="83" t="s">
        <v>363</v>
      </c>
      <c r="D1171" s="81" t="s">
        <v>515</v>
      </c>
      <c r="E1171" s="48">
        <v>101163</v>
      </c>
      <c r="F1171" s="30" t="s">
        <v>182</v>
      </c>
      <c r="G1171" s="29" t="s">
        <v>50</v>
      </c>
      <c r="H1171" s="30" t="s">
        <v>433</v>
      </c>
      <c r="I1171" s="78"/>
      <c r="J1171" s="20"/>
      <c r="K1171" s="20"/>
      <c r="L1171" s="20"/>
      <c r="M1171" s="20"/>
      <c r="N1171" s="69" t="s">
        <v>256</v>
      </c>
      <c r="O1171" s="70">
        <v>0</v>
      </c>
      <c r="P1171" s="70">
        <v>0</v>
      </c>
      <c r="Q1171" s="70">
        <v>0</v>
      </c>
      <c r="R1171" s="70"/>
      <c r="S1171" s="67"/>
      <c r="T1171" s="2" t="str">
        <f t="shared" si="101"/>
        <v>Lê Thanh Thiện_12AS5</v>
      </c>
      <c r="U1171" s="28">
        <f t="array" ref="U1171">IFERROR(VLOOKUP($T1171,'Nghi hoc T12'!$H$7:$I$160,2,0),0)</f>
        <v>0</v>
      </c>
      <c r="V1171" s="28">
        <f>IFERROR(VLOOKUP($T1171,No_HP!$B$2:$C$514,2,0),0)</f>
        <v>0</v>
      </c>
      <c r="W1171" s="28">
        <f t="shared" si="102"/>
        <v>0</v>
      </c>
      <c r="X1171" s="333">
        <f t="shared" si="103"/>
        <v>0</v>
      </c>
      <c r="Y1171" s="333">
        <f t="shared" si="104"/>
        <v>0</v>
      </c>
    </row>
    <row r="1172" spans="1:25" s="2" customFormat="1" ht="21.95" customHeight="1">
      <c r="A1172" s="82">
        <v>19</v>
      </c>
      <c r="B1172" s="91" t="s">
        <v>3363</v>
      </c>
      <c r="C1172" s="83" t="s">
        <v>363</v>
      </c>
      <c r="D1172" s="81" t="s">
        <v>515</v>
      </c>
      <c r="E1172" s="48">
        <v>101164</v>
      </c>
      <c r="F1172" s="30" t="s">
        <v>37</v>
      </c>
      <c r="G1172" s="29" t="s">
        <v>58</v>
      </c>
      <c r="H1172" s="30" t="s">
        <v>419</v>
      </c>
      <c r="I1172" s="78"/>
      <c r="J1172" s="20"/>
      <c r="K1172" s="20"/>
      <c r="L1172" s="20"/>
      <c r="M1172" s="20"/>
      <c r="N1172" s="69" t="s">
        <v>256</v>
      </c>
      <c r="O1172" s="70">
        <v>0</v>
      </c>
      <c r="P1172" s="70">
        <v>0</v>
      </c>
      <c r="Q1172" s="70">
        <v>0</v>
      </c>
      <c r="R1172" s="70"/>
      <c r="S1172" s="67"/>
      <c r="T1172" s="2" t="str">
        <f t="shared" si="101"/>
        <v>Nguyễn Trường Thịnh_12AS4</v>
      </c>
      <c r="U1172" s="28">
        <f t="array" ref="U1172">IFERROR(VLOOKUP($T1172,'Nghi hoc T12'!$H$7:$I$160,2,0),0)</f>
        <v>0</v>
      </c>
      <c r="V1172" s="28">
        <f>IFERROR(VLOOKUP($T1172,No_HP!$B$2:$C$514,2,0),0)</f>
        <v>0</v>
      </c>
      <c r="W1172" s="28">
        <f t="shared" si="102"/>
        <v>0</v>
      </c>
      <c r="X1172" s="333">
        <f t="shared" si="103"/>
        <v>0</v>
      </c>
      <c r="Y1172" s="333">
        <f t="shared" si="104"/>
        <v>0</v>
      </c>
    </row>
    <row r="1173" spans="1:25" s="2" customFormat="1" ht="21.95" customHeight="1">
      <c r="A1173" s="82">
        <v>20</v>
      </c>
      <c r="B1173" s="91" t="s">
        <v>3363</v>
      </c>
      <c r="C1173" s="83" t="s">
        <v>363</v>
      </c>
      <c r="D1173" s="81" t="s">
        <v>515</v>
      </c>
      <c r="E1173" s="48">
        <v>101165</v>
      </c>
      <c r="F1173" s="30" t="s">
        <v>41</v>
      </c>
      <c r="G1173" s="29" t="s">
        <v>1857</v>
      </c>
      <c r="H1173" s="30" t="s">
        <v>433</v>
      </c>
      <c r="I1173" s="78"/>
      <c r="J1173" s="20"/>
      <c r="K1173" s="20"/>
      <c r="L1173" s="20"/>
      <c r="M1173" s="20"/>
      <c r="N1173" s="69" t="s">
        <v>256</v>
      </c>
      <c r="O1173" s="70">
        <v>0</v>
      </c>
      <c r="P1173" s="70">
        <v>0</v>
      </c>
      <c r="Q1173" s="70">
        <v>0</v>
      </c>
      <c r="R1173" s="70"/>
      <c r="S1173" s="67"/>
      <c r="T1173" s="2" t="str">
        <f t="shared" si="101"/>
        <v>Nguyễn Thị Hồng Thơm_12AS5</v>
      </c>
      <c r="U1173" s="28">
        <f t="array" ref="U1173">IFERROR(VLOOKUP($T1173,'Nghi hoc T12'!$H$7:$I$160,2,0),0)</f>
        <v>0</v>
      </c>
      <c r="V1173" s="28">
        <f>IFERROR(VLOOKUP($T1173,No_HP!$B$2:$C$514,2,0),0)</f>
        <v>0</v>
      </c>
      <c r="W1173" s="28">
        <f t="shared" si="102"/>
        <v>0</v>
      </c>
      <c r="X1173" s="333">
        <f t="shared" si="103"/>
        <v>0</v>
      </c>
      <c r="Y1173" s="333">
        <f t="shared" si="104"/>
        <v>0</v>
      </c>
    </row>
    <row r="1174" spans="1:25" s="2" customFormat="1" ht="21.95" customHeight="1">
      <c r="A1174" s="82">
        <v>21</v>
      </c>
      <c r="B1174" s="91" t="s">
        <v>3363</v>
      </c>
      <c r="C1174" s="83" t="s">
        <v>363</v>
      </c>
      <c r="D1174" s="81" t="s">
        <v>515</v>
      </c>
      <c r="E1174" s="48">
        <v>101166</v>
      </c>
      <c r="F1174" s="30" t="s">
        <v>1676</v>
      </c>
      <c r="G1174" s="29" t="s">
        <v>162</v>
      </c>
      <c r="H1174" s="30" t="s">
        <v>433</v>
      </c>
      <c r="I1174" s="78"/>
      <c r="J1174" s="20"/>
      <c r="K1174" s="20"/>
      <c r="L1174" s="20"/>
      <c r="M1174" s="20"/>
      <c r="N1174" s="69" t="s">
        <v>256</v>
      </c>
      <c r="O1174" s="70">
        <v>0</v>
      </c>
      <c r="P1174" s="70">
        <v>0</v>
      </c>
      <c r="Q1174" s="70">
        <v>0</v>
      </c>
      <c r="R1174" s="70"/>
      <c r="S1174" s="67"/>
      <c r="T1174" s="2" t="str">
        <f t="shared" si="101"/>
        <v>Dương Thị Bích Thùy_12AS5</v>
      </c>
      <c r="U1174" s="28">
        <f t="array" ref="U1174">IFERROR(VLOOKUP($T1174,'Nghi hoc T12'!$H$7:$I$160,2,0),0)</f>
        <v>0</v>
      </c>
      <c r="V1174" s="28">
        <f>IFERROR(VLOOKUP($T1174,No_HP!$B$2:$C$514,2,0),0)</f>
        <v>0</v>
      </c>
      <c r="W1174" s="28">
        <f t="shared" si="102"/>
        <v>0</v>
      </c>
      <c r="X1174" s="333">
        <f t="shared" si="103"/>
        <v>0</v>
      </c>
      <c r="Y1174" s="333">
        <f t="shared" si="104"/>
        <v>0</v>
      </c>
    </row>
    <row r="1175" spans="1:25" s="2" customFormat="1" ht="21.95" customHeight="1">
      <c r="A1175" s="82">
        <v>22</v>
      </c>
      <c r="B1175" s="91" t="s">
        <v>3363</v>
      </c>
      <c r="C1175" s="83" t="s">
        <v>363</v>
      </c>
      <c r="D1175" s="81" t="s">
        <v>515</v>
      </c>
      <c r="E1175" s="48">
        <v>101167</v>
      </c>
      <c r="F1175" s="30" t="s">
        <v>1858</v>
      </c>
      <c r="G1175" s="29" t="s">
        <v>212</v>
      </c>
      <c r="H1175" s="30" t="s">
        <v>433</v>
      </c>
      <c r="I1175" s="78"/>
      <c r="J1175" s="20"/>
      <c r="K1175" s="20"/>
      <c r="L1175" s="20"/>
      <c r="M1175" s="20"/>
      <c r="N1175" s="69" t="s">
        <v>256</v>
      </c>
      <c r="O1175" s="70">
        <v>0</v>
      </c>
      <c r="P1175" s="70">
        <v>0</v>
      </c>
      <c r="Q1175" s="70">
        <v>0</v>
      </c>
      <c r="R1175" s="70"/>
      <c r="S1175" s="67"/>
      <c r="T1175" s="2" t="str">
        <f t="shared" si="101"/>
        <v>Bạch Thị Thu Thuỷ_12AS5</v>
      </c>
      <c r="U1175" s="28">
        <f t="array" ref="U1175">IFERROR(VLOOKUP($T1175,'Nghi hoc T12'!$H$7:$I$160,2,0),0)</f>
        <v>0</v>
      </c>
      <c r="V1175" s="28">
        <f>IFERROR(VLOOKUP($T1175,No_HP!$B$2:$C$514,2,0),0)</f>
        <v>0</v>
      </c>
      <c r="W1175" s="28">
        <f t="shared" si="102"/>
        <v>0</v>
      </c>
      <c r="X1175" s="333">
        <f t="shared" si="103"/>
        <v>0</v>
      </c>
      <c r="Y1175" s="333">
        <f t="shared" si="104"/>
        <v>0</v>
      </c>
    </row>
    <row r="1176" spans="1:25" s="2" customFormat="1" ht="21.95" customHeight="1">
      <c r="A1176" s="82">
        <v>23</v>
      </c>
      <c r="B1176" s="91" t="s">
        <v>3363</v>
      </c>
      <c r="C1176" s="83" t="s">
        <v>363</v>
      </c>
      <c r="D1176" s="81" t="s">
        <v>515</v>
      </c>
      <c r="E1176" s="48">
        <v>101168</v>
      </c>
      <c r="F1176" s="30" t="s">
        <v>1828</v>
      </c>
      <c r="G1176" s="29" t="s">
        <v>28</v>
      </c>
      <c r="H1176" s="30" t="s">
        <v>419</v>
      </c>
      <c r="I1176" s="78"/>
      <c r="J1176" s="20"/>
      <c r="K1176" s="20"/>
      <c r="L1176" s="20"/>
      <c r="M1176" s="20"/>
      <c r="N1176" s="69" t="s">
        <v>256</v>
      </c>
      <c r="O1176" s="70">
        <v>0</v>
      </c>
      <c r="P1176" s="70">
        <v>0</v>
      </c>
      <c r="Q1176" s="70">
        <v>0</v>
      </c>
      <c r="R1176" s="70"/>
      <c r="S1176" s="67"/>
      <c r="T1176" s="2" t="str">
        <f t="shared" si="101"/>
        <v>Lê An Thư_12AS4</v>
      </c>
      <c r="U1176" s="28">
        <f t="array" ref="U1176">IFERROR(VLOOKUP($T1176,'Nghi hoc T12'!$H$7:$I$160,2,0),0)</f>
        <v>0</v>
      </c>
      <c r="V1176" s="28">
        <f>IFERROR(VLOOKUP($T1176,No_HP!$B$2:$C$514,2,0),0)</f>
        <v>0</v>
      </c>
      <c r="W1176" s="28">
        <f t="shared" si="102"/>
        <v>0</v>
      </c>
      <c r="X1176" s="333">
        <f t="shared" si="103"/>
        <v>0</v>
      </c>
      <c r="Y1176" s="333">
        <f t="shared" si="104"/>
        <v>0</v>
      </c>
    </row>
    <row r="1177" spans="1:25" s="2" customFormat="1" ht="21.95" customHeight="1">
      <c r="A1177" s="82">
        <v>24</v>
      </c>
      <c r="B1177" s="91" t="s">
        <v>3363</v>
      </c>
      <c r="C1177" s="83" t="s">
        <v>363</v>
      </c>
      <c r="D1177" s="81" t="s">
        <v>515</v>
      </c>
      <c r="E1177" s="48">
        <v>101169</v>
      </c>
      <c r="F1177" s="30" t="s">
        <v>1829</v>
      </c>
      <c r="G1177" s="29" t="s">
        <v>28</v>
      </c>
      <c r="H1177" s="30" t="s">
        <v>419</v>
      </c>
      <c r="I1177" s="78"/>
      <c r="J1177" s="20"/>
      <c r="K1177" s="20"/>
      <c r="L1177" s="20"/>
      <c r="M1177" s="20"/>
      <c r="N1177" s="69" t="s">
        <v>256</v>
      </c>
      <c r="O1177" s="70">
        <v>0</v>
      </c>
      <c r="P1177" s="70">
        <v>0</v>
      </c>
      <c r="Q1177" s="70">
        <v>0</v>
      </c>
      <c r="R1177" s="70"/>
      <c r="S1177" s="67"/>
      <c r="T1177" s="2" t="str">
        <f t="shared" si="101"/>
        <v>Lương Anh Thư_12AS4</v>
      </c>
      <c r="U1177" s="28">
        <f t="array" ref="U1177">IFERROR(VLOOKUP($T1177,'Nghi hoc T12'!$H$7:$I$160,2,0),0)</f>
        <v>0</v>
      </c>
      <c r="V1177" s="28">
        <f>IFERROR(VLOOKUP($T1177,No_HP!$B$2:$C$514,2,0),0)</f>
        <v>0</v>
      </c>
      <c r="W1177" s="28">
        <f t="shared" si="102"/>
        <v>0</v>
      </c>
      <c r="X1177" s="333">
        <f t="shared" si="103"/>
        <v>0</v>
      </c>
      <c r="Y1177" s="333">
        <f t="shared" si="104"/>
        <v>0</v>
      </c>
    </row>
    <row r="1178" spans="1:25" s="2" customFormat="1" ht="21.95" customHeight="1">
      <c r="A1178" s="82">
        <v>25</v>
      </c>
      <c r="B1178" s="91" t="s">
        <v>3363</v>
      </c>
      <c r="C1178" s="83" t="s">
        <v>363</v>
      </c>
      <c r="D1178" s="81" t="s">
        <v>515</v>
      </c>
      <c r="E1178" s="48">
        <v>101170</v>
      </c>
      <c r="F1178" s="30" t="s">
        <v>1859</v>
      </c>
      <c r="G1178" s="29" t="s">
        <v>28</v>
      </c>
      <c r="H1178" s="30" t="s">
        <v>433</v>
      </c>
      <c r="I1178" s="78"/>
      <c r="J1178" s="20"/>
      <c r="K1178" s="20"/>
      <c r="L1178" s="20"/>
      <c r="M1178" s="20"/>
      <c r="N1178" s="69" t="s">
        <v>256</v>
      </c>
      <c r="O1178" s="70">
        <v>0</v>
      </c>
      <c r="P1178" s="70">
        <v>0</v>
      </c>
      <c r="Q1178" s="70">
        <v>0</v>
      </c>
      <c r="R1178" s="70"/>
      <c r="S1178" s="67"/>
      <c r="T1178" s="2" t="str">
        <f t="shared" si="101"/>
        <v>Phạm Đỗ Minh Thư_12AS5</v>
      </c>
      <c r="U1178" s="28">
        <f t="array" ref="U1178">IFERROR(VLOOKUP($T1178,'Nghi hoc T12'!$H$7:$I$160,2,0),0)</f>
        <v>0</v>
      </c>
      <c r="V1178" s="28">
        <f>IFERROR(VLOOKUP($T1178,No_HP!$B$2:$C$514,2,0),0)</f>
        <v>0</v>
      </c>
      <c r="W1178" s="28">
        <f t="shared" si="102"/>
        <v>0</v>
      </c>
      <c r="X1178" s="333">
        <f t="shared" si="103"/>
        <v>0</v>
      </c>
      <c r="Y1178" s="333">
        <f t="shared" si="104"/>
        <v>0</v>
      </c>
    </row>
    <row r="1179" spans="1:25" s="2" customFormat="1" ht="21.95" customHeight="1">
      <c r="A1179" s="82">
        <v>26</v>
      </c>
      <c r="B1179" s="91" t="s">
        <v>3363</v>
      </c>
      <c r="C1179" s="83" t="s">
        <v>363</v>
      </c>
      <c r="D1179" s="81" t="s">
        <v>515</v>
      </c>
      <c r="E1179" s="48">
        <v>101171</v>
      </c>
      <c r="F1179" s="30" t="s">
        <v>1214</v>
      </c>
      <c r="G1179" s="29" t="s">
        <v>111</v>
      </c>
      <c r="H1179" s="30" t="s">
        <v>419</v>
      </c>
      <c r="I1179" s="78"/>
      <c r="J1179" s="20"/>
      <c r="K1179" s="20"/>
      <c r="L1179" s="20"/>
      <c r="M1179" s="20"/>
      <c r="N1179" s="69" t="s">
        <v>256</v>
      </c>
      <c r="O1179" s="70">
        <v>0</v>
      </c>
      <c r="P1179" s="70">
        <v>0</v>
      </c>
      <c r="Q1179" s="70">
        <v>0</v>
      </c>
      <c r="R1179" s="70"/>
      <c r="S1179" s="67"/>
      <c r="T1179" s="2" t="str">
        <f t="shared" si="101"/>
        <v>Nguyễn Thị Hoài Thương_12AS4</v>
      </c>
      <c r="U1179" s="28">
        <f t="array" ref="U1179">IFERROR(VLOOKUP($T1179,'Nghi hoc T12'!$H$7:$I$160,2,0),0)</f>
        <v>0</v>
      </c>
      <c r="V1179" s="28">
        <f>IFERROR(VLOOKUP($T1179,No_HP!$B$2:$C$514,2,0),0)</f>
        <v>0</v>
      </c>
      <c r="W1179" s="28">
        <f t="shared" si="102"/>
        <v>0</v>
      </c>
      <c r="X1179" s="333">
        <f t="shared" si="103"/>
        <v>0</v>
      </c>
      <c r="Y1179" s="333">
        <f t="shared" si="104"/>
        <v>0</v>
      </c>
    </row>
    <row r="1180" spans="1:25" s="2" customFormat="1" ht="21.95" customHeight="1">
      <c r="A1180" s="82">
        <v>27</v>
      </c>
      <c r="B1180" s="91" t="s">
        <v>3363</v>
      </c>
      <c r="C1180" s="83" t="s">
        <v>363</v>
      </c>
      <c r="D1180" s="81" t="s">
        <v>515</v>
      </c>
      <c r="E1180" s="48">
        <v>101172</v>
      </c>
      <c r="F1180" s="30" t="s">
        <v>1888</v>
      </c>
      <c r="G1180" s="29" t="s">
        <v>80</v>
      </c>
      <c r="H1180" s="30" t="s">
        <v>434</v>
      </c>
      <c r="I1180" s="78"/>
      <c r="J1180" s="20"/>
      <c r="K1180" s="20"/>
      <c r="L1180" s="20"/>
      <c r="M1180" s="20"/>
      <c r="N1180" s="69" t="s">
        <v>256</v>
      </c>
      <c r="O1180" s="70">
        <v>0</v>
      </c>
      <c r="P1180" s="70">
        <v>0</v>
      </c>
      <c r="Q1180" s="70">
        <v>0</v>
      </c>
      <c r="R1180" s="70"/>
      <c r="S1180" s="67"/>
      <c r="T1180" s="2" t="str">
        <f t="shared" si="101"/>
        <v>Hoàng Thủy Tiên_12AS6</v>
      </c>
      <c r="U1180" s="28">
        <f t="array" ref="U1180">IFERROR(VLOOKUP($T1180,'Nghi hoc T12'!$H$7:$I$160,2,0),0)</f>
        <v>0</v>
      </c>
      <c r="V1180" s="28">
        <f>IFERROR(VLOOKUP($T1180,No_HP!$B$2:$C$514,2,0),0)</f>
        <v>0</v>
      </c>
      <c r="W1180" s="28">
        <f t="shared" si="102"/>
        <v>0</v>
      </c>
      <c r="X1180" s="333">
        <f t="shared" si="103"/>
        <v>0</v>
      </c>
      <c r="Y1180" s="333">
        <f t="shared" si="104"/>
        <v>0</v>
      </c>
    </row>
    <row r="1181" spans="1:25" s="2" customFormat="1" ht="21.95" customHeight="1">
      <c r="A1181" s="82">
        <v>28</v>
      </c>
      <c r="B1181" s="91" t="s">
        <v>3363</v>
      </c>
      <c r="C1181" s="83" t="s">
        <v>363</v>
      </c>
      <c r="D1181" s="81" t="s">
        <v>515</v>
      </c>
      <c r="E1181" s="48">
        <v>101173</v>
      </c>
      <c r="F1181" s="30" t="s">
        <v>216</v>
      </c>
      <c r="G1181" s="29" t="s">
        <v>215</v>
      </c>
      <c r="H1181" s="30" t="s">
        <v>419</v>
      </c>
      <c r="I1181" s="78"/>
      <c r="J1181" s="20"/>
      <c r="K1181" s="20"/>
      <c r="L1181" s="20"/>
      <c r="M1181" s="20"/>
      <c r="N1181" s="69" t="s">
        <v>256</v>
      </c>
      <c r="O1181" s="70">
        <v>0</v>
      </c>
      <c r="P1181" s="70">
        <v>0</v>
      </c>
      <c r="Q1181" s="70">
        <v>0</v>
      </c>
      <c r="R1181" s="70"/>
      <c r="S1181" s="67"/>
      <c r="T1181" s="2" t="str">
        <f t="shared" si="101"/>
        <v>Nguyễn Nhật Tiến_12AS4</v>
      </c>
      <c r="U1181" s="28">
        <f t="array" ref="U1181">IFERROR(VLOOKUP($T1181,'Nghi hoc T12'!$H$7:$I$160,2,0),0)</f>
        <v>0</v>
      </c>
      <c r="V1181" s="28">
        <f>IFERROR(VLOOKUP($T1181,No_HP!$B$2:$C$514,2,0),0)</f>
        <v>0</v>
      </c>
      <c r="W1181" s="28">
        <f t="shared" si="102"/>
        <v>0</v>
      </c>
      <c r="X1181" s="333">
        <f t="shared" si="103"/>
        <v>0</v>
      </c>
      <c r="Y1181" s="333">
        <f t="shared" si="104"/>
        <v>0</v>
      </c>
    </row>
    <row r="1182" spans="1:25" s="2" customFormat="1" ht="21.95" customHeight="1">
      <c r="A1182" s="200">
        <v>1</v>
      </c>
      <c r="B1182" s="91" t="s">
        <v>3364</v>
      </c>
      <c r="C1182" s="185" t="s">
        <v>363</v>
      </c>
      <c r="D1182" s="186" t="s">
        <v>516</v>
      </c>
      <c r="E1182" s="187">
        <v>101174</v>
      </c>
      <c r="F1182" s="188" t="s">
        <v>1889</v>
      </c>
      <c r="G1182" s="189" t="s">
        <v>215</v>
      </c>
      <c r="H1182" s="188" t="s">
        <v>434</v>
      </c>
      <c r="I1182" s="190"/>
      <c r="J1182" s="191"/>
      <c r="K1182" s="191"/>
      <c r="L1182" s="191"/>
      <c r="M1182" s="191"/>
      <c r="N1182" s="69" t="s">
        <v>256</v>
      </c>
      <c r="O1182" s="70">
        <v>0</v>
      </c>
      <c r="P1182" s="70">
        <v>0</v>
      </c>
      <c r="Q1182" s="70">
        <v>0</v>
      </c>
      <c r="R1182" s="70"/>
      <c r="S1182" s="67"/>
      <c r="T1182" s="2" t="str">
        <f t="shared" si="101"/>
        <v>Tạ Minh Tiến_12AS6</v>
      </c>
      <c r="U1182" s="28">
        <f t="array" ref="U1182">IFERROR(VLOOKUP($T1182,'Nghi hoc T12'!$H$7:$I$160,2,0),0)</f>
        <v>0</v>
      </c>
      <c r="V1182" s="28">
        <f>IFERROR(VLOOKUP($T1182,No_HP!$B$2:$C$514,2,0),0)</f>
        <v>0</v>
      </c>
      <c r="W1182" s="28">
        <f t="shared" si="102"/>
        <v>0</v>
      </c>
      <c r="X1182" s="333">
        <f t="shared" si="103"/>
        <v>0</v>
      </c>
      <c r="Y1182" s="333">
        <f t="shared" si="104"/>
        <v>0</v>
      </c>
    </row>
    <row r="1183" spans="1:25" s="2" customFormat="1" ht="21.95" customHeight="1">
      <c r="A1183" s="82">
        <v>2</v>
      </c>
      <c r="B1183" s="91" t="s">
        <v>3364</v>
      </c>
      <c r="C1183" s="83" t="s">
        <v>363</v>
      </c>
      <c r="D1183" s="81" t="s">
        <v>516</v>
      </c>
      <c r="E1183" s="48">
        <v>101175</v>
      </c>
      <c r="F1183" s="30" t="s">
        <v>1860</v>
      </c>
      <c r="G1183" s="29" t="s">
        <v>30</v>
      </c>
      <c r="H1183" s="30" t="s">
        <v>433</v>
      </c>
      <c r="I1183" s="78"/>
      <c r="J1183" s="20"/>
      <c r="K1183" s="20"/>
      <c r="L1183" s="20"/>
      <c r="M1183" s="82"/>
      <c r="N1183" s="69" t="s">
        <v>256</v>
      </c>
      <c r="O1183" s="70">
        <v>0</v>
      </c>
      <c r="P1183" s="70">
        <v>0</v>
      </c>
      <c r="Q1183" s="70">
        <v>0</v>
      </c>
      <c r="R1183" s="70"/>
      <c r="S1183" s="67"/>
      <c r="T1183" s="2" t="str">
        <f t="shared" si="101"/>
        <v>Lý Kim Trang_12AS5</v>
      </c>
      <c r="U1183" s="28">
        <f t="array" ref="U1183">IFERROR(VLOOKUP($T1183,'Nghi hoc T12'!$H$7:$I$160,2,0),0)</f>
        <v>0</v>
      </c>
      <c r="V1183" s="28">
        <f>IFERROR(VLOOKUP($T1183,No_HP!$B$2:$C$514,2,0),0)</f>
        <v>0</v>
      </c>
      <c r="W1183" s="28">
        <f t="shared" si="102"/>
        <v>0</v>
      </c>
      <c r="X1183" s="333">
        <f t="shared" si="103"/>
        <v>0</v>
      </c>
      <c r="Y1183" s="333">
        <f t="shared" si="104"/>
        <v>0</v>
      </c>
    </row>
    <row r="1184" spans="1:25" s="2" customFormat="1" ht="21.95" customHeight="1">
      <c r="A1184" s="82">
        <v>3</v>
      </c>
      <c r="B1184" s="91" t="s">
        <v>3364</v>
      </c>
      <c r="C1184" s="83" t="s">
        <v>363</v>
      </c>
      <c r="D1184" s="81" t="s">
        <v>516</v>
      </c>
      <c r="E1184" s="48">
        <v>101176</v>
      </c>
      <c r="F1184" s="30" t="s">
        <v>186</v>
      </c>
      <c r="G1184" s="29" t="s">
        <v>30</v>
      </c>
      <c r="H1184" s="30" t="s">
        <v>419</v>
      </c>
      <c r="I1184" s="78"/>
      <c r="J1184" s="20"/>
      <c r="K1184" s="20"/>
      <c r="L1184" s="20"/>
      <c r="M1184" s="20"/>
      <c r="N1184" s="69" t="s">
        <v>256</v>
      </c>
      <c r="O1184" s="70">
        <v>0</v>
      </c>
      <c r="P1184" s="70">
        <v>0</v>
      </c>
      <c r="Q1184" s="70">
        <v>0</v>
      </c>
      <c r="R1184" s="70"/>
      <c r="S1184" s="67"/>
      <c r="T1184" s="2" t="str">
        <f t="shared" si="101"/>
        <v>Nguyễn Minh Trang_12AS4</v>
      </c>
      <c r="U1184" s="28">
        <f t="array" ref="U1184">IFERROR(VLOOKUP($T1184,'Nghi hoc T12'!$H$7:$I$160,2,0),0)</f>
        <v>0</v>
      </c>
      <c r="V1184" s="28">
        <f>IFERROR(VLOOKUP($T1184,No_HP!$B$2:$C$514,2,0),0)</f>
        <v>0</v>
      </c>
      <c r="W1184" s="28">
        <f t="shared" si="102"/>
        <v>0</v>
      </c>
      <c r="X1184" s="333">
        <f t="shared" si="103"/>
        <v>0</v>
      </c>
      <c r="Y1184" s="333">
        <f t="shared" si="104"/>
        <v>0</v>
      </c>
    </row>
    <row r="1185" spans="1:25" s="2" customFormat="1" ht="21.95" customHeight="1">
      <c r="A1185" s="82">
        <v>4</v>
      </c>
      <c r="B1185" s="91" t="s">
        <v>3364</v>
      </c>
      <c r="C1185" s="83" t="s">
        <v>363</v>
      </c>
      <c r="D1185" s="81" t="s">
        <v>516</v>
      </c>
      <c r="E1185" s="48">
        <v>101177</v>
      </c>
      <c r="F1185" s="30" t="s">
        <v>56</v>
      </c>
      <c r="G1185" s="29" t="s">
        <v>30</v>
      </c>
      <c r="H1185" s="30" t="s">
        <v>433</v>
      </c>
      <c r="I1185" s="78"/>
      <c r="J1185" s="20"/>
      <c r="K1185" s="20"/>
      <c r="L1185" s="20"/>
      <c r="M1185" s="20"/>
      <c r="N1185" s="69" t="s">
        <v>256</v>
      </c>
      <c r="O1185" s="70">
        <v>0</v>
      </c>
      <c r="P1185" s="70">
        <v>0</v>
      </c>
      <c r="Q1185" s="70">
        <v>0</v>
      </c>
      <c r="R1185" s="70"/>
      <c r="S1185" s="67"/>
      <c r="T1185" s="2" t="str">
        <f t="shared" si="101"/>
        <v>Nguyễn Thị Thu Trang_12AS5</v>
      </c>
      <c r="U1185" s="28">
        <f t="array" ref="U1185">IFERROR(VLOOKUP($T1185,'Nghi hoc T12'!$H$7:$I$160,2,0),0)</f>
        <v>0</v>
      </c>
      <c r="V1185" s="28">
        <f>IFERROR(VLOOKUP($T1185,No_HP!$B$2:$C$514,2,0),0)</f>
        <v>0</v>
      </c>
      <c r="W1185" s="28">
        <f t="shared" si="102"/>
        <v>0</v>
      </c>
      <c r="X1185" s="333">
        <f t="shared" si="103"/>
        <v>0</v>
      </c>
      <c r="Y1185" s="333">
        <f t="shared" si="104"/>
        <v>0</v>
      </c>
    </row>
    <row r="1186" spans="1:25" s="2" customFormat="1" ht="21.95" customHeight="1">
      <c r="A1186" s="82">
        <v>5</v>
      </c>
      <c r="B1186" s="91" t="s">
        <v>3364</v>
      </c>
      <c r="C1186" s="83" t="s">
        <v>363</v>
      </c>
      <c r="D1186" s="81" t="s">
        <v>516</v>
      </c>
      <c r="E1186" s="48">
        <v>101178</v>
      </c>
      <c r="F1186" s="30" t="s">
        <v>1830</v>
      </c>
      <c r="G1186" s="29" t="s">
        <v>30</v>
      </c>
      <c r="H1186" s="30" t="s">
        <v>419</v>
      </c>
      <c r="I1186" s="78"/>
      <c r="J1186" s="20"/>
      <c r="K1186" s="20"/>
      <c r="L1186" s="20"/>
      <c r="M1186" s="20"/>
      <c r="N1186" s="69" t="s">
        <v>256</v>
      </c>
      <c r="O1186" s="70">
        <v>0</v>
      </c>
      <c r="P1186" s="70">
        <v>0</v>
      </c>
      <c r="Q1186" s="70">
        <v>0</v>
      </c>
      <c r="R1186" s="70"/>
      <c r="S1186" s="67"/>
      <c r="T1186" s="2" t="str">
        <f t="shared" si="101"/>
        <v>Trần Thị Kiều Trang_12AS4</v>
      </c>
      <c r="U1186" s="28">
        <f t="array" ref="U1186">IFERROR(VLOOKUP($T1186,'Nghi hoc T12'!$H$7:$I$160,2,0),0)</f>
        <v>0</v>
      </c>
      <c r="V1186" s="28">
        <f>IFERROR(VLOOKUP($T1186,No_HP!$B$2:$C$514,2,0),0)</f>
        <v>0</v>
      </c>
      <c r="W1186" s="28">
        <f t="shared" si="102"/>
        <v>0</v>
      </c>
      <c r="X1186" s="333">
        <f t="shared" si="103"/>
        <v>0</v>
      </c>
      <c r="Y1186" s="333">
        <f t="shared" si="104"/>
        <v>0</v>
      </c>
    </row>
    <row r="1187" spans="1:25" s="2" customFormat="1" ht="21.95" customHeight="1">
      <c r="A1187" s="82">
        <v>6</v>
      </c>
      <c r="B1187" s="91" t="s">
        <v>3364</v>
      </c>
      <c r="C1187" s="83" t="s">
        <v>363</v>
      </c>
      <c r="D1187" s="81" t="s">
        <v>516</v>
      </c>
      <c r="E1187" s="48">
        <v>101179</v>
      </c>
      <c r="F1187" s="30" t="s">
        <v>1890</v>
      </c>
      <c r="G1187" s="29" t="s">
        <v>29</v>
      </c>
      <c r="H1187" s="30" t="s">
        <v>434</v>
      </c>
      <c r="I1187" s="78" t="s">
        <v>529</v>
      </c>
      <c r="J1187" s="20"/>
      <c r="K1187" s="20"/>
      <c r="L1187" s="20"/>
      <c r="M1187" s="20"/>
      <c r="N1187" s="69" t="s">
        <v>256</v>
      </c>
      <c r="O1187" s="70">
        <v>0</v>
      </c>
      <c r="P1187" s="70">
        <v>0</v>
      </c>
      <c r="Q1187" s="70" t="s">
        <v>3334</v>
      </c>
      <c r="R1187" s="70"/>
      <c r="S1187" s="67"/>
      <c r="T1187" s="2" t="str">
        <f t="shared" si="101"/>
        <v>Ngô Thị Quỳnh Trâm_12AS6</v>
      </c>
      <c r="U1187" s="28" t="str">
        <f t="array" ref="U1187">IFERROR(VLOOKUP($T1187,'Nghi hoc T12'!$H$7:$I$160,2,0),0)</f>
        <v>NgiH</v>
      </c>
      <c r="V1187" s="28">
        <f>IFERROR(VLOOKUP($T1187,No_HP!$B$2:$C$514,2,0),0)</f>
        <v>0</v>
      </c>
      <c r="W1187" s="28" t="str">
        <f t="shared" si="102"/>
        <v>Nghỉ học</v>
      </c>
      <c r="X1187" s="333">
        <f t="shared" si="103"/>
        <v>0</v>
      </c>
      <c r="Y1187" s="333">
        <f t="shared" si="104"/>
        <v>0</v>
      </c>
    </row>
    <row r="1188" spans="1:25" s="2" customFormat="1" ht="21.95" customHeight="1">
      <c r="A1188" s="82">
        <v>7</v>
      </c>
      <c r="B1188" s="91" t="s">
        <v>3364</v>
      </c>
      <c r="C1188" s="83" t="s">
        <v>363</v>
      </c>
      <c r="D1188" s="81" t="s">
        <v>516</v>
      </c>
      <c r="E1188" s="48">
        <v>101180</v>
      </c>
      <c r="F1188" s="30" t="s">
        <v>217</v>
      </c>
      <c r="G1188" s="29" t="s">
        <v>206</v>
      </c>
      <c r="H1188" s="30" t="s">
        <v>434</v>
      </c>
      <c r="I1188" s="78"/>
      <c r="J1188" s="20"/>
      <c r="K1188" s="20"/>
      <c r="L1188" s="20"/>
      <c r="M1188" s="20"/>
      <c r="N1188" s="69" t="s">
        <v>256</v>
      </c>
      <c r="O1188" s="70">
        <v>0</v>
      </c>
      <c r="P1188" s="70">
        <v>0</v>
      </c>
      <c r="Q1188" s="70">
        <v>0</v>
      </c>
      <c r="R1188" s="70"/>
      <c r="S1188" s="67"/>
      <c r="T1188" s="2" t="str">
        <f t="shared" si="101"/>
        <v>Hoàng Phước Trí_12AS6</v>
      </c>
      <c r="U1188" s="28">
        <f t="array" ref="U1188">IFERROR(VLOOKUP($T1188,'Nghi hoc T12'!$H$7:$I$160,2,0),0)</f>
        <v>0</v>
      </c>
      <c r="V1188" s="28">
        <f>IFERROR(VLOOKUP($T1188,No_HP!$B$2:$C$514,2,0),0)</f>
        <v>0</v>
      </c>
      <c r="W1188" s="28">
        <f t="shared" si="102"/>
        <v>0</v>
      </c>
      <c r="X1188" s="333">
        <f t="shared" si="103"/>
        <v>0</v>
      </c>
      <c r="Y1188" s="333">
        <f t="shared" si="104"/>
        <v>0</v>
      </c>
    </row>
    <row r="1189" spans="1:25" s="2" customFormat="1" ht="21.95" customHeight="1">
      <c r="A1189" s="82">
        <v>8</v>
      </c>
      <c r="B1189" s="91" t="s">
        <v>3364</v>
      </c>
      <c r="C1189" s="83" t="s">
        <v>363</v>
      </c>
      <c r="D1189" s="81" t="s">
        <v>516</v>
      </c>
      <c r="E1189" s="48">
        <v>101181</v>
      </c>
      <c r="F1189" s="30" t="s">
        <v>165</v>
      </c>
      <c r="G1189" s="29" t="s">
        <v>206</v>
      </c>
      <c r="H1189" s="30" t="s">
        <v>434</v>
      </c>
      <c r="I1189" s="78"/>
      <c r="J1189" s="20"/>
      <c r="K1189" s="20"/>
      <c r="L1189" s="20"/>
      <c r="M1189" s="20"/>
      <c r="N1189" s="69" t="s">
        <v>256</v>
      </c>
      <c r="O1189" s="70">
        <v>0</v>
      </c>
      <c r="P1189" s="70">
        <v>0</v>
      </c>
      <c r="Q1189" s="70">
        <v>0</v>
      </c>
      <c r="R1189" s="70"/>
      <c r="S1189" s="67"/>
      <c r="T1189" s="2" t="str">
        <f t="shared" si="101"/>
        <v>Nguyễn Đức Trí_12AS6</v>
      </c>
      <c r="U1189" s="28">
        <f t="array" ref="U1189">IFERROR(VLOOKUP($T1189,'Nghi hoc T12'!$H$7:$I$160,2,0),0)</f>
        <v>0</v>
      </c>
      <c r="V1189" s="28">
        <f>IFERROR(VLOOKUP($T1189,No_HP!$B$2:$C$514,2,0),0)</f>
        <v>0</v>
      </c>
      <c r="W1189" s="28">
        <f t="shared" si="102"/>
        <v>0</v>
      </c>
      <c r="X1189" s="333">
        <f t="shared" si="103"/>
        <v>0</v>
      </c>
      <c r="Y1189" s="333">
        <f t="shared" si="104"/>
        <v>0</v>
      </c>
    </row>
    <row r="1190" spans="1:25" s="2" customFormat="1" ht="21.95" customHeight="1">
      <c r="A1190" s="82">
        <v>9</v>
      </c>
      <c r="B1190" s="91" t="s">
        <v>3364</v>
      </c>
      <c r="C1190" s="83" t="s">
        <v>363</v>
      </c>
      <c r="D1190" s="81" t="s">
        <v>516</v>
      </c>
      <c r="E1190" s="48">
        <v>101182</v>
      </c>
      <c r="F1190" s="30" t="s">
        <v>1861</v>
      </c>
      <c r="G1190" s="29" t="s">
        <v>218</v>
      </c>
      <c r="H1190" s="30" t="s">
        <v>433</v>
      </c>
      <c r="I1190" s="78"/>
      <c r="J1190" s="20"/>
      <c r="K1190" s="20"/>
      <c r="L1190" s="20"/>
      <c r="M1190" s="20"/>
      <c r="N1190" s="69" t="s">
        <v>256</v>
      </c>
      <c r="O1190" s="70">
        <v>0</v>
      </c>
      <c r="P1190" s="70">
        <v>0</v>
      </c>
      <c r="Q1190" s="70">
        <v>0</v>
      </c>
      <c r="R1190" s="70"/>
      <c r="S1190" s="67"/>
      <c r="T1190" s="2" t="str">
        <f t="shared" si="101"/>
        <v>Đào Nguyễn Minh Triết_12AS5</v>
      </c>
      <c r="U1190" s="28">
        <f t="array" ref="U1190">IFERROR(VLOOKUP($T1190,'Nghi hoc T12'!$H$7:$I$160,2,0),0)</f>
        <v>0</v>
      </c>
      <c r="V1190" s="28">
        <f>IFERROR(VLOOKUP($T1190,No_HP!$B$2:$C$514,2,0),0)</f>
        <v>0</v>
      </c>
      <c r="W1190" s="28">
        <f t="shared" si="102"/>
        <v>0</v>
      </c>
      <c r="X1190" s="333">
        <f t="shared" si="103"/>
        <v>0</v>
      </c>
      <c r="Y1190" s="333">
        <f t="shared" si="104"/>
        <v>0</v>
      </c>
    </row>
    <row r="1191" spans="1:25" s="2" customFormat="1" ht="21.95" customHeight="1">
      <c r="A1191" s="82">
        <v>10</v>
      </c>
      <c r="B1191" s="91" t="s">
        <v>3364</v>
      </c>
      <c r="C1191" s="83" t="s">
        <v>363</v>
      </c>
      <c r="D1191" s="81" t="s">
        <v>516</v>
      </c>
      <c r="E1191" s="48">
        <v>101183</v>
      </c>
      <c r="F1191" s="30" t="s">
        <v>1862</v>
      </c>
      <c r="G1191" s="29" t="s">
        <v>98</v>
      </c>
      <c r="H1191" s="30" t="s">
        <v>433</v>
      </c>
      <c r="I1191" s="78"/>
      <c r="J1191" s="20"/>
      <c r="K1191" s="20"/>
      <c r="L1191" s="20"/>
      <c r="M1191" s="20"/>
      <c r="N1191" s="69" t="s">
        <v>256</v>
      </c>
      <c r="O1191" s="70">
        <v>0</v>
      </c>
      <c r="P1191" s="70">
        <v>0</v>
      </c>
      <c r="Q1191" s="70">
        <v>0</v>
      </c>
      <c r="R1191" s="70"/>
      <c r="S1191" s="67"/>
      <c r="T1191" s="2" t="str">
        <f t="shared" si="101"/>
        <v>Vũ Trần Ngọc Trinh_12AS5</v>
      </c>
      <c r="U1191" s="28">
        <f t="array" ref="U1191">IFERROR(VLOOKUP($T1191,'Nghi hoc T12'!$H$7:$I$160,2,0),0)</f>
        <v>0</v>
      </c>
      <c r="V1191" s="28">
        <f>IFERROR(VLOOKUP($T1191,No_HP!$B$2:$C$514,2,0),0)</f>
        <v>0</v>
      </c>
      <c r="W1191" s="28">
        <f t="shared" si="102"/>
        <v>0</v>
      </c>
      <c r="X1191" s="333">
        <f t="shared" si="103"/>
        <v>0</v>
      </c>
      <c r="Y1191" s="333">
        <f t="shared" si="104"/>
        <v>0</v>
      </c>
    </row>
    <row r="1192" spans="1:25" s="2" customFormat="1" ht="21.95" customHeight="1">
      <c r="A1192" s="82">
        <v>11</v>
      </c>
      <c r="B1192" s="91" t="s">
        <v>3364</v>
      </c>
      <c r="C1192" s="83" t="s">
        <v>363</v>
      </c>
      <c r="D1192" s="81" t="s">
        <v>516</v>
      </c>
      <c r="E1192" s="48">
        <v>101184</v>
      </c>
      <c r="F1192" s="30" t="s">
        <v>1863</v>
      </c>
      <c r="G1192" s="29" t="s">
        <v>32</v>
      </c>
      <c r="H1192" s="30" t="s">
        <v>433</v>
      </c>
      <c r="I1192" s="78"/>
      <c r="J1192" s="20"/>
      <c r="K1192" s="20"/>
      <c r="L1192" s="20"/>
      <c r="M1192" s="20"/>
      <c r="N1192" s="69" t="s">
        <v>256</v>
      </c>
      <c r="O1192" s="70">
        <v>0</v>
      </c>
      <c r="P1192" s="70">
        <v>0</v>
      </c>
      <c r="Q1192" s="70">
        <v>0</v>
      </c>
      <c r="R1192" s="70"/>
      <c r="S1192" s="67"/>
      <c r="T1192" s="2" t="str">
        <f t="shared" si="101"/>
        <v>Phan Lê Thành Trung_12AS5</v>
      </c>
      <c r="U1192" s="28">
        <f t="array" ref="U1192">IFERROR(VLOOKUP($T1192,'Nghi hoc T12'!$H$7:$I$160,2,0),0)</f>
        <v>0</v>
      </c>
      <c r="V1192" s="28">
        <f>IFERROR(VLOOKUP($T1192,No_HP!$B$2:$C$514,2,0),0)</f>
        <v>0</v>
      </c>
      <c r="W1192" s="28">
        <f t="shared" si="102"/>
        <v>0</v>
      </c>
      <c r="X1192" s="333">
        <f t="shared" si="103"/>
        <v>0</v>
      </c>
      <c r="Y1192" s="333">
        <f t="shared" si="104"/>
        <v>0</v>
      </c>
    </row>
    <row r="1193" spans="1:25" s="2" customFormat="1" ht="21.95" customHeight="1">
      <c r="A1193" s="82">
        <v>12</v>
      </c>
      <c r="B1193" s="91" t="s">
        <v>3364</v>
      </c>
      <c r="C1193" s="83" t="s">
        <v>363</v>
      </c>
      <c r="D1193" s="81" t="s">
        <v>516</v>
      </c>
      <c r="E1193" s="48">
        <v>101185</v>
      </c>
      <c r="F1193" s="30" t="s">
        <v>1891</v>
      </c>
      <c r="G1193" s="29" t="s">
        <v>51</v>
      </c>
      <c r="H1193" s="30" t="s">
        <v>434</v>
      </c>
      <c r="I1193" s="78"/>
      <c r="J1193" s="20"/>
      <c r="K1193" s="20"/>
      <c r="L1193" s="20"/>
      <c r="M1193" s="20"/>
      <c r="N1193" s="69" t="s">
        <v>256</v>
      </c>
      <c r="O1193" s="70">
        <v>0</v>
      </c>
      <c r="P1193" s="70">
        <v>0</v>
      </c>
      <c r="Q1193" s="70">
        <v>0</v>
      </c>
      <c r="R1193" s="70"/>
      <c r="S1193" s="67"/>
      <c r="T1193" s="2" t="str">
        <f t="shared" si="101"/>
        <v>Ngô Cẩm Tú_12AS6</v>
      </c>
      <c r="U1193" s="28">
        <f t="array" ref="U1193">IFERROR(VLOOKUP($T1193,'Nghi hoc T12'!$H$7:$I$160,2,0),0)</f>
        <v>0</v>
      </c>
      <c r="V1193" s="28">
        <f>IFERROR(VLOOKUP($T1193,No_HP!$B$2:$C$514,2,0),0)</f>
        <v>0</v>
      </c>
      <c r="W1193" s="28">
        <f t="shared" si="102"/>
        <v>0</v>
      </c>
      <c r="X1193" s="333">
        <f t="shared" si="103"/>
        <v>0</v>
      </c>
      <c r="Y1193" s="333">
        <f t="shared" si="104"/>
        <v>0</v>
      </c>
    </row>
    <row r="1194" spans="1:25" s="2" customFormat="1" ht="21.95" customHeight="1">
      <c r="A1194" s="82">
        <v>13</v>
      </c>
      <c r="B1194" s="91" t="s">
        <v>3364</v>
      </c>
      <c r="C1194" s="83" t="s">
        <v>363</v>
      </c>
      <c r="D1194" s="81" t="s">
        <v>516</v>
      </c>
      <c r="E1194" s="48">
        <v>101186</v>
      </c>
      <c r="F1194" s="30" t="s">
        <v>183</v>
      </c>
      <c r="G1194" s="29" t="s">
        <v>51</v>
      </c>
      <c r="H1194" s="30" t="s">
        <v>434</v>
      </c>
      <c r="I1194" s="78"/>
      <c r="J1194" s="20"/>
      <c r="K1194" s="20"/>
      <c r="L1194" s="20"/>
      <c r="M1194" s="20"/>
      <c r="N1194" s="69" t="s">
        <v>256</v>
      </c>
      <c r="O1194" s="70">
        <v>0</v>
      </c>
      <c r="P1194" s="70">
        <v>0</v>
      </c>
      <c r="Q1194" s="70">
        <v>0</v>
      </c>
      <c r="R1194" s="70"/>
      <c r="S1194" s="67"/>
      <c r="T1194" s="2" t="str">
        <f t="shared" si="101"/>
        <v>Nguyễn Thanh Tú_12AS6</v>
      </c>
      <c r="U1194" s="28">
        <f t="array" ref="U1194">IFERROR(VLOOKUP($T1194,'Nghi hoc T12'!$H$7:$I$160,2,0),0)</f>
        <v>0</v>
      </c>
      <c r="V1194" s="28">
        <f>IFERROR(VLOOKUP($T1194,No_HP!$B$2:$C$514,2,0),0)</f>
        <v>0</v>
      </c>
      <c r="W1194" s="28">
        <f t="shared" si="102"/>
        <v>0</v>
      </c>
      <c r="X1194" s="333">
        <f t="shared" si="103"/>
        <v>0</v>
      </c>
      <c r="Y1194" s="333">
        <f t="shared" si="104"/>
        <v>0</v>
      </c>
    </row>
    <row r="1195" spans="1:25" s="2" customFormat="1" ht="21.95" customHeight="1">
      <c r="A1195" s="82">
        <v>14</v>
      </c>
      <c r="B1195" s="91" t="s">
        <v>3364</v>
      </c>
      <c r="C1195" s="83" t="s">
        <v>363</v>
      </c>
      <c r="D1195" s="81" t="s">
        <v>516</v>
      </c>
      <c r="E1195" s="48">
        <v>101187</v>
      </c>
      <c r="F1195" s="30" t="s">
        <v>319</v>
      </c>
      <c r="G1195" s="29" t="s">
        <v>110</v>
      </c>
      <c r="H1195" s="30" t="s">
        <v>419</v>
      </c>
      <c r="I1195" s="78"/>
      <c r="J1195" s="20"/>
      <c r="K1195" s="20"/>
      <c r="L1195" s="20"/>
      <c r="M1195" s="20"/>
      <c r="N1195" s="69" t="s">
        <v>256</v>
      </c>
      <c r="O1195" s="70">
        <v>0</v>
      </c>
      <c r="P1195" s="70">
        <v>0</v>
      </c>
      <c r="Q1195" s="70">
        <v>0</v>
      </c>
      <c r="R1195" s="70"/>
      <c r="S1195" s="67"/>
      <c r="T1195" s="2" t="str">
        <f t="shared" si="101"/>
        <v>Phan Anh Tùng_12AS4</v>
      </c>
      <c r="U1195" s="28">
        <f t="array" ref="U1195">IFERROR(VLOOKUP($T1195,'Nghi hoc T12'!$H$7:$I$160,2,0),0)</f>
        <v>0</v>
      </c>
      <c r="V1195" s="28">
        <f>IFERROR(VLOOKUP($T1195,No_HP!$B$2:$C$514,2,0),0)</f>
        <v>0</v>
      </c>
      <c r="W1195" s="28">
        <f t="shared" si="102"/>
        <v>0</v>
      </c>
      <c r="X1195" s="333">
        <f t="shared" si="103"/>
        <v>0</v>
      </c>
      <c r="Y1195" s="333">
        <f t="shared" si="104"/>
        <v>0</v>
      </c>
    </row>
    <row r="1196" spans="1:25" s="2" customFormat="1" ht="21.95" customHeight="1">
      <c r="A1196" s="82">
        <v>15</v>
      </c>
      <c r="B1196" s="91" t="s">
        <v>3364</v>
      </c>
      <c r="C1196" s="83" t="s">
        <v>363</v>
      </c>
      <c r="D1196" s="81" t="s">
        <v>516</v>
      </c>
      <c r="E1196" s="48">
        <v>101188</v>
      </c>
      <c r="F1196" s="30" t="s">
        <v>1864</v>
      </c>
      <c r="G1196" s="29" t="s">
        <v>73</v>
      </c>
      <c r="H1196" s="30" t="s">
        <v>433</v>
      </c>
      <c r="I1196" s="78"/>
      <c r="J1196" s="20"/>
      <c r="K1196" s="20"/>
      <c r="L1196" s="20"/>
      <c r="M1196" s="20"/>
      <c r="N1196" s="69" t="s">
        <v>256</v>
      </c>
      <c r="O1196" s="70">
        <v>0</v>
      </c>
      <c r="P1196" s="70">
        <v>0</v>
      </c>
      <c r="Q1196" s="70">
        <v>0</v>
      </c>
      <c r="R1196" s="70"/>
      <c r="S1196" s="67"/>
      <c r="T1196" s="2" t="str">
        <f t="shared" si="101"/>
        <v>Đào Ngọc Thanh Tuyền_12AS5</v>
      </c>
      <c r="U1196" s="28">
        <f t="array" ref="U1196">IFERROR(VLOOKUP($T1196,'Nghi hoc T12'!$H$7:$I$160,2,0),0)</f>
        <v>0</v>
      </c>
      <c r="V1196" s="28">
        <f>IFERROR(VLOOKUP($T1196,No_HP!$B$2:$C$514,2,0),0)</f>
        <v>0</v>
      </c>
      <c r="W1196" s="28">
        <f t="shared" si="102"/>
        <v>0</v>
      </c>
      <c r="X1196" s="333">
        <f t="shared" si="103"/>
        <v>0</v>
      </c>
      <c r="Y1196" s="333">
        <f t="shared" si="104"/>
        <v>0</v>
      </c>
    </row>
    <row r="1197" spans="1:25" s="2" customFormat="1" ht="21.95" customHeight="1">
      <c r="A1197" s="82">
        <v>16</v>
      </c>
      <c r="B1197" s="91" t="s">
        <v>3364</v>
      </c>
      <c r="C1197" s="83" t="s">
        <v>363</v>
      </c>
      <c r="D1197" s="81" t="s">
        <v>516</v>
      </c>
      <c r="E1197" s="48">
        <v>101189</v>
      </c>
      <c r="F1197" s="30" t="s">
        <v>1892</v>
      </c>
      <c r="G1197" s="29" t="s">
        <v>95</v>
      </c>
      <c r="H1197" s="30" t="s">
        <v>434</v>
      </c>
      <c r="I1197" s="78"/>
      <c r="J1197" s="20"/>
      <c r="K1197" s="20"/>
      <c r="L1197" s="20"/>
      <c r="M1197" s="20"/>
      <c r="N1197" s="69" t="s">
        <v>256</v>
      </c>
      <c r="O1197" s="70">
        <v>0</v>
      </c>
      <c r="P1197" s="70">
        <v>0</v>
      </c>
      <c r="Q1197" s="70">
        <v>0</v>
      </c>
      <c r="R1197" s="70"/>
      <c r="S1197" s="67"/>
      <c r="T1197" s="2" t="str">
        <f t="shared" si="101"/>
        <v>Thạch Thị Bé Tuyết_12AS6</v>
      </c>
      <c r="U1197" s="28">
        <f t="array" ref="U1197">IFERROR(VLOOKUP($T1197,'Nghi hoc T12'!$H$7:$I$160,2,0),0)</f>
        <v>0</v>
      </c>
      <c r="V1197" s="28">
        <f>IFERROR(VLOOKUP($T1197,No_HP!$B$2:$C$514,2,0),0)</f>
        <v>0</v>
      </c>
      <c r="W1197" s="28">
        <f t="shared" si="102"/>
        <v>0</v>
      </c>
      <c r="X1197" s="333">
        <f t="shared" si="103"/>
        <v>0</v>
      </c>
      <c r="Y1197" s="333">
        <f t="shared" si="104"/>
        <v>0</v>
      </c>
    </row>
    <row r="1198" spans="1:25" s="2" customFormat="1" ht="21.95" customHeight="1">
      <c r="A1198" s="82">
        <v>17</v>
      </c>
      <c r="B1198" s="91" t="s">
        <v>3364</v>
      </c>
      <c r="C1198" s="83" t="s">
        <v>363</v>
      </c>
      <c r="D1198" s="81" t="s">
        <v>516</v>
      </c>
      <c r="E1198" s="48">
        <v>101190</v>
      </c>
      <c r="F1198" s="30" t="s">
        <v>292</v>
      </c>
      <c r="G1198" s="29" t="s">
        <v>60</v>
      </c>
      <c r="H1198" s="30" t="s">
        <v>419</v>
      </c>
      <c r="I1198" s="78"/>
      <c r="J1198" s="20"/>
      <c r="K1198" s="20"/>
      <c r="L1198" s="20"/>
      <c r="M1198" s="20"/>
      <c r="N1198" s="69" t="s">
        <v>256</v>
      </c>
      <c r="O1198" s="70">
        <v>0</v>
      </c>
      <c r="P1198" s="70">
        <v>0</v>
      </c>
      <c r="Q1198" s="70">
        <v>0</v>
      </c>
      <c r="R1198" s="70"/>
      <c r="S1198" s="67"/>
      <c r="T1198" s="2" t="str">
        <f t="shared" si="101"/>
        <v>Phạm Thanh Vân_12AS4</v>
      </c>
      <c r="U1198" s="28">
        <f t="array" ref="U1198">IFERROR(VLOOKUP($T1198,'Nghi hoc T12'!$H$7:$I$160,2,0),0)</f>
        <v>0</v>
      </c>
      <c r="V1198" s="28">
        <f>IFERROR(VLOOKUP($T1198,No_HP!$B$2:$C$514,2,0),0)</f>
        <v>0</v>
      </c>
      <c r="W1198" s="28">
        <f t="shared" si="102"/>
        <v>0</v>
      </c>
      <c r="X1198" s="333">
        <f t="shared" si="103"/>
        <v>0</v>
      </c>
      <c r="Y1198" s="333">
        <f t="shared" si="104"/>
        <v>0</v>
      </c>
    </row>
    <row r="1199" spans="1:25" s="2" customFormat="1" ht="21.95" customHeight="1">
      <c r="A1199" s="82">
        <v>18</v>
      </c>
      <c r="B1199" s="91" t="s">
        <v>3364</v>
      </c>
      <c r="C1199" s="83" t="s">
        <v>363</v>
      </c>
      <c r="D1199" s="81" t="s">
        <v>516</v>
      </c>
      <c r="E1199" s="48">
        <v>101191</v>
      </c>
      <c r="F1199" s="30" t="s">
        <v>1831</v>
      </c>
      <c r="G1199" s="29" t="s">
        <v>74</v>
      </c>
      <c r="H1199" s="30" t="s">
        <v>419</v>
      </c>
      <c r="I1199" s="78"/>
      <c r="J1199" s="20"/>
      <c r="K1199" s="20"/>
      <c r="L1199" s="20"/>
      <c r="M1199" s="20"/>
      <c r="N1199" s="69" t="s">
        <v>256</v>
      </c>
      <c r="O1199" s="70">
        <v>0</v>
      </c>
      <c r="P1199" s="70">
        <v>0</v>
      </c>
      <c r="Q1199" s="70">
        <v>0</v>
      </c>
      <c r="R1199" s="70"/>
      <c r="S1199" s="67"/>
      <c r="T1199" s="2" t="str">
        <f t="shared" si="101"/>
        <v>Trương Thị Hà Vi_12AS4</v>
      </c>
      <c r="U1199" s="28">
        <f t="array" ref="U1199">IFERROR(VLOOKUP($T1199,'Nghi hoc T12'!$H$7:$I$160,2,0),0)</f>
        <v>0</v>
      </c>
      <c r="V1199" s="28">
        <f>IFERROR(VLOOKUP($T1199,No_HP!$B$2:$C$514,2,0),0)</f>
        <v>0</v>
      </c>
      <c r="W1199" s="28">
        <f t="shared" si="102"/>
        <v>0</v>
      </c>
      <c r="X1199" s="333">
        <f t="shared" si="103"/>
        <v>0</v>
      </c>
      <c r="Y1199" s="333">
        <f t="shared" si="104"/>
        <v>0</v>
      </c>
    </row>
    <row r="1200" spans="1:25" s="2" customFormat="1" ht="21.95" customHeight="1">
      <c r="A1200" s="82">
        <v>19</v>
      </c>
      <c r="B1200" s="91" t="s">
        <v>3364</v>
      </c>
      <c r="C1200" s="83" t="s">
        <v>363</v>
      </c>
      <c r="D1200" s="81" t="s">
        <v>516</v>
      </c>
      <c r="E1200" s="48">
        <v>101192</v>
      </c>
      <c r="F1200" s="30" t="s">
        <v>142</v>
      </c>
      <c r="G1200" s="29" t="s">
        <v>33</v>
      </c>
      <c r="H1200" s="30" t="s">
        <v>433</v>
      </c>
      <c r="I1200" s="78"/>
      <c r="J1200" s="20"/>
      <c r="K1200" s="20"/>
      <c r="L1200" s="20"/>
      <c r="M1200" s="20"/>
      <c r="N1200" s="69" t="s">
        <v>256</v>
      </c>
      <c r="O1200" s="70">
        <v>0</v>
      </c>
      <c r="P1200" s="70">
        <v>0</v>
      </c>
      <c r="Q1200" s="70">
        <v>0</v>
      </c>
      <c r="R1200" s="70"/>
      <c r="S1200" s="67"/>
      <c r="T1200" s="2" t="str">
        <f t="shared" si="101"/>
        <v>Nguyễn Tấn Việt_12AS5</v>
      </c>
      <c r="U1200" s="28">
        <f t="array" ref="U1200">IFERROR(VLOOKUP($T1200,'Nghi hoc T12'!$H$7:$I$160,2,0),0)</f>
        <v>0</v>
      </c>
      <c r="V1200" s="28">
        <f>IFERROR(VLOOKUP($T1200,No_HP!$B$2:$C$514,2,0),0)</f>
        <v>0</v>
      </c>
      <c r="W1200" s="28">
        <f t="shared" si="102"/>
        <v>0</v>
      </c>
      <c r="X1200" s="333">
        <f t="shared" si="103"/>
        <v>0</v>
      </c>
      <c r="Y1200" s="333">
        <f t="shared" si="104"/>
        <v>0</v>
      </c>
    </row>
    <row r="1201" spans="1:25" s="2" customFormat="1" ht="21.95" customHeight="1">
      <c r="A1201" s="82">
        <v>20</v>
      </c>
      <c r="B1201" s="91" t="s">
        <v>3364</v>
      </c>
      <c r="C1201" s="83" t="s">
        <v>363</v>
      </c>
      <c r="D1201" s="81" t="s">
        <v>516</v>
      </c>
      <c r="E1201" s="48">
        <v>101193</v>
      </c>
      <c r="F1201" s="30" t="s">
        <v>1832</v>
      </c>
      <c r="G1201" s="29" t="s">
        <v>61</v>
      </c>
      <c r="H1201" s="30" t="s">
        <v>419</v>
      </c>
      <c r="I1201" s="78"/>
      <c r="J1201" s="20"/>
      <c r="K1201" s="20"/>
      <c r="L1201" s="20"/>
      <c r="M1201" s="20"/>
      <c r="N1201" s="69" t="s">
        <v>256</v>
      </c>
      <c r="O1201" s="70">
        <v>0</v>
      </c>
      <c r="P1201" s="70">
        <v>0</v>
      </c>
      <c r="Q1201" s="70">
        <v>0</v>
      </c>
      <c r="R1201" s="70"/>
      <c r="S1201" s="67"/>
      <c r="T1201" s="2" t="str">
        <f t="shared" si="101"/>
        <v>Đinh Văn Hoàng Vinh_12AS4</v>
      </c>
      <c r="U1201" s="28">
        <f t="array" ref="U1201">IFERROR(VLOOKUP($T1201,'Nghi hoc T12'!$H$7:$I$160,2,0),0)</f>
        <v>0</v>
      </c>
      <c r="V1201" s="28">
        <f>IFERROR(VLOOKUP($T1201,No_HP!$B$2:$C$514,2,0),0)</f>
        <v>0</v>
      </c>
      <c r="W1201" s="28">
        <f t="shared" si="102"/>
        <v>0</v>
      </c>
      <c r="X1201" s="333">
        <f t="shared" si="103"/>
        <v>0</v>
      </c>
      <c r="Y1201" s="333">
        <f t="shared" si="104"/>
        <v>0</v>
      </c>
    </row>
    <row r="1202" spans="1:25" s="2" customFormat="1" ht="21.95" customHeight="1">
      <c r="A1202" s="82">
        <v>21</v>
      </c>
      <c r="B1202" s="91" t="s">
        <v>3364</v>
      </c>
      <c r="C1202" s="83" t="s">
        <v>363</v>
      </c>
      <c r="D1202" s="81" t="s">
        <v>516</v>
      </c>
      <c r="E1202" s="48">
        <v>101194</v>
      </c>
      <c r="F1202" s="30" t="s">
        <v>1833</v>
      </c>
      <c r="G1202" s="29" t="s">
        <v>99</v>
      </c>
      <c r="H1202" s="30" t="s">
        <v>419</v>
      </c>
      <c r="I1202" s="78"/>
      <c r="J1202" s="20"/>
      <c r="K1202" s="20"/>
      <c r="L1202" s="20"/>
      <c r="M1202" s="20"/>
      <c r="N1202" s="69" t="s">
        <v>256</v>
      </c>
      <c r="O1202" s="70">
        <v>0</v>
      </c>
      <c r="P1202" s="70">
        <v>0</v>
      </c>
      <c r="Q1202" s="70">
        <v>0</v>
      </c>
      <c r="R1202" s="70"/>
      <c r="S1202" s="67"/>
      <c r="T1202" s="2" t="str">
        <f t="shared" si="101"/>
        <v>Tăng Ngọc Vũ_12AS4</v>
      </c>
      <c r="U1202" s="28">
        <f t="array" ref="U1202">IFERROR(VLOOKUP($T1202,'Nghi hoc T12'!$H$7:$I$160,2,0),0)</f>
        <v>0</v>
      </c>
      <c r="V1202" s="28">
        <f>IFERROR(VLOOKUP($T1202,No_HP!$B$2:$C$514,2,0),0)</f>
        <v>0</v>
      </c>
      <c r="W1202" s="28">
        <f t="shared" si="102"/>
        <v>0</v>
      </c>
      <c r="X1202" s="333">
        <f t="shared" si="103"/>
        <v>0</v>
      </c>
      <c r="Y1202" s="333">
        <f t="shared" si="104"/>
        <v>0</v>
      </c>
    </row>
    <row r="1203" spans="1:25" s="2" customFormat="1" ht="21.95" customHeight="1">
      <c r="A1203" s="82">
        <v>22</v>
      </c>
      <c r="B1203" s="91" t="s">
        <v>3364</v>
      </c>
      <c r="C1203" s="83" t="s">
        <v>363</v>
      </c>
      <c r="D1203" s="81" t="s">
        <v>516</v>
      </c>
      <c r="E1203" s="48">
        <v>101195</v>
      </c>
      <c r="F1203" s="30" t="s">
        <v>1453</v>
      </c>
      <c r="G1203" s="29" t="s">
        <v>34</v>
      </c>
      <c r="H1203" s="30" t="s">
        <v>434</v>
      </c>
      <c r="I1203" s="78"/>
      <c r="J1203" s="20"/>
      <c r="K1203" s="20"/>
      <c r="L1203" s="20"/>
      <c r="M1203" s="20"/>
      <c r="N1203" s="69" t="s">
        <v>256</v>
      </c>
      <c r="O1203" s="70">
        <v>0</v>
      </c>
      <c r="P1203" s="70">
        <v>0</v>
      </c>
      <c r="Q1203" s="70">
        <v>0</v>
      </c>
      <c r="R1203" s="70"/>
      <c r="S1203" s="67"/>
      <c r="T1203" s="2" t="str">
        <f t="shared" si="101"/>
        <v>Lê Hoàng Khánh Vy_12AS6</v>
      </c>
      <c r="U1203" s="28">
        <f t="array" ref="U1203">IFERROR(VLOOKUP($T1203,'Nghi hoc T12'!$H$7:$I$160,2,0),0)</f>
        <v>0</v>
      </c>
      <c r="V1203" s="28">
        <f>IFERROR(VLOOKUP($T1203,No_HP!$B$2:$C$514,2,0),0)</f>
        <v>0</v>
      </c>
      <c r="W1203" s="28">
        <f t="shared" si="102"/>
        <v>0</v>
      </c>
      <c r="X1203" s="333">
        <f t="shared" si="103"/>
        <v>0</v>
      </c>
      <c r="Y1203" s="333">
        <f t="shared" si="104"/>
        <v>0</v>
      </c>
    </row>
    <row r="1204" spans="1:25" s="2" customFormat="1" ht="21.95" customHeight="1">
      <c r="A1204" s="82">
        <v>23</v>
      </c>
      <c r="B1204" s="91" t="s">
        <v>3364</v>
      </c>
      <c r="C1204" s="83" t="s">
        <v>363</v>
      </c>
      <c r="D1204" s="81" t="s">
        <v>516</v>
      </c>
      <c r="E1204" s="48">
        <v>101196</v>
      </c>
      <c r="F1204" s="30" t="s">
        <v>1834</v>
      </c>
      <c r="G1204" s="29" t="s">
        <v>34</v>
      </c>
      <c r="H1204" s="30" t="s">
        <v>419</v>
      </c>
      <c r="I1204" s="78"/>
      <c r="J1204" s="20"/>
      <c r="K1204" s="20"/>
      <c r="L1204" s="20"/>
      <c r="M1204" s="20"/>
      <c r="N1204" s="69" t="s">
        <v>256</v>
      </c>
      <c r="O1204" s="70">
        <v>0</v>
      </c>
      <c r="P1204" s="70">
        <v>0</v>
      </c>
      <c r="Q1204" s="70">
        <v>0</v>
      </c>
      <c r="R1204" s="70"/>
      <c r="S1204" s="67"/>
      <c r="T1204" s="2" t="str">
        <f t="shared" si="101"/>
        <v>Lê Tường Vy_12AS4</v>
      </c>
      <c r="U1204" s="28">
        <f t="array" ref="U1204">IFERROR(VLOOKUP($T1204,'Nghi hoc T12'!$H$7:$I$160,2,0),0)</f>
        <v>0</v>
      </c>
      <c r="V1204" s="28">
        <f>IFERROR(VLOOKUP($T1204,No_HP!$B$2:$C$514,2,0),0)</f>
        <v>0</v>
      </c>
      <c r="W1204" s="28">
        <f t="shared" si="102"/>
        <v>0</v>
      </c>
      <c r="X1204" s="333">
        <f t="shared" si="103"/>
        <v>0</v>
      </c>
      <c r="Y1204" s="333">
        <f t="shared" si="104"/>
        <v>0</v>
      </c>
    </row>
    <row r="1205" spans="1:25" s="2" customFormat="1" ht="21.95" customHeight="1">
      <c r="A1205" s="82">
        <v>24</v>
      </c>
      <c r="B1205" s="91" t="s">
        <v>3364</v>
      </c>
      <c r="C1205" s="83" t="s">
        <v>363</v>
      </c>
      <c r="D1205" s="81" t="s">
        <v>516</v>
      </c>
      <c r="E1205" s="48">
        <v>101197</v>
      </c>
      <c r="F1205" s="30" t="s">
        <v>1865</v>
      </c>
      <c r="G1205" s="29" t="s">
        <v>34</v>
      </c>
      <c r="H1205" s="30" t="s">
        <v>433</v>
      </c>
      <c r="I1205" s="78"/>
      <c r="J1205" s="20"/>
      <c r="K1205" s="20"/>
      <c r="L1205" s="20"/>
      <c r="M1205" s="20"/>
      <c r="N1205" s="69" t="s">
        <v>256</v>
      </c>
      <c r="O1205" s="70">
        <v>0</v>
      </c>
      <c r="P1205" s="70">
        <v>0</v>
      </c>
      <c r="Q1205" s="70">
        <v>0</v>
      </c>
      <c r="R1205" s="70"/>
      <c r="S1205" s="67"/>
      <c r="T1205" s="2" t="str">
        <f t="shared" si="101"/>
        <v>Nguyễn Hoàng Khánh Vy_12AS5</v>
      </c>
      <c r="U1205" s="28">
        <f t="array" ref="U1205">IFERROR(VLOOKUP($T1205,'Nghi hoc T12'!$H$7:$I$160,2,0),0)</f>
        <v>0</v>
      </c>
      <c r="V1205" s="28">
        <f>IFERROR(VLOOKUP($T1205,No_HP!$B$2:$C$514,2,0),0)</f>
        <v>0</v>
      </c>
      <c r="W1205" s="28">
        <f t="shared" si="102"/>
        <v>0</v>
      </c>
      <c r="X1205" s="333">
        <f t="shared" si="103"/>
        <v>0</v>
      </c>
      <c r="Y1205" s="333">
        <f t="shared" si="104"/>
        <v>0</v>
      </c>
    </row>
    <row r="1206" spans="1:25" s="2" customFormat="1" ht="21.95" customHeight="1">
      <c r="A1206" s="82">
        <v>25</v>
      </c>
      <c r="B1206" s="91" t="s">
        <v>3364</v>
      </c>
      <c r="C1206" s="83" t="s">
        <v>363</v>
      </c>
      <c r="D1206" s="81" t="s">
        <v>516</v>
      </c>
      <c r="E1206" s="48">
        <v>101198</v>
      </c>
      <c r="F1206" s="30" t="s">
        <v>1199</v>
      </c>
      <c r="G1206" s="29" t="s">
        <v>34</v>
      </c>
      <c r="H1206" s="30" t="s">
        <v>434</v>
      </c>
      <c r="I1206" s="78"/>
      <c r="J1206" s="20"/>
      <c r="K1206" s="20"/>
      <c r="L1206" s="20"/>
      <c r="M1206" s="20"/>
      <c r="N1206" s="69" t="s">
        <v>256</v>
      </c>
      <c r="O1206" s="70">
        <v>0</v>
      </c>
      <c r="P1206" s="70">
        <v>0</v>
      </c>
      <c r="Q1206" s="70">
        <v>0</v>
      </c>
      <c r="R1206" s="70"/>
      <c r="S1206" s="67"/>
      <c r="T1206" s="2" t="str">
        <f t="shared" si="101"/>
        <v>Trần Ngọc Khánh Vy_12AS6</v>
      </c>
      <c r="U1206" s="28">
        <f t="array" ref="U1206">IFERROR(VLOOKUP($T1206,'Nghi hoc T12'!$H$7:$I$160,2,0),0)</f>
        <v>0</v>
      </c>
      <c r="V1206" s="28">
        <f>IFERROR(VLOOKUP($T1206,No_HP!$B$2:$C$514,2,0),0)</f>
        <v>0</v>
      </c>
      <c r="W1206" s="28">
        <f t="shared" si="102"/>
        <v>0</v>
      </c>
      <c r="X1206" s="333">
        <f t="shared" si="103"/>
        <v>0</v>
      </c>
      <c r="Y1206" s="333">
        <f t="shared" si="104"/>
        <v>0</v>
      </c>
    </row>
    <row r="1207" spans="1:25" s="2" customFormat="1" ht="21.95" customHeight="1">
      <c r="A1207" s="82">
        <v>26</v>
      </c>
      <c r="B1207" s="91" t="s">
        <v>3364</v>
      </c>
      <c r="C1207" s="83" t="s">
        <v>363</v>
      </c>
      <c r="D1207" s="81" t="s">
        <v>516</v>
      </c>
      <c r="E1207" s="48">
        <v>101199</v>
      </c>
      <c r="F1207" s="30" t="s">
        <v>219</v>
      </c>
      <c r="G1207" s="29" t="s">
        <v>34</v>
      </c>
      <c r="H1207" s="30" t="s">
        <v>419</v>
      </c>
      <c r="I1207" s="78"/>
      <c r="J1207" s="20"/>
      <c r="K1207" s="20"/>
      <c r="L1207" s="20"/>
      <c r="M1207" s="20"/>
      <c r="N1207" s="69" t="s">
        <v>256</v>
      </c>
      <c r="O1207" s="70">
        <v>0</v>
      </c>
      <c r="P1207" s="70">
        <v>0</v>
      </c>
      <c r="Q1207" s="70">
        <v>0</v>
      </c>
      <c r="R1207" s="70"/>
      <c r="S1207" s="67"/>
      <c r="T1207" s="2" t="str">
        <f t="shared" si="101"/>
        <v>Trần Thảo Vy_12AS4</v>
      </c>
      <c r="U1207" s="28">
        <f t="array" ref="U1207">IFERROR(VLOOKUP($T1207,'Nghi hoc T12'!$H$7:$I$160,2,0),0)</f>
        <v>0</v>
      </c>
      <c r="V1207" s="28">
        <f>IFERROR(VLOOKUP($T1207,No_HP!$B$2:$C$514,2,0),0)</f>
        <v>0</v>
      </c>
      <c r="W1207" s="28">
        <f t="shared" si="102"/>
        <v>0</v>
      </c>
      <c r="X1207" s="333">
        <f t="shared" si="103"/>
        <v>0</v>
      </c>
      <c r="Y1207" s="333">
        <f t="shared" si="104"/>
        <v>0</v>
      </c>
    </row>
    <row r="1208" spans="1:25" s="2" customFormat="1" ht="21.95" customHeight="1">
      <c r="A1208" s="82">
        <v>27</v>
      </c>
      <c r="B1208" s="91" t="s">
        <v>3364</v>
      </c>
      <c r="C1208" s="83" t="s">
        <v>363</v>
      </c>
      <c r="D1208" s="81" t="s">
        <v>516</v>
      </c>
      <c r="E1208" s="48">
        <v>101200</v>
      </c>
      <c r="F1208" s="30" t="s">
        <v>304</v>
      </c>
      <c r="G1208" s="29" t="s">
        <v>1624</v>
      </c>
      <c r="H1208" s="30" t="s">
        <v>419</v>
      </c>
      <c r="I1208" s="78"/>
      <c r="J1208" s="20"/>
      <c r="K1208" s="20"/>
      <c r="L1208" s="20"/>
      <c r="M1208" s="20"/>
      <c r="N1208" s="69" t="s">
        <v>256</v>
      </c>
      <c r="O1208" s="70">
        <v>0</v>
      </c>
      <c r="P1208" s="70">
        <v>0</v>
      </c>
      <c r="Q1208" s="70">
        <v>0</v>
      </c>
      <c r="R1208" s="70"/>
      <c r="S1208" s="67"/>
      <c r="T1208" s="2" t="str">
        <f t="shared" si="101"/>
        <v>Nguyễn Thế Vỹ_12AS4</v>
      </c>
      <c r="U1208" s="28">
        <f t="array" ref="U1208">IFERROR(VLOOKUP($T1208,'Nghi hoc T12'!$H$7:$I$160,2,0),0)</f>
        <v>0</v>
      </c>
      <c r="V1208" s="28">
        <f>IFERROR(VLOOKUP($T1208,No_HP!$B$2:$C$514,2,0),0)</f>
        <v>0</v>
      </c>
      <c r="W1208" s="28">
        <f t="shared" si="102"/>
        <v>0</v>
      </c>
      <c r="X1208" s="333">
        <f t="shared" si="103"/>
        <v>0</v>
      </c>
      <c r="Y1208" s="333">
        <f t="shared" si="104"/>
        <v>0</v>
      </c>
    </row>
    <row r="1209" spans="1:25" s="2" customFormat="1" ht="21.95" customHeight="1">
      <c r="A1209" s="200">
        <v>1</v>
      </c>
      <c r="B1209" s="91" t="s">
        <v>3365</v>
      </c>
      <c r="C1209" s="185" t="s">
        <v>364</v>
      </c>
      <c r="D1209" s="186" t="s">
        <v>517</v>
      </c>
      <c r="E1209" s="187">
        <v>101201</v>
      </c>
      <c r="F1209" s="188" t="s">
        <v>1893</v>
      </c>
      <c r="G1209" s="189" t="s">
        <v>63</v>
      </c>
      <c r="H1209" s="188" t="s">
        <v>435</v>
      </c>
      <c r="I1209" s="190"/>
      <c r="J1209" s="191"/>
      <c r="K1209" s="191"/>
      <c r="L1209" s="191"/>
      <c r="M1209" s="191"/>
      <c r="N1209" s="69" t="s">
        <v>256</v>
      </c>
      <c r="O1209" s="70">
        <v>0</v>
      </c>
      <c r="P1209" s="70">
        <v>0</v>
      </c>
      <c r="Q1209" s="70">
        <v>0</v>
      </c>
      <c r="R1209" s="70"/>
      <c r="S1209" s="67"/>
      <c r="T1209" s="2" t="str">
        <f t="shared" si="101"/>
        <v>Tống Cao Hoài An_12AS7</v>
      </c>
      <c r="U1209" s="28">
        <f t="array" ref="U1209">IFERROR(VLOOKUP($T1209,'Nghi hoc T12'!$H$7:$I$160,2,0),0)</f>
        <v>0</v>
      </c>
      <c r="V1209" s="28">
        <f>IFERROR(VLOOKUP($T1209,No_HP!$B$2:$C$514,2,0),0)</f>
        <v>0</v>
      </c>
      <c r="W1209" s="28">
        <f t="shared" si="102"/>
        <v>0</v>
      </c>
      <c r="X1209" s="333">
        <f t="shared" si="103"/>
        <v>0</v>
      </c>
      <c r="Y1209" s="333">
        <f t="shared" si="104"/>
        <v>0</v>
      </c>
    </row>
    <row r="1210" spans="1:25" s="2" customFormat="1" ht="21.95" customHeight="1">
      <c r="A1210" s="82">
        <v>2</v>
      </c>
      <c r="B1210" s="91" t="s">
        <v>3365</v>
      </c>
      <c r="C1210" s="83" t="s">
        <v>364</v>
      </c>
      <c r="D1210" s="81" t="s">
        <v>517</v>
      </c>
      <c r="E1210" s="48">
        <v>101202</v>
      </c>
      <c r="F1210" s="30" t="s">
        <v>1426</v>
      </c>
      <c r="G1210" s="29" t="s">
        <v>5</v>
      </c>
      <c r="H1210" s="30" t="s">
        <v>435</v>
      </c>
      <c r="I1210" s="78"/>
      <c r="J1210" s="20"/>
      <c r="K1210" s="20"/>
      <c r="L1210" s="20"/>
      <c r="M1210" s="20"/>
      <c r="N1210" s="69" t="s">
        <v>256</v>
      </c>
      <c r="O1210" s="70">
        <v>0</v>
      </c>
      <c r="P1210" s="70">
        <v>0</v>
      </c>
      <c r="Q1210" s="70">
        <v>0</v>
      </c>
      <c r="R1210" s="70"/>
      <c r="S1210" s="67"/>
      <c r="T1210" s="2" t="str">
        <f t="shared" si="101"/>
        <v>Mai Quang Anh_12AS7</v>
      </c>
      <c r="U1210" s="28">
        <f t="array" ref="U1210">IFERROR(VLOOKUP($T1210,'Nghi hoc T12'!$H$7:$I$160,2,0),0)</f>
        <v>0</v>
      </c>
      <c r="V1210" s="28">
        <f>IFERROR(VLOOKUP($T1210,No_HP!$B$2:$C$514,2,0),0)</f>
        <v>0</v>
      </c>
      <c r="W1210" s="28">
        <f t="shared" si="102"/>
        <v>0</v>
      </c>
      <c r="X1210" s="333">
        <f t="shared" si="103"/>
        <v>0</v>
      </c>
      <c r="Y1210" s="333">
        <f t="shared" si="104"/>
        <v>0</v>
      </c>
    </row>
    <row r="1211" spans="1:25" s="2" customFormat="1" ht="21.95" customHeight="1">
      <c r="A1211" s="82">
        <v>3</v>
      </c>
      <c r="B1211" s="91" t="s">
        <v>3365</v>
      </c>
      <c r="C1211" s="83" t="s">
        <v>364</v>
      </c>
      <c r="D1211" s="81" t="s">
        <v>517</v>
      </c>
      <c r="E1211" s="48">
        <v>101203</v>
      </c>
      <c r="F1211" s="30" t="s">
        <v>151</v>
      </c>
      <c r="G1211" s="29" t="s">
        <v>5</v>
      </c>
      <c r="H1211" s="30" t="s">
        <v>436</v>
      </c>
      <c r="I1211" s="78"/>
      <c r="J1211" s="20"/>
      <c r="K1211" s="20"/>
      <c r="L1211" s="20"/>
      <c r="M1211" s="20"/>
      <c r="N1211" s="69" t="s">
        <v>256</v>
      </c>
      <c r="O1211" s="70">
        <v>0</v>
      </c>
      <c r="P1211" s="70">
        <v>0</v>
      </c>
      <c r="Q1211" s="70">
        <v>0</v>
      </c>
      <c r="R1211" s="70"/>
      <c r="S1211" s="67"/>
      <c r="T1211" s="2" t="str">
        <f t="shared" si="101"/>
        <v>Nguyễn Hoàng Anh_12AS8</v>
      </c>
      <c r="U1211" s="28">
        <f t="array" ref="U1211">IFERROR(VLOOKUP($T1211,'Nghi hoc T12'!$H$7:$I$160,2,0),0)</f>
        <v>0</v>
      </c>
      <c r="V1211" s="28">
        <f>IFERROR(VLOOKUP($T1211,No_HP!$B$2:$C$514,2,0),0)</f>
        <v>0</v>
      </c>
      <c r="W1211" s="28">
        <f t="shared" si="102"/>
        <v>0</v>
      </c>
      <c r="X1211" s="333">
        <f t="shared" si="103"/>
        <v>0</v>
      </c>
      <c r="Y1211" s="333">
        <f t="shared" si="104"/>
        <v>0</v>
      </c>
    </row>
    <row r="1212" spans="1:25" s="2" customFormat="1" ht="21.95" customHeight="1">
      <c r="A1212" s="82">
        <v>4</v>
      </c>
      <c r="B1212" s="91" t="s">
        <v>3365</v>
      </c>
      <c r="C1212" s="83" t="s">
        <v>364</v>
      </c>
      <c r="D1212" s="81" t="s">
        <v>517</v>
      </c>
      <c r="E1212" s="48">
        <v>101204</v>
      </c>
      <c r="F1212" s="30" t="s">
        <v>136</v>
      </c>
      <c r="G1212" s="29" t="s">
        <v>5</v>
      </c>
      <c r="H1212" s="30" t="s">
        <v>435</v>
      </c>
      <c r="I1212" s="78"/>
      <c r="J1212" s="20"/>
      <c r="K1212" s="20"/>
      <c r="L1212" s="20"/>
      <c r="M1212" s="20"/>
      <c r="N1212" s="69" t="s">
        <v>256</v>
      </c>
      <c r="O1212" s="70">
        <v>0</v>
      </c>
      <c r="P1212" s="70">
        <v>0</v>
      </c>
      <c r="Q1212" s="70">
        <v>0</v>
      </c>
      <c r="R1212" s="70"/>
      <c r="S1212" s="67"/>
      <c r="T1212" s="2" t="str">
        <f t="shared" si="101"/>
        <v>Nguyễn Hoàng Minh Anh_12AS7</v>
      </c>
      <c r="U1212" s="28">
        <f t="array" ref="U1212">IFERROR(VLOOKUP($T1212,'Nghi hoc T12'!$H$7:$I$160,2,0),0)</f>
        <v>0</v>
      </c>
      <c r="V1212" s="28">
        <f>IFERROR(VLOOKUP($T1212,No_HP!$B$2:$C$514,2,0),0)</f>
        <v>0</v>
      </c>
      <c r="W1212" s="28">
        <f t="shared" si="102"/>
        <v>0</v>
      </c>
      <c r="X1212" s="333">
        <f t="shared" si="103"/>
        <v>0</v>
      </c>
      <c r="Y1212" s="333">
        <f t="shared" si="104"/>
        <v>0</v>
      </c>
    </row>
    <row r="1213" spans="1:25" s="2" customFormat="1" ht="21.95" customHeight="1">
      <c r="A1213" s="82">
        <v>5</v>
      </c>
      <c r="B1213" s="91" t="s">
        <v>3365</v>
      </c>
      <c r="C1213" s="83" t="s">
        <v>364</v>
      </c>
      <c r="D1213" s="81" t="s">
        <v>517</v>
      </c>
      <c r="E1213" s="48">
        <v>101205</v>
      </c>
      <c r="F1213" s="30" t="s">
        <v>231</v>
      </c>
      <c r="G1213" s="29" t="s">
        <v>5</v>
      </c>
      <c r="H1213" s="30" t="s">
        <v>436</v>
      </c>
      <c r="I1213" s="78"/>
      <c r="J1213" s="20"/>
      <c r="K1213" s="20"/>
      <c r="L1213" s="20"/>
      <c r="M1213" s="20"/>
      <c r="N1213" s="69" t="s">
        <v>256</v>
      </c>
      <c r="O1213" s="70">
        <v>0</v>
      </c>
      <c r="P1213" s="70">
        <v>0</v>
      </c>
      <c r="Q1213" s="70">
        <v>0</v>
      </c>
      <c r="R1213" s="70"/>
      <c r="S1213" s="67"/>
      <c r="T1213" s="2" t="str">
        <f t="shared" si="101"/>
        <v>Nguyễn Thị Phương Anh_12AS8</v>
      </c>
      <c r="U1213" s="28">
        <f t="array" ref="U1213">IFERROR(VLOOKUP($T1213,'Nghi hoc T12'!$H$7:$I$160,2,0),0)</f>
        <v>0</v>
      </c>
      <c r="V1213" s="28">
        <f>IFERROR(VLOOKUP($T1213,No_HP!$B$2:$C$514,2,0),0)</f>
        <v>0</v>
      </c>
      <c r="W1213" s="28">
        <f t="shared" si="102"/>
        <v>0</v>
      </c>
      <c r="X1213" s="333">
        <f t="shared" si="103"/>
        <v>0</v>
      </c>
      <c r="Y1213" s="333">
        <f t="shared" si="104"/>
        <v>0</v>
      </c>
    </row>
    <row r="1214" spans="1:25" s="2" customFormat="1" ht="21.95" customHeight="1">
      <c r="A1214" s="82">
        <v>6</v>
      </c>
      <c r="B1214" s="91" t="s">
        <v>3365</v>
      </c>
      <c r="C1214" s="83" t="s">
        <v>364</v>
      </c>
      <c r="D1214" s="81" t="s">
        <v>517</v>
      </c>
      <c r="E1214" s="48">
        <v>101206</v>
      </c>
      <c r="F1214" s="30" t="s">
        <v>1571</v>
      </c>
      <c r="G1214" s="29" t="s">
        <v>5</v>
      </c>
      <c r="H1214" s="30" t="s">
        <v>436</v>
      </c>
      <c r="I1214" s="78"/>
      <c r="J1214" s="20"/>
      <c r="K1214" s="20"/>
      <c r="L1214" s="20"/>
      <c r="M1214" s="20"/>
      <c r="N1214" s="69" t="s">
        <v>256</v>
      </c>
      <c r="O1214" s="70">
        <v>0</v>
      </c>
      <c r="P1214" s="70">
        <v>0</v>
      </c>
      <c r="Q1214" s="70">
        <v>0</v>
      </c>
      <c r="R1214" s="70"/>
      <c r="S1214" s="67"/>
      <c r="T1214" s="2" t="str">
        <f t="shared" si="101"/>
        <v>Phạm Nguyễn Quỳnh Anh_12AS8</v>
      </c>
      <c r="U1214" s="28">
        <f t="array" ref="U1214">IFERROR(VLOOKUP($T1214,'Nghi hoc T12'!$H$7:$I$160,2,0),0)</f>
        <v>0</v>
      </c>
      <c r="V1214" s="28">
        <f>IFERROR(VLOOKUP($T1214,No_HP!$B$2:$C$514,2,0),0)</f>
        <v>0</v>
      </c>
      <c r="W1214" s="28">
        <f t="shared" si="102"/>
        <v>0</v>
      </c>
      <c r="X1214" s="333">
        <f t="shared" si="103"/>
        <v>0</v>
      </c>
      <c r="Y1214" s="333">
        <f t="shared" si="104"/>
        <v>0</v>
      </c>
    </row>
    <row r="1215" spans="1:25" s="2" customFormat="1" ht="21.95" customHeight="1">
      <c r="A1215" s="82">
        <v>7</v>
      </c>
      <c r="B1215" s="91" t="s">
        <v>3365</v>
      </c>
      <c r="C1215" s="83" t="s">
        <v>364</v>
      </c>
      <c r="D1215" s="81" t="s">
        <v>517</v>
      </c>
      <c r="E1215" s="48">
        <v>101207</v>
      </c>
      <c r="F1215" s="30" t="s">
        <v>346</v>
      </c>
      <c r="G1215" s="29" t="s">
        <v>5</v>
      </c>
      <c r="H1215" s="30" t="s">
        <v>436</v>
      </c>
      <c r="I1215" s="78"/>
      <c r="J1215" s="20"/>
      <c r="K1215" s="20"/>
      <c r="L1215" s="20"/>
      <c r="M1215" s="20"/>
      <c r="N1215" s="69" t="s">
        <v>256</v>
      </c>
      <c r="O1215" s="70">
        <v>0</v>
      </c>
      <c r="P1215" s="70">
        <v>0</v>
      </c>
      <c r="Q1215" s="70">
        <v>0</v>
      </c>
      <c r="R1215" s="70"/>
      <c r="S1215" s="67"/>
      <c r="T1215" s="2" t="str">
        <f t="shared" si="101"/>
        <v>Trịnh Ngọc Anh_12AS8</v>
      </c>
      <c r="U1215" s="28">
        <f t="array" ref="U1215">IFERROR(VLOOKUP($T1215,'Nghi hoc T12'!$H$7:$I$160,2,0),0)</f>
        <v>0</v>
      </c>
      <c r="V1215" s="28">
        <f>IFERROR(VLOOKUP($T1215,No_HP!$B$2:$C$514,2,0),0)</f>
        <v>0</v>
      </c>
      <c r="W1215" s="28">
        <f t="shared" si="102"/>
        <v>0</v>
      </c>
      <c r="X1215" s="333">
        <f t="shared" si="103"/>
        <v>0</v>
      </c>
      <c r="Y1215" s="333">
        <f t="shared" si="104"/>
        <v>0</v>
      </c>
    </row>
    <row r="1216" spans="1:25" s="2" customFormat="1" ht="21.95" customHeight="1">
      <c r="A1216" s="82">
        <v>8</v>
      </c>
      <c r="B1216" s="91" t="s">
        <v>3365</v>
      </c>
      <c r="C1216" s="83" t="s">
        <v>364</v>
      </c>
      <c r="D1216" s="81" t="s">
        <v>517</v>
      </c>
      <c r="E1216" s="48">
        <v>101208</v>
      </c>
      <c r="F1216" s="30" t="s">
        <v>1894</v>
      </c>
      <c r="G1216" s="29" t="s">
        <v>83</v>
      </c>
      <c r="H1216" s="30" t="s">
        <v>435</v>
      </c>
      <c r="I1216" s="78"/>
      <c r="J1216" s="20"/>
      <c r="K1216" s="20"/>
      <c r="L1216" s="20"/>
      <c r="M1216" s="20"/>
      <c r="N1216" s="69" t="s">
        <v>256</v>
      </c>
      <c r="O1216" s="70">
        <v>0</v>
      </c>
      <c r="P1216" s="70">
        <v>0</v>
      </c>
      <c r="Q1216" s="70">
        <v>0</v>
      </c>
      <c r="R1216" s="70"/>
      <c r="S1216" s="67"/>
      <c r="T1216" s="2" t="str">
        <f t="shared" si="101"/>
        <v>Ngô Hoàng Gia Bảo_12AS7</v>
      </c>
      <c r="U1216" s="28">
        <f t="array" ref="U1216">IFERROR(VLOOKUP($T1216,'Nghi hoc T12'!$H$7:$I$160,2,0),0)</f>
        <v>0</v>
      </c>
      <c r="V1216" s="28">
        <f>IFERROR(VLOOKUP($T1216,No_HP!$B$2:$C$514,2,0),0)</f>
        <v>0</v>
      </c>
      <c r="W1216" s="28">
        <f t="shared" si="102"/>
        <v>0</v>
      </c>
      <c r="X1216" s="333">
        <f t="shared" si="103"/>
        <v>0</v>
      </c>
      <c r="Y1216" s="333">
        <f t="shared" si="104"/>
        <v>0</v>
      </c>
    </row>
    <row r="1217" spans="1:25" s="2" customFormat="1" ht="21.95" customHeight="1">
      <c r="A1217" s="82">
        <v>9</v>
      </c>
      <c r="B1217" s="91" t="s">
        <v>3365</v>
      </c>
      <c r="C1217" s="83" t="s">
        <v>364</v>
      </c>
      <c r="D1217" s="81" t="s">
        <v>517</v>
      </c>
      <c r="E1217" s="48">
        <v>101209</v>
      </c>
      <c r="F1217" s="30" t="s">
        <v>1925</v>
      </c>
      <c r="G1217" s="29" t="s">
        <v>1926</v>
      </c>
      <c r="H1217" s="30" t="s">
        <v>436</v>
      </c>
      <c r="I1217" s="78"/>
      <c r="J1217" s="20"/>
      <c r="K1217" s="20"/>
      <c r="L1217" s="20"/>
      <c r="M1217" s="20"/>
      <c r="N1217" s="69" t="s">
        <v>256</v>
      </c>
      <c r="O1217" s="70">
        <v>0</v>
      </c>
      <c r="P1217" s="70">
        <v>0</v>
      </c>
      <c r="Q1217" s="70">
        <v>0</v>
      </c>
      <c r="R1217" s="70"/>
      <c r="S1217" s="67"/>
      <c r="T1217" s="2" t="str">
        <f t="shared" si="101"/>
        <v>Lê Nguyễn Anh Chương_12AS8</v>
      </c>
      <c r="U1217" s="28">
        <f t="array" ref="U1217">IFERROR(VLOOKUP($T1217,'Nghi hoc T12'!$H$7:$I$160,2,0),0)</f>
        <v>0</v>
      </c>
      <c r="V1217" s="28">
        <f>IFERROR(VLOOKUP($T1217,No_HP!$B$2:$C$514,2,0),0)</f>
        <v>0</v>
      </c>
      <c r="W1217" s="28">
        <f t="shared" si="102"/>
        <v>0</v>
      </c>
      <c r="X1217" s="333">
        <f t="shared" si="103"/>
        <v>0</v>
      </c>
      <c r="Y1217" s="333">
        <f t="shared" si="104"/>
        <v>0</v>
      </c>
    </row>
    <row r="1218" spans="1:25" s="2" customFormat="1" ht="21.95" customHeight="1">
      <c r="A1218" s="82">
        <v>10</v>
      </c>
      <c r="B1218" s="91" t="s">
        <v>3365</v>
      </c>
      <c r="C1218" s="83" t="s">
        <v>364</v>
      </c>
      <c r="D1218" s="81" t="s">
        <v>517</v>
      </c>
      <c r="E1218" s="48">
        <v>101210</v>
      </c>
      <c r="F1218" s="30" t="s">
        <v>1855</v>
      </c>
      <c r="G1218" s="29" t="s">
        <v>1895</v>
      </c>
      <c r="H1218" s="30" t="s">
        <v>435</v>
      </c>
      <c r="I1218" s="78"/>
      <c r="J1218" s="20"/>
      <c r="K1218" s="20"/>
      <c r="L1218" s="20"/>
      <c r="M1218" s="20"/>
      <c r="N1218" s="69" t="s">
        <v>256</v>
      </c>
      <c r="O1218" s="70">
        <v>0</v>
      </c>
      <c r="P1218" s="70">
        <v>0</v>
      </c>
      <c r="Q1218" s="70">
        <v>0</v>
      </c>
      <c r="R1218" s="70"/>
      <c r="S1218" s="67"/>
      <c r="T1218" s="2" t="str">
        <f t="shared" si="101"/>
        <v>Phạm Xuân Cừ_12AS7</v>
      </c>
      <c r="U1218" s="28">
        <f t="array" ref="U1218">IFERROR(VLOOKUP($T1218,'Nghi hoc T12'!$H$7:$I$160,2,0),0)</f>
        <v>0</v>
      </c>
      <c r="V1218" s="28">
        <f>IFERROR(VLOOKUP($T1218,No_HP!$B$2:$C$514,2,0),0)</f>
        <v>0</v>
      </c>
      <c r="W1218" s="28">
        <f t="shared" si="102"/>
        <v>0</v>
      </c>
      <c r="X1218" s="333">
        <f t="shared" si="103"/>
        <v>0</v>
      </c>
      <c r="Y1218" s="333">
        <f t="shared" si="104"/>
        <v>0</v>
      </c>
    </row>
    <row r="1219" spans="1:25" s="2" customFormat="1" ht="21.95" customHeight="1">
      <c r="A1219" s="82">
        <v>11</v>
      </c>
      <c r="B1219" s="91" t="s">
        <v>3365</v>
      </c>
      <c r="C1219" s="83" t="s">
        <v>364</v>
      </c>
      <c r="D1219" s="81" t="s">
        <v>517</v>
      </c>
      <c r="E1219" s="48">
        <v>101211</v>
      </c>
      <c r="F1219" s="30" t="s">
        <v>220</v>
      </c>
      <c r="G1219" s="29" t="s">
        <v>65</v>
      </c>
      <c r="H1219" s="30" t="s">
        <v>435</v>
      </c>
      <c r="I1219" s="78"/>
      <c r="J1219" s="20"/>
      <c r="K1219" s="20"/>
      <c r="L1219" s="20"/>
      <c r="M1219" s="20"/>
      <c r="N1219" s="69" t="s">
        <v>256</v>
      </c>
      <c r="O1219" s="70">
        <v>0</v>
      </c>
      <c r="P1219" s="70">
        <v>0</v>
      </c>
      <c r="Q1219" s="70">
        <v>0</v>
      </c>
      <c r="R1219" s="70"/>
      <c r="S1219" s="67"/>
      <c r="T1219" s="2" t="str">
        <f t="shared" si="101"/>
        <v>Võ Thanh Duy_12AS7</v>
      </c>
      <c r="U1219" s="28">
        <f t="array" ref="U1219">IFERROR(VLOOKUP($T1219,'Nghi hoc T12'!$H$7:$I$160,2,0),0)</f>
        <v>0</v>
      </c>
      <c r="V1219" s="28">
        <f>IFERROR(VLOOKUP($T1219,No_HP!$B$2:$C$514,2,0),0)</f>
        <v>0</v>
      </c>
      <c r="W1219" s="28">
        <f t="shared" si="102"/>
        <v>0</v>
      </c>
      <c r="X1219" s="333">
        <f t="shared" si="103"/>
        <v>0</v>
      </c>
      <c r="Y1219" s="333">
        <f t="shared" si="104"/>
        <v>0</v>
      </c>
    </row>
    <row r="1220" spans="1:25" s="2" customFormat="1" ht="21.95" customHeight="1">
      <c r="A1220" s="82">
        <v>12</v>
      </c>
      <c r="B1220" s="91" t="s">
        <v>3365</v>
      </c>
      <c r="C1220" s="83" t="s">
        <v>364</v>
      </c>
      <c r="D1220" s="81" t="s">
        <v>517</v>
      </c>
      <c r="E1220" s="48">
        <v>101212</v>
      </c>
      <c r="F1220" s="30" t="s">
        <v>221</v>
      </c>
      <c r="G1220" s="29" t="s">
        <v>7</v>
      </c>
      <c r="H1220" s="30" t="s">
        <v>436</v>
      </c>
      <c r="I1220" s="78"/>
      <c r="J1220" s="20"/>
      <c r="K1220" s="20"/>
      <c r="L1220" s="20"/>
      <c r="M1220" s="20"/>
      <c r="N1220" s="69" t="s">
        <v>256</v>
      </c>
      <c r="O1220" s="70">
        <v>0</v>
      </c>
      <c r="P1220" s="70">
        <v>0</v>
      </c>
      <c r="Q1220" s="70">
        <v>0</v>
      </c>
      <c r="R1220" s="70"/>
      <c r="S1220" s="67"/>
      <c r="T1220" s="2" t="str">
        <f t="shared" si="101"/>
        <v>Nguyễn Tiến Đạt_12AS8</v>
      </c>
      <c r="U1220" s="28">
        <f t="array" ref="U1220">IFERROR(VLOOKUP($T1220,'Nghi hoc T12'!$H$7:$I$160,2,0),0)</f>
        <v>0</v>
      </c>
      <c r="V1220" s="28">
        <f>IFERROR(VLOOKUP($T1220,No_HP!$B$2:$C$514,2,0),0)</f>
        <v>0</v>
      </c>
      <c r="W1220" s="28">
        <f t="shared" si="102"/>
        <v>0</v>
      </c>
      <c r="X1220" s="333">
        <f t="shared" si="103"/>
        <v>0</v>
      </c>
      <c r="Y1220" s="333">
        <f t="shared" si="104"/>
        <v>0</v>
      </c>
    </row>
    <row r="1221" spans="1:25" s="2" customFormat="1" ht="21.95" customHeight="1">
      <c r="A1221" s="82">
        <v>13</v>
      </c>
      <c r="B1221" s="91" t="s">
        <v>3365</v>
      </c>
      <c r="C1221" s="83" t="s">
        <v>364</v>
      </c>
      <c r="D1221" s="81" t="s">
        <v>517</v>
      </c>
      <c r="E1221" s="48">
        <v>101213</v>
      </c>
      <c r="F1221" s="30" t="s">
        <v>1896</v>
      </c>
      <c r="G1221" s="29" t="s">
        <v>7</v>
      </c>
      <c r="H1221" s="30" t="s">
        <v>435</v>
      </c>
      <c r="I1221" s="78"/>
      <c r="J1221" s="20"/>
      <c r="K1221" s="20"/>
      <c r="L1221" s="20"/>
      <c r="M1221" s="20"/>
      <c r="N1221" s="69" t="s">
        <v>256</v>
      </c>
      <c r="O1221" s="70">
        <v>0</v>
      </c>
      <c r="P1221" s="70">
        <v>0</v>
      </c>
      <c r="Q1221" s="70">
        <v>0</v>
      </c>
      <c r="R1221" s="70"/>
      <c r="S1221" s="67"/>
      <c r="T1221" s="2" t="str">
        <f t="shared" si="101"/>
        <v>Phan Gia Thành Đạt_12AS7</v>
      </c>
      <c r="U1221" s="28">
        <f t="array" ref="U1221">IFERROR(VLOOKUP($T1221,'Nghi hoc T12'!$H$7:$I$160,2,0),0)</f>
        <v>0</v>
      </c>
      <c r="V1221" s="28">
        <f>IFERROR(VLOOKUP($T1221,No_HP!$B$2:$C$514,2,0),0)</f>
        <v>0</v>
      </c>
      <c r="W1221" s="28">
        <f t="shared" si="102"/>
        <v>0</v>
      </c>
      <c r="X1221" s="333">
        <f t="shared" si="103"/>
        <v>0</v>
      </c>
      <c r="Y1221" s="333">
        <f t="shared" si="104"/>
        <v>0</v>
      </c>
    </row>
    <row r="1222" spans="1:25" s="2" customFormat="1" ht="21.95" customHeight="1">
      <c r="A1222" s="82">
        <v>14</v>
      </c>
      <c r="B1222" s="91" t="s">
        <v>3365</v>
      </c>
      <c r="C1222" s="83" t="s">
        <v>364</v>
      </c>
      <c r="D1222" s="81" t="s">
        <v>517</v>
      </c>
      <c r="E1222" s="48">
        <v>101214</v>
      </c>
      <c r="F1222" s="30" t="s">
        <v>1135</v>
      </c>
      <c r="G1222" s="29" t="s">
        <v>1812</v>
      </c>
      <c r="H1222" s="30" t="s">
        <v>436</v>
      </c>
      <c r="I1222" s="78"/>
      <c r="J1222" s="20"/>
      <c r="K1222" s="20"/>
      <c r="L1222" s="20"/>
      <c r="M1222" s="20"/>
      <c r="N1222" s="69" t="s">
        <v>256</v>
      </c>
      <c r="O1222" s="70">
        <v>0</v>
      </c>
      <c r="P1222" s="70">
        <v>0</v>
      </c>
      <c r="Q1222" s="70">
        <v>0</v>
      </c>
      <c r="R1222" s="70"/>
      <c r="S1222" s="67"/>
      <c r="T1222" s="2" t="str">
        <f t="shared" si="101"/>
        <v>Bùi Xuân Đông_12AS8</v>
      </c>
      <c r="U1222" s="28">
        <f t="array" ref="U1222">IFERROR(VLOOKUP($T1222,'Nghi hoc T12'!$H$7:$I$160,2,0),0)</f>
        <v>0</v>
      </c>
      <c r="V1222" s="28">
        <f>IFERROR(VLOOKUP($T1222,No_HP!$B$2:$C$514,2,0),0)</f>
        <v>0</v>
      </c>
      <c r="W1222" s="28">
        <f t="shared" si="102"/>
        <v>0</v>
      </c>
      <c r="X1222" s="333">
        <f t="shared" si="103"/>
        <v>0</v>
      </c>
      <c r="Y1222" s="333">
        <f t="shared" si="104"/>
        <v>0</v>
      </c>
    </row>
    <row r="1223" spans="1:25" s="2" customFormat="1" ht="21.95" customHeight="1">
      <c r="A1223" s="82">
        <v>15</v>
      </c>
      <c r="B1223" s="91" t="s">
        <v>3365</v>
      </c>
      <c r="C1223" s="83" t="s">
        <v>364</v>
      </c>
      <c r="D1223" s="81" t="s">
        <v>517</v>
      </c>
      <c r="E1223" s="48">
        <v>101215</v>
      </c>
      <c r="F1223" s="30" t="s">
        <v>222</v>
      </c>
      <c r="G1223" s="29" t="s">
        <v>143</v>
      </c>
      <c r="H1223" s="30" t="s">
        <v>435</v>
      </c>
      <c r="I1223" s="78"/>
      <c r="J1223" s="20"/>
      <c r="K1223" s="20"/>
      <c r="L1223" s="20"/>
      <c r="M1223" s="20"/>
      <c r="N1223" s="69" t="s">
        <v>256</v>
      </c>
      <c r="O1223" s="70">
        <v>0</v>
      </c>
      <c r="P1223" s="70">
        <v>0</v>
      </c>
      <c r="Q1223" s="70">
        <v>0</v>
      </c>
      <c r="R1223" s="70"/>
      <c r="S1223" s="67"/>
      <c r="T1223" s="2" t="str">
        <f t="shared" si="101"/>
        <v>Nguyễn Ngọc Hà_12AS7</v>
      </c>
      <c r="U1223" s="28">
        <f t="array" ref="U1223">IFERROR(VLOOKUP($T1223,'Nghi hoc T12'!$H$7:$I$160,2,0),0)</f>
        <v>0</v>
      </c>
      <c r="V1223" s="28">
        <f>IFERROR(VLOOKUP($T1223,No_HP!$B$2:$C$514,2,0),0)</f>
        <v>0</v>
      </c>
      <c r="W1223" s="28">
        <f t="shared" si="102"/>
        <v>0</v>
      </c>
      <c r="X1223" s="333">
        <f t="shared" si="103"/>
        <v>0</v>
      </c>
      <c r="Y1223" s="333">
        <f t="shared" si="104"/>
        <v>0</v>
      </c>
    </row>
    <row r="1224" spans="1:25" s="2" customFormat="1" ht="21.95" customHeight="1">
      <c r="A1224" s="82">
        <v>16</v>
      </c>
      <c r="B1224" s="91" t="s">
        <v>3365</v>
      </c>
      <c r="C1224" s="83" t="s">
        <v>364</v>
      </c>
      <c r="D1224" s="81" t="s">
        <v>517</v>
      </c>
      <c r="E1224" s="48">
        <v>101216</v>
      </c>
      <c r="F1224" s="30" t="s">
        <v>1927</v>
      </c>
      <c r="G1224" s="29" t="s">
        <v>171</v>
      </c>
      <c r="H1224" s="30" t="s">
        <v>436</v>
      </c>
      <c r="I1224" s="78"/>
      <c r="J1224" s="20"/>
      <c r="K1224" s="20"/>
      <c r="L1224" s="20"/>
      <c r="M1224" s="20"/>
      <c r="N1224" s="69" t="s">
        <v>256</v>
      </c>
      <c r="O1224" s="70">
        <v>0</v>
      </c>
      <c r="P1224" s="70">
        <v>0</v>
      </c>
      <c r="Q1224" s="70">
        <v>0</v>
      </c>
      <c r="R1224" s="70"/>
      <c r="S1224" s="67"/>
      <c r="T1224" s="2" t="str">
        <f t="shared" si="101"/>
        <v>Nguyễn Ngô Hải_12AS8</v>
      </c>
      <c r="U1224" s="28">
        <f t="array" ref="U1224">IFERROR(VLOOKUP($T1224,'Nghi hoc T12'!$H$7:$I$160,2,0),0)</f>
        <v>0</v>
      </c>
      <c r="V1224" s="28">
        <f>IFERROR(VLOOKUP($T1224,No_HP!$B$2:$C$514,2,0),0)</f>
        <v>0</v>
      </c>
      <c r="W1224" s="28">
        <f t="shared" si="102"/>
        <v>0</v>
      </c>
      <c r="X1224" s="333">
        <f t="shared" si="103"/>
        <v>0</v>
      </c>
      <c r="Y1224" s="333">
        <f t="shared" si="104"/>
        <v>0</v>
      </c>
    </row>
    <row r="1225" spans="1:25" s="2" customFormat="1" ht="21.95" customHeight="1">
      <c r="A1225" s="82">
        <v>17</v>
      </c>
      <c r="B1225" s="91" t="s">
        <v>3365</v>
      </c>
      <c r="C1225" s="83" t="s">
        <v>364</v>
      </c>
      <c r="D1225" s="81" t="s">
        <v>517</v>
      </c>
      <c r="E1225" s="48">
        <v>101217</v>
      </c>
      <c r="F1225" s="30" t="s">
        <v>1928</v>
      </c>
      <c r="G1225" s="29" t="s">
        <v>1736</v>
      </c>
      <c r="H1225" s="30" t="s">
        <v>436</v>
      </c>
      <c r="I1225" s="78"/>
      <c r="J1225" s="20"/>
      <c r="K1225" s="20"/>
      <c r="L1225" s="20"/>
      <c r="M1225" s="20"/>
      <c r="N1225" s="69" t="s">
        <v>256</v>
      </c>
      <c r="O1225" s="70">
        <v>0</v>
      </c>
      <c r="P1225" s="70">
        <v>0</v>
      </c>
      <c r="Q1225" s="70">
        <v>0</v>
      </c>
      <c r="R1225" s="70"/>
      <c r="S1225" s="67"/>
      <c r="T1225" s="2" t="str">
        <f t="shared" si="101"/>
        <v>Huỳnh Phạm Hồng Hạnh_12AS8</v>
      </c>
      <c r="U1225" s="28">
        <f t="array" ref="U1225">IFERROR(VLOOKUP($T1225,'Nghi hoc T12'!$H$7:$I$160,2,0),0)</f>
        <v>0</v>
      </c>
      <c r="V1225" s="28">
        <f>IFERROR(VLOOKUP($T1225,No_HP!$B$2:$C$514,2,0),0)</f>
        <v>0</v>
      </c>
      <c r="W1225" s="28">
        <f t="shared" si="102"/>
        <v>0</v>
      </c>
      <c r="X1225" s="333">
        <f t="shared" si="103"/>
        <v>0</v>
      </c>
      <c r="Y1225" s="333">
        <f t="shared" si="104"/>
        <v>0</v>
      </c>
    </row>
    <row r="1226" spans="1:25" s="2" customFormat="1" ht="21.95" customHeight="1">
      <c r="A1226" s="82">
        <v>18</v>
      </c>
      <c r="B1226" s="91" t="s">
        <v>3365</v>
      </c>
      <c r="C1226" s="83" t="s">
        <v>364</v>
      </c>
      <c r="D1226" s="81" t="s">
        <v>517</v>
      </c>
      <c r="E1226" s="48">
        <v>101218</v>
      </c>
      <c r="F1226" s="30" t="s">
        <v>1929</v>
      </c>
      <c r="G1226" s="29" t="s">
        <v>1736</v>
      </c>
      <c r="H1226" s="30" t="s">
        <v>436</v>
      </c>
      <c r="I1226" s="78"/>
      <c r="J1226" s="20"/>
      <c r="K1226" s="20"/>
      <c r="L1226" s="20"/>
      <c r="M1226" s="20"/>
      <c r="N1226" s="69" t="s">
        <v>256</v>
      </c>
      <c r="O1226" s="70">
        <v>0</v>
      </c>
      <c r="P1226" s="70">
        <v>0</v>
      </c>
      <c r="Q1226" s="70">
        <v>0</v>
      </c>
      <c r="R1226" s="70"/>
      <c r="S1226" s="67"/>
      <c r="T1226" s="2" t="str">
        <f t="shared" ref="T1226:T1289" si="105">TRIM(F1226&amp;" "&amp;G1226&amp;"_"&amp;H1226)</f>
        <v>Trần Ngọc Hồng Hạnh_12AS8</v>
      </c>
      <c r="U1226" s="28" t="s">
        <v>3334</v>
      </c>
      <c r="V1226" s="28">
        <f>IFERROR(VLOOKUP($T1226,No_HP!$B$2:$C$514,2,0),0)</f>
        <v>0</v>
      </c>
      <c r="W1226" s="28">
        <f t="shared" ref="W1226:W1289" si="106">I1226</f>
        <v>0</v>
      </c>
      <c r="X1226" s="333">
        <f t="shared" ref="X1226:X1289" si="107">O1226</f>
        <v>0</v>
      </c>
      <c r="Y1226" s="333">
        <f t="shared" ref="Y1226:Y1289" si="108">P1226</f>
        <v>0</v>
      </c>
    </row>
    <row r="1227" spans="1:25" s="2" customFormat="1" ht="21.95" customHeight="1">
      <c r="A1227" s="82">
        <v>19</v>
      </c>
      <c r="B1227" s="91" t="s">
        <v>3365</v>
      </c>
      <c r="C1227" s="83" t="s">
        <v>364</v>
      </c>
      <c r="D1227" s="81" t="s">
        <v>517</v>
      </c>
      <c r="E1227" s="48">
        <v>101219</v>
      </c>
      <c r="F1227" s="30" t="s">
        <v>1223</v>
      </c>
      <c r="G1227" s="29" t="s">
        <v>173</v>
      </c>
      <c r="H1227" s="30" t="s">
        <v>435</v>
      </c>
      <c r="I1227" s="78"/>
      <c r="J1227" s="20"/>
      <c r="K1227" s="20"/>
      <c r="L1227" s="20"/>
      <c r="M1227" s="20"/>
      <c r="N1227" s="69" t="s">
        <v>256</v>
      </c>
      <c r="O1227" s="70">
        <v>0</v>
      </c>
      <c r="P1227" s="70">
        <v>0</v>
      </c>
      <c r="Q1227" s="70">
        <v>0</v>
      </c>
      <c r="R1227" s="70"/>
      <c r="S1227" s="67"/>
      <c r="T1227" s="2" t="str">
        <f t="shared" si="105"/>
        <v>Lê Thị Thu Hằng_12AS7</v>
      </c>
      <c r="U1227" s="28">
        <f t="array" ref="U1227">IFERROR(VLOOKUP($T1227,'Nghi hoc T12'!$H$7:$I$160,2,0),0)</f>
        <v>0</v>
      </c>
      <c r="V1227" s="28">
        <f>IFERROR(VLOOKUP($T1227,No_HP!$B$2:$C$514,2,0),0)</f>
        <v>0</v>
      </c>
      <c r="W1227" s="28">
        <f t="shared" si="106"/>
        <v>0</v>
      </c>
      <c r="X1227" s="333">
        <f t="shared" si="107"/>
        <v>0</v>
      </c>
      <c r="Y1227" s="333">
        <f t="shared" si="108"/>
        <v>0</v>
      </c>
    </row>
    <row r="1228" spans="1:25" s="2" customFormat="1" ht="21.95" customHeight="1">
      <c r="A1228" s="82">
        <v>20</v>
      </c>
      <c r="B1228" s="91" t="s">
        <v>3365</v>
      </c>
      <c r="C1228" s="83" t="s">
        <v>364</v>
      </c>
      <c r="D1228" s="81" t="s">
        <v>517</v>
      </c>
      <c r="E1228" s="48">
        <v>101220</v>
      </c>
      <c r="F1228" s="30" t="s">
        <v>1930</v>
      </c>
      <c r="G1228" s="29" t="s">
        <v>84</v>
      </c>
      <c r="H1228" s="30" t="s">
        <v>436</v>
      </c>
      <c r="I1228" s="78"/>
      <c r="J1228" s="20"/>
      <c r="K1228" s="20"/>
      <c r="L1228" s="20"/>
      <c r="M1228" s="20"/>
      <c r="N1228" s="69" t="s">
        <v>256</v>
      </c>
      <c r="O1228" s="70">
        <v>0</v>
      </c>
      <c r="P1228" s="70">
        <v>0</v>
      </c>
      <c r="Q1228" s="70">
        <v>0</v>
      </c>
      <c r="R1228" s="70"/>
      <c r="S1228" s="67"/>
      <c r="T1228" s="2" t="str">
        <f t="shared" si="105"/>
        <v>Lê Phạm Ngọc Hân_12AS8</v>
      </c>
      <c r="U1228" s="28">
        <f t="array" ref="U1228">IFERROR(VLOOKUP($T1228,'Nghi hoc T12'!$H$7:$I$160,2,0),0)</f>
        <v>0</v>
      </c>
      <c r="V1228" s="28">
        <f>IFERROR(VLOOKUP($T1228,No_HP!$B$2:$C$514,2,0),0)</f>
        <v>0</v>
      </c>
      <c r="W1228" s="28">
        <f t="shared" si="106"/>
        <v>0</v>
      </c>
      <c r="X1228" s="333">
        <f t="shared" si="107"/>
        <v>0</v>
      </c>
      <c r="Y1228" s="333">
        <f t="shared" si="108"/>
        <v>0</v>
      </c>
    </row>
    <row r="1229" spans="1:25" s="2" customFormat="1" ht="21.95" customHeight="1">
      <c r="A1229" s="82">
        <v>21</v>
      </c>
      <c r="B1229" s="91" t="s">
        <v>3365</v>
      </c>
      <c r="C1229" s="83" t="s">
        <v>364</v>
      </c>
      <c r="D1229" s="81" t="s">
        <v>517</v>
      </c>
      <c r="E1229" s="48">
        <v>101221</v>
      </c>
      <c r="F1229" s="30" t="s">
        <v>1931</v>
      </c>
      <c r="G1229" s="29" t="s">
        <v>84</v>
      </c>
      <c r="H1229" s="30" t="s">
        <v>436</v>
      </c>
      <c r="I1229" s="78"/>
      <c r="J1229" s="20"/>
      <c r="K1229" s="20"/>
      <c r="L1229" s="20"/>
      <c r="M1229" s="20"/>
      <c r="N1229" s="69" t="s">
        <v>256</v>
      </c>
      <c r="O1229" s="70">
        <v>0</v>
      </c>
      <c r="P1229" s="70">
        <v>0</v>
      </c>
      <c r="Q1229" s="70">
        <v>0</v>
      </c>
      <c r="R1229" s="70"/>
      <c r="S1229" s="67"/>
      <c r="T1229" s="2" t="str">
        <f t="shared" si="105"/>
        <v>Phan Nguyễn Gia Hân_12AS8</v>
      </c>
      <c r="U1229" s="28">
        <f t="array" ref="U1229">IFERROR(VLOOKUP($T1229,'Nghi hoc T12'!$H$7:$I$160,2,0),0)</f>
        <v>0</v>
      </c>
      <c r="V1229" s="28">
        <f>IFERROR(VLOOKUP($T1229,No_HP!$B$2:$C$514,2,0),0)</f>
        <v>0</v>
      </c>
      <c r="W1229" s="28">
        <f t="shared" si="106"/>
        <v>0</v>
      </c>
      <c r="X1229" s="333">
        <f t="shared" si="107"/>
        <v>0</v>
      </c>
      <c r="Y1229" s="333">
        <f t="shared" si="108"/>
        <v>0</v>
      </c>
    </row>
    <row r="1230" spans="1:25" s="2" customFormat="1" ht="21.95" customHeight="1">
      <c r="A1230" s="82">
        <v>22</v>
      </c>
      <c r="B1230" s="91" t="s">
        <v>3365</v>
      </c>
      <c r="C1230" s="83" t="s">
        <v>364</v>
      </c>
      <c r="D1230" s="81" t="s">
        <v>517</v>
      </c>
      <c r="E1230" s="48">
        <v>101222</v>
      </c>
      <c r="F1230" s="30" t="s">
        <v>1581</v>
      </c>
      <c r="G1230" s="29" t="s">
        <v>84</v>
      </c>
      <c r="H1230" s="30" t="s">
        <v>436</v>
      </c>
      <c r="I1230" s="78"/>
      <c r="J1230" s="20"/>
      <c r="K1230" s="20"/>
      <c r="L1230" s="20"/>
      <c r="M1230" s="20"/>
      <c r="N1230" s="69" t="s">
        <v>256</v>
      </c>
      <c r="O1230" s="70">
        <v>0</v>
      </c>
      <c r="P1230" s="70">
        <v>0</v>
      </c>
      <c r="Q1230" s="70">
        <v>0</v>
      </c>
      <c r="R1230" s="70"/>
      <c r="S1230" s="67"/>
      <c r="T1230" s="2" t="str">
        <f t="shared" si="105"/>
        <v>Vũ Ngọc Hân_12AS8</v>
      </c>
      <c r="U1230" s="28">
        <f t="array" ref="U1230">IFERROR(VLOOKUP($T1230,'Nghi hoc T12'!$H$7:$I$160,2,0),0)</f>
        <v>0</v>
      </c>
      <c r="V1230" s="28">
        <f>IFERROR(VLOOKUP($T1230,No_HP!$B$2:$C$514,2,0),0)</f>
        <v>0</v>
      </c>
      <c r="W1230" s="28">
        <f t="shared" si="106"/>
        <v>0</v>
      </c>
      <c r="X1230" s="333">
        <f t="shared" si="107"/>
        <v>0</v>
      </c>
      <c r="Y1230" s="333">
        <f t="shared" si="108"/>
        <v>0</v>
      </c>
    </row>
    <row r="1231" spans="1:25" s="2" customFormat="1" ht="21.95" customHeight="1">
      <c r="A1231" s="82">
        <v>23</v>
      </c>
      <c r="B1231" s="91" t="s">
        <v>3365</v>
      </c>
      <c r="C1231" s="83" t="s">
        <v>364</v>
      </c>
      <c r="D1231" s="81" t="s">
        <v>517</v>
      </c>
      <c r="E1231" s="48">
        <v>101223</v>
      </c>
      <c r="F1231" s="30" t="s">
        <v>1897</v>
      </c>
      <c r="G1231" s="29" t="s">
        <v>9</v>
      </c>
      <c r="H1231" s="30" t="s">
        <v>435</v>
      </c>
      <c r="I1231" s="78"/>
      <c r="J1231" s="20"/>
      <c r="K1231" s="20"/>
      <c r="L1231" s="20"/>
      <c r="M1231" s="20"/>
      <c r="N1231" s="69" t="s">
        <v>256</v>
      </c>
      <c r="O1231" s="70">
        <v>0</v>
      </c>
      <c r="P1231" s="70">
        <v>0</v>
      </c>
      <c r="Q1231" s="70">
        <v>0</v>
      </c>
      <c r="R1231" s="70"/>
      <c r="S1231" s="67"/>
      <c r="T1231" s="2" t="str">
        <f t="shared" si="105"/>
        <v>Trần Trung Hiếu_12AS7</v>
      </c>
      <c r="U1231" s="28">
        <f t="array" ref="U1231">IFERROR(VLOOKUP($T1231,'Nghi hoc T12'!$H$7:$I$160,2,0),0)</f>
        <v>0</v>
      </c>
      <c r="V1231" s="28">
        <f>IFERROR(VLOOKUP($T1231,No_HP!$B$2:$C$514,2,0),0)</f>
        <v>0</v>
      </c>
      <c r="W1231" s="28">
        <f t="shared" si="106"/>
        <v>0</v>
      </c>
      <c r="X1231" s="333">
        <f t="shared" si="107"/>
        <v>0</v>
      </c>
      <c r="Y1231" s="333">
        <f t="shared" si="108"/>
        <v>0</v>
      </c>
    </row>
    <row r="1232" spans="1:25" s="2" customFormat="1" ht="21.95" customHeight="1">
      <c r="A1232" s="82">
        <v>24</v>
      </c>
      <c r="B1232" s="91" t="s">
        <v>3365</v>
      </c>
      <c r="C1232" s="83" t="s">
        <v>364</v>
      </c>
      <c r="D1232" s="81" t="s">
        <v>517</v>
      </c>
      <c r="E1232" s="48">
        <v>101224</v>
      </c>
      <c r="F1232" s="30" t="s">
        <v>1898</v>
      </c>
      <c r="G1232" s="29" t="s">
        <v>10</v>
      </c>
      <c r="H1232" s="30" t="s">
        <v>435</v>
      </c>
      <c r="I1232" s="78"/>
      <c r="J1232" s="20"/>
      <c r="K1232" s="20"/>
      <c r="L1232" s="20"/>
      <c r="M1232" s="20"/>
      <c r="N1232" s="69" t="s">
        <v>256</v>
      </c>
      <c r="O1232" s="70">
        <v>0</v>
      </c>
      <c r="P1232" s="70">
        <v>0</v>
      </c>
      <c r="Q1232" s="70">
        <v>0</v>
      </c>
      <c r="R1232" s="70"/>
      <c r="S1232" s="67"/>
      <c r="T1232" s="2" t="str">
        <f t="shared" si="105"/>
        <v>Đặng Ngọc Kim Hoàng_12AS7</v>
      </c>
      <c r="U1232" s="28">
        <f t="array" ref="U1232">IFERROR(VLOOKUP($T1232,'Nghi hoc T12'!$H$7:$I$160,2,0),0)</f>
        <v>0</v>
      </c>
      <c r="V1232" s="28">
        <f>IFERROR(VLOOKUP($T1232,No_HP!$B$2:$C$514,2,0),0)</f>
        <v>0</v>
      </c>
      <c r="W1232" s="28">
        <f t="shared" si="106"/>
        <v>0</v>
      </c>
      <c r="X1232" s="333">
        <f t="shared" si="107"/>
        <v>0</v>
      </c>
      <c r="Y1232" s="333">
        <f t="shared" si="108"/>
        <v>0</v>
      </c>
    </row>
    <row r="1233" spans="1:25" s="2" customFormat="1" ht="21.95" customHeight="1">
      <c r="A1233" s="82">
        <v>25</v>
      </c>
      <c r="B1233" s="91" t="s">
        <v>3365</v>
      </c>
      <c r="C1233" s="83" t="s">
        <v>364</v>
      </c>
      <c r="D1233" s="81" t="s">
        <v>517</v>
      </c>
      <c r="E1233" s="48">
        <v>101225</v>
      </c>
      <c r="F1233" s="30" t="s">
        <v>1932</v>
      </c>
      <c r="G1233" s="29" t="s">
        <v>10</v>
      </c>
      <c r="H1233" s="30" t="s">
        <v>436</v>
      </c>
      <c r="I1233" s="78"/>
      <c r="J1233" s="20"/>
      <c r="K1233" s="20"/>
      <c r="L1233" s="20"/>
      <c r="M1233" s="20"/>
      <c r="N1233" s="69" t="s">
        <v>256</v>
      </c>
      <c r="O1233" s="70">
        <v>0</v>
      </c>
      <c r="P1233" s="70">
        <v>0</v>
      </c>
      <c r="Q1233" s="70">
        <v>0</v>
      </c>
      <c r="R1233" s="70"/>
      <c r="S1233" s="67"/>
      <c r="T1233" s="2" t="str">
        <f t="shared" si="105"/>
        <v>Huỳnh Huy Hoàng_12AS8</v>
      </c>
      <c r="U1233" s="28">
        <f t="array" ref="U1233">IFERROR(VLOOKUP($T1233,'Nghi hoc T12'!$H$7:$I$160,2,0),0)</f>
        <v>0</v>
      </c>
      <c r="V1233" s="28">
        <f>IFERROR(VLOOKUP($T1233,No_HP!$B$2:$C$514,2,0),0)</f>
        <v>0</v>
      </c>
      <c r="W1233" s="28">
        <f t="shared" si="106"/>
        <v>0</v>
      </c>
      <c r="X1233" s="333">
        <f t="shared" si="107"/>
        <v>0</v>
      </c>
      <c r="Y1233" s="333">
        <f t="shared" si="108"/>
        <v>0</v>
      </c>
    </row>
    <row r="1234" spans="1:25" s="2" customFormat="1" ht="21.95" customHeight="1">
      <c r="A1234" s="82">
        <v>26</v>
      </c>
      <c r="B1234" s="91" t="s">
        <v>3365</v>
      </c>
      <c r="C1234" s="83" t="s">
        <v>364</v>
      </c>
      <c r="D1234" s="81" t="s">
        <v>517</v>
      </c>
      <c r="E1234" s="48">
        <v>101226</v>
      </c>
      <c r="F1234" s="30" t="s">
        <v>268</v>
      </c>
      <c r="G1234" s="29" t="s">
        <v>11</v>
      </c>
      <c r="H1234" s="30" t="s">
        <v>436</v>
      </c>
      <c r="I1234" s="78" t="s">
        <v>529</v>
      </c>
      <c r="J1234" s="20"/>
      <c r="K1234" s="20"/>
      <c r="L1234" s="20"/>
      <c r="M1234" s="20"/>
      <c r="N1234" s="69" t="s">
        <v>256</v>
      </c>
      <c r="O1234" s="70">
        <v>0</v>
      </c>
      <c r="P1234" s="70">
        <v>0</v>
      </c>
      <c r="Q1234" s="70" t="s">
        <v>3334</v>
      </c>
      <c r="R1234" s="70"/>
      <c r="S1234" s="67"/>
      <c r="T1234" s="2" t="str">
        <f t="shared" si="105"/>
        <v>Nguyễn Văn Huy_12AS8</v>
      </c>
      <c r="U1234" s="28">
        <f t="array" ref="U1234">IFERROR(VLOOKUP($T1234,'Nghi hoc T12'!$H$7:$I$160,2,0),0)</f>
        <v>0</v>
      </c>
      <c r="V1234" s="28">
        <f>IFERROR(VLOOKUP($T1234,No_HP!$B$2:$C$514,2,0),0)</f>
        <v>0</v>
      </c>
      <c r="W1234" s="28" t="str">
        <f t="shared" si="106"/>
        <v>Nghỉ học</v>
      </c>
      <c r="X1234" s="333">
        <f t="shared" si="107"/>
        <v>0</v>
      </c>
      <c r="Y1234" s="333">
        <f t="shared" si="108"/>
        <v>0</v>
      </c>
    </row>
    <row r="1235" spans="1:25" s="2" customFormat="1" ht="21.95" customHeight="1">
      <c r="A1235" s="82">
        <v>27</v>
      </c>
      <c r="B1235" s="91" t="s">
        <v>3365</v>
      </c>
      <c r="C1235" s="83" t="s">
        <v>364</v>
      </c>
      <c r="D1235" s="81" t="s">
        <v>517</v>
      </c>
      <c r="E1235" s="48">
        <v>101227</v>
      </c>
      <c r="F1235" s="30" t="s">
        <v>1899</v>
      </c>
      <c r="G1235" s="29" t="s">
        <v>11</v>
      </c>
      <c r="H1235" s="30" t="s">
        <v>435</v>
      </c>
      <c r="I1235" s="78"/>
      <c r="J1235" s="20"/>
      <c r="K1235" s="20"/>
      <c r="L1235" s="20"/>
      <c r="M1235" s="20"/>
      <c r="N1235" s="69" t="s">
        <v>256</v>
      </c>
      <c r="O1235" s="70">
        <v>0</v>
      </c>
      <c r="P1235" s="70">
        <v>0</v>
      </c>
      <c r="Q1235" s="70">
        <v>0</v>
      </c>
      <c r="R1235" s="70"/>
      <c r="S1235" s="67"/>
      <c r="T1235" s="2" t="str">
        <f t="shared" si="105"/>
        <v>Nguyễn Vũ Huy_12AS7</v>
      </c>
      <c r="U1235" s="28">
        <f t="array" ref="U1235">IFERROR(VLOOKUP($T1235,'Nghi hoc T12'!$H$7:$I$160,2,0),0)</f>
        <v>0</v>
      </c>
      <c r="V1235" s="28">
        <f>IFERROR(VLOOKUP($T1235,No_HP!$B$2:$C$514,2,0),0)</f>
        <v>0</v>
      </c>
      <c r="W1235" s="28">
        <f t="shared" si="106"/>
        <v>0</v>
      </c>
      <c r="X1235" s="333">
        <f t="shared" si="107"/>
        <v>0</v>
      </c>
      <c r="Y1235" s="333">
        <f t="shared" si="108"/>
        <v>0</v>
      </c>
    </row>
    <row r="1236" spans="1:25" s="2" customFormat="1" ht="21.95" customHeight="1">
      <c r="A1236" s="200">
        <v>1</v>
      </c>
      <c r="B1236" s="91" t="s">
        <v>3366</v>
      </c>
      <c r="C1236" s="185" t="s">
        <v>364</v>
      </c>
      <c r="D1236" s="186" t="s">
        <v>518</v>
      </c>
      <c r="E1236" s="187">
        <v>101228</v>
      </c>
      <c r="F1236" s="188" t="s">
        <v>1900</v>
      </c>
      <c r="G1236" s="189" t="s">
        <v>11</v>
      </c>
      <c r="H1236" s="188" t="s">
        <v>435</v>
      </c>
      <c r="I1236" s="190" t="s">
        <v>529</v>
      </c>
      <c r="J1236" s="191"/>
      <c r="K1236" s="191"/>
      <c r="L1236" s="191"/>
      <c r="M1236" s="191"/>
      <c r="N1236" s="69" t="s">
        <v>256</v>
      </c>
      <c r="O1236" s="70">
        <v>0</v>
      </c>
      <c r="P1236" s="70">
        <v>0</v>
      </c>
      <c r="Q1236" s="70" t="s">
        <v>3334</v>
      </c>
      <c r="R1236" s="70"/>
      <c r="S1236" s="67"/>
      <c r="T1236" s="2" t="str">
        <f t="shared" si="105"/>
        <v>Trần Nguyễn Quốc Huy_12AS7</v>
      </c>
      <c r="U1236" s="28" t="str">
        <f t="array" ref="U1236">IFERROR(VLOOKUP($T1236,'Nghi hoc T12'!$H$7:$I$160,2,0),0)</f>
        <v>NgiH</v>
      </c>
      <c r="V1236" s="28">
        <f>IFERROR(VLOOKUP($T1236,No_HP!$B$2:$C$514,2,0),0)</f>
        <v>0</v>
      </c>
      <c r="W1236" s="28" t="str">
        <f t="shared" si="106"/>
        <v>Nghỉ học</v>
      </c>
      <c r="X1236" s="333">
        <f t="shared" si="107"/>
        <v>0</v>
      </c>
      <c r="Y1236" s="333">
        <f t="shared" si="108"/>
        <v>0</v>
      </c>
    </row>
    <row r="1237" spans="1:25" s="2" customFormat="1" ht="21.95" customHeight="1">
      <c r="A1237" s="82">
        <v>2</v>
      </c>
      <c r="B1237" s="91" t="s">
        <v>3366</v>
      </c>
      <c r="C1237" s="83" t="s">
        <v>364</v>
      </c>
      <c r="D1237" s="81" t="s">
        <v>518</v>
      </c>
      <c r="E1237" s="48">
        <v>101229</v>
      </c>
      <c r="F1237" s="30" t="s">
        <v>1901</v>
      </c>
      <c r="G1237" s="29" t="s">
        <v>91</v>
      </c>
      <c r="H1237" s="30" t="s">
        <v>435</v>
      </c>
      <c r="I1237" s="78"/>
      <c r="J1237" s="20"/>
      <c r="K1237" s="20"/>
      <c r="L1237" s="20"/>
      <c r="M1237" s="20"/>
      <c r="N1237" s="69" t="s">
        <v>256</v>
      </c>
      <c r="O1237" s="70">
        <v>0</v>
      </c>
      <c r="P1237" s="70">
        <v>0</v>
      </c>
      <c r="Q1237" s="70">
        <v>0</v>
      </c>
      <c r="R1237" s="70"/>
      <c r="S1237" s="67"/>
      <c r="T1237" s="2" t="str">
        <f t="shared" si="105"/>
        <v>Lê Hoàng Viết Hưng_12AS7</v>
      </c>
      <c r="U1237" s="28">
        <f t="array" ref="U1237">IFERROR(VLOOKUP($T1237,'Nghi hoc T12'!$H$7:$I$160,2,0),0)</f>
        <v>0</v>
      </c>
      <c r="V1237" s="28">
        <f>IFERROR(VLOOKUP($T1237,No_HP!$B$2:$C$514,2,0),0)</f>
        <v>0</v>
      </c>
      <c r="W1237" s="28">
        <f t="shared" si="106"/>
        <v>0</v>
      </c>
      <c r="X1237" s="333">
        <f t="shared" si="107"/>
        <v>0</v>
      </c>
      <c r="Y1237" s="333">
        <f t="shared" si="108"/>
        <v>0</v>
      </c>
    </row>
    <row r="1238" spans="1:25" s="2" customFormat="1" ht="21.95" customHeight="1">
      <c r="A1238" s="82">
        <v>3</v>
      </c>
      <c r="B1238" s="91" t="s">
        <v>3366</v>
      </c>
      <c r="C1238" s="83" t="s">
        <v>364</v>
      </c>
      <c r="D1238" s="81" t="s">
        <v>518</v>
      </c>
      <c r="E1238" s="48">
        <v>101230</v>
      </c>
      <c r="F1238" s="30" t="s">
        <v>142</v>
      </c>
      <c r="G1238" s="29" t="s">
        <v>91</v>
      </c>
      <c r="H1238" s="30" t="s">
        <v>436</v>
      </c>
      <c r="I1238" s="78"/>
      <c r="J1238" s="20"/>
      <c r="K1238" s="20"/>
      <c r="L1238" s="20"/>
      <c r="M1238" s="20"/>
      <c r="N1238" s="69" t="s">
        <v>256</v>
      </c>
      <c r="O1238" s="70">
        <v>0</v>
      </c>
      <c r="P1238" s="70">
        <v>0</v>
      </c>
      <c r="Q1238" s="70">
        <v>0</v>
      </c>
      <c r="R1238" s="70"/>
      <c r="S1238" s="67"/>
      <c r="T1238" s="2" t="str">
        <f t="shared" si="105"/>
        <v>Nguyễn Tấn Hưng_12AS8</v>
      </c>
      <c r="U1238" s="28">
        <f t="array" ref="U1238">IFERROR(VLOOKUP($T1238,'Nghi hoc T12'!$H$7:$I$160,2,0),0)</f>
        <v>0</v>
      </c>
      <c r="V1238" s="28">
        <f>IFERROR(VLOOKUP($T1238,No_HP!$B$2:$C$514,2,0),0)</f>
        <v>0</v>
      </c>
      <c r="W1238" s="28">
        <f t="shared" si="106"/>
        <v>0</v>
      </c>
      <c r="X1238" s="333">
        <f t="shared" si="107"/>
        <v>0</v>
      </c>
      <c r="Y1238" s="333">
        <f t="shared" si="108"/>
        <v>0</v>
      </c>
    </row>
    <row r="1239" spans="1:25" s="2" customFormat="1" ht="21.95" customHeight="1">
      <c r="A1239" s="82">
        <v>4</v>
      </c>
      <c r="B1239" s="91" t="s">
        <v>3366</v>
      </c>
      <c r="C1239" s="83" t="s">
        <v>364</v>
      </c>
      <c r="D1239" s="81" t="s">
        <v>518</v>
      </c>
      <c r="E1239" s="48">
        <v>101231</v>
      </c>
      <c r="F1239" s="30" t="s">
        <v>1933</v>
      </c>
      <c r="G1239" s="29" t="s">
        <v>54</v>
      </c>
      <c r="H1239" s="30" t="s">
        <v>436</v>
      </c>
      <c r="I1239" s="78"/>
      <c r="J1239" s="20"/>
      <c r="K1239" s="20"/>
      <c r="L1239" s="20"/>
      <c r="M1239" s="20"/>
      <c r="N1239" s="69" t="s">
        <v>256</v>
      </c>
      <c r="O1239" s="70">
        <v>0</v>
      </c>
      <c r="P1239" s="70">
        <v>0</v>
      </c>
      <c r="Q1239" s="70">
        <v>0</v>
      </c>
      <c r="R1239" s="70"/>
      <c r="S1239" s="67"/>
      <c r="T1239" s="2" t="str">
        <f t="shared" si="105"/>
        <v>Phùng Thị Thu Hương_12AS8</v>
      </c>
      <c r="U1239" s="28">
        <f t="array" ref="U1239">IFERROR(VLOOKUP($T1239,'Nghi hoc T12'!$H$7:$I$160,2,0),0)</f>
        <v>0</v>
      </c>
      <c r="V1239" s="28">
        <f>IFERROR(VLOOKUP($T1239,No_HP!$B$2:$C$514,2,0),0)</f>
        <v>0</v>
      </c>
      <c r="W1239" s="28">
        <f t="shared" si="106"/>
        <v>0</v>
      </c>
      <c r="X1239" s="333">
        <f t="shared" si="107"/>
        <v>0</v>
      </c>
      <c r="Y1239" s="333">
        <f t="shared" si="108"/>
        <v>0</v>
      </c>
    </row>
    <row r="1240" spans="1:25" s="2" customFormat="1" ht="21.95" customHeight="1">
      <c r="A1240" s="82">
        <v>5</v>
      </c>
      <c r="B1240" s="91" t="s">
        <v>3366</v>
      </c>
      <c r="C1240" s="83" t="s">
        <v>364</v>
      </c>
      <c r="D1240" s="81" t="s">
        <v>518</v>
      </c>
      <c r="E1240" s="48">
        <v>101232</v>
      </c>
      <c r="F1240" s="30" t="s">
        <v>1934</v>
      </c>
      <c r="G1240" s="29" t="s">
        <v>79</v>
      </c>
      <c r="H1240" s="30" t="s">
        <v>436</v>
      </c>
      <c r="I1240" s="78"/>
      <c r="J1240" s="20"/>
      <c r="K1240" s="20"/>
      <c r="L1240" s="20"/>
      <c r="M1240" s="20"/>
      <c r="N1240" s="69" t="s">
        <v>256</v>
      </c>
      <c r="O1240" s="70">
        <v>0</v>
      </c>
      <c r="P1240" s="70">
        <v>0</v>
      </c>
      <c r="Q1240" s="70">
        <v>0</v>
      </c>
      <c r="R1240" s="70"/>
      <c r="S1240" s="67"/>
      <c r="T1240" s="2" t="str">
        <f t="shared" si="105"/>
        <v>Lưu Đạt Khang_12AS8</v>
      </c>
      <c r="U1240" s="28">
        <f t="array" ref="U1240">IFERROR(VLOOKUP($T1240,'Nghi hoc T12'!$H$7:$I$160,2,0),0)</f>
        <v>0</v>
      </c>
      <c r="V1240" s="28">
        <f>IFERROR(VLOOKUP($T1240,No_HP!$B$2:$C$514,2,0),0)</f>
        <v>0</v>
      </c>
      <c r="W1240" s="28">
        <f t="shared" si="106"/>
        <v>0</v>
      </c>
      <c r="X1240" s="333">
        <f t="shared" si="107"/>
        <v>0</v>
      </c>
      <c r="Y1240" s="333">
        <f t="shared" si="108"/>
        <v>0</v>
      </c>
    </row>
    <row r="1241" spans="1:25" s="2" customFormat="1" ht="21.95" customHeight="1">
      <c r="A1241" s="82">
        <v>6</v>
      </c>
      <c r="B1241" s="91" t="s">
        <v>3366</v>
      </c>
      <c r="C1241" s="83" t="s">
        <v>364</v>
      </c>
      <c r="D1241" s="81" t="s">
        <v>518</v>
      </c>
      <c r="E1241" s="48">
        <v>101233</v>
      </c>
      <c r="F1241" s="30" t="s">
        <v>1902</v>
      </c>
      <c r="G1241" s="29" t="s">
        <v>79</v>
      </c>
      <c r="H1241" s="30" t="s">
        <v>435</v>
      </c>
      <c r="I1241" s="78"/>
      <c r="J1241" s="20"/>
      <c r="K1241" s="20"/>
      <c r="L1241" s="20"/>
      <c r="M1241" s="20"/>
      <c r="N1241" s="69" t="s">
        <v>256</v>
      </c>
      <c r="O1241" s="70">
        <v>0</v>
      </c>
      <c r="P1241" s="70">
        <v>0</v>
      </c>
      <c r="Q1241" s="70">
        <v>0</v>
      </c>
      <c r="R1241" s="70"/>
      <c r="S1241" s="67"/>
      <c r="T1241" s="2" t="str">
        <f t="shared" si="105"/>
        <v>Nguyễn Đông Khang_12AS7</v>
      </c>
      <c r="U1241" s="28">
        <f t="array" ref="U1241">IFERROR(VLOOKUP($T1241,'Nghi hoc T12'!$H$7:$I$160,2,0),0)</f>
        <v>0</v>
      </c>
      <c r="V1241" s="28">
        <f>IFERROR(VLOOKUP($T1241,No_HP!$B$2:$C$514,2,0),0)</f>
        <v>0</v>
      </c>
      <c r="W1241" s="28">
        <f t="shared" si="106"/>
        <v>0</v>
      </c>
      <c r="X1241" s="333">
        <f t="shared" si="107"/>
        <v>0</v>
      </c>
      <c r="Y1241" s="333">
        <f t="shared" si="108"/>
        <v>0</v>
      </c>
    </row>
    <row r="1242" spans="1:25" s="2" customFormat="1" ht="21.95" customHeight="1">
      <c r="A1242" s="82">
        <v>7</v>
      </c>
      <c r="B1242" s="91" t="s">
        <v>3366</v>
      </c>
      <c r="C1242" s="83" t="s">
        <v>364</v>
      </c>
      <c r="D1242" s="81" t="s">
        <v>518</v>
      </c>
      <c r="E1242" s="48">
        <v>101234</v>
      </c>
      <c r="F1242" s="30" t="s">
        <v>1935</v>
      </c>
      <c r="G1242" s="29" t="s">
        <v>79</v>
      </c>
      <c r="H1242" s="30" t="s">
        <v>436</v>
      </c>
      <c r="I1242" s="78"/>
      <c r="J1242" s="20"/>
      <c r="K1242" s="20"/>
      <c r="L1242" s="20"/>
      <c r="M1242" s="20"/>
      <c r="N1242" s="69" t="s">
        <v>256</v>
      </c>
      <c r="O1242" s="70">
        <v>0</v>
      </c>
      <c r="P1242" s="70">
        <v>0</v>
      </c>
      <c r="Q1242" s="70">
        <v>0</v>
      </c>
      <c r="R1242" s="70"/>
      <c r="S1242" s="67"/>
      <c r="T1242" s="2" t="str">
        <f t="shared" si="105"/>
        <v>Trần Thái Khang_12AS8</v>
      </c>
      <c r="U1242" s="28">
        <f t="array" ref="U1242">IFERROR(VLOOKUP($T1242,'Nghi hoc T12'!$H$7:$I$160,2,0),0)</f>
        <v>0</v>
      </c>
      <c r="V1242" s="28">
        <f>IFERROR(VLOOKUP($T1242,No_HP!$B$2:$C$514,2,0),0)</f>
        <v>0</v>
      </c>
      <c r="W1242" s="28">
        <f t="shared" si="106"/>
        <v>0</v>
      </c>
      <c r="X1242" s="333">
        <f t="shared" si="107"/>
        <v>0</v>
      </c>
      <c r="Y1242" s="333">
        <f t="shared" si="108"/>
        <v>0</v>
      </c>
    </row>
    <row r="1243" spans="1:25" s="2" customFormat="1" ht="21.95" customHeight="1">
      <c r="A1243" s="82">
        <v>8</v>
      </c>
      <c r="B1243" s="91" t="s">
        <v>3366</v>
      </c>
      <c r="C1243" s="83" t="s">
        <v>364</v>
      </c>
      <c r="D1243" s="81" t="s">
        <v>518</v>
      </c>
      <c r="E1243" s="48">
        <v>101235</v>
      </c>
      <c r="F1243" s="30" t="s">
        <v>1706</v>
      </c>
      <c r="G1243" s="29" t="s">
        <v>94</v>
      </c>
      <c r="H1243" s="30" t="s">
        <v>436</v>
      </c>
      <c r="I1243" s="78"/>
      <c r="J1243" s="20"/>
      <c r="K1243" s="20"/>
      <c r="L1243" s="20"/>
      <c r="M1243" s="20"/>
      <c r="N1243" s="69" t="s">
        <v>256</v>
      </c>
      <c r="O1243" s="70">
        <v>0</v>
      </c>
      <c r="P1243" s="70">
        <v>0</v>
      </c>
      <c r="Q1243" s="70">
        <v>0</v>
      </c>
      <c r="R1243" s="70"/>
      <c r="S1243" s="67"/>
      <c r="T1243" s="2" t="str">
        <f t="shared" si="105"/>
        <v>Lê Nhật Khánh_12AS8</v>
      </c>
      <c r="U1243" s="28">
        <f t="array" ref="U1243">IFERROR(VLOOKUP($T1243,'Nghi hoc T12'!$H$7:$I$160,2,0),0)</f>
        <v>0</v>
      </c>
      <c r="V1243" s="28">
        <f>IFERROR(VLOOKUP($T1243,No_HP!$B$2:$C$514,2,0),0)</f>
        <v>0</v>
      </c>
      <c r="W1243" s="28">
        <f t="shared" si="106"/>
        <v>0</v>
      </c>
      <c r="X1243" s="333">
        <f t="shared" si="107"/>
        <v>0</v>
      </c>
      <c r="Y1243" s="333">
        <f t="shared" si="108"/>
        <v>0</v>
      </c>
    </row>
    <row r="1244" spans="1:25" s="2" customFormat="1" ht="21.95" customHeight="1">
      <c r="A1244" s="82">
        <v>9</v>
      </c>
      <c r="B1244" s="91" t="s">
        <v>3366</v>
      </c>
      <c r="C1244" s="83" t="s">
        <v>364</v>
      </c>
      <c r="D1244" s="81" t="s">
        <v>518</v>
      </c>
      <c r="E1244" s="48">
        <v>101236</v>
      </c>
      <c r="F1244" s="30" t="s">
        <v>1903</v>
      </c>
      <c r="G1244" s="29" t="s">
        <v>55</v>
      </c>
      <c r="H1244" s="30" t="s">
        <v>435</v>
      </c>
      <c r="I1244" s="78"/>
      <c r="J1244" s="20"/>
      <c r="K1244" s="20"/>
      <c r="L1244" s="20"/>
      <c r="M1244" s="20"/>
      <c r="N1244" s="69" t="s">
        <v>256</v>
      </c>
      <c r="O1244" s="70">
        <v>0</v>
      </c>
      <c r="P1244" s="70">
        <v>0</v>
      </c>
      <c r="Q1244" s="70">
        <v>0</v>
      </c>
      <c r="R1244" s="70"/>
      <c r="S1244" s="67"/>
      <c r="T1244" s="2" t="str">
        <f t="shared" si="105"/>
        <v>Nguyễn Trần Đăng Khoa_12AS7</v>
      </c>
      <c r="U1244" s="28">
        <f t="array" ref="U1244">IFERROR(VLOOKUP($T1244,'Nghi hoc T12'!$H$7:$I$160,2,0),0)</f>
        <v>0</v>
      </c>
      <c r="V1244" s="28">
        <f>IFERROR(VLOOKUP($T1244,No_HP!$B$2:$C$514,2,0),0)</f>
        <v>0</v>
      </c>
      <c r="W1244" s="28">
        <f t="shared" si="106"/>
        <v>0</v>
      </c>
      <c r="X1244" s="333">
        <f t="shared" si="107"/>
        <v>0</v>
      </c>
      <c r="Y1244" s="333">
        <f t="shared" si="108"/>
        <v>0</v>
      </c>
    </row>
    <row r="1245" spans="1:25" s="2" customFormat="1" ht="21.95" customHeight="1">
      <c r="A1245" s="82">
        <v>10</v>
      </c>
      <c r="B1245" s="91" t="s">
        <v>3366</v>
      </c>
      <c r="C1245" s="83" t="s">
        <v>364</v>
      </c>
      <c r="D1245" s="81" t="s">
        <v>518</v>
      </c>
      <c r="E1245" s="48">
        <v>101237</v>
      </c>
      <c r="F1245" s="30" t="s">
        <v>1278</v>
      </c>
      <c r="G1245" s="29" t="s">
        <v>13</v>
      </c>
      <c r="H1245" s="30" t="s">
        <v>436</v>
      </c>
      <c r="I1245" s="78"/>
      <c r="J1245" s="20"/>
      <c r="K1245" s="20"/>
      <c r="L1245" s="20"/>
      <c r="M1245" s="20"/>
      <c r="N1245" s="69" t="s">
        <v>256</v>
      </c>
      <c r="O1245" s="70">
        <v>0</v>
      </c>
      <c r="P1245" s="70">
        <v>0</v>
      </c>
      <c r="Q1245" s="70">
        <v>0</v>
      </c>
      <c r="R1245" s="70"/>
      <c r="S1245" s="67"/>
      <c r="T1245" s="2" t="str">
        <f t="shared" si="105"/>
        <v>Huỳnh Đăng Khôi_12AS8</v>
      </c>
      <c r="U1245" s="28">
        <f t="array" ref="U1245">IFERROR(VLOOKUP($T1245,'Nghi hoc T12'!$H$7:$I$160,2,0),0)</f>
        <v>0</v>
      </c>
      <c r="V1245" s="28">
        <f>IFERROR(VLOOKUP($T1245,No_HP!$B$2:$C$514,2,0),0)</f>
        <v>0</v>
      </c>
      <c r="W1245" s="28">
        <f t="shared" si="106"/>
        <v>0</v>
      </c>
      <c r="X1245" s="333">
        <f t="shared" si="107"/>
        <v>0</v>
      </c>
      <c r="Y1245" s="333">
        <f t="shared" si="108"/>
        <v>0</v>
      </c>
    </row>
    <row r="1246" spans="1:25" s="2" customFormat="1" ht="21.95" customHeight="1">
      <c r="A1246" s="82">
        <v>11</v>
      </c>
      <c r="B1246" s="91" t="s">
        <v>3366</v>
      </c>
      <c r="C1246" s="83" t="s">
        <v>364</v>
      </c>
      <c r="D1246" s="81" t="s">
        <v>518</v>
      </c>
      <c r="E1246" s="48">
        <v>101238</v>
      </c>
      <c r="F1246" s="30" t="s">
        <v>1904</v>
      </c>
      <c r="G1246" s="29" t="s">
        <v>68</v>
      </c>
      <c r="H1246" s="30" t="s">
        <v>435</v>
      </c>
      <c r="I1246" s="78"/>
      <c r="J1246" s="20"/>
      <c r="K1246" s="20"/>
      <c r="L1246" s="20"/>
      <c r="M1246" s="20"/>
      <c r="N1246" s="69" t="s">
        <v>256</v>
      </c>
      <c r="O1246" s="70">
        <v>0</v>
      </c>
      <c r="P1246" s="70">
        <v>0</v>
      </c>
      <c r="Q1246" s="70">
        <v>0</v>
      </c>
      <c r="R1246" s="70"/>
      <c r="S1246" s="67"/>
      <c r="T1246" s="2" t="str">
        <f t="shared" si="105"/>
        <v>Ngô Anh Kiệt_12AS7</v>
      </c>
      <c r="U1246" s="28">
        <f t="array" ref="U1246">IFERROR(VLOOKUP($T1246,'Nghi hoc T12'!$H$7:$I$160,2,0),0)</f>
        <v>0</v>
      </c>
      <c r="V1246" s="28">
        <f>IFERROR(VLOOKUP($T1246,No_HP!$B$2:$C$514,2,0),0)</f>
        <v>0</v>
      </c>
      <c r="W1246" s="28">
        <f t="shared" si="106"/>
        <v>0</v>
      </c>
      <c r="X1246" s="333">
        <f t="shared" si="107"/>
        <v>0</v>
      </c>
      <c r="Y1246" s="333">
        <f t="shared" si="108"/>
        <v>0</v>
      </c>
    </row>
    <row r="1247" spans="1:25" s="2" customFormat="1" ht="21.95" customHeight="1">
      <c r="A1247" s="82">
        <v>12</v>
      </c>
      <c r="B1247" s="91" t="s">
        <v>3366</v>
      </c>
      <c r="C1247" s="83" t="s">
        <v>364</v>
      </c>
      <c r="D1247" s="81" t="s">
        <v>518</v>
      </c>
      <c r="E1247" s="48">
        <v>101239</v>
      </c>
      <c r="F1247" s="30" t="s">
        <v>1905</v>
      </c>
      <c r="G1247" s="29" t="s">
        <v>92</v>
      </c>
      <c r="H1247" s="30" t="s">
        <v>435</v>
      </c>
      <c r="I1247" s="78" t="s">
        <v>529</v>
      </c>
      <c r="J1247" s="20"/>
      <c r="K1247" s="20"/>
      <c r="L1247" s="20"/>
      <c r="M1247" s="20"/>
      <c r="N1247" s="69" t="s">
        <v>256</v>
      </c>
      <c r="O1247" s="70">
        <v>0</v>
      </c>
      <c r="P1247" s="70">
        <v>0</v>
      </c>
      <c r="Q1247" s="70" t="s">
        <v>3334</v>
      </c>
      <c r="R1247" s="70"/>
      <c r="S1247" s="67"/>
      <c r="T1247" s="2" t="str">
        <f t="shared" si="105"/>
        <v>Lê Đặng Minh Lâm_12AS7</v>
      </c>
      <c r="U1247" s="28">
        <f t="array" ref="U1247">IFERROR(VLOOKUP($T1247,'Nghi hoc T12'!$H$7:$I$160,2,0),0)</f>
        <v>0</v>
      </c>
      <c r="V1247" s="28">
        <f>IFERROR(VLOOKUP($T1247,No_HP!$B$2:$C$514,2,0),0)</f>
        <v>0</v>
      </c>
      <c r="W1247" s="28" t="str">
        <f t="shared" si="106"/>
        <v>Nghỉ học</v>
      </c>
      <c r="X1247" s="333">
        <f t="shared" si="107"/>
        <v>0</v>
      </c>
      <c r="Y1247" s="333">
        <f t="shared" si="108"/>
        <v>0</v>
      </c>
    </row>
    <row r="1248" spans="1:25" s="2" customFormat="1" ht="21.95" customHeight="1">
      <c r="A1248" s="82">
        <v>13</v>
      </c>
      <c r="B1248" s="91" t="s">
        <v>3366</v>
      </c>
      <c r="C1248" s="83" t="s">
        <v>364</v>
      </c>
      <c r="D1248" s="81" t="s">
        <v>518</v>
      </c>
      <c r="E1248" s="48">
        <v>101240</v>
      </c>
      <c r="F1248" s="30" t="s">
        <v>1936</v>
      </c>
      <c r="G1248" s="29" t="s">
        <v>38</v>
      </c>
      <c r="H1248" s="30" t="s">
        <v>436</v>
      </c>
      <c r="I1248" s="78"/>
      <c r="J1248" s="20"/>
      <c r="K1248" s="20"/>
      <c r="L1248" s="20"/>
      <c r="M1248" s="20"/>
      <c r="N1248" s="69" t="s">
        <v>256</v>
      </c>
      <c r="O1248" s="70">
        <v>0</v>
      </c>
      <c r="P1248" s="70">
        <v>0</v>
      </c>
      <c r="Q1248" s="70">
        <v>0</v>
      </c>
      <c r="R1248" s="70"/>
      <c r="S1248" s="67"/>
      <c r="T1248" s="2" t="str">
        <f t="shared" si="105"/>
        <v>Thái Ngọc Linh_12AS8</v>
      </c>
      <c r="U1248" s="28">
        <f t="array" ref="U1248">IFERROR(VLOOKUP($T1248,'Nghi hoc T12'!$H$7:$I$160,2,0),0)</f>
        <v>0</v>
      </c>
      <c r="V1248" s="28">
        <f>IFERROR(VLOOKUP($T1248,No_HP!$B$2:$C$514,2,0),0)</f>
        <v>0</v>
      </c>
      <c r="W1248" s="28">
        <f t="shared" si="106"/>
        <v>0</v>
      </c>
      <c r="X1248" s="333">
        <f t="shared" si="107"/>
        <v>0</v>
      </c>
      <c r="Y1248" s="333">
        <f t="shared" si="108"/>
        <v>0</v>
      </c>
    </row>
    <row r="1249" spans="1:25" s="2" customFormat="1" ht="21.95" customHeight="1">
      <c r="A1249" s="82">
        <v>14</v>
      </c>
      <c r="B1249" s="91" t="s">
        <v>3366</v>
      </c>
      <c r="C1249" s="83" t="s">
        <v>364</v>
      </c>
      <c r="D1249" s="81" t="s">
        <v>518</v>
      </c>
      <c r="E1249" s="48">
        <v>101241</v>
      </c>
      <c r="F1249" s="30" t="s">
        <v>1199</v>
      </c>
      <c r="G1249" s="29" t="s">
        <v>38</v>
      </c>
      <c r="H1249" s="30" t="s">
        <v>436</v>
      </c>
      <c r="I1249" s="78"/>
      <c r="J1249" s="20"/>
      <c r="K1249" s="20"/>
      <c r="L1249" s="20"/>
      <c r="M1249" s="20"/>
      <c r="N1249" s="69" t="s">
        <v>256</v>
      </c>
      <c r="O1249" s="70">
        <v>0</v>
      </c>
      <c r="P1249" s="70">
        <v>0</v>
      </c>
      <c r="Q1249" s="70">
        <v>0</v>
      </c>
      <c r="R1249" s="70"/>
      <c r="S1249" s="67"/>
      <c r="T1249" s="2" t="str">
        <f t="shared" si="105"/>
        <v>Trần Ngọc Khánh Linh_12AS8</v>
      </c>
      <c r="U1249" s="28">
        <f t="array" ref="U1249">IFERROR(VLOOKUP($T1249,'Nghi hoc T12'!$H$7:$I$160,2,0),0)</f>
        <v>0</v>
      </c>
      <c r="V1249" s="28">
        <f>IFERROR(VLOOKUP($T1249,No_HP!$B$2:$C$514,2,0),0)</f>
        <v>0</v>
      </c>
      <c r="W1249" s="28">
        <f t="shared" si="106"/>
        <v>0</v>
      </c>
      <c r="X1249" s="333">
        <f t="shared" si="107"/>
        <v>0</v>
      </c>
      <c r="Y1249" s="333">
        <f t="shared" si="108"/>
        <v>0</v>
      </c>
    </row>
    <row r="1250" spans="1:25" s="2" customFormat="1" ht="21.95" customHeight="1">
      <c r="A1250" s="82">
        <v>15</v>
      </c>
      <c r="B1250" s="91" t="s">
        <v>3366</v>
      </c>
      <c r="C1250" s="83" t="s">
        <v>364</v>
      </c>
      <c r="D1250" s="81" t="s">
        <v>518</v>
      </c>
      <c r="E1250" s="48">
        <v>101242</v>
      </c>
      <c r="F1250" s="30" t="s">
        <v>1906</v>
      </c>
      <c r="G1250" s="29" t="s">
        <v>152</v>
      </c>
      <c r="H1250" s="30" t="s">
        <v>435</v>
      </c>
      <c r="I1250" s="78"/>
      <c r="J1250" s="20"/>
      <c r="K1250" s="20"/>
      <c r="L1250" s="20"/>
      <c r="M1250" s="20"/>
      <c r="N1250" s="69" t="s">
        <v>256</v>
      </c>
      <c r="O1250" s="70">
        <v>0</v>
      </c>
      <c r="P1250" s="70">
        <v>0</v>
      </c>
      <c r="Q1250" s="70">
        <v>0</v>
      </c>
      <c r="R1250" s="70"/>
      <c r="S1250" s="67"/>
      <c r="T1250" s="2" t="str">
        <f t="shared" si="105"/>
        <v>Đồng Minh Lộc_12AS7</v>
      </c>
      <c r="U1250" s="28">
        <f t="array" ref="U1250">IFERROR(VLOOKUP($T1250,'Nghi hoc T12'!$H$7:$I$160,2,0),0)</f>
        <v>0</v>
      </c>
      <c r="V1250" s="28">
        <f>IFERROR(VLOOKUP($T1250,No_HP!$B$2:$C$514,2,0),0)</f>
        <v>0</v>
      </c>
      <c r="W1250" s="28">
        <f t="shared" si="106"/>
        <v>0</v>
      </c>
      <c r="X1250" s="333">
        <f t="shared" si="107"/>
        <v>0</v>
      </c>
      <c r="Y1250" s="333">
        <f t="shared" si="108"/>
        <v>0</v>
      </c>
    </row>
    <row r="1251" spans="1:25" s="2" customFormat="1" ht="21.95" customHeight="1">
      <c r="A1251" s="82">
        <v>16</v>
      </c>
      <c r="B1251" s="91" t="s">
        <v>3366</v>
      </c>
      <c r="C1251" s="83" t="s">
        <v>364</v>
      </c>
      <c r="D1251" s="81" t="s">
        <v>518</v>
      </c>
      <c r="E1251" s="48">
        <v>101243</v>
      </c>
      <c r="F1251" s="30" t="s">
        <v>232</v>
      </c>
      <c r="G1251" s="29" t="s">
        <v>15</v>
      </c>
      <c r="H1251" s="30" t="s">
        <v>436</v>
      </c>
      <c r="I1251" s="78"/>
      <c r="J1251" s="20"/>
      <c r="K1251" s="20"/>
      <c r="L1251" s="20"/>
      <c r="M1251" s="20"/>
      <c r="N1251" s="69" t="s">
        <v>256</v>
      </c>
      <c r="O1251" s="70">
        <v>0</v>
      </c>
      <c r="P1251" s="70">
        <v>0</v>
      </c>
      <c r="Q1251" s="70">
        <v>0</v>
      </c>
      <c r="R1251" s="70"/>
      <c r="S1251" s="67"/>
      <c r="T1251" s="2" t="str">
        <f t="shared" si="105"/>
        <v>Nguyễn Thị Tuyết Mai_12AS8</v>
      </c>
      <c r="U1251" s="28">
        <f t="array" ref="U1251">IFERROR(VLOOKUP($T1251,'Nghi hoc T12'!$H$7:$I$160,2,0),0)</f>
        <v>0</v>
      </c>
      <c r="V1251" s="28">
        <f>IFERROR(VLOOKUP($T1251,No_HP!$B$2:$C$514,2,0),0)</f>
        <v>0</v>
      </c>
      <c r="W1251" s="28">
        <f t="shared" si="106"/>
        <v>0</v>
      </c>
      <c r="X1251" s="333">
        <f t="shared" si="107"/>
        <v>0</v>
      </c>
      <c r="Y1251" s="333">
        <f t="shared" si="108"/>
        <v>0</v>
      </c>
    </row>
    <row r="1252" spans="1:25" s="2" customFormat="1" ht="21.95" customHeight="1">
      <c r="A1252" s="82">
        <v>17</v>
      </c>
      <c r="B1252" s="91" t="s">
        <v>3366</v>
      </c>
      <c r="C1252" s="83" t="s">
        <v>364</v>
      </c>
      <c r="D1252" s="81" t="s">
        <v>518</v>
      </c>
      <c r="E1252" s="48">
        <v>101244</v>
      </c>
      <c r="F1252" s="30" t="s">
        <v>222</v>
      </c>
      <c r="G1252" s="29" t="s">
        <v>233</v>
      </c>
      <c r="H1252" s="30" t="s">
        <v>435</v>
      </c>
      <c r="I1252" s="78"/>
      <c r="J1252" s="20"/>
      <c r="K1252" s="20"/>
      <c r="L1252" s="20"/>
      <c r="M1252" s="20"/>
      <c r="N1252" s="69" t="s">
        <v>256</v>
      </c>
      <c r="O1252" s="70">
        <v>0</v>
      </c>
      <c r="P1252" s="70">
        <v>0</v>
      </c>
      <c r="Q1252" s="70">
        <v>0</v>
      </c>
      <c r="R1252" s="70"/>
      <c r="S1252" s="67"/>
      <c r="T1252" s="2" t="str">
        <f t="shared" si="105"/>
        <v>Nguyễn Ngọc Mạnh_12AS7</v>
      </c>
      <c r="U1252" s="28">
        <f t="array" ref="U1252">IFERROR(VLOOKUP($T1252,'Nghi hoc T12'!$H$7:$I$160,2,0),0)</f>
        <v>0</v>
      </c>
      <c r="V1252" s="28">
        <f>IFERROR(VLOOKUP($T1252,No_HP!$B$2:$C$514,2,0),0)</f>
        <v>0</v>
      </c>
      <c r="W1252" s="28">
        <f t="shared" si="106"/>
        <v>0</v>
      </c>
      <c r="X1252" s="333">
        <f t="shared" si="107"/>
        <v>0</v>
      </c>
      <c r="Y1252" s="333">
        <f t="shared" si="108"/>
        <v>0</v>
      </c>
    </row>
    <row r="1253" spans="1:25" s="2" customFormat="1" ht="21.95" customHeight="1">
      <c r="A1253" s="82">
        <v>18</v>
      </c>
      <c r="B1253" s="91" t="s">
        <v>3366</v>
      </c>
      <c r="C1253" s="83" t="s">
        <v>364</v>
      </c>
      <c r="D1253" s="81" t="s">
        <v>518</v>
      </c>
      <c r="E1253" s="48">
        <v>101245</v>
      </c>
      <c r="F1253" s="30" t="s">
        <v>1907</v>
      </c>
      <c r="G1253" s="29" t="s">
        <v>1592</v>
      </c>
      <c r="H1253" s="30" t="s">
        <v>435</v>
      </c>
      <c r="I1253" s="78"/>
      <c r="J1253" s="20"/>
      <c r="K1253" s="20"/>
      <c r="L1253" s="20"/>
      <c r="M1253" s="20"/>
      <c r="N1253" s="69" t="s">
        <v>256</v>
      </c>
      <c r="O1253" s="70">
        <v>0</v>
      </c>
      <c r="P1253" s="70">
        <v>0</v>
      </c>
      <c r="Q1253" s="70">
        <v>0</v>
      </c>
      <c r="R1253" s="70"/>
      <c r="S1253" s="67"/>
      <c r="T1253" s="2" t="str">
        <f t="shared" si="105"/>
        <v>Trần Hồ Thị Diễm Mi_12AS7</v>
      </c>
      <c r="U1253" s="28">
        <f t="array" ref="U1253">IFERROR(VLOOKUP($T1253,'Nghi hoc T12'!$H$7:$I$160,2,0),0)</f>
        <v>0</v>
      </c>
      <c r="V1253" s="28">
        <f>IFERROR(VLOOKUP($T1253,No_HP!$B$2:$C$514,2,0),0)</f>
        <v>0</v>
      </c>
      <c r="W1253" s="28">
        <f t="shared" si="106"/>
        <v>0</v>
      </c>
      <c r="X1253" s="333">
        <f t="shared" si="107"/>
        <v>0</v>
      </c>
      <c r="Y1253" s="333">
        <f t="shared" si="108"/>
        <v>0</v>
      </c>
    </row>
    <row r="1254" spans="1:25" s="2" customFormat="1" ht="21.95" customHeight="1">
      <c r="A1254" s="82">
        <v>19</v>
      </c>
      <c r="B1254" s="91" t="s">
        <v>3366</v>
      </c>
      <c r="C1254" s="83" t="s">
        <v>364</v>
      </c>
      <c r="D1254" s="81" t="s">
        <v>518</v>
      </c>
      <c r="E1254" s="48">
        <v>101246</v>
      </c>
      <c r="F1254" s="30" t="s">
        <v>1937</v>
      </c>
      <c r="G1254" s="29" t="s">
        <v>16</v>
      </c>
      <c r="H1254" s="30" t="s">
        <v>436</v>
      </c>
      <c r="I1254" s="78"/>
      <c r="J1254" s="20"/>
      <c r="K1254" s="20"/>
      <c r="L1254" s="20"/>
      <c r="M1254" s="20"/>
      <c r="N1254" s="69" t="s">
        <v>256</v>
      </c>
      <c r="O1254" s="70">
        <v>0</v>
      </c>
      <c r="P1254" s="70">
        <v>0</v>
      </c>
      <c r="Q1254" s="70">
        <v>0</v>
      </c>
      <c r="R1254" s="70"/>
      <c r="S1254" s="67"/>
      <c r="T1254" s="2" t="str">
        <f t="shared" si="105"/>
        <v>Nguyễn Vũ Anh Minh_12AS8</v>
      </c>
      <c r="U1254" s="28">
        <f t="array" ref="U1254">IFERROR(VLOOKUP($T1254,'Nghi hoc T12'!$H$7:$I$160,2,0),0)</f>
        <v>0</v>
      </c>
      <c r="V1254" s="28">
        <f>IFERROR(VLOOKUP($T1254,No_HP!$B$2:$C$514,2,0),0)</f>
        <v>0</v>
      </c>
      <c r="W1254" s="28">
        <f t="shared" si="106"/>
        <v>0</v>
      </c>
      <c r="X1254" s="333">
        <f t="shared" si="107"/>
        <v>0</v>
      </c>
      <c r="Y1254" s="333">
        <f t="shared" si="108"/>
        <v>0</v>
      </c>
    </row>
    <row r="1255" spans="1:25" s="2" customFormat="1" ht="21.95" customHeight="1">
      <c r="A1255" s="82">
        <v>20</v>
      </c>
      <c r="B1255" s="91" t="s">
        <v>3366</v>
      </c>
      <c r="C1255" s="83" t="s">
        <v>364</v>
      </c>
      <c r="D1255" s="81" t="s">
        <v>518</v>
      </c>
      <c r="E1255" s="48">
        <v>101247</v>
      </c>
      <c r="F1255" s="30" t="s">
        <v>1938</v>
      </c>
      <c r="G1255" s="29" t="s">
        <v>40</v>
      </c>
      <c r="H1255" s="30" t="s">
        <v>436</v>
      </c>
      <c r="I1255" s="78"/>
      <c r="J1255" s="20"/>
      <c r="K1255" s="20"/>
      <c r="L1255" s="20"/>
      <c r="M1255" s="20"/>
      <c r="N1255" s="69" t="s">
        <v>256</v>
      </c>
      <c r="O1255" s="70">
        <v>0</v>
      </c>
      <c r="P1255" s="70">
        <v>0</v>
      </c>
      <c r="Q1255" s="70">
        <v>0</v>
      </c>
      <c r="R1255" s="70"/>
      <c r="S1255" s="67"/>
      <c r="T1255" s="2" t="str">
        <f t="shared" si="105"/>
        <v>Lê Nguyễn Trà My_12AS8</v>
      </c>
      <c r="U1255" s="28">
        <f t="array" ref="U1255">IFERROR(VLOOKUP($T1255,'Nghi hoc T12'!$H$7:$I$160,2,0),0)</f>
        <v>0</v>
      </c>
      <c r="V1255" s="28">
        <f>IFERROR(VLOOKUP($T1255,No_HP!$B$2:$C$514,2,0),0)</f>
        <v>0</v>
      </c>
      <c r="W1255" s="28">
        <f t="shared" si="106"/>
        <v>0</v>
      </c>
      <c r="X1255" s="333">
        <f t="shared" si="107"/>
        <v>0</v>
      </c>
      <c r="Y1255" s="333">
        <f t="shared" si="108"/>
        <v>0</v>
      </c>
    </row>
    <row r="1256" spans="1:25" s="2" customFormat="1" ht="21.95" customHeight="1">
      <c r="A1256" s="82">
        <v>21</v>
      </c>
      <c r="B1256" s="91" t="s">
        <v>3366</v>
      </c>
      <c r="C1256" s="83" t="s">
        <v>364</v>
      </c>
      <c r="D1256" s="81" t="s">
        <v>518</v>
      </c>
      <c r="E1256" s="48">
        <v>101248</v>
      </c>
      <c r="F1256" s="30" t="s">
        <v>1908</v>
      </c>
      <c r="G1256" s="29" t="s">
        <v>17</v>
      </c>
      <c r="H1256" s="30" t="s">
        <v>435</v>
      </c>
      <c r="I1256" s="78"/>
      <c r="J1256" s="20"/>
      <c r="K1256" s="20"/>
      <c r="L1256" s="20"/>
      <c r="M1256" s="20"/>
      <c r="N1256" s="69" t="s">
        <v>256</v>
      </c>
      <c r="O1256" s="70">
        <v>0</v>
      </c>
      <c r="P1256" s="70">
        <v>0</v>
      </c>
      <c r="Q1256" s="70">
        <v>0</v>
      </c>
      <c r="R1256" s="70"/>
      <c r="S1256" s="67"/>
      <c r="T1256" s="2" t="str">
        <f t="shared" si="105"/>
        <v>Nguyễn Quốc Bảo Nam_12AS7</v>
      </c>
      <c r="U1256" s="28">
        <f t="array" ref="U1256">IFERROR(VLOOKUP($T1256,'Nghi hoc T12'!$H$7:$I$160,2,0),0)</f>
        <v>0</v>
      </c>
      <c r="V1256" s="28">
        <f>IFERROR(VLOOKUP($T1256,No_HP!$B$2:$C$514,2,0),0)</f>
        <v>0</v>
      </c>
      <c r="W1256" s="28">
        <f t="shared" si="106"/>
        <v>0</v>
      </c>
      <c r="X1256" s="333">
        <f t="shared" si="107"/>
        <v>0</v>
      </c>
      <c r="Y1256" s="333">
        <f t="shared" si="108"/>
        <v>0</v>
      </c>
    </row>
    <row r="1257" spans="1:25" s="2" customFormat="1" ht="21.95" customHeight="1">
      <c r="A1257" s="82">
        <v>22</v>
      </c>
      <c r="B1257" s="91" t="s">
        <v>3366</v>
      </c>
      <c r="C1257" s="83" t="s">
        <v>364</v>
      </c>
      <c r="D1257" s="81" t="s">
        <v>518</v>
      </c>
      <c r="E1257" s="48">
        <v>101249</v>
      </c>
      <c r="F1257" s="30" t="s">
        <v>1939</v>
      </c>
      <c r="G1257" s="29" t="s">
        <v>18</v>
      </c>
      <c r="H1257" s="30" t="s">
        <v>436</v>
      </c>
      <c r="I1257" s="78"/>
      <c r="J1257" s="20"/>
      <c r="K1257" s="20"/>
      <c r="L1257" s="20"/>
      <c r="M1257" s="20"/>
      <c r="N1257" s="69" t="s">
        <v>256</v>
      </c>
      <c r="O1257" s="70">
        <v>0</v>
      </c>
      <c r="P1257" s="70">
        <v>0</v>
      </c>
      <c r="Q1257" s="70">
        <v>0</v>
      </c>
      <c r="R1257" s="70"/>
      <c r="S1257" s="67"/>
      <c r="T1257" s="2" t="str">
        <f t="shared" si="105"/>
        <v>Đào Hoàng Kim Ngân_12AS8</v>
      </c>
      <c r="U1257" s="28">
        <f t="array" ref="U1257">IFERROR(VLOOKUP($T1257,'Nghi hoc T12'!$H$7:$I$160,2,0),0)</f>
        <v>0</v>
      </c>
      <c r="V1257" s="28">
        <f>IFERROR(VLOOKUP($T1257,No_HP!$B$2:$C$514,2,0),0)</f>
        <v>0</v>
      </c>
      <c r="W1257" s="28">
        <f t="shared" si="106"/>
        <v>0</v>
      </c>
      <c r="X1257" s="333">
        <f t="shared" si="107"/>
        <v>0</v>
      </c>
      <c r="Y1257" s="333">
        <f t="shared" si="108"/>
        <v>0</v>
      </c>
    </row>
    <row r="1258" spans="1:25" s="2" customFormat="1" ht="21.95" customHeight="1">
      <c r="A1258" s="82">
        <v>23</v>
      </c>
      <c r="B1258" s="91" t="s">
        <v>3366</v>
      </c>
      <c r="C1258" s="83" t="s">
        <v>364</v>
      </c>
      <c r="D1258" s="81" t="s">
        <v>518</v>
      </c>
      <c r="E1258" s="48">
        <v>101250</v>
      </c>
      <c r="F1258" s="30" t="s">
        <v>1909</v>
      </c>
      <c r="G1258" s="29" t="s">
        <v>18</v>
      </c>
      <c r="H1258" s="30" t="s">
        <v>435</v>
      </c>
      <c r="I1258" s="78"/>
      <c r="J1258" s="20"/>
      <c r="K1258" s="20"/>
      <c r="L1258" s="20"/>
      <c r="M1258" s="20"/>
      <c r="N1258" s="69" t="s">
        <v>256</v>
      </c>
      <c r="O1258" s="70">
        <v>0</v>
      </c>
      <c r="P1258" s="70">
        <v>0</v>
      </c>
      <c r="Q1258" s="70">
        <v>0</v>
      </c>
      <c r="R1258" s="70"/>
      <c r="S1258" s="67"/>
      <c r="T1258" s="2" t="str">
        <f t="shared" si="105"/>
        <v>Đỗ Thị Kim Ngân_12AS7</v>
      </c>
      <c r="U1258" s="28">
        <f t="array" ref="U1258">IFERROR(VLOOKUP($T1258,'Nghi hoc T12'!$H$7:$I$160,2,0),0)</f>
        <v>0</v>
      </c>
      <c r="V1258" s="28">
        <f>IFERROR(VLOOKUP($T1258,No_HP!$B$2:$C$514,2,0),0)</f>
        <v>0</v>
      </c>
      <c r="W1258" s="28">
        <f t="shared" si="106"/>
        <v>0</v>
      </c>
      <c r="X1258" s="333">
        <f t="shared" si="107"/>
        <v>0</v>
      </c>
      <c r="Y1258" s="333">
        <f t="shared" si="108"/>
        <v>0</v>
      </c>
    </row>
    <row r="1259" spans="1:25" s="2" customFormat="1" ht="21.95" customHeight="1">
      <c r="A1259" s="82">
        <v>24</v>
      </c>
      <c r="B1259" s="91" t="s">
        <v>3366</v>
      </c>
      <c r="C1259" s="83" t="s">
        <v>364</v>
      </c>
      <c r="D1259" s="81" t="s">
        <v>518</v>
      </c>
      <c r="E1259" s="48">
        <v>101251</v>
      </c>
      <c r="F1259" s="30" t="s">
        <v>222</v>
      </c>
      <c r="G1259" s="29" t="s">
        <v>96</v>
      </c>
      <c r="H1259" s="30" t="s">
        <v>436</v>
      </c>
      <c r="I1259" s="78"/>
      <c r="J1259" s="20"/>
      <c r="K1259" s="20"/>
      <c r="L1259" s="20"/>
      <c r="M1259" s="20"/>
      <c r="N1259" s="69" t="s">
        <v>256</v>
      </c>
      <c r="O1259" s="70">
        <v>0</v>
      </c>
      <c r="P1259" s="70">
        <v>0</v>
      </c>
      <c r="Q1259" s="70">
        <v>0</v>
      </c>
      <c r="R1259" s="70"/>
      <c r="S1259" s="67"/>
      <c r="T1259" s="2" t="str">
        <f t="shared" si="105"/>
        <v>Nguyễn Ngọc Nghĩa_12AS8</v>
      </c>
      <c r="U1259" s="28">
        <f t="array" ref="U1259">IFERROR(VLOOKUP($T1259,'Nghi hoc T12'!$H$7:$I$160,2,0),0)</f>
        <v>0</v>
      </c>
      <c r="V1259" s="28">
        <f>IFERROR(VLOOKUP($T1259,No_HP!$B$2:$C$514,2,0),0)</f>
        <v>0</v>
      </c>
      <c r="W1259" s="28">
        <f t="shared" si="106"/>
        <v>0</v>
      </c>
      <c r="X1259" s="333">
        <f t="shared" si="107"/>
        <v>0</v>
      </c>
      <c r="Y1259" s="333">
        <f t="shared" si="108"/>
        <v>0</v>
      </c>
    </row>
    <row r="1260" spans="1:25" s="2" customFormat="1" ht="21.95" customHeight="1">
      <c r="A1260" s="82">
        <v>25</v>
      </c>
      <c r="B1260" s="91" t="s">
        <v>3366</v>
      </c>
      <c r="C1260" s="83" t="s">
        <v>364</v>
      </c>
      <c r="D1260" s="81" t="s">
        <v>518</v>
      </c>
      <c r="E1260" s="48">
        <v>101252</v>
      </c>
      <c r="F1260" s="30" t="s">
        <v>1910</v>
      </c>
      <c r="G1260" s="29" t="s">
        <v>19</v>
      </c>
      <c r="H1260" s="30" t="s">
        <v>435</v>
      </c>
      <c r="I1260" s="78"/>
      <c r="J1260" s="20"/>
      <c r="K1260" s="20"/>
      <c r="L1260" s="20"/>
      <c r="M1260" s="20"/>
      <c r="N1260" s="69" t="s">
        <v>256</v>
      </c>
      <c r="O1260" s="70">
        <v>0</v>
      </c>
      <c r="P1260" s="70">
        <v>0</v>
      </c>
      <c r="Q1260" s="70">
        <v>0</v>
      </c>
      <c r="R1260" s="70"/>
      <c r="S1260" s="67"/>
      <c r="T1260" s="2" t="str">
        <f t="shared" si="105"/>
        <v>Bùi Ánh Ngọc_12AS7</v>
      </c>
      <c r="U1260" s="28">
        <f t="array" ref="U1260">IFERROR(VLOOKUP($T1260,'Nghi hoc T12'!$H$7:$I$160,2,0),0)</f>
        <v>0</v>
      </c>
      <c r="V1260" s="28">
        <f>IFERROR(VLOOKUP($T1260,No_HP!$B$2:$C$514,2,0),0)</f>
        <v>0</v>
      </c>
      <c r="W1260" s="28">
        <f t="shared" si="106"/>
        <v>0</v>
      </c>
      <c r="X1260" s="333">
        <f t="shared" si="107"/>
        <v>0</v>
      </c>
      <c r="Y1260" s="333">
        <f t="shared" si="108"/>
        <v>0</v>
      </c>
    </row>
    <row r="1261" spans="1:25" s="2" customFormat="1" ht="21.95" customHeight="1">
      <c r="A1261" s="82">
        <v>26</v>
      </c>
      <c r="B1261" s="91" t="s">
        <v>3366</v>
      </c>
      <c r="C1261" s="83" t="s">
        <v>364</v>
      </c>
      <c r="D1261" s="81" t="s">
        <v>518</v>
      </c>
      <c r="E1261" s="48">
        <v>101253</v>
      </c>
      <c r="F1261" s="30" t="s">
        <v>1911</v>
      </c>
      <c r="G1261" s="29" t="s">
        <v>19</v>
      </c>
      <c r="H1261" s="30" t="s">
        <v>435</v>
      </c>
      <c r="I1261" s="78"/>
      <c r="J1261" s="20"/>
      <c r="K1261" s="20"/>
      <c r="L1261" s="20"/>
      <c r="M1261" s="20"/>
      <c r="N1261" s="69" t="s">
        <v>256</v>
      </c>
      <c r="O1261" s="70">
        <v>0</v>
      </c>
      <c r="P1261" s="70">
        <v>0</v>
      </c>
      <c r="Q1261" s="70">
        <v>0</v>
      </c>
      <c r="R1261" s="70"/>
      <c r="S1261" s="67"/>
      <c r="T1261" s="2" t="str">
        <f t="shared" si="105"/>
        <v>Dương Bảo Ngọc_12AS7</v>
      </c>
      <c r="U1261" s="28">
        <f t="array" ref="U1261">IFERROR(VLOOKUP($T1261,'Nghi hoc T12'!$H$7:$I$160,2,0),0)</f>
        <v>0</v>
      </c>
      <c r="V1261" s="28">
        <f>IFERROR(VLOOKUP($T1261,No_HP!$B$2:$C$514,2,0),0)</f>
        <v>0</v>
      </c>
      <c r="W1261" s="28">
        <f t="shared" si="106"/>
        <v>0</v>
      </c>
      <c r="X1261" s="333">
        <f t="shared" si="107"/>
        <v>0</v>
      </c>
      <c r="Y1261" s="333">
        <f t="shared" si="108"/>
        <v>0</v>
      </c>
    </row>
    <row r="1262" spans="1:25" s="2" customFormat="1" ht="21.95" customHeight="1">
      <c r="A1262" s="200">
        <v>1</v>
      </c>
      <c r="B1262" s="91" t="s">
        <v>3367</v>
      </c>
      <c r="C1262" s="185" t="s">
        <v>364</v>
      </c>
      <c r="D1262" s="186" t="s">
        <v>519</v>
      </c>
      <c r="E1262" s="187">
        <v>101254</v>
      </c>
      <c r="F1262" s="188" t="s">
        <v>1940</v>
      </c>
      <c r="G1262" s="189" t="s">
        <v>19</v>
      </c>
      <c r="H1262" s="188" t="s">
        <v>436</v>
      </c>
      <c r="I1262" s="190"/>
      <c r="J1262" s="191"/>
      <c r="K1262" s="191"/>
      <c r="L1262" s="191"/>
      <c r="M1262" s="191"/>
      <c r="N1262" s="69" t="s">
        <v>256</v>
      </c>
      <c r="O1262" s="70">
        <v>0</v>
      </c>
      <c r="P1262" s="70">
        <v>0</v>
      </c>
      <c r="Q1262" s="70">
        <v>0</v>
      </c>
      <c r="R1262" s="70"/>
      <c r="S1262" s="67"/>
      <c r="T1262" s="2" t="str">
        <f t="shared" si="105"/>
        <v>Phạm Mỹ Ngọc_12AS8</v>
      </c>
      <c r="U1262" s="28">
        <f t="array" ref="U1262">IFERROR(VLOOKUP($T1262,'Nghi hoc T12'!$H$7:$I$160,2,0),0)</f>
        <v>0</v>
      </c>
      <c r="V1262" s="28">
        <f>IFERROR(VLOOKUP($T1262,No_HP!$B$2:$C$514,2,0),0)</f>
        <v>0</v>
      </c>
      <c r="W1262" s="28">
        <f t="shared" si="106"/>
        <v>0</v>
      </c>
      <c r="X1262" s="333">
        <f t="shared" si="107"/>
        <v>0</v>
      </c>
      <c r="Y1262" s="333">
        <f t="shared" si="108"/>
        <v>0</v>
      </c>
    </row>
    <row r="1263" spans="1:25" s="2" customFormat="1" ht="21.95" customHeight="1">
      <c r="A1263" s="82">
        <v>2</v>
      </c>
      <c r="B1263" s="91" t="s">
        <v>3367</v>
      </c>
      <c r="C1263" s="83" t="s">
        <v>364</v>
      </c>
      <c r="D1263" s="81" t="s">
        <v>519</v>
      </c>
      <c r="E1263" s="48">
        <v>101255</v>
      </c>
      <c r="F1263" s="30" t="s">
        <v>223</v>
      </c>
      <c r="G1263" s="29" t="s">
        <v>20</v>
      </c>
      <c r="H1263" s="30" t="s">
        <v>435</v>
      </c>
      <c r="I1263" s="78"/>
      <c r="J1263" s="20"/>
      <c r="K1263" s="20"/>
      <c r="L1263" s="20"/>
      <c r="M1263" s="20"/>
      <c r="N1263" s="69" t="s">
        <v>256</v>
      </c>
      <c r="O1263" s="70">
        <v>0</v>
      </c>
      <c r="P1263" s="70">
        <v>0</v>
      </c>
      <c r="Q1263" s="70">
        <v>0</v>
      </c>
      <c r="R1263" s="70"/>
      <c r="S1263" s="67"/>
      <c r="T1263" s="2" t="str">
        <f t="shared" si="105"/>
        <v>Nguyễn Thị Yến Nhi_12AS7</v>
      </c>
      <c r="U1263" s="28">
        <f t="array" ref="U1263">IFERROR(VLOOKUP($T1263,'Nghi hoc T12'!$H$7:$I$160,2,0),0)</f>
        <v>0</v>
      </c>
      <c r="V1263" s="28">
        <f>IFERROR(VLOOKUP($T1263,No_HP!$B$2:$C$514,2,0),0)</f>
        <v>0</v>
      </c>
      <c r="W1263" s="28">
        <f t="shared" si="106"/>
        <v>0</v>
      </c>
      <c r="X1263" s="333">
        <f t="shared" si="107"/>
        <v>0</v>
      </c>
      <c r="Y1263" s="333">
        <f t="shared" si="108"/>
        <v>0</v>
      </c>
    </row>
    <row r="1264" spans="1:25" s="2" customFormat="1" ht="21.95" customHeight="1">
      <c r="A1264" s="82">
        <v>3</v>
      </c>
      <c r="B1264" s="91" t="s">
        <v>3367</v>
      </c>
      <c r="C1264" s="83" t="s">
        <v>364</v>
      </c>
      <c r="D1264" s="81" t="s">
        <v>519</v>
      </c>
      <c r="E1264" s="48">
        <v>101256</v>
      </c>
      <c r="F1264" s="30" t="s">
        <v>1912</v>
      </c>
      <c r="G1264" s="29" t="s">
        <v>20</v>
      </c>
      <c r="H1264" s="30" t="s">
        <v>435</v>
      </c>
      <c r="I1264" s="78"/>
      <c r="J1264" s="20"/>
      <c r="K1264" s="20"/>
      <c r="L1264" s="20"/>
      <c r="M1264" s="20"/>
      <c r="N1264" s="69" t="s">
        <v>256</v>
      </c>
      <c r="O1264" s="70">
        <v>0</v>
      </c>
      <c r="P1264" s="70">
        <v>0</v>
      </c>
      <c r="Q1264" s="70">
        <v>0</v>
      </c>
      <c r="R1264" s="70"/>
      <c r="S1264" s="67"/>
      <c r="T1264" s="2" t="str">
        <f t="shared" si="105"/>
        <v>Nguyễn Trần Tuyết Nhi_12AS7</v>
      </c>
      <c r="U1264" s="28">
        <f t="array" ref="U1264">IFERROR(VLOOKUP($T1264,'Nghi hoc T12'!$H$7:$I$160,2,0),0)</f>
        <v>0</v>
      </c>
      <c r="V1264" s="28">
        <f>IFERROR(VLOOKUP($T1264,No_HP!$B$2:$C$514,2,0),0)</f>
        <v>0</v>
      </c>
      <c r="W1264" s="28">
        <f t="shared" si="106"/>
        <v>0</v>
      </c>
      <c r="X1264" s="333">
        <f t="shared" si="107"/>
        <v>0</v>
      </c>
      <c r="Y1264" s="333">
        <f t="shared" si="108"/>
        <v>0</v>
      </c>
    </row>
    <row r="1265" spans="1:25" s="2" customFormat="1" ht="21.95" customHeight="1">
      <c r="A1265" s="82">
        <v>4</v>
      </c>
      <c r="B1265" s="91" t="s">
        <v>3367</v>
      </c>
      <c r="C1265" s="83" t="s">
        <v>364</v>
      </c>
      <c r="D1265" s="81" t="s">
        <v>519</v>
      </c>
      <c r="E1265" s="48">
        <v>101257</v>
      </c>
      <c r="F1265" s="30" t="s">
        <v>1913</v>
      </c>
      <c r="G1265" s="29" t="s">
        <v>20</v>
      </c>
      <c r="H1265" s="30" t="s">
        <v>435</v>
      </c>
      <c r="I1265" s="78"/>
      <c r="J1265" s="20"/>
      <c r="K1265" s="20"/>
      <c r="L1265" s="20"/>
      <c r="M1265" s="20"/>
      <c r="N1265" s="69" t="s">
        <v>256</v>
      </c>
      <c r="O1265" s="70">
        <v>0</v>
      </c>
      <c r="P1265" s="70">
        <v>0</v>
      </c>
      <c r="Q1265" s="70">
        <v>0</v>
      </c>
      <c r="R1265" s="70"/>
      <c r="S1265" s="67"/>
      <c r="T1265" s="2" t="str">
        <f t="shared" si="105"/>
        <v>Từ Mẫn Nhi_12AS7</v>
      </c>
      <c r="U1265" s="28">
        <f t="array" ref="U1265">IFERROR(VLOOKUP($T1265,'Nghi hoc T12'!$H$7:$I$160,2,0),0)</f>
        <v>0</v>
      </c>
      <c r="V1265" s="28">
        <f>IFERROR(VLOOKUP($T1265,No_HP!$B$2:$C$514,2,0),0)</f>
        <v>0</v>
      </c>
      <c r="W1265" s="28">
        <f t="shared" si="106"/>
        <v>0</v>
      </c>
      <c r="X1265" s="333">
        <f t="shared" si="107"/>
        <v>0</v>
      </c>
      <c r="Y1265" s="333">
        <f t="shared" si="108"/>
        <v>0</v>
      </c>
    </row>
    <row r="1266" spans="1:25" s="2" customFormat="1" ht="21.95" customHeight="1">
      <c r="A1266" s="82">
        <v>5</v>
      </c>
      <c r="B1266" s="91" t="s">
        <v>3367</v>
      </c>
      <c r="C1266" s="83" t="s">
        <v>364</v>
      </c>
      <c r="D1266" s="81" t="s">
        <v>519</v>
      </c>
      <c r="E1266" s="48">
        <v>101258</v>
      </c>
      <c r="F1266" s="30" t="s">
        <v>1941</v>
      </c>
      <c r="G1266" s="29" t="s">
        <v>21</v>
      </c>
      <c r="H1266" s="30" t="s">
        <v>436</v>
      </c>
      <c r="I1266" s="78"/>
      <c r="J1266" s="20"/>
      <c r="K1266" s="20"/>
      <c r="L1266" s="20"/>
      <c r="M1266" s="20"/>
      <c r="N1266" s="69" t="s">
        <v>256</v>
      </c>
      <c r="O1266" s="70">
        <v>0</v>
      </c>
      <c r="P1266" s="70">
        <v>0</v>
      </c>
      <c r="Q1266" s="70">
        <v>0</v>
      </c>
      <c r="R1266" s="70"/>
      <c r="S1266" s="67"/>
      <c r="T1266" s="2" t="str">
        <f t="shared" si="105"/>
        <v>Đỗ Quỳnh Tâm Như_12AS8</v>
      </c>
      <c r="U1266" s="28">
        <f t="array" ref="U1266">IFERROR(VLOOKUP($T1266,'Nghi hoc T12'!$H$7:$I$160,2,0),0)</f>
        <v>0</v>
      </c>
      <c r="V1266" s="28">
        <f>IFERROR(VLOOKUP($T1266,No_HP!$B$2:$C$514,2,0),0)</f>
        <v>0</v>
      </c>
      <c r="W1266" s="28">
        <f t="shared" si="106"/>
        <v>0</v>
      </c>
      <c r="X1266" s="333">
        <f t="shared" si="107"/>
        <v>0</v>
      </c>
      <c r="Y1266" s="333">
        <f t="shared" si="108"/>
        <v>0</v>
      </c>
    </row>
    <row r="1267" spans="1:25" s="2" customFormat="1" ht="21.95" customHeight="1">
      <c r="A1267" s="82">
        <v>6</v>
      </c>
      <c r="B1267" s="91" t="s">
        <v>3367</v>
      </c>
      <c r="C1267" s="83" t="s">
        <v>364</v>
      </c>
      <c r="D1267" s="81" t="s">
        <v>519</v>
      </c>
      <c r="E1267" s="48">
        <v>101259</v>
      </c>
      <c r="F1267" s="30" t="s">
        <v>1914</v>
      </c>
      <c r="G1267" s="29" t="s">
        <v>181</v>
      </c>
      <c r="H1267" s="30" t="s">
        <v>435</v>
      </c>
      <c r="I1267" s="78"/>
      <c r="J1267" s="20"/>
      <c r="K1267" s="20"/>
      <c r="L1267" s="20"/>
      <c r="M1267" s="20"/>
      <c r="N1267" s="69" t="s">
        <v>256</v>
      </c>
      <c r="O1267" s="70">
        <v>0</v>
      </c>
      <c r="P1267" s="70">
        <v>0</v>
      </c>
      <c r="Q1267" s="70">
        <v>0</v>
      </c>
      <c r="R1267" s="70"/>
      <c r="S1267" s="67"/>
      <c r="T1267" s="2" t="str">
        <f t="shared" si="105"/>
        <v>Phùng Thu Oanh_12AS7</v>
      </c>
      <c r="U1267" s="28">
        <f t="array" ref="U1267">IFERROR(VLOOKUP($T1267,'Nghi hoc T12'!$H$7:$I$160,2,0),0)</f>
        <v>0</v>
      </c>
      <c r="V1267" s="28">
        <f>IFERROR(VLOOKUP($T1267,No_HP!$B$2:$C$514,2,0),0)</f>
        <v>0</v>
      </c>
      <c r="W1267" s="28">
        <f t="shared" si="106"/>
        <v>0</v>
      </c>
      <c r="X1267" s="333">
        <f t="shared" si="107"/>
        <v>0</v>
      </c>
      <c r="Y1267" s="333">
        <f t="shared" si="108"/>
        <v>0</v>
      </c>
    </row>
    <row r="1268" spans="1:25" s="2" customFormat="1" ht="21.95" customHeight="1">
      <c r="A1268" s="82">
        <v>7</v>
      </c>
      <c r="B1268" s="91" t="s">
        <v>3367</v>
      </c>
      <c r="C1268" s="83" t="s">
        <v>364</v>
      </c>
      <c r="D1268" s="81" t="s">
        <v>519</v>
      </c>
      <c r="E1268" s="48">
        <v>101260</v>
      </c>
      <c r="F1268" s="30" t="s">
        <v>224</v>
      </c>
      <c r="G1268" s="29" t="s">
        <v>42</v>
      </c>
      <c r="H1268" s="30" t="s">
        <v>436</v>
      </c>
      <c r="I1268" s="78"/>
      <c r="J1268" s="20"/>
      <c r="K1268" s="20"/>
      <c r="L1268" s="20"/>
      <c r="M1268" s="20"/>
      <c r="N1268" s="69" t="s">
        <v>256</v>
      </c>
      <c r="O1268" s="70">
        <v>0</v>
      </c>
      <c r="P1268" s="70">
        <v>0</v>
      </c>
      <c r="Q1268" s="70">
        <v>0</v>
      </c>
      <c r="R1268" s="70"/>
      <c r="S1268" s="67"/>
      <c r="T1268" s="2" t="str">
        <f t="shared" si="105"/>
        <v>Ngô Tấn Phát_12AS8</v>
      </c>
      <c r="U1268" s="28">
        <f t="array" ref="U1268">IFERROR(VLOOKUP($T1268,'Nghi hoc T12'!$H$7:$I$160,2,0),0)</f>
        <v>0</v>
      </c>
      <c r="V1268" s="28">
        <f>IFERROR(VLOOKUP($T1268,No_HP!$B$2:$C$514,2,0),0)</f>
        <v>0</v>
      </c>
      <c r="W1268" s="28">
        <f t="shared" si="106"/>
        <v>0</v>
      </c>
      <c r="X1268" s="333">
        <f t="shared" si="107"/>
        <v>0</v>
      </c>
      <c r="Y1268" s="333">
        <f t="shared" si="108"/>
        <v>0</v>
      </c>
    </row>
    <row r="1269" spans="1:25" s="2" customFormat="1" ht="21.95" customHeight="1">
      <c r="A1269" s="82">
        <v>8</v>
      </c>
      <c r="B1269" s="91" t="s">
        <v>3367</v>
      </c>
      <c r="C1269" s="83" t="s">
        <v>364</v>
      </c>
      <c r="D1269" s="81" t="s">
        <v>519</v>
      </c>
      <c r="E1269" s="48">
        <v>101261</v>
      </c>
      <c r="F1269" s="30" t="s">
        <v>220</v>
      </c>
      <c r="G1269" s="29" t="s">
        <v>103</v>
      </c>
      <c r="H1269" s="30" t="s">
        <v>436</v>
      </c>
      <c r="I1269" s="78"/>
      <c r="J1269" s="20"/>
      <c r="K1269" s="20"/>
      <c r="L1269" s="20"/>
      <c r="M1269" s="20"/>
      <c r="N1269" s="69" t="s">
        <v>256</v>
      </c>
      <c r="O1269" s="70">
        <v>0</v>
      </c>
      <c r="P1269" s="70">
        <v>0</v>
      </c>
      <c r="Q1269" s="70">
        <v>0</v>
      </c>
      <c r="R1269" s="70"/>
      <c r="S1269" s="67"/>
      <c r="T1269" s="2" t="str">
        <f t="shared" si="105"/>
        <v>Võ Thanh Phú_12AS8</v>
      </c>
      <c r="U1269" s="28">
        <f t="array" ref="U1269">IFERROR(VLOOKUP($T1269,'Nghi hoc T12'!$H$7:$I$160,2,0),0)</f>
        <v>0</v>
      </c>
      <c r="V1269" s="28">
        <f>IFERROR(VLOOKUP($T1269,No_HP!$B$2:$C$514,2,0),0)</f>
        <v>0</v>
      </c>
      <c r="W1269" s="28">
        <f t="shared" si="106"/>
        <v>0</v>
      </c>
      <c r="X1269" s="333">
        <f t="shared" si="107"/>
        <v>0</v>
      </c>
      <c r="Y1269" s="333">
        <f t="shared" si="108"/>
        <v>0</v>
      </c>
    </row>
    <row r="1270" spans="1:25" s="2" customFormat="1" ht="21.95" customHeight="1">
      <c r="A1270" s="82">
        <v>9</v>
      </c>
      <c r="B1270" s="91" t="s">
        <v>3367</v>
      </c>
      <c r="C1270" s="83" t="s">
        <v>364</v>
      </c>
      <c r="D1270" s="81" t="s">
        <v>519</v>
      </c>
      <c r="E1270" s="48">
        <v>101262</v>
      </c>
      <c r="F1270" s="30" t="s">
        <v>234</v>
      </c>
      <c r="G1270" s="29" t="s">
        <v>71</v>
      </c>
      <c r="H1270" s="30" t="s">
        <v>436</v>
      </c>
      <c r="I1270" s="78"/>
      <c r="J1270" s="20"/>
      <c r="K1270" s="20"/>
      <c r="L1270" s="20"/>
      <c r="M1270" s="20"/>
      <c r="N1270" s="69" t="s">
        <v>256</v>
      </c>
      <c r="O1270" s="70">
        <v>0</v>
      </c>
      <c r="P1270" s="70">
        <v>0</v>
      </c>
      <c r="Q1270" s="70">
        <v>0</v>
      </c>
      <c r="R1270" s="70"/>
      <c r="S1270" s="67"/>
      <c r="T1270" s="2" t="str">
        <f t="shared" si="105"/>
        <v>Nguyễn Trọng Phúc_12AS8</v>
      </c>
      <c r="U1270" s="28">
        <f t="array" ref="U1270">IFERROR(VLOOKUP($T1270,'Nghi hoc T12'!$H$7:$I$160,2,0),0)</f>
        <v>0</v>
      </c>
      <c r="V1270" s="28">
        <f>IFERROR(VLOOKUP($T1270,No_HP!$B$2:$C$514,2,0),0)</f>
        <v>0</v>
      </c>
      <c r="W1270" s="28">
        <f t="shared" si="106"/>
        <v>0</v>
      </c>
      <c r="X1270" s="333">
        <f t="shared" si="107"/>
        <v>0</v>
      </c>
      <c r="Y1270" s="333">
        <f t="shared" si="108"/>
        <v>0</v>
      </c>
    </row>
    <row r="1271" spans="1:25" s="2" customFormat="1" ht="21.95" customHeight="1">
      <c r="A1271" s="82">
        <v>10</v>
      </c>
      <c r="B1271" s="91" t="s">
        <v>3367</v>
      </c>
      <c r="C1271" s="83" t="s">
        <v>364</v>
      </c>
      <c r="D1271" s="81" t="s">
        <v>519</v>
      </c>
      <c r="E1271" s="48">
        <v>101263</v>
      </c>
      <c r="F1271" s="30" t="s">
        <v>1915</v>
      </c>
      <c r="G1271" s="29" t="s">
        <v>44</v>
      </c>
      <c r="H1271" s="30" t="s">
        <v>435</v>
      </c>
      <c r="I1271" s="78"/>
      <c r="J1271" s="20"/>
      <c r="K1271" s="20"/>
      <c r="L1271" s="20"/>
      <c r="M1271" s="20"/>
      <c r="N1271" s="69" t="s">
        <v>256</v>
      </c>
      <c r="O1271" s="70">
        <v>0</v>
      </c>
      <c r="P1271" s="70">
        <v>0</v>
      </c>
      <c r="Q1271" s="70">
        <v>0</v>
      </c>
      <c r="R1271" s="70"/>
      <c r="S1271" s="67"/>
      <c r="T1271" s="2" t="str">
        <f t="shared" si="105"/>
        <v>Đỗ Đại Quang_12AS7</v>
      </c>
      <c r="U1271" s="28">
        <f t="array" ref="U1271">IFERROR(VLOOKUP($T1271,'Nghi hoc T12'!$H$7:$I$160,2,0),0)</f>
        <v>0</v>
      </c>
      <c r="V1271" s="28">
        <f>IFERROR(VLOOKUP($T1271,No_HP!$B$2:$C$514,2,0),0)</f>
        <v>0</v>
      </c>
      <c r="W1271" s="28">
        <f t="shared" si="106"/>
        <v>0</v>
      </c>
      <c r="X1271" s="333">
        <f t="shared" si="107"/>
        <v>0</v>
      </c>
      <c r="Y1271" s="333">
        <f t="shared" si="108"/>
        <v>0</v>
      </c>
    </row>
    <row r="1272" spans="1:25" s="2" customFormat="1" ht="21.95" customHeight="1">
      <c r="A1272" s="82">
        <v>11</v>
      </c>
      <c r="B1272" s="91" t="s">
        <v>3367</v>
      </c>
      <c r="C1272" s="83" t="s">
        <v>364</v>
      </c>
      <c r="D1272" s="81" t="s">
        <v>519</v>
      </c>
      <c r="E1272" s="48">
        <v>101264</v>
      </c>
      <c r="F1272" s="30" t="s">
        <v>1916</v>
      </c>
      <c r="G1272" s="29" t="s">
        <v>235</v>
      </c>
      <c r="H1272" s="30" t="s">
        <v>435</v>
      </c>
      <c r="I1272" s="78"/>
      <c r="J1272" s="20"/>
      <c r="K1272" s="20"/>
      <c r="L1272" s="20"/>
      <c r="M1272" s="20"/>
      <c r="N1272" s="69" t="s">
        <v>256</v>
      </c>
      <c r="O1272" s="70">
        <v>0</v>
      </c>
      <c r="P1272" s="70">
        <v>0</v>
      </c>
      <c r="Q1272" s="70">
        <v>0</v>
      </c>
      <c r="R1272" s="70"/>
      <c r="S1272" s="67"/>
      <c r="T1272" s="2" t="str">
        <f t="shared" si="105"/>
        <v>Trần Nguyễn Lập Quốc_12AS7</v>
      </c>
      <c r="U1272" s="28">
        <f t="array" ref="U1272">IFERROR(VLOOKUP($T1272,'Nghi hoc T12'!$H$7:$I$160,2,0),0)</f>
        <v>0</v>
      </c>
      <c r="V1272" s="28">
        <f>IFERROR(VLOOKUP($T1272,No_HP!$B$2:$C$514,2,0),0)</f>
        <v>0</v>
      </c>
      <c r="W1272" s="28">
        <f t="shared" si="106"/>
        <v>0</v>
      </c>
      <c r="X1272" s="333">
        <f t="shared" si="107"/>
        <v>0</v>
      </c>
      <c r="Y1272" s="333">
        <f t="shared" si="108"/>
        <v>0</v>
      </c>
    </row>
    <row r="1273" spans="1:25" s="2" customFormat="1" ht="21.95" customHeight="1">
      <c r="A1273" s="82">
        <v>12</v>
      </c>
      <c r="B1273" s="91" t="s">
        <v>3367</v>
      </c>
      <c r="C1273" s="83" t="s">
        <v>364</v>
      </c>
      <c r="D1273" s="81" t="s">
        <v>519</v>
      </c>
      <c r="E1273" s="48">
        <v>101265</v>
      </c>
      <c r="F1273" s="30" t="s">
        <v>225</v>
      </c>
      <c r="G1273" s="29" t="s">
        <v>47</v>
      </c>
      <c r="H1273" s="30" t="s">
        <v>436</v>
      </c>
      <c r="I1273" s="78"/>
      <c r="J1273" s="20"/>
      <c r="K1273" s="20"/>
      <c r="L1273" s="20"/>
      <c r="M1273" s="20"/>
      <c r="N1273" s="69" t="s">
        <v>256</v>
      </c>
      <c r="O1273" s="70">
        <v>0</v>
      </c>
      <c r="P1273" s="70">
        <v>0</v>
      </c>
      <c r="Q1273" s="70">
        <v>0</v>
      </c>
      <c r="R1273" s="70"/>
      <c r="S1273" s="67"/>
      <c r="T1273" s="2" t="str">
        <f t="shared" si="105"/>
        <v>Trần Ngọc Sang_12AS8</v>
      </c>
      <c r="U1273" s="28">
        <f t="array" ref="U1273">IFERROR(VLOOKUP($T1273,'Nghi hoc T12'!$H$7:$I$160,2,0),0)</f>
        <v>0</v>
      </c>
      <c r="V1273" s="28">
        <f>IFERROR(VLOOKUP($T1273,No_HP!$B$2:$C$514,2,0),0)</f>
        <v>0</v>
      </c>
      <c r="W1273" s="28">
        <f t="shared" si="106"/>
        <v>0</v>
      </c>
      <c r="X1273" s="333">
        <f t="shared" si="107"/>
        <v>0</v>
      </c>
      <c r="Y1273" s="333">
        <f t="shared" si="108"/>
        <v>0</v>
      </c>
    </row>
    <row r="1274" spans="1:25" s="2" customFormat="1" ht="21.95" customHeight="1">
      <c r="A1274" s="82">
        <v>13</v>
      </c>
      <c r="B1274" s="91" t="s">
        <v>3367</v>
      </c>
      <c r="C1274" s="83" t="s">
        <v>364</v>
      </c>
      <c r="D1274" s="81" t="s">
        <v>519</v>
      </c>
      <c r="E1274" s="48">
        <v>101266</v>
      </c>
      <c r="F1274" s="30" t="s">
        <v>236</v>
      </c>
      <c r="G1274" s="29" t="s">
        <v>93</v>
      </c>
      <c r="H1274" s="30" t="s">
        <v>435</v>
      </c>
      <c r="I1274" s="78"/>
      <c r="J1274" s="20"/>
      <c r="K1274" s="20"/>
      <c r="L1274" s="20"/>
      <c r="M1274" s="20"/>
      <c r="N1274" s="69" t="s">
        <v>256</v>
      </c>
      <c r="O1274" s="70">
        <v>0</v>
      </c>
      <c r="P1274" s="70">
        <v>0</v>
      </c>
      <c r="Q1274" s="70">
        <v>0</v>
      </c>
      <c r="R1274" s="70"/>
      <c r="S1274" s="67"/>
      <c r="T1274" s="2" t="str">
        <f t="shared" si="105"/>
        <v>Huỳnh Tấn Tài_12AS7</v>
      </c>
      <c r="U1274" s="28" t="s">
        <v>3334</v>
      </c>
      <c r="V1274" s="28">
        <f>IFERROR(VLOOKUP($T1274,No_HP!$B$2:$C$514,2,0),0)</f>
        <v>0</v>
      </c>
      <c r="W1274" s="28">
        <f t="shared" si="106"/>
        <v>0</v>
      </c>
      <c r="X1274" s="333">
        <f t="shared" si="107"/>
        <v>0</v>
      </c>
      <c r="Y1274" s="333">
        <f t="shared" si="108"/>
        <v>0</v>
      </c>
    </row>
    <row r="1275" spans="1:25" s="2" customFormat="1" ht="21.95" customHeight="1">
      <c r="A1275" s="82">
        <v>14</v>
      </c>
      <c r="B1275" s="91" t="s">
        <v>3367</v>
      </c>
      <c r="C1275" s="83" t="s">
        <v>364</v>
      </c>
      <c r="D1275" s="81" t="s">
        <v>519</v>
      </c>
      <c r="E1275" s="48">
        <v>101267</v>
      </c>
      <c r="F1275" s="30" t="s">
        <v>226</v>
      </c>
      <c r="G1275" s="29" t="s">
        <v>24</v>
      </c>
      <c r="H1275" s="30" t="s">
        <v>436</v>
      </c>
      <c r="I1275" s="78"/>
      <c r="J1275" s="20"/>
      <c r="K1275" s="20"/>
      <c r="L1275" s="20"/>
      <c r="M1275" s="20"/>
      <c r="N1275" s="69" t="s">
        <v>256</v>
      </c>
      <c r="O1275" s="70">
        <v>0</v>
      </c>
      <c r="P1275" s="70">
        <v>0</v>
      </c>
      <c r="Q1275" s="70">
        <v>0</v>
      </c>
      <c r="R1275" s="70"/>
      <c r="S1275" s="67"/>
      <c r="T1275" s="2" t="str">
        <f t="shared" si="105"/>
        <v>Nguyễn Thị Thanh Tâm_12AS8</v>
      </c>
      <c r="U1275" s="28">
        <f t="array" ref="U1275">IFERROR(VLOOKUP($T1275,'Nghi hoc T12'!$H$7:$I$160,2,0),0)</f>
        <v>0</v>
      </c>
      <c r="V1275" s="28">
        <f>IFERROR(VLOOKUP($T1275,No_HP!$B$2:$C$514,2,0),0)</f>
        <v>0</v>
      </c>
      <c r="W1275" s="28">
        <f t="shared" si="106"/>
        <v>0</v>
      </c>
      <c r="X1275" s="333">
        <f t="shared" si="107"/>
        <v>0</v>
      </c>
      <c r="Y1275" s="333">
        <f t="shared" si="108"/>
        <v>0</v>
      </c>
    </row>
    <row r="1276" spans="1:25" s="2" customFormat="1" ht="21.95" customHeight="1">
      <c r="A1276" s="82">
        <v>15</v>
      </c>
      <c r="B1276" s="91" t="s">
        <v>3367</v>
      </c>
      <c r="C1276" s="83" t="s">
        <v>364</v>
      </c>
      <c r="D1276" s="81" t="s">
        <v>519</v>
      </c>
      <c r="E1276" s="48">
        <v>101268</v>
      </c>
      <c r="F1276" s="30" t="s">
        <v>1917</v>
      </c>
      <c r="G1276" s="29" t="s">
        <v>26</v>
      </c>
      <c r="H1276" s="30" t="s">
        <v>435</v>
      </c>
      <c r="I1276" s="78"/>
      <c r="J1276" s="20"/>
      <c r="K1276" s="20"/>
      <c r="L1276" s="20"/>
      <c r="M1276" s="20"/>
      <c r="N1276" s="69" t="s">
        <v>256</v>
      </c>
      <c r="O1276" s="70">
        <v>0</v>
      </c>
      <c r="P1276" s="70">
        <v>0</v>
      </c>
      <c r="Q1276" s="70">
        <v>0</v>
      </c>
      <c r="R1276" s="70"/>
      <c r="S1276" s="67"/>
      <c r="T1276" s="2" t="str">
        <f t="shared" si="105"/>
        <v>Trần Phùng Hồng Thanh_12AS7</v>
      </c>
      <c r="U1276" s="28">
        <f t="array" ref="U1276">IFERROR(VLOOKUP($T1276,'Nghi hoc T12'!$H$7:$I$160,2,0),0)</f>
        <v>0</v>
      </c>
      <c r="V1276" s="28">
        <f>IFERROR(VLOOKUP($T1276,No_HP!$B$2:$C$514,2,0),0)</f>
        <v>0</v>
      </c>
      <c r="W1276" s="28">
        <f t="shared" si="106"/>
        <v>0</v>
      </c>
      <c r="X1276" s="333">
        <f t="shared" si="107"/>
        <v>0</v>
      </c>
      <c r="Y1276" s="333">
        <f t="shared" si="108"/>
        <v>0</v>
      </c>
    </row>
    <row r="1277" spans="1:25" s="2" customFormat="1" ht="21.95" customHeight="1">
      <c r="A1277" s="82">
        <v>16</v>
      </c>
      <c r="B1277" s="91" t="s">
        <v>3367</v>
      </c>
      <c r="C1277" s="83" t="s">
        <v>364</v>
      </c>
      <c r="D1277" s="81" t="s">
        <v>519</v>
      </c>
      <c r="E1277" s="48">
        <v>101269</v>
      </c>
      <c r="F1277" s="30" t="s">
        <v>201</v>
      </c>
      <c r="G1277" s="29" t="s">
        <v>27</v>
      </c>
      <c r="H1277" s="30" t="s">
        <v>436</v>
      </c>
      <c r="I1277" s="78"/>
      <c r="J1277" s="20"/>
      <c r="K1277" s="20"/>
      <c r="L1277" s="20"/>
      <c r="M1277" s="20"/>
      <c r="N1277" s="69" t="s">
        <v>256</v>
      </c>
      <c r="O1277" s="70">
        <v>0</v>
      </c>
      <c r="P1277" s="70">
        <v>0</v>
      </c>
      <c r="Q1277" s="70">
        <v>0</v>
      </c>
      <c r="R1277" s="70"/>
      <c r="S1277" s="67"/>
      <c r="T1277" s="2" t="str">
        <f t="shared" si="105"/>
        <v>Nguyễn Hữu Thành_12AS8</v>
      </c>
      <c r="U1277" s="28">
        <f t="array" ref="U1277">IFERROR(VLOOKUP($T1277,'Nghi hoc T12'!$H$7:$I$160,2,0),0)</f>
        <v>0</v>
      </c>
      <c r="V1277" s="28">
        <f>IFERROR(VLOOKUP($T1277,No_HP!$B$2:$C$514,2,0),0)</f>
        <v>0</v>
      </c>
      <c r="W1277" s="28">
        <f t="shared" si="106"/>
        <v>0</v>
      </c>
      <c r="X1277" s="333">
        <f t="shared" si="107"/>
        <v>0</v>
      </c>
      <c r="Y1277" s="333">
        <f t="shared" si="108"/>
        <v>0</v>
      </c>
    </row>
    <row r="1278" spans="1:25" s="2" customFormat="1" ht="21.95" customHeight="1">
      <c r="A1278" s="82">
        <v>17</v>
      </c>
      <c r="B1278" s="91" t="s">
        <v>3367</v>
      </c>
      <c r="C1278" s="83" t="s">
        <v>364</v>
      </c>
      <c r="D1278" s="81" t="s">
        <v>519</v>
      </c>
      <c r="E1278" s="48">
        <v>101270</v>
      </c>
      <c r="F1278" s="30" t="s">
        <v>1240</v>
      </c>
      <c r="G1278" s="29" t="s">
        <v>49</v>
      </c>
      <c r="H1278" s="30" t="s">
        <v>436</v>
      </c>
      <c r="I1278" s="78"/>
      <c r="J1278" s="20"/>
      <c r="K1278" s="20"/>
      <c r="L1278" s="20"/>
      <c r="M1278" s="20"/>
      <c r="N1278" s="69" t="s">
        <v>256</v>
      </c>
      <c r="O1278" s="70">
        <v>0</v>
      </c>
      <c r="P1278" s="70">
        <v>0</v>
      </c>
      <c r="Q1278" s="70">
        <v>0</v>
      </c>
      <c r="R1278" s="70"/>
      <c r="S1278" s="67"/>
      <c r="T1278" s="2" t="str">
        <f t="shared" si="105"/>
        <v>Nguyễn Hoàng Như Thảo_12AS8</v>
      </c>
      <c r="U1278" s="28">
        <f t="array" ref="U1278">IFERROR(VLOOKUP($T1278,'Nghi hoc T12'!$H$7:$I$160,2,0),0)</f>
        <v>0</v>
      </c>
      <c r="V1278" s="28">
        <f>IFERROR(VLOOKUP($T1278,No_HP!$B$2:$C$514,2,0),0)</f>
        <v>0</v>
      </c>
      <c r="W1278" s="28">
        <f t="shared" si="106"/>
        <v>0</v>
      </c>
      <c r="X1278" s="333">
        <f t="shared" si="107"/>
        <v>0</v>
      </c>
      <c r="Y1278" s="333">
        <f t="shared" si="108"/>
        <v>0</v>
      </c>
    </row>
    <row r="1279" spans="1:25" s="2" customFormat="1" ht="21.95" customHeight="1">
      <c r="A1279" s="82">
        <v>18</v>
      </c>
      <c r="B1279" s="91" t="s">
        <v>3367</v>
      </c>
      <c r="C1279" s="83" t="s">
        <v>364</v>
      </c>
      <c r="D1279" s="81" t="s">
        <v>519</v>
      </c>
      <c r="E1279" s="48">
        <v>101271</v>
      </c>
      <c r="F1279" s="30" t="s">
        <v>1918</v>
      </c>
      <c r="G1279" s="29" t="s">
        <v>49</v>
      </c>
      <c r="H1279" s="30" t="s">
        <v>435</v>
      </c>
      <c r="I1279" s="78"/>
      <c r="J1279" s="20"/>
      <c r="K1279" s="20"/>
      <c r="L1279" s="20"/>
      <c r="M1279" s="20"/>
      <c r="N1279" s="69" t="s">
        <v>256</v>
      </c>
      <c r="O1279" s="70">
        <v>0</v>
      </c>
      <c r="P1279" s="70">
        <v>0</v>
      </c>
      <c r="Q1279" s="70">
        <v>0</v>
      </c>
      <c r="R1279" s="70"/>
      <c r="S1279" s="67"/>
      <c r="T1279" s="2" t="str">
        <f t="shared" si="105"/>
        <v>Nguyễn Phương Thanh Thảo_12AS7</v>
      </c>
      <c r="U1279" s="28">
        <f t="array" ref="U1279">IFERROR(VLOOKUP($T1279,'Nghi hoc T12'!$H$7:$I$160,2,0),0)</f>
        <v>0</v>
      </c>
      <c r="V1279" s="28"/>
      <c r="W1279" s="28">
        <f t="shared" si="106"/>
        <v>0</v>
      </c>
      <c r="X1279" s="333">
        <f t="shared" si="107"/>
        <v>0</v>
      </c>
      <c r="Y1279" s="333">
        <f t="shared" si="108"/>
        <v>0</v>
      </c>
    </row>
    <row r="1280" spans="1:25" s="2" customFormat="1" ht="21.95" customHeight="1">
      <c r="A1280" s="82">
        <v>19</v>
      </c>
      <c r="B1280" s="91" t="s">
        <v>3367</v>
      </c>
      <c r="C1280" s="83" t="s">
        <v>364</v>
      </c>
      <c r="D1280" s="81" t="s">
        <v>519</v>
      </c>
      <c r="E1280" s="48">
        <v>101272</v>
      </c>
      <c r="F1280" s="30" t="s">
        <v>1919</v>
      </c>
      <c r="G1280" s="29" t="s">
        <v>49</v>
      </c>
      <c r="H1280" s="30" t="s">
        <v>435</v>
      </c>
      <c r="I1280" s="78"/>
      <c r="J1280" s="20"/>
      <c r="K1280" s="20"/>
      <c r="L1280" s="20"/>
      <c r="M1280" s="20"/>
      <c r="N1280" s="69" t="s">
        <v>256</v>
      </c>
      <c r="O1280" s="70">
        <v>0</v>
      </c>
      <c r="P1280" s="70">
        <v>0</v>
      </c>
      <c r="Q1280" s="70">
        <v>0</v>
      </c>
      <c r="R1280" s="70"/>
      <c r="S1280" s="67"/>
      <c r="T1280" s="2" t="str">
        <f t="shared" si="105"/>
        <v>Phạm Đặng Thu Thảo_12AS7</v>
      </c>
      <c r="U1280" s="28">
        <f t="array" ref="U1280">IFERROR(VLOOKUP($T1280,'Nghi hoc T12'!$H$7:$I$160,2,0),0)</f>
        <v>0</v>
      </c>
      <c r="V1280" s="28"/>
      <c r="W1280" s="28">
        <f t="shared" si="106"/>
        <v>0</v>
      </c>
      <c r="X1280" s="333">
        <f t="shared" si="107"/>
        <v>0</v>
      </c>
      <c r="Y1280" s="333">
        <f t="shared" si="108"/>
        <v>0</v>
      </c>
    </row>
    <row r="1281" spans="1:25" s="2" customFormat="1" ht="21.95" customHeight="1">
      <c r="A1281" s="82">
        <v>20</v>
      </c>
      <c r="B1281" s="91" t="s">
        <v>3367</v>
      </c>
      <c r="C1281" s="83" t="s">
        <v>364</v>
      </c>
      <c r="D1281" s="81" t="s">
        <v>519</v>
      </c>
      <c r="E1281" s="48">
        <v>101273</v>
      </c>
      <c r="F1281" s="30" t="s">
        <v>1942</v>
      </c>
      <c r="G1281" s="29" t="s">
        <v>49</v>
      </c>
      <c r="H1281" s="30" t="s">
        <v>436</v>
      </c>
      <c r="I1281" s="78"/>
      <c r="J1281" s="20"/>
      <c r="K1281" s="20"/>
      <c r="L1281" s="20"/>
      <c r="M1281" s="20"/>
      <c r="N1281" s="69" t="s">
        <v>256</v>
      </c>
      <c r="O1281" s="70">
        <v>0</v>
      </c>
      <c r="P1281" s="70">
        <v>0</v>
      </c>
      <c r="Q1281" s="70">
        <v>0</v>
      </c>
      <c r="R1281" s="70"/>
      <c r="S1281" s="67"/>
      <c r="T1281" s="2" t="str">
        <f t="shared" si="105"/>
        <v>Võ Thị Thanh Thảo_12AS8</v>
      </c>
      <c r="U1281" s="28">
        <f t="array" ref="U1281">IFERROR(VLOOKUP($T1281,'Nghi hoc T12'!$H$7:$I$160,2,0),0)</f>
        <v>0</v>
      </c>
      <c r="V1281" s="28"/>
      <c r="W1281" s="28">
        <f t="shared" si="106"/>
        <v>0</v>
      </c>
      <c r="X1281" s="333">
        <f t="shared" si="107"/>
        <v>0</v>
      </c>
      <c r="Y1281" s="333">
        <f t="shared" si="108"/>
        <v>0</v>
      </c>
    </row>
    <row r="1282" spans="1:25" s="2" customFormat="1" ht="21.95" customHeight="1">
      <c r="A1282" s="82">
        <v>21</v>
      </c>
      <c r="B1282" s="91" t="s">
        <v>3367</v>
      </c>
      <c r="C1282" s="83" t="s">
        <v>364</v>
      </c>
      <c r="D1282" s="81" t="s">
        <v>519</v>
      </c>
      <c r="E1282" s="48">
        <v>101274</v>
      </c>
      <c r="F1282" s="30" t="s">
        <v>1920</v>
      </c>
      <c r="G1282" s="29" t="s">
        <v>105</v>
      </c>
      <c r="H1282" s="30" t="s">
        <v>435</v>
      </c>
      <c r="I1282" s="78"/>
      <c r="J1282" s="20"/>
      <c r="K1282" s="20"/>
      <c r="L1282" s="20"/>
      <c r="M1282" s="20"/>
      <c r="N1282" s="69" t="s">
        <v>256</v>
      </c>
      <c r="O1282" s="70">
        <v>0</v>
      </c>
      <c r="P1282" s="70">
        <v>0</v>
      </c>
      <c r="Q1282" s="70">
        <v>0</v>
      </c>
      <c r="R1282" s="70"/>
      <c r="S1282" s="67"/>
      <c r="T1282" s="2" t="str">
        <f t="shared" si="105"/>
        <v>Đỗ Thị Bảo Thi_12AS7</v>
      </c>
      <c r="U1282" s="28">
        <f t="array" ref="U1282">IFERROR(VLOOKUP($T1282,'Nghi hoc T12'!$H$7:$I$160,2,0),0)</f>
        <v>0</v>
      </c>
      <c r="V1282" s="28"/>
      <c r="W1282" s="28">
        <f t="shared" si="106"/>
        <v>0</v>
      </c>
      <c r="X1282" s="333">
        <f t="shared" si="107"/>
        <v>0</v>
      </c>
      <c r="Y1282" s="333">
        <f t="shared" si="108"/>
        <v>0</v>
      </c>
    </row>
    <row r="1283" spans="1:25" s="2" customFormat="1" ht="21.95" customHeight="1">
      <c r="A1283" s="82">
        <v>22</v>
      </c>
      <c r="B1283" s="91" t="s">
        <v>3367</v>
      </c>
      <c r="C1283" s="83" t="s">
        <v>364</v>
      </c>
      <c r="D1283" s="81" t="s">
        <v>519</v>
      </c>
      <c r="E1283" s="48">
        <v>101275</v>
      </c>
      <c r="F1283" s="30" t="s">
        <v>1943</v>
      </c>
      <c r="G1283" s="29" t="s">
        <v>58</v>
      </c>
      <c r="H1283" s="30" t="s">
        <v>436</v>
      </c>
      <c r="I1283" s="78"/>
      <c r="J1283" s="20"/>
      <c r="K1283" s="20"/>
      <c r="L1283" s="20"/>
      <c r="M1283" s="20"/>
      <c r="N1283" s="69" t="s">
        <v>256</v>
      </c>
      <c r="O1283" s="70">
        <v>0</v>
      </c>
      <c r="P1283" s="70">
        <v>0</v>
      </c>
      <c r="Q1283" s="70">
        <v>0</v>
      </c>
      <c r="R1283" s="70"/>
      <c r="S1283" s="67"/>
      <c r="T1283" s="2" t="str">
        <f t="shared" si="105"/>
        <v>Trương Nhật Thịnh_12AS8</v>
      </c>
      <c r="U1283" s="28">
        <f t="array" ref="U1283">IFERROR(VLOOKUP($T1283,'Nghi hoc T12'!$H$7:$I$160,2,0),0)</f>
        <v>0</v>
      </c>
      <c r="V1283" s="28"/>
      <c r="W1283" s="28">
        <f t="shared" si="106"/>
        <v>0</v>
      </c>
      <c r="X1283" s="333">
        <f t="shared" si="107"/>
        <v>0</v>
      </c>
      <c r="Y1283" s="333">
        <f t="shared" si="108"/>
        <v>0</v>
      </c>
    </row>
    <row r="1284" spans="1:25" s="2" customFormat="1" ht="21.95" customHeight="1">
      <c r="A1284" s="82">
        <v>23</v>
      </c>
      <c r="B1284" s="91" t="s">
        <v>3367</v>
      </c>
      <c r="C1284" s="83" t="s">
        <v>364</v>
      </c>
      <c r="D1284" s="81" t="s">
        <v>519</v>
      </c>
      <c r="E1284" s="48">
        <v>101276</v>
      </c>
      <c r="F1284" s="30" t="s">
        <v>1944</v>
      </c>
      <c r="G1284" s="29" t="s">
        <v>121</v>
      </c>
      <c r="H1284" s="30" t="s">
        <v>436</v>
      </c>
      <c r="I1284" s="78"/>
      <c r="J1284" s="20"/>
      <c r="K1284" s="20"/>
      <c r="L1284" s="20"/>
      <c r="M1284" s="20"/>
      <c r="N1284" s="69" t="s">
        <v>256</v>
      </c>
      <c r="O1284" s="70">
        <v>0</v>
      </c>
      <c r="P1284" s="70">
        <v>0</v>
      </c>
      <c r="Q1284" s="70">
        <v>0</v>
      </c>
      <c r="R1284" s="70"/>
      <c r="S1284" s="67"/>
      <c r="T1284" s="2" t="str">
        <f t="shared" si="105"/>
        <v>Trần Diễm Thu_12AS8</v>
      </c>
      <c r="U1284" s="28">
        <f t="array" ref="U1284">IFERROR(VLOOKUP($T1284,'Nghi hoc T12'!$H$7:$I$160,2,0),0)</f>
        <v>0</v>
      </c>
      <c r="V1284" s="28"/>
      <c r="W1284" s="28">
        <f t="shared" si="106"/>
        <v>0</v>
      </c>
      <c r="X1284" s="333">
        <f t="shared" si="107"/>
        <v>0</v>
      </c>
      <c r="Y1284" s="333">
        <f t="shared" si="108"/>
        <v>0</v>
      </c>
    </row>
    <row r="1285" spans="1:25" s="2" customFormat="1" ht="21.95" customHeight="1">
      <c r="A1285" s="82">
        <v>24</v>
      </c>
      <c r="B1285" s="91" t="s">
        <v>3367</v>
      </c>
      <c r="C1285" s="83" t="s">
        <v>364</v>
      </c>
      <c r="D1285" s="81" t="s">
        <v>519</v>
      </c>
      <c r="E1285" s="48">
        <v>101277</v>
      </c>
      <c r="F1285" s="30" t="s">
        <v>237</v>
      </c>
      <c r="G1285" s="29" t="s">
        <v>59</v>
      </c>
      <c r="H1285" s="30" t="s">
        <v>435</v>
      </c>
      <c r="I1285" s="78"/>
      <c r="J1285" s="20"/>
      <c r="K1285" s="20"/>
      <c r="L1285" s="20"/>
      <c r="M1285" s="20"/>
      <c r="N1285" s="69" t="s">
        <v>256</v>
      </c>
      <c r="O1285" s="70">
        <v>0</v>
      </c>
      <c r="P1285" s="70">
        <v>0</v>
      </c>
      <c r="Q1285" s="70">
        <v>0</v>
      </c>
      <c r="R1285" s="70"/>
      <c r="S1285" s="67"/>
      <c r="T1285" s="2" t="str">
        <f t="shared" si="105"/>
        <v>Lê Bảo Thuận_12AS7</v>
      </c>
      <c r="U1285" s="28">
        <f t="array" ref="U1285">IFERROR(VLOOKUP($T1285,'Nghi hoc T12'!$H$7:$I$160,2,0),0)</f>
        <v>0</v>
      </c>
      <c r="V1285" s="28"/>
      <c r="W1285" s="28">
        <f t="shared" si="106"/>
        <v>0</v>
      </c>
      <c r="X1285" s="333">
        <f t="shared" si="107"/>
        <v>0</v>
      </c>
      <c r="Y1285" s="333">
        <f t="shared" si="108"/>
        <v>0</v>
      </c>
    </row>
    <row r="1286" spans="1:25" s="2" customFormat="1" ht="21.95" customHeight="1">
      <c r="A1286" s="82">
        <v>25</v>
      </c>
      <c r="B1286" s="91" t="s">
        <v>3367</v>
      </c>
      <c r="C1286" s="83" t="s">
        <v>364</v>
      </c>
      <c r="D1286" s="81" t="s">
        <v>519</v>
      </c>
      <c r="E1286" s="48">
        <v>101278</v>
      </c>
      <c r="F1286" s="30" t="s">
        <v>1921</v>
      </c>
      <c r="G1286" s="29" t="s">
        <v>238</v>
      </c>
      <c r="H1286" s="30" t="s">
        <v>435</v>
      </c>
      <c r="I1286" s="78"/>
      <c r="J1286" s="20"/>
      <c r="K1286" s="20"/>
      <c r="L1286" s="20"/>
      <c r="M1286" s="20"/>
      <c r="N1286" s="69" t="s">
        <v>256</v>
      </c>
      <c r="O1286" s="70">
        <v>0</v>
      </c>
      <c r="P1286" s="70">
        <v>0</v>
      </c>
      <c r="Q1286" s="70">
        <v>0</v>
      </c>
      <c r="R1286" s="70"/>
      <c r="S1286" s="67"/>
      <c r="T1286" s="2" t="str">
        <f t="shared" si="105"/>
        <v>Đoàn Thị Lệ Thủy_12AS7</v>
      </c>
      <c r="U1286" s="28">
        <f t="array" ref="U1286">IFERROR(VLOOKUP($T1286,'Nghi hoc T12'!$H$7:$I$160,2,0),0)</f>
        <v>0</v>
      </c>
      <c r="V1286" s="28"/>
      <c r="W1286" s="28">
        <f t="shared" si="106"/>
        <v>0</v>
      </c>
      <c r="X1286" s="333">
        <f t="shared" si="107"/>
        <v>0</v>
      </c>
      <c r="Y1286" s="333">
        <f t="shared" si="108"/>
        <v>0</v>
      </c>
    </row>
    <row r="1287" spans="1:25" s="2" customFormat="1" ht="21.95" customHeight="1">
      <c r="A1287" s="82">
        <v>26</v>
      </c>
      <c r="B1287" s="91" t="s">
        <v>3367</v>
      </c>
      <c r="C1287" s="83" t="s">
        <v>364</v>
      </c>
      <c r="D1287" s="81" t="s">
        <v>519</v>
      </c>
      <c r="E1287" s="48">
        <v>101279</v>
      </c>
      <c r="F1287" s="30" t="s">
        <v>1922</v>
      </c>
      <c r="G1287" s="29" t="s">
        <v>28</v>
      </c>
      <c r="H1287" s="30" t="s">
        <v>435</v>
      </c>
      <c r="I1287" s="78"/>
      <c r="J1287" s="20"/>
      <c r="K1287" s="20"/>
      <c r="L1287" s="20"/>
      <c r="M1287" s="20"/>
      <c r="N1287" s="69" t="s">
        <v>256</v>
      </c>
      <c r="O1287" s="70">
        <v>0</v>
      </c>
      <c r="P1287" s="70">
        <v>0</v>
      </c>
      <c r="Q1287" s="70">
        <v>0</v>
      </c>
      <c r="R1287" s="70"/>
      <c r="S1287" s="67"/>
      <c r="T1287" s="2" t="str">
        <f t="shared" si="105"/>
        <v>Đỗ Phạm Anh Thư_12AS7</v>
      </c>
      <c r="U1287" s="28">
        <f t="array" ref="U1287">IFERROR(VLOOKUP($T1287,'Nghi hoc T12'!$H$7:$I$160,2,0),0)</f>
        <v>0</v>
      </c>
      <c r="V1287" s="28"/>
      <c r="W1287" s="28">
        <f t="shared" si="106"/>
        <v>0</v>
      </c>
      <c r="X1287" s="333">
        <f t="shared" si="107"/>
        <v>0</v>
      </c>
      <c r="Y1287" s="333">
        <f t="shared" si="108"/>
        <v>0</v>
      </c>
    </row>
    <row r="1288" spans="1:25" s="2" customFormat="1" ht="21.95" customHeight="1">
      <c r="A1288" s="200">
        <v>1</v>
      </c>
      <c r="B1288" s="91" t="s">
        <v>3368</v>
      </c>
      <c r="C1288" s="185" t="s">
        <v>364</v>
      </c>
      <c r="D1288" s="186" t="s">
        <v>520</v>
      </c>
      <c r="E1288" s="187">
        <v>101280</v>
      </c>
      <c r="F1288" s="188" t="s">
        <v>239</v>
      </c>
      <c r="G1288" s="189" t="s">
        <v>28</v>
      </c>
      <c r="H1288" s="188" t="s">
        <v>435</v>
      </c>
      <c r="I1288" s="190"/>
      <c r="J1288" s="191"/>
      <c r="K1288" s="191"/>
      <c r="L1288" s="191"/>
      <c r="M1288" s="191"/>
      <c r="N1288" s="69" t="s">
        <v>256</v>
      </c>
      <c r="O1288" s="70">
        <v>0</v>
      </c>
      <c r="P1288" s="70">
        <v>0</v>
      </c>
      <c r="Q1288" s="70">
        <v>0</v>
      </c>
      <c r="R1288" s="70"/>
      <c r="S1288" s="67"/>
      <c r="T1288" s="2" t="str">
        <f t="shared" si="105"/>
        <v>Nguyễn Ngọc Anh Thư_12AS7</v>
      </c>
      <c r="U1288" s="28">
        <f t="array" ref="U1288">IFERROR(VLOOKUP($T1288,'Nghi hoc T12'!$H$7:$I$160,2,0),0)</f>
        <v>0</v>
      </c>
      <c r="V1288" s="28"/>
      <c r="W1288" s="28">
        <f t="shared" si="106"/>
        <v>0</v>
      </c>
      <c r="X1288" s="333">
        <f t="shared" si="107"/>
        <v>0</v>
      </c>
      <c r="Y1288" s="333">
        <f t="shared" si="108"/>
        <v>0</v>
      </c>
    </row>
    <row r="1289" spans="1:25" s="2" customFormat="1" ht="21.95" customHeight="1">
      <c r="A1289" s="82">
        <v>2</v>
      </c>
      <c r="B1289" s="91" t="s">
        <v>3368</v>
      </c>
      <c r="C1289" s="83" t="s">
        <v>364</v>
      </c>
      <c r="D1289" s="81" t="s">
        <v>520</v>
      </c>
      <c r="E1289" s="48">
        <v>101281</v>
      </c>
      <c r="F1289" s="30" t="s">
        <v>1945</v>
      </c>
      <c r="G1289" s="29" t="s">
        <v>28</v>
      </c>
      <c r="H1289" s="30" t="s">
        <v>436</v>
      </c>
      <c r="I1289" s="78"/>
      <c r="J1289" s="20"/>
      <c r="K1289" s="20"/>
      <c r="L1289" s="20"/>
      <c r="M1289" s="20"/>
      <c r="N1289" s="69" t="s">
        <v>256</v>
      </c>
      <c r="O1289" s="70">
        <v>0</v>
      </c>
      <c r="P1289" s="70">
        <v>0</v>
      </c>
      <c r="Q1289" s="70">
        <v>0</v>
      </c>
      <c r="R1289" s="70"/>
      <c r="S1289" s="67"/>
      <c r="T1289" s="2" t="str">
        <f t="shared" si="105"/>
        <v>Phan Thị Thanh Thư_12AS8</v>
      </c>
      <c r="U1289" s="28">
        <f t="array" ref="U1289">IFERROR(VLOOKUP($T1289,'Nghi hoc T12'!$H$7:$I$160,2,0),0)</f>
        <v>0</v>
      </c>
      <c r="V1289" s="28"/>
      <c r="W1289" s="28">
        <f t="shared" si="106"/>
        <v>0</v>
      </c>
      <c r="X1289" s="333">
        <f t="shared" si="107"/>
        <v>0</v>
      </c>
      <c r="Y1289" s="333">
        <f t="shared" si="108"/>
        <v>0</v>
      </c>
    </row>
    <row r="1290" spans="1:25" s="2" customFormat="1" ht="21.95" customHeight="1">
      <c r="A1290" s="82">
        <v>3</v>
      </c>
      <c r="B1290" s="91" t="s">
        <v>3368</v>
      </c>
      <c r="C1290" s="83" t="s">
        <v>364</v>
      </c>
      <c r="D1290" s="81" t="s">
        <v>520</v>
      </c>
      <c r="E1290" s="48">
        <v>101282</v>
      </c>
      <c r="F1290" s="30" t="s">
        <v>227</v>
      </c>
      <c r="G1290" s="29" t="s">
        <v>111</v>
      </c>
      <c r="H1290" s="30" t="s">
        <v>436</v>
      </c>
      <c r="I1290" s="78"/>
      <c r="J1290" s="20"/>
      <c r="K1290" s="20"/>
      <c r="L1290" s="20"/>
      <c r="M1290" s="20"/>
      <c r="N1290" s="69" t="s">
        <v>256</v>
      </c>
      <c r="O1290" s="70">
        <v>0</v>
      </c>
      <c r="P1290" s="70">
        <v>0</v>
      </c>
      <c r="Q1290" s="70">
        <v>0</v>
      </c>
      <c r="R1290" s="70"/>
      <c r="S1290" s="67"/>
      <c r="T1290" s="2" t="str">
        <f t="shared" ref="T1290:T1353" si="109">TRIM(F1290&amp;" "&amp;G1290&amp;"_"&amp;H1290)</f>
        <v>Nguyễn Thị Thương_12AS8</v>
      </c>
      <c r="U1290" s="28">
        <f t="array" ref="U1290">IFERROR(VLOOKUP($T1290,'Nghi hoc T12'!$H$7:$I$160,2,0),0)</f>
        <v>0</v>
      </c>
      <c r="V1290" s="28"/>
      <c r="W1290" s="28">
        <f t="shared" ref="W1290:W1353" si="110">I1290</f>
        <v>0</v>
      </c>
      <c r="X1290" s="333">
        <f t="shared" ref="X1290:X1353" si="111">O1290</f>
        <v>0</v>
      </c>
      <c r="Y1290" s="333">
        <f t="shared" ref="Y1290:Y1353" si="112">P1290</f>
        <v>0</v>
      </c>
    </row>
    <row r="1291" spans="1:25" s="2" customFormat="1" ht="21.95" customHeight="1">
      <c r="A1291" s="82">
        <v>4</v>
      </c>
      <c r="B1291" s="91" t="s">
        <v>3368</v>
      </c>
      <c r="C1291" s="83" t="s">
        <v>364</v>
      </c>
      <c r="D1291" s="81" t="s">
        <v>520</v>
      </c>
      <c r="E1291" s="48">
        <v>101283</v>
      </c>
      <c r="F1291" s="30" t="s">
        <v>186</v>
      </c>
      <c r="G1291" s="29" t="s">
        <v>213</v>
      </c>
      <c r="H1291" s="30" t="s">
        <v>436</v>
      </c>
      <c r="I1291" s="78"/>
      <c r="J1291" s="20"/>
      <c r="K1291" s="20"/>
      <c r="L1291" s="20"/>
      <c r="M1291" s="20"/>
      <c r="N1291" s="69" t="s">
        <v>256</v>
      </c>
      <c r="O1291" s="70">
        <v>0</v>
      </c>
      <c r="P1291" s="70">
        <v>0</v>
      </c>
      <c r="Q1291" s="70">
        <v>0</v>
      </c>
      <c r="R1291" s="70"/>
      <c r="S1291" s="67"/>
      <c r="T1291" s="2" t="str">
        <f t="shared" si="109"/>
        <v>Nguyễn Minh Thy_12AS8</v>
      </c>
      <c r="U1291" s="28">
        <f t="array" ref="U1291">IFERROR(VLOOKUP($T1291,'Nghi hoc T12'!$H$7:$I$160,2,0),0)</f>
        <v>0</v>
      </c>
      <c r="V1291" s="28"/>
      <c r="W1291" s="28">
        <f t="shared" si="110"/>
        <v>0</v>
      </c>
      <c r="X1291" s="333">
        <f t="shared" si="111"/>
        <v>0</v>
      </c>
      <c r="Y1291" s="333">
        <f t="shared" si="112"/>
        <v>0</v>
      </c>
    </row>
    <row r="1292" spans="1:25" s="2" customFormat="1" ht="21.95" customHeight="1">
      <c r="A1292" s="82">
        <v>5</v>
      </c>
      <c r="B1292" s="91" t="s">
        <v>3368</v>
      </c>
      <c r="C1292" s="83" t="s">
        <v>364</v>
      </c>
      <c r="D1292" s="81" t="s">
        <v>520</v>
      </c>
      <c r="E1292" s="48">
        <v>101284</v>
      </c>
      <c r="F1292" s="30" t="s">
        <v>228</v>
      </c>
      <c r="G1292" s="29" t="s">
        <v>213</v>
      </c>
      <c r="H1292" s="30" t="s">
        <v>435</v>
      </c>
      <c r="I1292" s="78"/>
      <c r="J1292" s="20"/>
      <c r="K1292" s="20"/>
      <c r="L1292" s="20"/>
      <c r="M1292" s="20"/>
      <c r="N1292" s="69" t="s">
        <v>256</v>
      </c>
      <c r="O1292" s="70">
        <v>0</v>
      </c>
      <c r="P1292" s="70">
        <v>0</v>
      </c>
      <c r="Q1292" s="70">
        <v>0</v>
      </c>
      <c r="R1292" s="70"/>
      <c r="S1292" s="67"/>
      <c r="T1292" s="2" t="str">
        <f t="shared" si="109"/>
        <v>Nguyễn Trần Bảo Thy_12AS7</v>
      </c>
      <c r="U1292" s="28">
        <f t="array" ref="U1292">IFERROR(VLOOKUP($T1292,'Nghi hoc T12'!$H$7:$I$160,2,0),0)</f>
        <v>0</v>
      </c>
      <c r="V1292" s="28"/>
      <c r="W1292" s="28">
        <f t="shared" si="110"/>
        <v>0</v>
      </c>
      <c r="X1292" s="333">
        <f t="shared" si="111"/>
        <v>0</v>
      </c>
      <c r="Y1292" s="333">
        <f t="shared" si="112"/>
        <v>0</v>
      </c>
    </row>
    <row r="1293" spans="1:25" s="2" customFormat="1" ht="21.95" customHeight="1">
      <c r="A1293" s="82">
        <v>6</v>
      </c>
      <c r="B1293" s="91" t="s">
        <v>3368</v>
      </c>
      <c r="C1293" s="83" t="s">
        <v>364</v>
      </c>
      <c r="D1293" s="81" t="s">
        <v>520</v>
      </c>
      <c r="E1293" s="48">
        <v>101285</v>
      </c>
      <c r="F1293" s="30" t="s">
        <v>228</v>
      </c>
      <c r="G1293" s="29" t="s">
        <v>213</v>
      </c>
      <c r="H1293" s="30" t="s">
        <v>436</v>
      </c>
      <c r="I1293" s="78"/>
      <c r="J1293" s="20"/>
      <c r="K1293" s="20"/>
      <c r="L1293" s="20"/>
      <c r="M1293" s="20"/>
      <c r="N1293" s="69" t="s">
        <v>256</v>
      </c>
      <c r="O1293" s="70">
        <v>0</v>
      </c>
      <c r="P1293" s="70">
        <v>0</v>
      </c>
      <c r="Q1293" s="70">
        <v>0</v>
      </c>
      <c r="R1293" s="70"/>
      <c r="S1293" s="67"/>
      <c r="T1293" s="2" t="str">
        <f t="shared" si="109"/>
        <v>Nguyễn Trần Bảo Thy_12AS8</v>
      </c>
      <c r="U1293" s="28">
        <f t="array" ref="U1293">IFERROR(VLOOKUP($T1293,'Nghi hoc T12'!$H$7:$I$160,2,0),0)</f>
        <v>0</v>
      </c>
      <c r="V1293" s="28"/>
      <c r="W1293" s="28">
        <f t="shared" si="110"/>
        <v>0</v>
      </c>
      <c r="X1293" s="333">
        <f t="shared" si="111"/>
        <v>0</v>
      </c>
      <c r="Y1293" s="333">
        <f t="shared" si="112"/>
        <v>0</v>
      </c>
    </row>
    <row r="1294" spans="1:25" s="2" customFormat="1" ht="21.95" customHeight="1">
      <c r="A1294" s="82">
        <v>7</v>
      </c>
      <c r="B1294" s="91" t="s">
        <v>3368</v>
      </c>
      <c r="C1294" s="83" t="s">
        <v>364</v>
      </c>
      <c r="D1294" s="81" t="s">
        <v>520</v>
      </c>
      <c r="E1294" s="48">
        <v>101286</v>
      </c>
      <c r="F1294" s="30" t="s">
        <v>1256</v>
      </c>
      <c r="G1294" s="29" t="s">
        <v>80</v>
      </c>
      <c r="H1294" s="30" t="s">
        <v>435</v>
      </c>
      <c r="I1294" s="78"/>
      <c r="J1294" s="20"/>
      <c r="K1294" s="20"/>
      <c r="L1294" s="20"/>
      <c r="M1294" s="20"/>
      <c r="N1294" s="69" t="s">
        <v>256</v>
      </c>
      <c r="O1294" s="70">
        <v>0</v>
      </c>
      <c r="P1294" s="70">
        <v>0</v>
      </c>
      <c r="Q1294" s="70">
        <v>0</v>
      </c>
      <c r="R1294" s="70"/>
      <c r="S1294" s="67"/>
      <c r="T1294" s="2" t="str">
        <f t="shared" si="109"/>
        <v>Nguyễn Thị Thùy Tiên_12AS7</v>
      </c>
      <c r="U1294" s="28">
        <f t="array" ref="U1294">IFERROR(VLOOKUP($T1294,'Nghi hoc T12'!$H$7:$I$160,2,0),0)</f>
        <v>0</v>
      </c>
      <c r="V1294" s="28"/>
      <c r="W1294" s="28">
        <f t="shared" si="110"/>
        <v>0</v>
      </c>
      <c r="X1294" s="333">
        <f t="shared" si="111"/>
        <v>0</v>
      </c>
      <c r="Y1294" s="333">
        <f t="shared" si="112"/>
        <v>0</v>
      </c>
    </row>
    <row r="1295" spans="1:25" s="2" customFormat="1" ht="21.95" customHeight="1">
      <c r="A1295" s="82">
        <v>8</v>
      </c>
      <c r="B1295" s="91" t="s">
        <v>3368</v>
      </c>
      <c r="C1295" s="83" t="s">
        <v>364</v>
      </c>
      <c r="D1295" s="81" t="s">
        <v>520</v>
      </c>
      <c r="E1295" s="48">
        <v>101287</v>
      </c>
      <c r="F1295" s="30" t="s">
        <v>1946</v>
      </c>
      <c r="G1295" s="29" t="s">
        <v>80</v>
      </c>
      <c r="H1295" s="30" t="s">
        <v>436</v>
      </c>
      <c r="I1295" s="78"/>
      <c r="J1295" s="20"/>
      <c r="K1295" s="20"/>
      <c r="L1295" s="20"/>
      <c r="M1295" s="20"/>
      <c r="N1295" s="69" t="s">
        <v>256</v>
      </c>
      <c r="O1295" s="70">
        <v>0</v>
      </c>
      <c r="P1295" s="70">
        <v>0</v>
      </c>
      <c r="Q1295" s="70">
        <v>0</v>
      </c>
      <c r="R1295" s="70"/>
      <c r="S1295" s="67"/>
      <c r="T1295" s="2" t="str">
        <f t="shared" si="109"/>
        <v>Nguyễn Thủy Tiên_12AS8</v>
      </c>
      <c r="U1295" s="28">
        <f t="array" ref="U1295">IFERROR(VLOOKUP($T1295,'Nghi hoc T12'!$H$7:$I$160,2,0),0)</f>
        <v>0</v>
      </c>
      <c r="V1295" s="28"/>
      <c r="W1295" s="28">
        <f t="shared" si="110"/>
        <v>0</v>
      </c>
      <c r="X1295" s="333">
        <f t="shared" si="111"/>
        <v>0</v>
      </c>
      <c r="Y1295" s="333">
        <f t="shared" si="112"/>
        <v>0</v>
      </c>
    </row>
    <row r="1296" spans="1:25" s="2" customFormat="1" ht="21.95" customHeight="1">
      <c r="A1296" s="82">
        <v>9</v>
      </c>
      <c r="B1296" s="91" t="s">
        <v>3368</v>
      </c>
      <c r="C1296" s="83" t="s">
        <v>364</v>
      </c>
      <c r="D1296" s="81" t="s">
        <v>520</v>
      </c>
      <c r="E1296" s="48">
        <v>101288</v>
      </c>
      <c r="F1296" s="30" t="s">
        <v>1947</v>
      </c>
      <c r="G1296" s="29" t="s">
        <v>215</v>
      </c>
      <c r="H1296" s="30" t="s">
        <v>436</v>
      </c>
      <c r="I1296" s="78"/>
      <c r="J1296" s="20"/>
      <c r="K1296" s="20"/>
      <c r="L1296" s="20"/>
      <c r="M1296" s="20"/>
      <c r="N1296" s="69" t="s">
        <v>256</v>
      </c>
      <c r="O1296" s="70">
        <v>0</v>
      </c>
      <c r="P1296" s="70">
        <v>0</v>
      </c>
      <c r="Q1296" s="70">
        <v>0</v>
      </c>
      <c r="R1296" s="70"/>
      <c r="S1296" s="67"/>
      <c r="T1296" s="2" t="str">
        <f t="shared" si="109"/>
        <v>Dương Quốc Tiến_12AS8</v>
      </c>
      <c r="U1296" s="28">
        <f t="array" ref="U1296">IFERROR(VLOOKUP($T1296,'Nghi hoc T12'!$H$7:$I$160,2,0),0)</f>
        <v>0</v>
      </c>
      <c r="V1296" s="28"/>
      <c r="W1296" s="28">
        <f t="shared" si="110"/>
        <v>0</v>
      </c>
      <c r="X1296" s="333">
        <f t="shared" si="111"/>
        <v>0</v>
      </c>
      <c r="Y1296" s="333">
        <f t="shared" si="112"/>
        <v>0</v>
      </c>
    </row>
    <row r="1297" spans="1:25" s="2" customFormat="1" ht="21.95" customHeight="1">
      <c r="A1297" s="82">
        <v>10</v>
      </c>
      <c r="B1297" s="91" t="s">
        <v>3368</v>
      </c>
      <c r="C1297" s="83" t="s">
        <v>364</v>
      </c>
      <c r="D1297" s="81" t="s">
        <v>520</v>
      </c>
      <c r="E1297" s="48">
        <v>101289</v>
      </c>
      <c r="F1297" s="30" t="s">
        <v>1948</v>
      </c>
      <c r="G1297" s="29" t="s">
        <v>1949</v>
      </c>
      <c r="H1297" s="30" t="s">
        <v>436</v>
      </c>
      <c r="I1297" s="78"/>
      <c r="J1297" s="20"/>
      <c r="K1297" s="20"/>
      <c r="L1297" s="20"/>
      <c r="M1297" s="20"/>
      <c r="N1297" s="69" t="s">
        <v>256</v>
      </c>
      <c r="O1297" s="70">
        <v>0</v>
      </c>
      <c r="P1297" s="70">
        <v>0</v>
      </c>
      <c r="Q1297" s="70">
        <v>0</v>
      </c>
      <c r="R1297" s="70"/>
      <c r="S1297" s="67"/>
      <c r="T1297" s="2" t="str">
        <f t="shared" si="109"/>
        <v>Phan Phú Tồn_12AS8</v>
      </c>
      <c r="U1297" s="28">
        <f t="array" ref="U1297">IFERROR(VLOOKUP($T1297,'Nghi hoc T12'!$H$7:$I$160,2,0),0)</f>
        <v>0</v>
      </c>
      <c r="V1297" s="28"/>
      <c r="W1297" s="28">
        <f t="shared" si="110"/>
        <v>0</v>
      </c>
      <c r="X1297" s="333">
        <f t="shared" si="111"/>
        <v>0</v>
      </c>
      <c r="Y1297" s="333">
        <f t="shared" si="112"/>
        <v>0</v>
      </c>
    </row>
    <row r="1298" spans="1:25" s="2" customFormat="1" ht="21.95" customHeight="1">
      <c r="A1298" s="82">
        <v>11</v>
      </c>
      <c r="B1298" s="91" t="s">
        <v>3368</v>
      </c>
      <c r="C1298" s="83" t="s">
        <v>364</v>
      </c>
      <c r="D1298" s="81" t="s">
        <v>520</v>
      </c>
      <c r="E1298" s="48">
        <v>101290</v>
      </c>
      <c r="F1298" s="30" t="s">
        <v>240</v>
      </c>
      <c r="G1298" s="29" t="s">
        <v>30</v>
      </c>
      <c r="H1298" s="30" t="s">
        <v>435</v>
      </c>
      <c r="I1298" s="78"/>
      <c r="J1298" s="20"/>
      <c r="K1298" s="20"/>
      <c r="L1298" s="20"/>
      <c r="M1298" s="20"/>
      <c r="N1298" s="69" t="s">
        <v>256</v>
      </c>
      <c r="O1298" s="70">
        <v>0</v>
      </c>
      <c r="P1298" s="70">
        <v>0</v>
      </c>
      <c r="Q1298" s="70">
        <v>0</v>
      </c>
      <c r="R1298" s="70"/>
      <c r="S1298" s="67"/>
      <c r="T1298" s="2" t="str">
        <f t="shared" si="109"/>
        <v>Nguyễn Ngọc Thùy Trang_12AS7</v>
      </c>
      <c r="U1298" s="28">
        <f t="array" ref="U1298">IFERROR(VLOOKUP($T1298,'Nghi hoc T12'!$H$7:$I$160,2,0),0)</f>
        <v>0</v>
      </c>
      <c r="V1298" s="28"/>
      <c r="W1298" s="28">
        <f t="shared" si="110"/>
        <v>0</v>
      </c>
      <c r="X1298" s="333">
        <f t="shared" si="111"/>
        <v>0</v>
      </c>
      <c r="Y1298" s="333">
        <f t="shared" si="112"/>
        <v>0</v>
      </c>
    </row>
    <row r="1299" spans="1:25" s="2" customFormat="1" ht="21.95" customHeight="1">
      <c r="A1299" s="82">
        <v>12</v>
      </c>
      <c r="B1299" s="91" t="s">
        <v>3368</v>
      </c>
      <c r="C1299" s="83" t="s">
        <v>364</v>
      </c>
      <c r="D1299" s="81" t="s">
        <v>520</v>
      </c>
      <c r="E1299" s="48">
        <v>101291</v>
      </c>
      <c r="F1299" s="30" t="s">
        <v>1923</v>
      </c>
      <c r="G1299" s="29" t="s">
        <v>29</v>
      </c>
      <c r="H1299" s="30" t="s">
        <v>435</v>
      </c>
      <c r="I1299" s="78"/>
      <c r="J1299" s="20"/>
      <c r="K1299" s="20"/>
      <c r="L1299" s="20"/>
      <c r="M1299" s="20"/>
      <c r="N1299" s="69" t="s">
        <v>256</v>
      </c>
      <c r="O1299" s="70">
        <v>0</v>
      </c>
      <c r="P1299" s="70">
        <v>0</v>
      </c>
      <c r="Q1299" s="70">
        <v>0</v>
      </c>
      <c r="R1299" s="70"/>
      <c r="S1299" s="67"/>
      <c r="T1299" s="2" t="str">
        <f t="shared" si="109"/>
        <v>Phạm Thị Thùy Trâm_12AS7</v>
      </c>
      <c r="U1299" s="28">
        <f t="array" ref="U1299">IFERROR(VLOOKUP($T1299,'Nghi hoc T12'!$H$7:$I$160,2,0),0)</f>
        <v>0</v>
      </c>
      <c r="V1299" s="28"/>
      <c r="W1299" s="28">
        <f t="shared" si="110"/>
        <v>0</v>
      </c>
      <c r="X1299" s="333">
        <f t="shared" si="111"/>
        <v>0</v>
      </c>
      <c r="Y1299" s="333">
        <f t="shared" si="112"/>
        <v>0</v>
      </c>
    </row>
    <row r="1300" spans="1:25" s="2" customFormat="1" ht="21.95" customHeight="1">
      <c r="A1300" s="82">
        <v>13</v>
      </c>
      <c r="B1300" s="91" t="s">
        <v>3368</v>
      </c>
      <c r="C1300" s="83" t="s">
        <v>364</v>
      </c>
      <c r="D1300" s="81" t="s">
        <v>520</v>
      </c>
      <c r="E1300" s="48">
        <v>101292</v>
      </c>
      <c r="F1300" s="30" t="s">
        <v>1950</v>
      </c>
      <c r="G1300" s="29" t="s">
        <v>81</v>
      </c>
      <c r="H1300" s="30" t="s">
        <v>436</v>
      </c>
      <c r="I1300" s="78"/>
      <c r="J1300" s="20"/>
      <c r="K1300" s="20"/>
      <c r="L1300" s="20"/>
      <c r="M1300" s="20"/>
      <c r="N1300" s="69" t="s">
        <v>256</v>
      </c>
      <c r="O1300" s="70">
        <v>0</v>
      </c>
      <c r="P1300" s="70">
        <v>0</v>
      </c>
      <c r="Q1300" s="70">
        <v>0</v>
      </c>
      <c r="R1300" s="70"/>
      <c r="S1300" s="67"/>
      <c r="T1300" s="2" t="str">
        <f t="shared" si="109"/>
        <v>Cao Nguyễn Ngọc Trân_12AS8</v>
      </c>
      <c r="U1300" s="28">
        <f t="array" ref="U1300">IFERROR(VLOOKUP($T1300,'Nghi hoc T12'!$H$7:$I$160,2,0),0)</f>
        <v>0</v>
      </c>
      <c r="V1300" s="28"/>
      <c r="W1300" s="28">
        <f t="shared" si="110"/>
        <v>0</v>
      </c>
      <c r="X1300" s="333">
        <f t="shared" si="111"/>
        <v>0</v>
      </c>
      <c r="Y1300" s="333">
        <f t="shared" si="112"/>
        <v>0</v>
      </c>
    </row>
    <row r="1301" spans="1:25" s="2" customFormat="1" ht="21.95" customHeight="1">
      <c r="A1301" s="82">
        <v>14</v>
      </c>
      <c r="B1301" s="91" t="s">
        <v>3368</v>
      </c>
      <c r="C1301" s="83" t="s">
        <v>364</v>
      </c>
      <c r="D1301" s="81" t="s">
        <v>520</v>
      </c>
      <c r="E1301" s="48">
        <v>101293</v>
      </c>
      <c r="F1301" s="30" t="s">
        <v>186</v>
      </c>
      <c r="G1301" s="29" t="s">
        <v>206</v>
      </c>
      <c r="H1301" s="30" t="s">
        <v>436</v>
      </c>
      <c r="I1301" s="78"/>
      <c r="J1301" s="20"/>
      <c r="K1301" s="20"/>
      <c r="L1301" s="20"/>
      <c r="M1301" s="20"/>
      <c r="N1301" s="69" t="s">
        <v>256</v>
      </c>
      <c r="O1301" s="70">
        <v>0</v>
      </c>
      <c r="P1301" s="70">
        <v>0</v>
      </c>
      <c r="Q1301" s="70">
        <v>0</v>
      </c>
      <c r="R1301" s="70"/>
      <c r="S1301" s="67"/>
      <c r="T1301" s="2" t="str">
        <f t="shared" si="109"/>
        <v>Nguyễn Minh Trí_12AS8</v>
      </c>
      <c r="U1301" s="28">
        <f t="array" ref="U1301">IFERROR(VLOOKUP($T1301,'Nghi hoc T12'!$H$7:$I$160,2,0),0)</f>
        <v>0</v>
      </c>
      <c r="V1301" s="28"/>
      <c r="W1301" s="28">
        <f t="shared" si="110"/>
        <v>0</v>
      </c>
      <c r="X1301" s="333">
        <f t="shared" si="111"/>
        <v>0</v>
      </c>
      <c r="Y1301" s="333">
        <f t="shared" si="112"/>
        <v>0</v>
      </c>
    </row>
    <row r="1302" spans="1:25" s="2" customFormat="1" ht="21.95" customHeight="1">
      <c r="A1302" s="82">
        <v>15</v>
      </c>
      <c r="B1302" s="91" t="s">
        <v>3368</v>
      </c>
      <c r="C1302" s="83" t="s">
        <v>364</v>
      </c>
      <c r="D1302" s="81" t="s">
        <v>520</v>
      </c>
      <c r="E1302" s="48">
        <v>101294</v>
      </c>
      <c r="F1302" s="30" t="s">
        <v>182</v>
      </c>
      <c r="G1302" s="29" t="s">
        <v>31</v>
      </c>
      <c r="H1302" s="30" t="s">
        <v>435</v>
      </c>
      <c r="I1302" s="78"/>
      <c r="J1302" s="20"/>
      <c r="K1302" s="20"/>
      <c r="L1302" s="20"/>
      <c r="M1302" s="20"/>
      <c r="N1302" s="69" t="s">
        <v>256</v>
      </c>
      <c r="O1302" s="70">
        <v>0</v>
      </c>
      <c r="P1302" s="70">
        <v>0</v>
      </c>
      <c r="Q1302" s="70">
        <v>0</v>
      </c>
      <c r="R1302" s="70"/>
      <c r="S1302" s="67"/>
      <c r="T1302" s="2" t="str">
        <f t="shared" si="109"/>
        <v>Lê Thanh Trúc_12AS7</v>
      </c>
      <c r="U1302" s="28">
        <f t="array" ref="U1302">IFERROR(VLOOKUP($T1302,'Nghi hoc T12'!$H$7:$I$160,2,0),0)</f>
        <v>0</v>
      </c>
      <c r="V1302" s="28"/>
      <c r="W1302" s="28">
        <f t="shared" si="110"/>
        <v>0</v>
      </c>
      <c r="X1302" s="333">
        <f t="shared" si="111"/>
        <v>0</v>
      </c>
      <c r="Y1302" s="333">
        <f t="shared" si="112"/>
        <v>0</v>
      </c>
    </row>
    <row r="1303" spans="1:25" s="2" customFormat="1" ht="21.95" customHeight="1">
      <c r="A1303" s="82">
        <v>16</v>
      </c>
      <c r="B1303" s="91" t="s">
        <v>3368</v>
      </c>
      <c r="C1303" s="83" t="s">
        <v>364</v>
      </c>
      <c r="D1303" s="81" t="s">
        <v>520</v>
      </c>
      <c r="E1303" s="48">
        <v>101295</v>
      </c>
      <c r="F1303" s="30" t="s">
        <v>229</v>
      </c>
      <c r="G1303" s="29" t="s">
        <v>31</v>
      </c>
      <c r="H1303" s="30" t="s">
        <v>436</v>
      </c>
      <c r="I1303" s="78"/>
      <c r="J1303" s="20"/>
      <c r="K1303" s="20"/>
      <c r="L1303" s="20"/>
      <c r="M1303" s="20"/>
      <c r="N1303" s="69" t="s">
        <v>256</v>
      </c>
      <c r="O1303" s="70">
        <v>0</v>
      </c>
      <c r="P1303" s="70">
        <v>0</v>
      </c>
      <c r="Q1303" s="70">
        <v>0</v>
      </c>
      <c r="R1303" s="70"/>
      <c r="S1303" s="67"/>
      <c r="T1303" s="2" t="str">
        <f t="shared" si="109"/>
        <v>Nguyễn Trần Thanh Trúc_12AS8</v>
      </c>
      <c r="U1303" s="28">
        <f t="array" ref="U1303">IFERROR(VLOOKUP($T1303,'Nghi hoc T12'!$H$7:$I$160,2,0),0)</f>
        <v>0</v>
      </c>
      <c r="V1303" s="28"/>
      <c r="W1303" s="28">
        <f t="shared" si="110"/>
        <v>0</v>
      </c>
      <c r="X1303" s="333">
        <f t="shared" si="111"/>
        <v>0</v>
      </c>
      <c r="Y1303" s="333">
        <f t="shared" si="112"/>
        <v>0</v>
      </c>
    </row>
    <row r="1304" spans="1:25" s="2" customFormat="1" ht="21.95" customHeight="1">
      <c r="A1304" s="82">
        <v>17</v>
      </c>
      <c r="B1304" s="91" t="s">
        <v>3368</v>
      </c>
      <c r="C1304" s="83" t="s">
        <v>364</v>
      </c>
      <c r="D1304" s="81" t="s">
        <v>520</v>
      </c>
      <c r="E1304" s="48">
        <v>101296</v>
      </c>
      <c r="F1304" s="30" t="s">
        <v>1951</v>
      </c>
      <c r="G1304" s="29" t="s">
        <v>32</v>
      </c>
      <c r="H1304" s="30" t="s">
        <v>436</v>
      </c>
      <c r="I1304" s="78"/>
      <c r="J1304" s="20"/>
      <c r="K1304" s="20"/>
      <c r="L1304" s="20"/>
      <c r="M1304" s="20"/>
      <c r="N1304" s="69" t="s">
        <v>256</v>
      </c>
      <c r="O1304" s="70">
        <v>0</v>
      </c>
      <c r="P1304" s="70">
        <v>0</v>
      </c>
      <c r="Q1304" s="70">
        <v>0</v>
      </c>
      <c r="R1304" s="70"/>
      <c r="S1304" s="67"/>
      <c r="T1304" s="2" t="str">
        <f t="shared" si="109"/>
        <v>Đỗ Trần Trí Trung_12AS8</v>
      </c>
      <c r="U1304" s="28">
        <f t="array" ref="U1304">IFERROR(VLOOKUP($T1304,'Nghi hoc T12'!$H$7:$I$160,2,0),0)</f>
        <v>0</v>
      </c>
      <c r="V1304" s="28"/>
      <c r="W1304" s="28">
        <f t="shared" si="110"/>
        <v>0</v>
      </c>
      <c r="X1304" s="333">
        <f t="shared" si="111"/>
        <v>0</v>
      </c>
      <c r="Y1304" s="333">
        <f t="shared" si="112"/>
        <v>0</v>
      </c>
    </row>
    <row r="1305" spans="1:25" s="2" customFormat="1" ht="21.95" customHeight="1">
      <c r="A1305" s="82">
        <v>18</v>
      </c>
      <c r="B1305" s="91" t="s">
        <v>3368</v>
      </c>
      <c r="C1305" s="83" t="s">
        <v>364</v>
      </c>
      <c r="D1305" s="81" t="s">
        <v>520</v>
      </c>
      <c r="E1305" s="48">
        <v>101297</v>
      </c>
      <c r="F1305" s="30" t="s">
        <v>1633</v>
      </c>
      <c r="G1305" s="29" t="s">
        <v>32</v>
      </c>
      <c r="H1305" s="30" t="s">
        <v>435</v>
      </c>
      <c r="I1305" s="78"/>
      <c r="J1305" s="20"/>
      <c r="K1305" s="20"/>
      <c r="L1305" s="20"/>
      <c r="M1305" s="20"/>
      <c r="N1305" s="69" t="s">
        <v>256</v>
      </c>
      <c r="O1305" s="70">
        <v>0</v>
      </c>
      <c r="P1305" s="70">
        <v>0</v>
      </c>
      <c r="Q1305" s="70">
        <v>0</v>
      </c>
      <c r="R1305" s="70"/>
      <c r="S1305" s="67"/>
      <c r="T1305" s="2" t="str">
        <f t="shared" si="109"/>
        <v>Nguyễn Trần Nam Trung_12AS7</v>
      </c>
      <c r="U1305" s="28">
        <f t="array" ref="U1305">IFERROR(VLOOKUP($T1305,'Nghi hoc T12'!$H$7:$I$160,2,0),0)</f>
        <v>0</v>
      </c>
      <c r="V1305" s="28"/>
      <c r="W1305" s="28">
        <f t="shared" si="110"/>
        <v>0</v>
      </c>
      <c r="X1305" s="333">
        <f t="shared" si="111"/>
        <v>0</v>
      </c>
      <c r="Y1305" s="333">
        <f t="shared" si="112"/>
        <v>0</v>
      </c>
    </row>
    <row r="1306" spans="1:25" s="2" customFormat="1" ht="21.95" customHeight="1">
      <c r="A1306" s="82">
        <v>19</v>
      </c>
      <c r="B1306" s="91" t="s">
        <v>3368</v>
      </c>
      <c r="C1306" s="83" t="s">
        <v>364</v>
      </c>
      <c r="D1306" s="81" t="s">
        <v>520</v>
      </c>
      <c r="E1306" s="48">
        <v>101298</v>
      </c>
      <c r="F1306" s="30" t="s">
        <v>1952</v>
      </c>
      <c r="G1306" s="29" t="s">
        <v>241</v>
      </c>
      <c r="H1306" s="30" t="s">
        <v>436</v>
      </c>
      <c r="I1306" s="78"/>
      <c r="J1306" s="20"/>
      <c r="K1306" s="20"/>
      <c r="L1306" s="20"/>
      <c r="M1306" s="20"/>
      <c r="N1306" s="69" t="s">
        <v>256</v>
      </c>
      <c r="O1306" s="70">
        <v>0</v>
      </c>
      <c r="P1306" s="70">
        <v>0</v>
      </c>
      <c r="Q1306" s="70">
        <v>0</v>
      </c>
      <c r="R1306" s="70"/>
      <c r="S1306" s="67"/>
      <c r="T1306" s="2" t="str">
        <f t="shared" si="109"/>
        <v>Lê Thị Mỹ Tuyên_12AS8</v>
      </c>
      <c r="U1306" s="28">
        <f t="array" ref="U1306">IFERROR(VLOOKUP($T1306,'Nghi hoc T12'!$H$7:$I$160,2,0),0)</f>
        <v>0</v>
      </c>
      <c r="V1306" s="28"/>
      <c r="W1306" s="28">
        <f t="shared" si="110"/>
        <v>0</v>
      </c>
      <c r="X1306" s="333">
        <f t="shared" si="111"/>
        <v>0</v>
      </c>
      <c r="Y1306" s="333">
        <f t="shared" si="112"/>
        <v>0</v>
      </c>
    </row>
    <row r="1307" spans="1:25" s="2" customFormat="1" ht="21.95" customHeight="1">
      <c r="A1307" s="82">
        <v>20</v>
      </c>
      <c r="B1307" s="91" t="s">
        <v>3368</v>
      </c>
      <c r="C1307" s="83" t="s">
        <v>364</v>
      </c>
      <c r="D1307" s="81" t="s">
        <v>520</v>
      </c>
      <c r="E1307" s="48">
        <v>101299</v>
      </c>
      <c r="F1307" s="30" t="s">
        <v>1924</v>
      </c>
      <c r="G1307" s="29" t="s">
        <v>188</v>
      </c>
      <c r="H1307" s="30" t="s">
        <v>435</v>
      </c>
      <c r="I1307" s="78"/>
      <c r="J1307" s="20"/>
      <c r="K1307" s="20"/>
      <c r="L1307" s="20"/>
      <c r="M1307" s="20"/>
      <c r="N1307" s="69" t="s">
        <v>256</v>
      </c>
      <c r="O1307" s="70">
        <v>0</v>
      </c>
      <c r="P1307" s="70">
        <v>0</v>
      </c>
      <c r="Q1307" s="70">
        <v>0</v>
      </c>
      <c r="R1307" s="70"/>
      <c r="S1307" s="67"/>
      <c r="T1307" s="2" t="str">
        <f t="shared" si="109"/>
        <v>Võ Tố Tú Uyên_12AS7</v>
      </c>
      <c r="U1307" s="28">
        <f t="array" ref="U1307">IFERROR(VLOOKUP($T1307,'Nghi hoc T12'!$H$7:$I$160,2,0),0)</f>
        <v>0</v>
      </c>
      <c r="V1307" s="28"/>
      <c r="W1307" s="28">
        <f t="shared" si="110"/>
        <v>0</v>
      </c>
      <c r="X1307" s="333">
        <f t="shared" si="111"/>
        <v>0</v>
      </c>
      <c r="Y1307" s="333">
        <f t="shared" si="112"/>
        <v>0</v>
      </c>
    </row>
    <row r="1308" spans="1:25" s="2" customFormat="1" ht="21.95" customHeight="1">
      <c r="A1308" s="82">
        <v>21</v>
      </c>
      <c r="B1308" s="91" t="s">
        <v>3368</v>
      </c>
      <c r="C1308" s="83" t="s">
        <v>364</v>
      </c>
      <c r="D1308" s="81" t="s">
        <v>520</v>
      </c>
      <c r="E1308" s="48">
        <v>101300</v>
      </c>
      <c r="F1308" s="30" t="s">
        <v>1201</v>
      </c>
      <c r="G1308" s="29" t="s">
        <v>99</v>
      </c>
      <c r="H1308" s="30" t="s">
        <v>435</v>
      </c>
      <c r="I1308" s="78"/>
      <c r="J1308" s="20"/>
      <c r="K1308" s="20"/>
      <c r="L1308" s="20"/>
      <c r="M1308" s="20"/>
      <c r="N1308" s="69" t="s">
        <v>256</v>
      </c>
      <c r="O1308" s="70">
        <v>0</v>
      </c>
      <c r="P1308" s="70">
        <v>0</v>
      </c>
      <c r="Q1308" s="70">
        <v>0</v>
      </c>
      <c r="R1308" s="70"/>
      <c r="S1308" s="67"/>
      <c r="T1308" s="2" t="str">
        <f t="shared" si="109"/>
        <v>Nguyễn Công Vũ_12AS7</v>
      </c>
      <c r="U1308" s="28">
        <f t="array" ref="U1308">IFERROR(VLOOKUP($T1308,'Nghi hoc T12'!$H$7:$I$160,2,0),0)</f>
        <v>0</v>
      </c>
      <c r="V1308" s="28"/>
      <c r="W1308" s="28">
        <f t="shared" si="110"/>
        <v>0</v>
      </c>
      <c r="X1308" s="333">
        <f t="shared" si="111"/>
        <v>0</v>
      </c>
      <c r="Y1308" s="333">
        <f t="shared" si="112"/>
        <v>0</v>
      </c>
    </row>
    <row r="1309" spans="1:25" s="2" customFormat="1" ht="21.95" customHeight="1">
      <c r="A1309" s="82">
        <v>22</v>
      </c>
      <c r="B1309" s="91" t="s">
        <v>3368</v>
      </c>
      <c r="C1309" s="83" t="s">
        <v>364</v>
      </c>
      <c r="D1309" s="81" t="s">
        <v>520</v>
      </c>
      <c r="E1309" s="48">
        <v>101301</v>
      </c>
      <c r="F1309" s="30" t="s">
        <v>230</v>
      </c>
      <c r="G1309" s="29" t="s">
        <v>34</v>
      </c>
      <c r="H1309" s="30" t="s">
        <v>435</v>
      </c>
      <c r="I1309" s="78"/>
      <c r="J1309" s="20"/>
      <c r="K1309" s="20"/>
      <c r="L1309" s="20"/>
      <c r="M1309" s="20"/>
      <c r="N1309" s="69" t="s">
        <v>256</v>
      </c>
      <c r="O1309" s="70">
        <v>0</v>
      </c>
      <c r="P1309" s="70">
        <v>0</v>
      </c>
      <c r="Q1309" s="70">
        <v>0</v>
      </c>
      <c r="R1309" s="70"/>
      <c r="S1309" s="67"/>
      <c r="T1309" s="2" t="str">
        <f t="shared" si="109"/>
        <v>Nguyễn Hoàng Thanh Vy_12AS7</v>
      </c>
      <c r="U1309" s="28">
        <f t="array" ref="U1309">IFERROR(VLOOKUP($T1309,'Nghi hoc T12'!$H$7:$I$160,2,0),0)</f>
        <v>0</v>
      </c>
      <c r="V1309" s="28"/>
      <c r="W1309" s="28">
        <f t="shared" si="110"/>
        <v>0</v>
      </c>
      <c r="X1309" s="333">
        <f t="shared" si="111"/>
        <v>0</v>
      </c>
      <c r="Y1309" s="333">
        <f t="shared" si="112"/>
        <v>0</v>
      </c>
    </row>
    <row r="1310" spans="1:25" s="2" customFormat="1" ht="21.95" customHeight="1">
      <c r="A1310" s="82">
        <v>23</v>
      </c>
      <c r="B1310" s="91" t="s">
        <v>3368</v>
      </c>
      <c r="C1310" s="83" t="s">
        <v>364</v>
      </c>
      <c r="D1310" s="81" t="s">
        <v>520</v>
      </c>
      <c r="E1310" s="48">
        <v>101302</v>
      </c>
      <c r="F1310" s="30" t="s">
        <v>242</v>
      </c>
      <c r="G1310" s="29" t="s">
        <v>34</v>
      </c>
      <c r="H1310" s="30" t="s">
        <v>435</v>
      </c>
      <c r="I1310" s="78"/>
      <c r="J1310" s="20"/>
      <c r="K1310" s="20"/>
      <c r="L1310" s="20"/>
      <c r="M1310" s="20"/>
      <c r="N1310" s="69" t="s">
        <v>256</v>
      </c>
      <c r="O1310" s="70">
        <v>0</v>
      </c>
      <c r="P1310" s="70">
        <v>0</v>
      </c>
      <c r="Q1310" s="70">
        <v>0</v>
      </c>
      <c r="R1310" s="70"/>
      <c r="S1310" s="67"/>
      <c r="T1310" s="2" t="str">
        <f t="shared" si="109"/>
        <v>Nguyễn Ngọc Bảo Vy_12AS7</v>
      </c>
      <c r="U1310" s="28">
        <f t="array" ref="U1310">IFERROR(VLOOKUP($T1310,'Nghi hoc T12'!$H$7:$I$160,2,0),0)</f>
        <v>0</v>
      </c>
      <c r="V1310" s="28"/>
      <c r="W1310" s="28">
        <f t="shared" si="110"/>
        <v>0</v>
      </c>
      <c r="X1310" s="333">
        <f t="shared" si="111"/>
        <v>0</v>
      </c>
      <c r="Y1310" s="333">
        <f t="shared" si="112"/>
        <v>0</v>
      </c>
    </row>
    <row r="1311" spans="1:25" s="2" customFormat="1" ht="21.95" customHeight="1">
      <c r="A1311" s="82">
        <v>24</v>
      </c>
      <c r="B1311" s="91" t="s">
        <v>3368</v>
      </c>
      <c r="C1311" s="83" t="s">
        <v>364</v>
      </c>
      <c r="D1311" s="81" t="s">
        <v>520</v>
      </c>
      <c r="E1311" s="48">
        <v>101303</v>
      </c>
      <c r="F1311" s="30" t="s">
        <v>231</v>
      </c>
      <c r="G1311" s="29" t="s">
        <v>34</v>
      </c>
      <c r="H1311" s="30" t="s">
        <v>436</v>
      </c>
      <c r="I1311" s="78"/>
      <c r="J1311" s="20"/>
      <c r="K1311" s="20"/>
      <c r="L1311" s="20"/>
      <c r="M1311" s="20"/>
      <c r="N1311" s="69" t="s">
        <v>256</v>
      </c>
      <c r="O1311" s="70">
        <v>0</v>
      </c>
      <c r="P1311" s="70">
        <v>0</v>
      </c>
      <c r="Q1311" s="70">
        <v>0</v>
      </c>
      <c r="R1311" s="70"/>
      <c r="S1311" s="67"/>
      <c r="T1311" s="2" t="str">
        <f t="shared" si="109"/>
        <v>Nguyễn Thị Phương Vy_12AS8</v>
      </c>
      <c r="U1311" s="28">
        <f t="array" ref="U1311">IFERROR(VLOOKUP($T1311,'Nghi hoc T12'!$H$7:$I$160,2,0),0)</f>
        <v>0</v>
      </c>
      <c r="V1311" s="28"/>
      <c r="W1311" s="28">
        <f t="shared" si="110"/>
        <v>0</v>
      </c>
      <c r="X1311" s="333">
        <f t="shared" si="111"/>
        <v>0</v>
      </c>
      <c r="Y1311" s="333">
        <f t="shared" si="112"/>
        <v>0</v>
      </c>
    </row>
    <row r="1312" spans="1:25" s="2" customFormat="1" ht="21.95" customHeight="1">
      <c r="A1312" s="82">
        <v>25</v>
      </c>
      <c r="B1312" s="91" t="s">
        <v>3368</v>
      </c>
      <c r="C1312" s="83" t="s">
        <v>364</v>
      </c>
      <c r="D1312" s="81" t="s">
        <v>520</v>
      </c>
      <c r="E1312" s="48">
        <v>101304</v>
      </c>
      <c r="F1312" s="30" t="s">
        <v>1953</v>
      </c>
      <c r="G1312" s="29" t="s">
        <v>34</v>
      </c>
      <c r="H1312" s="30" t="s">
        <v>436</v>
      </c>
      <c r="I1312" s="78"/>
      <c r="J1312" s="20"/>
      <c r="K1312" s="20"/>
      <c r="L1312" s="20"/>
      <c r="M1312" s="20"/>
      <c r="N1312" s="69" t="s">
        <v>256</v>
      </c>
      <c r="O1312" s="70">
        <v>0</v>
      </c>
      <c r="P1312" s="70">
        <v>0</v>
      </c>
      <c r="Q1312" s="70">
        <v>0</v>
      </c>
      <c r="R1312" s="70"/>
      <c r="S1312" s="67"/>
      <c r="T1312" s="2" t="str">
        <f t="shared" si="109"/>
        <v>Vũ Hoài Phương Vy_12AS8</v>
      </c>
      <c r="U1312" s="28">
        <f t="array" ref="U1312">IFERROR(VLOOKUP($T1312,'Nghi hoc T12'!$H$7:$I$160,2,0),0)</f>
        <v>0</v>
      </c>
      <c r="V1312" s="28"/>
      <c r="W1312" s="28">
        <f t="shared" si="110"/>
        <v>0</v>
      </c>
      <c r="X1312" s="333">
        <f t="shared" si="111"/>
        <v>0</v>
      </c>
      <c r="Y1312" s="333">
        <f t="shared" si="112"/>
        <v>0</v>
      </c>
    </row>
    <row r="1313" spans="1:25" s="2" customFormat="1" ht="21.95" customHeight="1">
      <c r="A1313" s="82">
        <v>26</v>
      </c>
      <c r="B1313" s="91" t="s">
        <v>3368</v>
      </c>
      <c r="C1313" s="83" t="s">
        <v>364</v>
      </c>
      <c r="D1313" s="81" t="s">
        <v>520</v>
      </c>
      <c r="E1313" s="48">
        <v>101305</v>
      </c>
      <c r="F1313" s="30" t="s">
        <v>196</v>
      </c>
      <c r="G1313" s="29" t="s">
        <v>1624</v>
      </c>
      <c r="H1313" s="30" t="s">
        <v>435</v>
      </c>
      <c r="I1313" s="78"/>
      <c r="J1313" s="20"/>
      <c r="K1313" s="20"/>
      <c r="L1313" s="20"/>
      <c r="M1313" s="20"/>
      <c r="N1313" s="69" t="s">
        <v>256</v>
      </c>
      <c r="O1313" s="70">
        <v>0</v>
      </c>
      <c r="P1313" s="70">
        <v>0</v>
      </c>
      <c r="Q1313" s="70">
        <v>0</v>
      </c>
      <c r="R1313" s="70"/>
      <c r="S1313" s="67"/>
      <c r="T1313" s="2" t="str">
        <f t="shared" si="109"/>
        <v>Trần Gia Vỹ_12AS7</v>
      </c>
      <c r="U1313" s="28">
        <f t="array" ref="U1313">IFERROR(VLOOKUP($T1313,'Nghi hoc T12'!$H$7:$I$160,2,0),0)</f>
        <v>0</v>
      </c>
      <c r="V1313" s="28"/>
      <c r="W1313" s="28">
        <f t="shared" si="110"/>
        <v>0</v>
      </c>
      <c r="X1313" s="333">
        <f t="shared" si="111"/>
        <v>0</v>
      </c>
      <c r="Y1313" s="333">
        <f t="shared" si="112"/>
        <v>0</v>
      </c>
    </row>
    <row r="1314" spans="1:25" s="2" customFormat="1" ht="21.95" customHeight="1">
      <c r="A1314" s="200">
        <v>1</v>
      </c>
      <c r="B1314" s="91" t="s">
        <v>3369</v>
      </c>
      <c r="C1314" s="185" t="s">
        <v>365</v>
      </c>
      <c r="D1314" s="186" t="s">
        <v>521</v>
      </c>
      <c r="E1314" s="187">
        <v>101306</v>
      </c>
      <c r="F1314" s="188" t="s">
        <v>2030</v>
      </c>
      <c r="G1314" s="189" t="s">
        <v>63</v>
      </c>
      <c r="H1314" s="188" t="s">
        <v>460</v>
      </c>
      <c r="I1314" s="190"/>
      <c r="J1314" s="191"/>
      <c r="K1314" s="191"/>
      <c r="L1314" s="191"/>
      <c r="M1314" s="191"/>
      <c r="N1314" s="69" t="s">
        <v>256</v>
      </c>
      <c r="O1314" s="70">
        <v>0</v>
      </c>
      <c r="P1314" s="70">
        <v>0</v>
      </c>
      <c r="Q1314" s="70">
        <v>0</v>
      </c>
      <c r="R1314" s="70"/>
      <c r="S1314" s="67"/>
      <c r="T1314" s="2" t="str">
        <f t="shared" si="109"/>
        <v>Võ Thị Hải An_12AS12</v>
      </c>
      <c r="U1314" s="28">
        <f t="array" ref="U1314">IFERROR(VLOOKUP($T1314,'Nghi hoc T12'!$H$7:$I$160,2,0),0)</f>
        <v>0</v>
      </c>
      <c r="V1314" s="28"/>
      <c r="W1314" s="28">
        <f t="shared" si="110"/>
        <v>0</v>
      </c>
      <c r="X1314" s="333">
        <f t="shared" si="111"/>
        <v>0</v>
      </c>
      <c r="Y1314" s="333">
        <f t="shared" si="112"/>
        <v>0</v>
      </c>
    </row>
    <row r="1315" spans="1:25" s="2" customFormat="1" ht="21.95" customHeight="1">
      <c r="A1315" s="82">
        <v>2</v>
      </c>
      <c r="B1315" s="91" t="s">
        <v>3369</v>
      </c>
      <c r="C1315" s="83" t="s">
        <v>365</v>
      </c>
      <c r="D1315" s="81" t="s">
        <v>521</v>
      </c>
      <c r="E1315" s="48">
        <v>101307</v>
      </c>
      <c r="F1315" s="30" t="s">
        <v>243</v>
      </c>
      <c r="G1315" s="29" t="s">
        <v>5</v>
      </c>
      <c r="H1315" s="30" t="s">
        <v>461</v>
      </c>
      <c r="I1315" s="78"/>
      <c r="J1315" s="20"/>
      <c r="K1315" s="20"/>
      <c r="L1315" s="20"/>
      <c r="M1315" s="20"/>
      <c r="N1315" s="69" t="s">
        <v>256</v>
      </c>
      <c r="O1315" s="70">
        <v>0</v>
      </c>
      <c r="P1315" s="70">
        <v>0</v>
      </c>
      <c r="Q1315" s="70">
        <v>0</v>
      </c>
      <c r="R1315" s="70"/>
      <c r="S1315" s="67"/>
      <c r="T1315" s="2" t="str">
        <f t="shared" si="109"/>
        <v>Đỗ Phương Anh_12AS11</v>
      </c>
      <c r="U1315" s="28">
        <f t="array" ref="U1315">IFERROR(VLOOKUP($T1315,'Nghi hoc T12'!$H$7:$I$160,2,0),0)</f>
        <v>0</v>
      </c>
      <c r="V1315" s="28"/>
      <c r="W1315" s="28">
        <f t="shared" si="110"/>
        <v>0</v>
      </c>
      <c r="X1315" s="333">
        <f t="shared" si="111"/>
        <v>0</v>
      </c>
      <c r="Y1315" s="333">
        <f t="shared" si="112"/>
        <v>0</v>
      </c>
    </row>
    <row r="1316" spans="1:25" s="2" customFormat="1" ht="21.95" customHeight="1">
      <c r="A1316" s="82">
        <v>3</v>
      </c>
      <c r="B1316" s="91" t="s">
        <v>3369</v>
      </c>
      <c r="C1316" s="83" t="s">
        <v>365</v>
      </c>
      <c r="D1316" s="81" t="s">
        <v>521</v>
      </c>
      <c r="E1316" s="48">
        <v>101308</v>
      </c>
      <c r="F1316" s="30" t="s">
        <v>1954</v>
      </c>
      <c r="G1316" s="29" t="s">
        <v>5</v>
      </c>
      <c r="H1316" s="30" t="s">
        <v>459</v>
      </c>
      <c r="I1316" s="78"/>
      <c r="J1316" s="20"/>
      <c r="K1316" s="20"/>
      <c r="L1316" s="20"/>
      <c r="M1316" s="20"/>
      <c r="N1316" s="69" t="s">
        <v>256</v>
      </c>
      <c r="O1316" s="70">
        <v>0</v>
      </c>
      <c r="P1316" s="70">
        <v>0</v>
      </c>
      <c r="Q1316" s="70">
        <v>0</v>
      </c>
      <c r="R1316" s="70"/>
      <c r="S1316" s="67"/>
      <c r="T1316" s="2" t="str">
        <f t="shared" si="109"/>
        <v>Hồ Ngọc Bảo Anh_12AS9</v>
      </c>
      <c r="U1316" s="28">
        <f t="array" ref="U1316">IFERROR(VLOOKUP($T1316,'Nghi hoc T12'!$H$7:$I$160,2,0),0)</f>
        <v>0</v>
      </c>
      <c r="V1316" s="28"/>
      <c r="W1316" s="28">
        <f t="shared" si="110"/>
        <v>0</v>
      </c>
      <c r="X1316" s="333">
        <f t="shared" si="111"/>
        <v>0</v>
      </c>
      <c r="Y1316" s="333">
        <f t="shared" si="112"/>
        <v>0</v>
      </c>
    </row>
    <row r="1317" spans="1:25" s="2" customFormat="1" ht="21.95" customHeight="1">
      <c r="A1317" s="82">
        <v>4</v>
      </c>
      <c r="B1317" s="91" t="s">
        <v>3369</v>
      </c>
      <c r="C1317" s="83" t="s">
        <v>365</v>
      </c>
      <c r="D1317" s="81" t="s">
        <v>521</v>
      </c>
      <c r="E1317" s="48">
        <v>101309</v>
      </c>
      <c r="F1317" s="30" t="s">
        <v>1434</v>
      </c>
      <c r="G1317" s="29" t="s">
        <v>5</v>
      </c>
      <c r="H1317" s="30" t="s">
        <v>459</v>
      </c>
      <c r="I1317" s="78"/>
      <c r="J1317" s="20"/>
      <c r="K1317" s="20"/>
      <c r="L1317" s="20"/>
      <c r="M1317" s="20"/>
      <c r="N1317" s="69" t="s">
        <v>256</v>
      </c>
      <c r="O1317" s="70">
        <v>0</v>
      </c>
      <c r="P1317" s="70">
        <v>0</v>
      </c>
      <c r="Q1317" s="70">
        <v>0</v>
      </c>
      <c r="R1317" s="70"/>
      <c r="S1317" s="67"/>
      <c r="T1317" s="2" t="str">
        <f t="shared" si="109"/>
        <v>Nguyễn Đỗ Tùng Anh_12AS9</v>
      </c>
      <c r="U1317" s="28">
        <f t="array" ref="U1317">IFERROR(VLOOKUP($T1317,'Nghi hoc T12'!$H$7:$I$160,2,0),0)</f>
        <v>0</v>
      </c>
      <c r="V1317" s="28"/>
      <c r="W1317" s="28">
        <f t="shared" si="110"/>
        <v>0</v>
      </c>
      <c r="X1317" s="333">
        <f t="shared" si="111"/>
        <v>0</v>
      </c>
      <c r="Y1317" s="333">
        <f t="shared" si="112"/>
        <v>0</v>
      </c>
    </row>
    <row r="1318" spans="1:25" s="2" customFormat="1" ht="21.95" customHeight="1">
      <c r="A1318" s="82">
        <v>5</v>
      </c>
      <c r="B1318" s="91" t="s">
        <v>3369</v>
      </c>
      <c r="C1318" s="83" t="s">
        <v>365</v>
      </c>
      <c r="D1318" s="81" t="s">
        <v>521</v>
      </c>
      <c r="E1318" s="48">
        <v>101310</v>
      </c>
      <c r="F1318" s="30" t="s">
        <v>2005</v>
      </c>
      <c r="G1318" s="29" t="s">
        <v>5</v>
      </c>
      <c r="H1318" s="30" t="s">
        <v>461</v>
      </c>
      <c r="I1318" s="78"/>
      <c r="J1318" s="20"/>
      <c r="K1318" s="20"/>
      <c r="L1318" s="20"/>
      <c r="M1318" s="20"/>
      <c r="N1318" s="69" t="s">
        <v>256</v>
      </c>
      <c r="O1318" s="70">
        <v>0</v>
      </c>
      <c r="P1318" s="70">
        <v>0</v>
      </c>
      <c r="Q1318" s="70">
        <v>0</v>
      </c>
      <c r="R1318" s="70"/>
      <c r="S1318" s="67"/>
      <c r="T1318" s="2" t="str">
        <f t="shared" si="109"/>
        <v>Nguyễn Lê Trâm Anh_12AS11</v>
      </c>
      <c r="U1318" s="28">
        <f t="array" ref="U1318">IFERROR(VLOOKUP($T1318,'Nghi hoc T12'!$H$7:$I$160,2,0),0)</f>
        <v>0</v>
      </c>
      <c r="V1318" s="28"/>
      <c r="W1318" s="28">
        <f t="shared" si="110"/>
        <v>0</v>
      </c>
      <c r="X1318" s="333">
        <f t="shared" si="111"/>
        <v>0</v>
      </c>
      <c r="Y1318" s="333">
        <f t="shared" si="112"/>
        <v>0</v>
      </c>
    </row>
    <row r="1319" spans="1:25" s="2" customFormat="1" ht="21.95" customHeight="1">
      <c r="A1319" s="82">
        <v>6</v>
      </c>
      <c r="B1319" s="91" t="s">
        <v>3369</v>
      </c>
      <c r="C1319" s="83" t="s">
        <v>365</v>
      </c>
      <c r="D1319" s="81" t="s">
        <v>521</v>
      </c>
      <c r="E1319" s="48">
        <v>101311</v>
      </c>
      <c r="F1319" s="30" t="s">
        <v>1992</v>
      </c>
      <c r="G1319" s="29" t="s">
        <v>5</v>
      </c>
      <c r="H1319" s="30" t="s">
        <v>461</v>
      </c>
      <c r="I1319" s="78"/>
      <c r="J1319" s="20"/>
      <c r="K1319" s="20"/>
      <c r="L1319" s="20"/>
      <c r="M1319" s="20"/>
      <c r="N1319" s="69" t="s">
        <v>256</v>
      </c>
      <c r="O1319" s="70">
        <v>0</v>
      </c>
      <c r="P1319" s="70">
        <v>0</v>
      </c>
      <c r="Q1319" s="70">
        <v>0</v>
      </c>
      <c r="R1319" s="70"/>
      <c r="S1319" s="67"/>
      <c r="T1319" s="2" t="str">
        <f t="shared" si="109"/>
        <v>Nguyễn Lê Tuấn Anh_12AS11</v>
      </c>
      <c r="U1319" s="28">
        <f t="array" ref="U1319">IFERROR(VLOOKUP($T1319,'Nghi hoc T12'!$H$7:$I$160,2,0),0)</f>
        <v>0</v>
      </c>
      <c r="V1319" s="28"/>
      <c r="W1319" s="28">
        <f t="shared" si="110"/>
        <v>0</v>
      </c>
      <c r="X1319" s="333">
        <f t="shared" si="111"/>
        <v>0</v>
      </c>
      <c r="Y1319" s="333">
        <f t="shared" si="112"/>
        <v>0</v>
      </c>
    </row>
    <row r="1320" spans="1:25" s="2" customFormat="1" ht="21.95" customHeight="1">
      <c r="A1320" s="82">
        <v>7</v>
      </c>
      <c r="B1320" s="91" t="s">
        <v>3369</v>
      </c>
      <c r="C1320" s="83" t="s">
        <v>365</v>
      </c>
      <c r="D1320" s="81" t="s">
        <v>521</v>
      </c>
      <c r="E1320" s="48">
        <v>101312</v>
      </c>
      <c r="F1320" s="30" t="s">
        <v>1955</v>
      </c>
      <c r="G1320" s="29" t="s">
        <v>5</v>
      </c>
      <c r="H1320" s="30" t="s">
        <v>459</v>
      </c>
      <c r="I1320" s="78"/>
      <c r="J1320" s="20"/>
      <c r="K1320" s="20"/>
      <c r="L1320" s="20"/>
      <c r="M1320" s="20"/>
      <c r="N1320" s="69" t="s">
        <v>256</v>
      </c>
      <c r="O1320" s="70">
        <v>0</v>
      </c>
      <c r="P1320" s="70">
        <v>0</v>
      </c>
      <c r="Q1320" s="70">
        <v>0</v>
      </c>
      <c r="R1320" s="70"/>
      <c r="S1320" s="67"/>
      <c r="T1320" s="2" t="str">
        <f t="shared" si="109"/>
        <v>Nguyễn Ngô Ngọc Anh_12AS9</v>
      </c>
      <c r="U1320" s="28">
        <f t="array" ref="U1320">IFERROR(VLOOKUP($T1320,'Nghi hoc T12'!$H$7:$I$160,2,0),0)</f>
        <v>0</v>
      </c>
      <c r="V1320" s="28"/>
      <c r="W1320" s="28">
        <f t="shared" si="110"/>
        <v>0</v>
      </c>
      <c r="X1320" s="333">
        <f t="shared" si="111"/>
        <v>0</v>
      </c>
      <c r="Y1320" s="333">
        <f t="shared" si="112"/>
        <v>0</v>
      </c>
    </row>
    <row r="1321" spans="1:25" s="2" customFormat="1" ht="21.95" customHeight="1">
      <c r="A1321" s="82">
        <v>8</v>
      </c>
      <c r="B1321" s="91" t="s">
        <v>3369</v>
      </c>
      <c r="C1321" s="83" t="s">
        <v>365</v>
      </c>
      <c r="D1321" s="81" t="s">
        <v>521</v>
      </c>
      <c r="E1321" s="48">
        <v>101313</v>
      </c>
      <c r="F1321" s="30" t="s">
        <v>1150</v>
      </c>
      <c r="G1321" s="29" t="s">
        <v>5</v>
      </c>
      <c r="H1321" s="30" t="s">
        <v>463</v>
      </c>
      <c r="I1321" s="78"/>
      <c r="J1321" s="20"/>
      <c r="K1321" s="20"/>
      <c r="L1321" s="20"/>
      <c r="M1321" s="20"/>
      <c r="N1321" s="69" t="s">
        <v>256</v>
      </c>
      <c r="O1321" s="70">
        <v>0</v>
      </c>
      <c r="P1321" s="70">
        <v>0</v>
      </c>
      <c r="Q1321" s="70">
        <v>0</v>
      </c>
      <c r="R1321" s="70"/>
      <c r="S1321" s="67"/>
      <c r="T1321" s="2" t="str">
        <f t="shared" si="109"/>
        <v>Nguyễn Thị Lan Anh_12AS10</v>
      </c>
      <c r="U1321" s="28">
        <f t="array" ref="U1321">IFERROR(VLOOKUP($T1321,'Nghi hoc T12'!$H$7:$I$160,2,0),0)</f>
        <v>0</v>
      </c>
      <c r="V1321" s="28"/>
      <c r="W1321" s="28">
        <f t="shared" si="110"/>
        <v>0</v>
      </c>
      <c r="X1321" s="333">
        <f t="shared" si="111"/>
        <v>0</v>
      </c>
      <c r="Y1321" s="333">
        <f t="shared" si="112"/>
        <v>0</v>
      </c>
    </row>
    <row r="1322" spans="1:25" s="2" customFormat="1" ht="21.95" customHeight="1">
      <c r="A1322" s="82">
        <v>9</v>
      </c>
      <c r="B1322" s="91" t="s">
        <v>3369</v>
      </c>
      <c r="C1322" s="83" t="s">
        <v>365</v>
      </c>
      <c r="D1322" s="81" t="s">
        <v>521</v>
      </c>
      <c r="E1322" s="48">
        <v>101314</v>
      </c>
      <c r="F1322" s="30" t="s">
        <v>2006</v>
      </c>
      <c r="G1322" s="29" t="s">
        <v>5</v>
      </c>
      <c r="H1322" s="30" t="s">
        <v>461</v>
      </c>
      <c r="I1322" s="78"/>
      <c r="J1322" s="20"/>
      <c r="K1322" s="20"/>
      <c r="L1322" s="20"/>
      <c r="M1322" s="20"/>
      <c r="N1322" s="69" t="s">
        <v>256</v>
      </c>
      <c r="O1322" s="70">
        <v>0</v>
      </c>
      <c r="P1322" s="70">
        <v>0</v>
      </c>
      <c r="Q1322" s="70">
        <v>0</v>
      </c>
      <c r="R1322" s="70"/>
      <c r="S1322" s="67"/>
      <c r="T1322" s="2" t="str">
        <f t="shared" si="109"/>
        <v>Phạm Huỳnh Anh_12AS11</v>
      </c>
      <c r="U1322" s="28">
        <f t="array" ref="U1322">IFERROR(VLOOKUP($T1322,'Nghi hoc T12'!$H$7:$I$160,2,0),0)</f>
        <v>0</v>
      </c>
      <c r="V1322" s="28"/>
      <c r="W1322" s="28">
        <f t="shared" si="110"/>
        <v>0</v>
      </c>
      <c r="X1322" s="333">
        <f t="shared" si="111"/>
        <v>0</v>
      </c>
      <c r="Y1322" s="333">
        <f t="shared" si="112"/>
        <v>0</v>
      </c>
    </row>
    <row r="1323" spans="1:25" s="2" customFormat="1" ht="21.95" customHeight="1">
      <c r="A1323" s="82">
        <v>10</v>
      </c>
      <c r="B1323" s="91" t="s">
        <v>3369</v>
      </c>
      <c r="C1323" s="83" t="s">
        <v>365</v>
      </c>
      <c r="D1323" s="81" t="s">
        <v>521</v>
      </c>
      <c r="E1323" s="48">
        <v>101315</v>
      </c>
      <c r="F1323" s="30" t="s">
        <v>244</v>
      </c>
      <c r="G1323" s="29" t="s">
        <v>5</v>
      </c>
      <c r="H1323" s="30" t="s">
        <v>460</v>
      </c>
      <c r="I1323" s="78"/>
      <c r="J1323" s="20"/>
      <c r="K1323" s="20"/>
      <c r="L1323" s="20"/>
      <c r="M1323" s="20"/>
      <c r="N1323" s="69" t="s">
        <v>256</v>
      </c>
      <c r="O1323" s="70">
        <v>0</v>
      </c>
      <c r="P1323" s="70">
        <v>0</v>
      </c>
      <c r="Q1323" s="70">
        <v>0</v>
      </c>
      <c r="R1323" s="70"/>
      <c r="S1323" s="67"/>
      <c r="T1323" s="2" t="str">
        <f t="shared" si="109"/>
        <v>Phạm Tuấn Anh_12AS12</v>
      </c>
      <c r="U1323" s="28">
        <f t="array" ref="U1323">IFERROR(VLOOKUP($T1323,'Nghi hoc T12'!$H$7:$I$160,2,0),0)</f>
        <v>0</v>
      </c>
      <c r="V1323" s="28"/>
      <c r="W1323" s="28">
        <f t="shared" si="110"/>
        <v>0</v>
      </c>
      <c r="X1323" s="333">
        <f t="shared" si="111"/>
        <v>0</v>
      </c>
      <c r="Y1323" s="333">
        <f t="shared" si="112"/>
        <v>0</v>
      </c>
    </row>
    <row r="1324" spans="1:25" s="2" customFormat="1" ht="21.95" customHeight="1">
      <c r="A1324" s="82">
        <v>11</v>
      </c>
      <c r="B1324" s="91" t="s">
        <v>3369</v>
      </c>
      <c r="C1324" s="83" t="s">
        <v>365</v>
      </c>
      <c r="D1324" s="81" t="s">
        <v>521</v>
      </c>
      <c r="E1324" s="48">
        <v>101316</v>
      </c>
      <c r="F1324" s="30" t="s">
        <v>1956</v>
      </c>
      <c r="G1324" s="29" t="s">
        <v>5</v>
      </c>
      <c r="H1324" s="30" t="s">
        <v>459</v>
      </c>
      <c r="I1324" s="78"/>
      <c r="J1324" s="20"/>
      <c r="K1324" s="20"/>
      <c r="L1324" s="20"/>
      <c r="M1324" s="20"/>
      <c r="N1324" s="69" t="s">
        <v>256</v>
      </c>
      <c r="O1324" s="70">
        <v>0</v>
      </c>
      <c r="P1324" s="70">
        <v>0</v>
      </c>
      <c r="Q1324" s="70">
        <v>0</v>
      </c>
      <c r="R1324" s="70"/>
      <c r="S1324" s="67"/>
      <c r="T1324" s="2" t="str">
        <f t="shared" si="109"/>
        <v>Phan Nguyễn Quỳnh Anh_12AS9</v>
      </c>
      <c r="U1324" s="28">
        <f t="array" ref="U1324">IFERROR(VLOOKUP($T1324,'Nghi hoc T12'!$H$7:$I$160,2,0),0)</f>
        <v>0</v>
      </c>
      <c r="V1324" s="28"/>
      <c r="W1324" s="28">
        <f t="shared" si="110"/>
        <v>0</v>
      </c>
      <c r="X1324" s="333">
        <f t="shared" si="111"/>
        <v>0</v>
      </c>
      <c r="Y1324" s="333">
        <f t="shared" si="112"/>
        <v>0</v>
      </c>
    </row>
    <row r="1325" spans="1:25" s="2" customFormat="1" ht="21.95" customHeight="1">
      <c r="A1325" s="82">
        <v>12</v>
      </c>
      <c r="B1325" s="91" t="s">
        <v>3369</v>
      </c>
      <c r="C1325" s="83" t="s">
        <v>365</v>
      </c>
      <c r="D1325" s="81" t="s">
        <v>521</v>
      </c>
      <c r="E1325" s="48">
        <v>101317</v>
      </c>
      <c r="F1325" s="30" t="s">
        <v>1977</v>
      </c>
      <c r="G1325" s="29" t="s">
        <v>5</v>
      </c>
      <c r="H1325" s="30" t="s">
        <v>463</v>
      </c>
      <c r="I1325" s="78"/>
      <c r="J1325" s="20"/>
      <c r="K1325" s="20"/>
      <c r="L1325" s="20"/>
      <c r="M1325" s="20"/>
      <c r="N1325" s="69" t="s">
        <v>256</v>
      </c>
      <c r="O1325" s="70">
        <v>0</v>
      </c>
      <c r="P1325" s="70">
        <v>0</v>
      </c>
      <c r="Q1325" s="70">
        <v>0</v>
      </c>
      <c r="R1325" s="70"/>
      <c r="S1325" s="67"/>
      <c r="T1325" s="2" t="str">
        <f t="shared" si="109"/>
        <v>Trần Ngọc Vân Anh_12AS10</v>
      </c>
      <c r="U1325" s="28">
        <f t="array" ref="U1325">IFERROR(VLOOKUP($T1325,'Nghi hoc T12'!$H$7:$I$160,2,0),0)</f>
        <v>0</v>
      </c>
      <c r="V1325" s="28"/>
      <c r="W1325" s="28">
        <f t="shared" si="110"/>
        <v>0</v>
      </c>
      <c r="X1325" s="333">
        <f t="shared" si="111"/>
        <v>0</v>
      </c>
      <c r="Y1325" s="333">
        <f t="shared" si="112"/>
        <v>0</v>
      </c>
    </row>
    <row r="1326" spans="1:25" s="2" customFormat="1" ht="21.95" customHeight="1">
      <c r="A1326" s="82">
        <v>13</v>
      </c>
      <c r="B1326" s="91" t="s">
        <v>3369</v>
      </c>
      <c r="C1326" s="83" t="s">
        <v>365</v>
      </c>
      <c r="D1326" s="81" t="s">
        <v>521</v>
      </c>
      <c r="E1326" s="48">
        <v>101318</v>
      </c>
      <c r="F1326" s="30" t="s">
        <v>1978</v>
      </c>
      <c r="G1326" s="29" t="s">
        <v>5</v>
      </c>
      <c r="H1326" s="30" t="s">
        <v>463</v>
      </c>
      <c r="I1326" s="78"/>
      <c r="J1326" s="20"/>
      <c r="K1326" s="20"/>
      <c r="L1326" s="20"/>
      <c r="M1326" s="20"/>
      <c r="N1326" s="69" t="s">
        <v>256</v>
      </c>
      <c r="O1326" s="70">
        <v>0</v>
      </c>
      <c r="P1326" s="70">
        <v>0</v>
      </c>
      <c r="Q1326" s="70">
        <v>0</v>
      </c>
      <c r="R1326" s="70"/>
      <c r="S1326" s="67"/>
      <c r="T1326" s="2" t="str">
        <f t="shared" si="109"/>
        <v>Trần Nguyễn Quỳnh Anh_12AS10</v>
      </c>
      <c r="U1326" s="28">
        <f t="array" ref="U1326">IFERROR(VLOOKUP($T1326,'Nghi hoc T12'!$H$7:$I$160,2,0),0)</f>
        <v>0</v>
      </c>
      <c r="V1326" s="28"/>
      <c r="W1326" s="28">
        <f t="shared" si="110"/>
        <v>0</v>
      </c>
      <c r="X1326" s="333">
        <f t="shared" si="111"/>
        <v>0</v>
      </c>
      <c r="Y1326" s="333">
        <f t="shared" si="112"/>
        <v>0</v>
      </c>
    </row>
    <row r="1327" spans="1:25" s="2" customFormat="1" ht="21.95" customHeight="1">
      <c r="A1327" s="82">
        <v>14</v>
      </c>
      <c r="B1327" s="91" t="s">
        <v>3369</v>
      </c>
      <c r="C1327" s="83" t="s">
        <v>365</v>
      </c>
      <c r="D1327" s="81" t="s">
        <v>521</v>
      </c>
      <c r="E1327" s="48">
        <v>101319</v>
      </c>
      <c r="F1327" s="30" t="s">
        <v>2031</v>
      </c>
      <c r="G1327" s="29" t="s">
        <v>5</v>
      </c>
      <c r="H1327" s="30" t="s">
        <v>460</v>
      </c>
      <c r="I1327" s="78"/>
      <c r="J1327" s="20"/>
      <c r="K1327" s="20"/>
      <c r="L1327" s="20"/>
      <c r="M1327" s="20"/>
      <c r="N1327" s="69" t="s">
        <v>256</v>
      </c>
      <c r="O1327" s="70">
        <v>0</v>
      </c>
      <c r="P1327" s="70">
        <v>0</v>
      </c>
      <c r="Q1327" s="70">
        <v>0</v>
      </c>
      <c r="R1327" s="70"/>
      <c r="S1327" s="67"/>
      <c r="T1327" s="2" t="str">
        <f t="shared" si="109"/>
        <v>Võ Quốc Anh_12AS12</v>
      </c>
      <c r="U1327" s="28">
        <f t="array" ref="U1327">IFERROR(VLOOKUP($T1327,'Nghi hoc T12'!$H$7:$I$160,2,0),0)</f>
        <v>0</v>
      </c>
      <c r="V1327" s="28"/>
      <c r="W1327" s="28">
        <f t="shared" si="110"/>
        <v>0</v>
      </c>
      <c r="X1327" s="333">
        <f t="shared" si="111"/>
        <v>0</v>
      </c>
      <c r="Y1327" s="333">
        <f t="shared" si="112"/>
        <v>0</v>
      </c>
    </row>
    <row r="1328" spans="1:25" s="2" customFormat="1" ht="21.95" customHeight="1">
      <c r="A1328" s="82">
        <v>15</v>
      </c>
      <c r="B1328" s="91" t="s">
        <v>3369</v>
      </c>
      <c r="C1328" s="83" t="s">
        <v>365</v>
      </c>
      <c r="D1328" s="81" t="s">
        <v>521</v>
      </c>
      <c r="E1328" s="48">
        <v>101320</v>
      </c>
      <c r="F1328" s="30" t="s">
        <v>245</v>
      </c>
      <c r="G1328" s="29" t="s">
        <v>76</v>
      </c>
      <c r="H1328" s="30" t="s">
        <v>460</v>
      </c>
      <c r="I1328" s="78"/>
      <c r="J1328" s="20"/>
      <c r="K1328" s="20"/>
      <c r="L1328" s="20"/>
      <c r="M1328" s="20"/>
      <c r="N1328" s="69" t="s">
        <v>256</v>
      </c>
      <c r="O1328" s="70">
        <v>0</v>
      </c>
      <c r="P1328" s="70">
        <v>0</v>
      </c>
      <c r="Q1328" s="70">
        <v>0</v>
      </c>
      <c r="R1328" s="70"/>
      <c r="S1328" s="67"/>
      <c r="T1328" s="2" t="str">
        <f t="shared" si="109"/>
        <v>Nguyễn Thị Kim Ánh_12AS12</v>
      </c>
      <c r="U1328" s="28">
        <f t="array" ref="U1328">IFERROR(VLOOKUP($T1328,'Nghi hoc T12'!$H$7:$I$160,2,0),0)</f>
        <v>0</v>
      </c>
      <c r="V1328" s="28"/>
      <c r="W1328" s="28">
        <f t="shared" si="110"/>
        <v>0</v>
      </c>
      <c r="X1328" s="333">
        <f t="shared" si="111"/>
        <v>0</v>
      </c>
      <c r="Y1328" s="333">
        <f t="shared" si="112"/>
        <v>0</v>
      </c>
    </row>
    <row r="1329" spans="1:25" s="2" customFormat="1" ht="21.95" customHeight="1">
      <c r="A1329" s="82">
        <v>16</v>
      </c>
      <c r="B1329" s="91" t="s">
        <v>3369</v>
      </c>
      <c r="C1329" s="83" t="s">
        <v>365</v>
      </c>
      <c r="D1329" s="81" t="s">
        <v>521</v>
      </c>
      <c r="E1329" s="48">
        <v>101321</v>
      </c>
      <c r="F1329" s="30" t="s">
        <v>259</v>
      </c>
      <c r="G1329" s="29" t="s">
        <v>108</v>
      </c>
      <c r="H1329" s="30" t="s">
        <v>461</v>
      </c>
      <c r="I1329" s="78"/>
      <c r="J1329" s="20"/>
      <c r="K1329" s="20"/>
      <c r="L1329" s="20"/>
      <c r="M1329" s="20"/>
      <c r="N1329" s="69" t="s">
        <v>256</v>
      </c>
      <c r="O1329" s="70">
        <v>0</v>
      </c>
      <c r="P1329" s="70">
        <v>0</v>
      </c>
      <c r="Q1329" s="70">
        <v>0</v>
      </c>
      <c r="R1329" s="70"/>
      <c r="S1329" s="67"/>
      <c r="T1329" s="2" t="str">
        <f t="shared" si="109"/>
        <v>Nguyễn Thiện Ân_12AS11</v>
      </c>
      <c r="U1329" s="28">
        <f t="array" ref="U1329">IFERROR(VLOOKUP($T1329,'Nghi hoc T12'!$H$7:$I$160,2,0),0)</f>
        <v>0</v>
      </c>
      <c r="V1329" s="28"/>
      <c r="W1329" s="28">
        <f t="shared" si="110"/>
        <v>0</v>
      </c>
      <c r="X1329" s="333">
        <f t="shared" si="111"/>
        <v>0</v>
      </c>
      <c r="Y1329" s="333">
        <f t="shared" si="112"/>
        <v>0</v>
      </c>
    </row>
    <row r="1330" spans="1:25" s="2" customFormat="1" ht="21.95" customHeight="1">
      <c r="A1330" s="82">
        <v>17</v>
      </c>
      <c r="B1330" s="91" t="s">
        <v>3369</v>
      </c>
      <c r="C1330" s="83" t="s">
        <v>365</v>
      </c>
      <c r="D1330" s="81" t="s">
        <v>521</v>
      </c>
      <c r="E1330" s="48">
        <v>101322</v>
      </c>
      <c r="F1330" s="30" t="s">
        <v>1290</v>
      </c>
      <c r="G1330" s="29" t="s">
        <v>108</v>
      </c>
      <c r="H1330" s="30" t="s">
        <v>460</v>
      </c>
      <c r="I1330" s="78"/>
      <c r="J1330" s="20"/>
      <c r="K1330" s="20"/>
      <c r="L1330" s="20"/>
      <c r="M1330" s="20"/>
      <c r="N1330" s="69" t="s">
        <v>256</v>
      </c>
      <c r="O1330" s="70">
        <v>0</v>
      </c>
      <c r="P1330" s="70">
        <v>0</v>
      </c>
      <c r="Q1330" s="70">
        <v>0</v>
      </c>
      <c r="R1330" s="70"/>
      <c r="S1330" s="67"/>
      <c r="T1330" s="2" t="str">
        <f t="shared" si="109"/>
        <v>Trần Nguyễn Đức Ân_12AS12</v>
      </c>
      <c r="U1330" s="28">
        <f t="array" ref="U1330">IFERROR(VLOOKUP($T1330,'Nghi hoc T12'!$H$7:$I$160,2,0),0)</f>
        <v>0</v>
      </c>
      <c r="V1330" s="28"/>
      <c r="W1330" s="28">
        <f t="shared" si="110"/>
        <v>0</v>
      </c>
      <c r="X1330" s="333">
        <f t="shared" si="111"/>
        <v>0</v>
      </c>
      <c r="Y1330" s="333">
        <f t="shared" si="112"/>
        <v>0</v>
      </c>
    </row>
    <row r="1331" spans="1:25" s="2" customFormat="1" ht="21.95" customHeight="1">
      <c r="A1331" s="82">
        <v>18</v>
      </c>
      <c r="B1331" s="91" t="s">
        <v>3369</v>
      </c>
      <c r="C1331" s="83" t="s">
        <v>365</v>
      </c>
      <c r="D1331" s="81" t="s">
        <v>521</v>
      </c>
      <c r="E1331" s="48">
        <v>101323</v>
      </c>
      <c r="F1331" s="30" t="s">
        <v>260</v>
      </c>
      <c r="G1331" s="29" t="s">
        <v>83</v>
      </c>
      <c r="H1331" s="30" t="s">
        <v>459</v>
      </c>
      <c r="I1331" s="78"/>
      <c r="J1331" s="20"/>
      <c r="K1331" s="20"/>
      <c r="L1331" s="20"/>
      <c r="M1331" s="20"/>
      <c r="N1331" s="69" t="s">
        <v>256</v>
      </c>
      <c r="O1331" s="70">
        <v>0</v>
      </c>
      <c r="P1331" s="70">
        <v>0</v>
      </c>
      <c r="Q1331" s="70">
        <v>0</v>
      </c>
      <c r="R1331" s="70"/>
      <c r="S1331" s="67"/>
      <c r="T1331" s="2" t="str">
        <f t="shared" si="109"/>
        <v>Đặng Quốc Bảo_12AS9</v>
      </c>
      <c r="U1331" s="28">
        <f t="array" ref="U1331">IFERROR(VLOOKUP($T1331,'Nghi hoc T12'!$H$7:$I$160,2,0),0)</f>
        <v>0</v>
      </c>
      <c r="V1331" s="28"/>
      <c r="W1331" s="28">
        <f t="shared" si="110"/>
        <v>0</v>
      </c>
      <c r="X1331" s="333">
        <f t="shared" si="111"/>
        <v>0</v>
      </c>
      <c r="Y1331" s="333">
        <f t="shared" si="112"/>
        <v>0</v>
      </c>
    </row>
    <row r="1332" spans="1:25" s="2" customFormat="1" ht="21.95" customHeight="1">
      <c r="A1332" s="82">
        <v>19</v>
      </c>
      <c r="B1332" s="91" t="s">
        <v>3369</v>
      </c>
      <c r="C1332" s="83" t="s">
        <v>365</v>
      </c>
      <c r="D1332" s="81" t="s">
        <v>521</v>
      </c>
      <c r="E1332" s="48">
        <v>101324</v>
      </c>
      <c r="F1332" s="30" t="s">
        <v>1979</v>
      </c>
      <c r="G1332" s="29" t="s">
        <v>83</v>
      </c>
      <c r="H1332" s="30" t="s">
        <v>463</v>
      </c>
      <c r="I1332" s="78"/>
      <c r="J1332" s="20"/>
      <c r="K1332" s="20"/>
      <c r="L1332" s="20"/>
      <c r="M1332" s="20"/>
      <c r="N1332" s="69" t="s">
        <v>256</v>
      </c>
      <c r="O1332" s="70">
        <v>0</v>
      </c>
      <c r="P1332" s="70">
        <v>0</v>
      </c>
      <c r="Q1332" s="70">
        <v>0</v>
      </c>
      <c r="R1332" s="70"/>
      <c r="S1332" s="67"/>
      <c r="T1332" s="2" t="str">
        <f t="shared" si="109"/>
        <v>Lê Minh Thiên Bảo_12AS10</v>
      </c>
      <c r="U1332" s="28">
        <f t="array" ref="U1332">IFERROR(VLOOKUP($T1332,'Nghi hoc T12'!$H$7:$I$160,2,0),0)</f>
        <v>0</v>
      </c>
      <c r="V1332" s="28"/>
      <c r="W1332" s="28">
        <f t="shared" si="110"/>
        <v>0</v>
      </c>
      <c r="X1332" s="333">
        <f t="shared" si="111"/>
        <v>0</v>
      </c>
      <c r="Y1332" s="333">
        <f t="shared" si="112"/>
        <v>0</v>
      </c>
    </row>
    <row r="1333" spans="1:25" s="2" customFormat="1" ht="21.95" customHeight="1">
      <c r="A1333" s="82">
        <v>20</v>
      </c>
      <c r="B1333" s="91" t="s">
        <v>3369</v>
      </c>
      <c r="C1333" s="83" t="s">
        <v>365</v>
      </c>
      <c r="D1333" s="81" t="s">
        <v>521</v>
      </c>
      <c r="E1333" s="48">
        <v>101325</v>
      </c>
      <c r="F1333" s="30" t="s">
        <v>1957</v>
      </c>
      <c r="G1333" s="29" t="s">
        <v>1183</v>
      </c>
      <c r="H1333" s="30" t="s">
        <v>459</v>
      </c>
      <c r="I1333" s="78"/>
      <c r="J1333" s="20"/>
      <c r="K1333" s="20"/>
      <c r="L1333" s="20"/>
      <c r="M1333" s="20"/>
      <c r="N1333" s="69" t="s">
        <v>256</v>
      </c>
      <c r="O1333" s="70">
        <v>0</v>
      </c>
      <c r="P1333" s="70">
        <v>0</v>
      </c>
      <c r="Q1333" s="70">
        <v>0</v>
      </c>
      <c r="R1333" s="70"/>
      <c r="S1333" s="67"/>
      <c r="T1333" s="2" t="str">
        <f t="shared" si="109"/>
        <v>Trần Tiểu Băng_12AS9</v>
      </c>
      <c r="U1333" s="28">
        <f t="array" ref="U1333">IFERROR(VLOOKUP($T1333,'Nghi hoc T12'!$H$7:$I$160,2,0),0)</f>
        <v>0</v>
      </c>
      <c r="V1333" s="28"/>
      <c r="W1333" s="28">
        <f t="shared" si="110"/>
        <v>0</v>
      </c>
      <c r="X1333" s="333">
        <f t="shared" si="111"/>
        <v>0</v>
      </c>
      <c r="Y1333" s="333">
        <f t="shared" si="112"/>
        <v>0</v>
      </c>
    </row>
    <row r="1334" spans="1:25" s="2" customFormat="1" ht="21.95" customHeight="1">
      <c r="A1334" s="82">
        <v>21</v>
      </c>
      <c r="B1334" s="91" t="s">
        <v>3369</v>
      </c>
      <c r="C1334" s="83" t="s">
        <v>365</v>
      </c>
      <c r="D1334" s="81" t="s">
        <v>521</v>
      </c>
      <c r="E1334" s="48">
        <v>101326</v>
      </c>
      <c r="F1334" s="30" t="s">
        <v>89</v>
      </c>
      <c r="G1334" s="29" t="s">
        <v>250</v>
      </c>
      <c r="H1334" s="30" t="s">
        <v>461</v>
      </c>
      <c r="I1334" s="78"/>
      <c r="J1334" s="20"/>
      <c r="K1334" s="20"/>
      <c r="L1334" s="20"/>
      <c r="M1334" s="20"/>
      <c r="N1334" s="69" t="s">
        <v>256</v>
      </c>
      <c r="O1334" s="70">
        <v>0</v>
      </c>
      <c r="P1334" s="70">
        <v>0</v>
      </c>
      <c r="Q1334" s="70">
        <v>0</v>
      </c>
      <c r="R1334" s="70"/>
      <c r="S1334" s="67"/>
      <c r="T1334" s="2" t="str">
        <f t="shared" si="109"/>
        <v>Danh Bi_12AS11</v>
      </c>
      <c r="U1334" s="28">
        <f t="array" ref="U1334">IFERROR(VLOOKUP($T1334,'Nghi hoc T12'!$H$7:$I$160,2,0),0)</f>
        <v>0</v>
      </c>
      <c r="V1334" s="28"/>
      <c r="W1334" s="28">
        <f t="shared" si="110"/>
        <v>0</v>
      </c>
      <c r="X1334" s="333">
        <f t="shared" si="111"/>
        <v>0</v>
      </c>
      <c r="Y1334" s="333">
        <f t="shared" si="112"/>
        <v>0</v>
      </c>
    </row>
    <row r="1335" spans="1:25" s="2" customFormat="1" ht="21.95" customHeight="1">
      <c r="A1335" s="82">
        <v>22</v>
      </c>
      <c r="B1335" s="91" t="s">
        <v>3369</v>
      </c>
      <c r="C1335" s="83" t="s">
        <v>365</v>
      </c>
      <c r="D1335" s="81" t="s">
        <v>521</v>
      </c>
      <c r="E1335" s="48">
        <v>101327</v>
      </c>
      <c r="F1335" s="30" t="s">
        <v>2007</v>
      </c>
      <c r="G1335" s="29" t="s">
        <v>77</v>
      </c>
      <c r="H1335" s="30" t="s">
        <v>461</v>
      </c>
      <c r="I1335" s="78"/>
      <c r="J1335" s="20"/>
      <c r="K1335" s="20"/>
      <c r="L1335" s="20"/>
      <c r="M1335" s="20"/>
      <c r="N1335" s="69" t="s">
        <v>256</v>
      </c>
      <c r="O1335" s="70">
        <v>0</v>
      </c>
      <c r="P1335" s="70">
        <v>0</v>
      </c>
      <c r="Q1335" s="70">
        <v>0</v>
      </c>
      <c r="R1335" s="70"/>
      <c r="S1335" s="67"/>
      <c r="T1335" s="2" t="str">
        <f t="shared" si="109"/>
        <v>Tất Như Bình_12AS11</v>
      </c>
      <c r="U1335" s="28">
        <f t="array" ref="U1335">IFERROR(VLOOKUP($T1335,'Nghi hoc T12'!$H$7:$I$160,2,0),0)</f>
        <v>0</v>
      </c>
      <c r="V1335" s="28"/>
      <c r="W1335" s="28">
        <f t="shared" si="110"/>
        <v>0</v>
      </c>
      <c r="X1335" s="333">
        <f t="shared" si="111"/>
        <v>0</v>
      </c>
      <c r="Y1335" s="333">
        <f t="shared" si="112"/>
        <v>0</v>
      </c>
    </row>
    <row r="1336" spans="1:25" s="2" customFormat="1" ht="21.95" customHeight="1">
      <c r="A1336" s="82">
        <v>23</v>
      </c>
      <c r="B1336" s="91" t="s">
        <v>3369</v>
      </c>
      <c r="C1336" s="83" t="s">
        <v>365</v>
      </c>
      <c r="D1336" s="81" t="s">
        <v>521</v>
      </c>
      <c r="E1336" s="48">
        <v>101328</v>
      </c>
      <c r="F1336" s="30" t="s">
        <v>154</v>
      </c>
      <c r="G1336" s="29" t="s">
        <v>107</v>
      </c>
      <c r="H1336" s="30" t="s">
        <v>459</v>
      </c>
      <c r="I1336" s="78"/>
      <c r="J1336" s="20"/>
      <c r="K1336" s="20"/>
      <c r="L1336" s="20"/>
      <c r="M1336" s="20"/>
      <c r="N1336" s="69" t="s">
        <v>256</v>
      </c>
      <c r="O1336" s="70">
        <v>0</v>
      </c>
      <c r="P1336" s="70">
        <v>0</v>
      </c>
      <c r="Q1336" s="70">
        <v>0</v>
      </c>
      <c r="R1336" s="70"/>
      <c r="S1336" s="67"/>
      <c r="T1336" s="2" t="str">
        <f t="shared" si="109"/>
        <v>Nguyễn Bảo Châu_12AS9</v>
      </c>
      <c r="U1336" s="28">
        <f t="array" ref="U1336">IFERROR(VLOOKUP($T1336,'Nghi hoc T12'!$H$7:$I$160,2,0),0)</f>
        <v>0</v>
      </c>
      <c r="V1336" s="28"/>
      <c r="W1336" s="28">
        <f t="shared" si="110"/>
        <v>0</v>
      </c>
      <c r="X1336" s="333">
        <f t="shared" si="111"/>
        <v>0</v>
      </c>
      <c r="Y1336" s="333">
        <f t="shared" si="112"/>
        <v>0</v>
      </c>
    </row>
    <row r="1337" spans="1:25" s="2" customFormat="1" ht="21.95" customHeight="1">
      <c r="A1337" s="82">
        <v>24</v>
      </c>
      <c r="B1337" s="91" t="s">
        <v>3369</v>
      </c>
      <c r="C1337" s="83" t="s">
        <v>365</v>
      </c>
      <c r="D1337" s="81" t="s">
        <v>521</v>
      </c>
      <c r="E1337" s="48">
        <v>101329</v>
      </c>
      <c r="F1337" s="30" t="s">
        <v>1980</v>
      </c>
      <c r="G1337" s="29" t="s">
        <v>107</v>
      </c>
      <c r="H1337" s="30" t="s">
        <v>463</v>
      </c>
      <c r="I1337" s="78"/>
      <c r="J1337" s="20"/>
      <c r="K1337" s="20"/>
      <c r="L1337" s="20"/>
      <c r="M1337" s="20"/>
      <c r="N1337" s="69" t="s">
        <v>256</v>
      </c>
      <c r="O1337" s="70">
        <v>0</v>
      </c>
      <c r="P1337" s="70">
        <v>0</v>
      </c>
      <c r="Q1337" s="70">
        <v>0</v>
      </c>
      <c r="R1337" s="70"/>
      <c r="S1337" s="67"/>
      <c r="T1337" s="2" t="str">
        <f t="shared" si="109"/>
        <v>Phạm Trần Thất Bảo Châu_12AS10</v>
      </c>
      <c r="U1337" s="28">
        <f t="array" ref="U1337">IFERROR(VLOOKUP($T1337,'Nghi hoc T12'!$H$7:$I$160,2,0),0)</f>
        <v>0</v>
      </c>
      <c r="V1337" s="28"/>
      <c r="W1337" s="28">
        <f t="shared" si="110"/>
        <v>0</v>
      </c>
      <c r="X1337" s="333">
        <f t="shared" si="111"/>
        <v>0</v>
      </c>
      <c r="Y1337" s="333">
        <f t="shared" si="112"/>
        <v>0</v>
      </c>
    </row>
    <row r="1338" spans="1:25" s="2" customFormat="1" ht="21.95" customHeight="1">
      <c r="A1338" s="82">
        <v>25</v>
      </c>
      <c r="B1338" s="91" t="s">
        <v>3369</v>
      </c>
      <c r="C1338" s="83" t="s">
        <v>365</v>
      </c>
      <c r="D1338" s="81" t="s">
        <v>521</v>
      </c>
      <c r="E1338" s="48">
        <v>101330</v>
      </c>
      <c r="F1338" s="30" t="s">
        <v>262</v>
      </c>
      <c r="G1338" s="29" t="s">
        <v>261</v>
      </c>
      <c r="H1338" s="30" t="s">
        <v>459</v>
      </c>
      <c r="I1338" s="78"/>
      <c r="J1338" s="20"/>
      <c r="K1338" s="20"/>
      <c r="L1338" s="20"/>
      <c r="M1338" s="20"/>
      <c r="N1338" s="69" t="s">
        <v>256</v>
      </c>
      <c r="O1338" s="70">
        <v>0</v>
      </c>
      <c r="P1338" s="70">
        <v>0</v>
      </c>
      <c r="Q1338" s="70">
        <v>0</v>
      </c>
      <c r="R1338" s="70"/>
      <c r="S1338" s="67"/>
      <c r="T1338" s="2" t="str">
        <f t="shared" si="109"/>
        <v>Trần Quỳnh Chi_12AS9</v>
      </c>
      <c r="U1338" s="28">
        <f t="array" ref="U1338">IFERROR(VLOOKUP($T1338,'Nghi hoc T12'!$H$7:$I$160,2,0),0)</f>
        <v>0</v>
      </c>
      <c r="V1338" s="28"/>
      <c r="W1338" s="28">
        <f t="shared" si="110"/>
        <v>0</v>
      </c>
      <c r="X1338" s="333">
        <f t="shared" si="111"/>
        <v>0</v>
      </c>
      <c r="Y1338" s="333">
        <f t="shared" si="112"/>
        <v>0</v>
      </c>
    </row>
    <row r="1339" spans="1:25" s="2" customFormat="1" ht="21.95" customHeight="1">
      <c r="A1339" s="82">
        <v>26</v>
      </c>
      <c r="B1339" s="91" t="s">
        <v>3369</v>
      </c>
      <c r="C1339" s="83" t="s">
        <v>365</v>
      </c>
      <c r="D1339" s="81" t="s">
        <v>521</v>
      </c>
      <c r="E1339" s="48">
        <v>101331</v>
      </c>
      <c r="F1339" s="30" t="s">
        <v>2008</v>
      </c>
      <c r="G1339" s="29" t="s">
        <v>35</v>
      </c>
      <c r="H1339" s="30" t="s">
        <v>461</v>
      </c>
      <c r="I1339" s="78"/>
      <c r="J1339" s="20"/>
      <c r="K1339" s="20"/>
      <c r="L1339" s="20"/>
      <c r="M1339" s="20"/>
      <c r="N1339" s="69" t="s">
        <v>256</v>
      </c>
      <c r="O1339" s="70">
        <v>0</v>
      </c>
      <c r="P1339" s="70">
        <v>0</v>
      </c>
      <c r="Q1339" s="70">
        <v>0</v>
      </c>
      <c r="R1339" s="70"/>
      <c r="S1339" s="67"/>
      <c r="T1339" s="2" t="str">
        <f t="shared" si="109"/>
        <v>Lê Hùng Thái Cường_12AS11</v>
      </c>
      <c r="U1339" s="28">
        <f t="array" ref="U1339">IFERROR(VLOOKUP($T1339,'Nghi hoc T12'!$H$7:$I$160,2,0),0)</f>
        <v>0</v>
      </c>
      <c r="V1339" s="28"/>
      <c r="W1339" s="28">
        <f t="shared" si="110"/>
        <v>0</v>
      </c>
      <c r="X1339" s="333">
        <f t="shared" si="111"/>
        <v>0</v>
      </c>
      <c r="Y1339" s="333">
        <f t="shared" si="112"/>
        <v>0</v>
      </c>
    </row>
    <row r="1340" spans="1:25" s="2" customFormat="1" ht="21.95" customHeight="1">
      <c r="A1340" s="82">
        <v>27</v>
      </c>
      <c r="B1340" s="91" t="s">
        <v>3369</v>
      </c>
      <c r="C1340" s="83" t="s">
        <v>365</v>
      </c>
      <c r="D1340" s="81" t="s">
        <v>521</v>
      </c>
      <c r="E1340" s="48">
        <v>101332</v>
      </c>
      <c r="F1340" s="30" t="s">
        <v>2032</v>
      </c>
      <c r="G1340" s="29" t="s">
        <v>35</v>
      </c>
      <c r="H1340" s="30" t="s">
        <v>460</v>
      </c>
      <c r="I1340" s="78"/>
      <c r="J1340" s="20"/>
      <c r="K1340" s="20"/>
      <c r="L1340" s="20"/>
      <c r="M1340" s="20"/>
      <c r="N1340" s="69" t="s">
        <v>256</v>
      </c>
      <c r="O1340" s="70">
        <v>0</v>
      </c>
      <c r="P1340" s="70">
        <v>0</v>
      </c>
      <c r="Q1340" s="70">
        <v>0</v>
      </c>
      <c r="R1340" s="70"/>
      <c r="S1340" s="67"/>
      <c r="T1340" s="2" t="str">
        <f t="shared" si="109"/>
        <v>Nguyễn Hữu Hùng Cường_12AS12</v>
      </c>
      <c r="U1340" s="28">
        <f t="array" ref="U1340">IFERROR(VLOOKUP($T1340,'Nghi hoc T12'!$H$7:$I$160,2,0),0)</f>
        <v>0</v>
      </c>
      <c r="V1340" s="28"/>
      <c r="W1340" s="28">
        <f t="shared" si="110"/>
        <v>0</v>
      </c>
      <c r="X1340" s="333">
        <f t="shared" si="111"/>
        <v>0</v>
      </c>
      <c r="Y1340" s="333">
        <f t="shared" si="112"/>
        <v>0</v>
      </c>
    </row>
    <row r="1341" spans="1:25" s="2" customFormat="1" ht="21.95" customHeight="1">
      <c r="A1341" s="82">
        <v>28</v>
      </c>
      <c r="B1341" s="91" t="s">
        <v>3369</v>
      </c>
      <c r="C1341" s="83" t="s">
        <v>365</v>
      </c>
      <c r="D1341" s="81" t="s">
        <v>521</v>
      </c>
      <c r="E1341" s="48">
        <v>101333</v>
      </c>
      <c r="F1341" s="30" t="s">
        <v>147</v>
      </c>
      <c r="G1341" s="29" t="s">
        <v>10</v>
      </c>
      <c r="H1341" s="30" t="s">
        <v>461</v>
      </c>
      <c r="I1341" s="78" t="s">
        <v>408</v>
      </c>
      <c r="J1341" s="20"/>
      <c r="K1341" s="20"/>
      <c r="L1341" s="20"/>
      <c r="M1341" s="20"/>
      <c r="N1341" s="69" t="s">
        <v>256</v>
      </c>
      <c r="O1341" s="70" t="s">
        <v>400</v>
      </c>
      <c r="P1341" s="70" t="s">
        <v>401</v>
      </c>
      <c r="Q1341" s="70">
        <v>0</v>
      </c>
      <c r="R1341" s="70"/>
      <c r="S1341" s="67"/>
      <c r="T1341" s="2" t="str">
        <f t="shared" si="109"/>
        <v>Ngô Huy Hoàng_12AS11</v>
      </c>
      <c r="U1341" s="28">
        <f t="array" ref="U1341">IFERROR(VLOOKUP($T1341,'Nghi hoc T12'!$H$7:$I$160,2,0),0)</f>
        <v>0</v>
      </c>
      <c r="V1341" s="28"/>
      <c r="W1341" s="28" t="str">
        <f t="shared" si="110"/>
        <v>HN</v>
      </c>
      <c r="X1341" s="333" t="str">
        <f t="shared" si="111"/>
        <v>Trí tuệ</v>
      </c>
      <c r="Y1341" s="333" t="str">
        <f t="shared" si="112"/>
        <v>Nhẹ</v>
      </c>
    </row>
    <row r="1342" spans="1:25" s="2" customFormat="1" ht="21.95" customHeight="1">
      <c r="A1342" s="200">
        <v>1</v>
      </c>
      <c r="B1342" s="91" t="s">
        <v>3370</v>
      </c>
      <c r="C1342" s="185" t="s">
        <v>365</v>
      </c>
      <c r="D1342" s="186" t="s">
        <v>522</v>
      </c>
      <c r="E1342" s="187">
        <v>101334</v>
      </c>
      <c r="F1342" s="188" t="s">
        <v>175</v>
      </c>
      <c r="G1342" s="189" t="s">
        <v>89</v>
      </c>
      <c r="H1342" s="188" t="s">
        <v>461</v>
      </c>
      <c r="I1342" s="190"/>
      <c r="J1342" s="191"/>
      <c r="K1342" s="191"/>
      <c r="L1342" s="191"/>
      <c r="M1342" s="191"/>
      <c r="N1342" s="69" t="s">
        <v>256</v>
      </c>
      <c r="O1342" s="70"/>
      <c r="P1342" s="70"/>
      <c r="Q1342" s="70">
        <v>0</v>
      </c>
      <c r="R1342" s="70"/>
      <c r="S1342" s="67"/>
      <c r="T1342" s="2" t="str">
        <f t="shared" si="109"/>
        <v>Nguyễn Khánh Danh_12AS11</v>
      </c>
      <c r="U1342" s="28">
        <f t="array" ref="U1342">IFERROR(VLOOKUP($T1342,'Nghi hoc T12'!$H$7:$I$160,2,0),0)</f>
        <v>0</v>
      </c>
      <c r="V1342" s="28"/>
      <c r="W1342" s="28">
        <f t="shared" si="110"/>
        <v>0</v>
      </c>
      <c r="X1342" s="333">
        <f t="shared" si="111"/>
        <v>0</v>
      </c>
      <c r="Y1342" s="333">
        <f t="shared" si="112"/>
        <v>0</v>
      </c>
    </row>
    <row r="1343" spans="1:25" s="2" customFormat="1" ht="21.95" customHeight="1">
      <c r="A1343" s="82">
        <v>2</v>
      </c>
      <c r="B1343" s="91" t="s">
        <v>3370</v>
      </c>
      <c r="C1343" s="83" t="s">
        <v>365</v>
      </c>
      <c r="D1343" s="81" t="s">
        <v>522</v>
      </c>
      <c r="E1343" s="48">
        <v>101335</v>
      </c>
      <c r="F1343" s="30" t="s">
        <v>1216</v>
      </c>
      <c r="G1343" s="29" t="s">
        <v>6</v>
      </c>
      <c r="H1343" s="30" t="s">
        <v>460</v>
      </c>
      <c r="I1343" s="78"/>
      <c r="J1343" s="20"/>
      <c r="K1343" s="20"/>
      <c r="L1343" s="20"/>
      <c r="M1343" s="20"/>
      <c r="N1343" s="69" t="s">
        <v>256</v>
      </c>
      <c r="O1343" s="70">
        <v>0</v>
      </c>
      <c r="P1343" s="70">
        <v>0</v>
      </c>
      <c r="Q1343" s="70">
        <v>0</v>
      </c>
      <c r="R1343" s="70"/>
      <c r="S1343" s="67"/>
      <c r="T1343" s="2" t="str">
        <f t="shared" si="109"/>
        <v>Nguyễn Việt Dũng_12AS12</v>
      </c>
      <c r="U1343" s="28">
        <f t="array" ref="U1343">IFERROR(VLOOKUP($T1343,'Nghi hoc T12'!$H$7:$I$160,2,0),0)</f>
        <v>0</v>
      </c>
      <c r="V1343" s="28"/>
      <c r="W1343" s="28">
        <f t="shared" si="110"/>
        <v>0</v>
      </c>
      <c r="X1343" s="333">
        <f t="shared" si="111"/>
        <v>0</v>
      </c>
      <c r="Y1343" s="333">
        <f t="shared" si="112"/>
        <v>0</v>
      </c>
    </row>
    <row r="1344" spans="1:25" s="2" customFormat="1" ht="21.95" customHeight="1">
      <c r="A1344" s="82">
        <v>3</v>
      </c>
      <c r="B1344" s="91" t="s">
        <v>3370</v>
      </c>
      <c r="C1344" s="83" t="s">
        <v>365</v>
      </c>
      <c r="D1344" s="81" t="s">
        <v>522</v>
      </c>
      <c r="E1344" s="48">
        <v>101336</v>
      </c>
      <c r="F1344" s="30" t="s">
        <v>2009</v>
      </c>
      <c r="G1344" s="29" t="s">
        <v>6</v>
      </c>
      <c r="H1344" s="30" t="s">
        <v>461</v>
      </c>
      <c r="I1344" s="78"/>
      <c r="J1344" s="20"/>
      <c r="K1344" s="20"/>
      <c r="L1344" s="20"/>
      <c r="M1344" s="20"/>
      <c r="N1344" s="69" t="s">
        <v>256</v>
      </c>
      <c r="O1344" s="70">
        <v>0</v>
      </c>
      <c r="P1344" s="70">
        <v>0</v>
      </c>
      <c r="Q1344" s="70">
        <v>0</v>
      </c>
      <c r="R1344" s="70"/>
      <c r="S1344" s="67"/>
      <c r="T1344" s="2" t="str">
        <f t="shared" si="109"/>
        <v>Phạm Tấn Dũng_12AS11</v>
      </c>
      <c r="U1344" s="28">
        <f t="array" ref="U1344">IFERROR(VLOOKUP($T1344,'Nghi hoc T12'!$H$7:$I$160,2,0),0)</f>
        <v>0</v>
      </c>
      <c r="V1344" s="28"/>
      <c r="W1344" s="28">
        <f t="shared" si="110"/>
        <v>0</v>
      </c>
      <c r="X1344" s="333">
        <f t="shared" si="111"/>
        <v>0</v>
      </c>
      <c r="Y1344" s="333">
        <f t="shared" si="112"/>
        <v>0</v>
      </c>
    </row>
    <row r="1345" spans="1:25" s="2" customFormat="1" ht="21.95" customHeight="1">
      <c r="A1345" s="82">
        <v>4</v>
      </c>
      <c r="B1345" s="91" t="s">
        <v>3370</v>
      </c>
      <c r="C1345" s="83" t="s">
        <v>365</v>
      </c>
      <c r="D1345" s="81" t="s">
        <v>522</v>
      </c>
      <c r="E1345" s="48">
        <v>101337</v>
      </c>
      <c r="F1345" s="30" t="s">
        <v>1778</v>
      </c>
      <c r="G1345" s="29" t="s">
        <v>65</v>
      </c>
      <c r="H1345" s="30" t="s">
        <v>460</v>
      </c>
      <c r="I1345" s="78"/>
      <c r="J1345" s="20"/>
      <c r="K1345" s="20"/>
      <c r="L1345" s="20"/>
      <c r="M1345" s="20"/>
      <c r="N1345" s="69" t="s">
        <v>256</v>
      </c>
      <c r="O1345" s="70">
        <v>0</v>
      </c>
      <c r="P1345" s="70">
        <v>0</v>
      </c>
      <c r="Q1345" s="70">
        <v>0</v>
      </c>
      <c r="R1345" s="70"/>
      <c r="S1345" s="67"/>
      <c r="T1345" s="2" t="str">
        <f t="shared" si="109"/>
        <v>Hà Anh Duy_12AS12</v>
      </c>
      <c r="U1345" s="28">
        <f t="array" ref="U1345">IFERROR(VLOOKUP($T1345,'Nghi hoc T12'!$H$7:$I$160,2,0),0)</f>
        <v>0</v>
      </c>
      <c r="V1345" s="28"/>
      <c r="W1345" s="28">
        <f t="shared" si="110"/>
        <v>0</v>
      </c>
      <c r="X1345" s="333">
        <f t="shared" si="111"/>
        <v>0</v>
      </c>
      <c r="Y1345" s="333">
        <f t="shared" si="112"/>
        <v>0</v>
      </c>
    </row>
    <row r="1346" spans="1:25" s="2" customFormat="1" ht="21.95" customHeight="1">
      <c r="A1346" s="82">
        <v>5</v>
      </c>
      <c r="B1346" s="91" t="s">
        <v>3370</v>
      </c>
      <c r="C1346" s="83" t="s">
        <v>365</v>
      </c>
      <c r="D1346" s="81" t="s">
        <v>522</v>
      </c>
      <c r="E1346" s="48">
        <v>101338</v>
      </c>
      <c r="F1346" s="30" t="s">
        <v>1981</v>
      </c>
      <c r="G1346" s="29" t="s">
        <v>65</v>
      </c>
      <c r="H1346" s="30" t="s">
        <v>463</v>
      </c>
      <c r="I1346" s="78"/>
      <c r="J1346" s="20"/>
      <c r="K1346" s="20"/>
      <c r="L1346" s="20"/>
      <c r="M1346" s="20"/>
      <c r="N1346" s="69" t="s">
        <v>256</v>
      </c>
      <c r="O1346" s="70">
        <v>0</v>
      </c>
      <c r="P1346" s="70">
        <v>0</v>
      </c>
      <c r="Q1346" s="70">
        <v>0</v>
      </c>
      <c r="R1346" s="70"/>
      <c r="S1346" s="67"/>
      <c r="T1346" s="2" t="str">
        <f t="shared" si="109"/>
        <v>Trần Hoàng Khánh Duy_12AS10</v>
      </c>
      <c r="U1346" s="28">
        <f t="array" ref="U1346">IFERROR(VLOOKUP($T1346,'Nghi hoc T12'!$H$7:$I$160,2,0),0)</f>
        <v>0</v>
      </c>
      <c r="V1346" s="28"/>
      <c r="W1346" s="28">
        <f t="shared" si="110"/>
        <v>0</v>
      </c>
      <c r="X1346" s="333">
        <f t="shared" si="111"/>
        <v>0</v>
      </c>
      <c r="Y1346" s="333">
        <f t="shared" si="112"/>
        <v>0</v>
      </c>
    </row>
    <row r="1347" spans="1:25" s="2" customFormat="1" ht="21.95" customHeight="1">
      <c r="A1347" s="82">
        <v>6</v>
      </c>
      <c r="B1347" s="91" t="s">
        <v>3370</v>
      </c>
      <c r="C1347" s="83" t="s">
        <v>365</v>
      </c>
      <c r="D1347" s="81" t="s">
        <v>522</v>
      </c>
      <c r="E1347" s="48">
        <v>101339</v>
      </c>
      <c r="F1347" s="30" t="s">
        <v>2010</v>
      </c>
      <c r="G1347" s="29" t="s">
        <v>66</v>
      </c>
      <c r="H1347" s="30" t="s">
        <v>461</v>
      </c>
      <c r="I1347" s="78"/>
      <c r="J1347" s="20"/>
      <c r="K1347" s="20"/>
      <c r="L1347" s="20"/>
      <c r="M1347" s="20"/>
      <c r="N1347" s="69" t="s">
        <v>256</v>
      </c>
      <c r="O1347" s="70">
        <v>0</v>
      </c>
      <c r="P1347" s="70">
        <v>0</v>
      </c>
      <c r="Q1347" s="70">
        <v>0</v>
      </c>
      <c r="R1347" s="70"/>
      <c r="S1347" s="67"/>
      <c r="T1347" s="2" t="str">
        <f t="shared" si="109"/>
        <v>Lý Thị Mỹ Duyên_12AS11</v>
      </c>
      <c r="U1347" s="28">
        <f t="array" ref="U1347">IFERROR(VLOOKUP($T1347,'Nghi hoc T12'!$H$7:$I$160,2,0),0)</f>
        <v>0</v>
      </c>
      <c r="V1347" s="28"/>
      <c r="W1347" s="28">
        <f t="shared" si="110"/>
        <v>0</v>
      </c>
      <c r="X1347" s="333">
        <f t="shared" si="111"/>
        <v>0</v>
      </c>
      <c r="Y1347" s="333">
        <f t="shared" si="112"/>
        <v>0</v>
      </c>
    </row>
    <row r="1348" spans="1:25" s="2" customFormat="1" ht="21.95" customHeight="1">
      <c r="A1348" s="82">
        <v>7</v>
      </c>
      <c r="B1348" s="91" t="s">
        <v>3370</v>
      </c>
      <c r="C1348" s="83" t="s">
        <v>365</v>
      </c>
      <c r="D1348" s="81" t="s">
        <v>522</v>
      </c>
      <c r="E1348" s="48">
        <v>101340</v>
      </c>
      <c r="F1348" s="30" t="s">
        <v>222</v>
      </c>
      <c r="G1348" s="29" t="s">
        <v>66</v>
      </c>
      <c r="H1348" s="30" t="s">
        <v>460</v>
      </c>
      <c r="I1348" s="78"/>
      <c r="J1348" s="20"/>
      <c r="K1348" s="20"/>
      <c r="L1348" s="20"/>
      <c r="M1348" s="20"/>
      <c r="N1348" s="69" t="s">
        <v>256</v>
      </c>
      <c r="O1348" s="70">
        <v>0</v>
      </c>
      <c r="P1348" s="70">
        <v>0</v>
      </c>
      <c r="Q1348" s="70">
        <v>0</v>
      </c>
      <c r="R1348" s="70"/>
      <c r="S1348" s="67"/>
      <c r="T1348" s="2" t="str">
        <f t="shared" si="109"/>
        <v>Nguyễn Ngọc Duyên_12AS12</v>
      </c>
      <c r="U1348" s="28">
        <f t="array" ref="U1348">IFERROR(VLOOKUP($T1348,'Nghi hoc T12'!$H$7:$I$160,2,0),0)</f>
        <v>0</v>
      </c>
      <c r="V1348" s="28"/>
      <c r="W1348" s="28">
        <f t="shared" si="110"/>
        <v>0</v>
      </c>
      <c r="X1348" s="333">
        <f t="shared" si="111"/>
        <v>0</v>
      </c>
      <c r="Y1348" s="333">
        <f t="shared" si="112"/>
        <v>0</v>
      </c>
    </row>
    <row r="1349" spans="1:25" s="2" customFormat="1" ht="21.95" customHeight="1">
      <c r="A1349" s="82">
        <v>8</v>
      </c>
      <c r="B1349" s="91" t="s">
        <v>3370</v>
      </c>
      <c r="C1349" s="83" t="s">
        <v>365</v>
      </c>
      <c r="D1349" s="81" t="s">
        <v>522</v>
      </c>
      <c r="E1349" s="48">
        <v>101341</v>
      </c>
      <c r="F1349" s="30" t="s">
        <v>1577</v>
      </c>
      <c r="G1349" s="29" t="s">
        <v>53</v>
      </c>
      <c r="H1349" s="30" t="s">
        <v>460</v>
      </c>
      <c r="I1349" s="78"/>
      <c r="J1349" s="20"/>
      <c r="K1349" s="20"/>
      <c r="L1349" s="20"/>
      <c r="M1349" s="20"/>
      <c r="N1349" s="69" t="s">
        <v>256</v>
      </c>
      <c r="O1349" s="70">
        <v>0</v>
      </c>
      <c r="P1349" s="70">
        <v>0</v>
      </c>
      <c r="Q1349" s="70">
        <v>0</v>
      </c>
      <c r="R1349" s="70"/>
      <c r="S1349" s="67"/>
      <c r="T1349" s="2" t="str">
        <f t="shared" si="109"/>
        <v>Nguyễn Bình Dương_12AS12</v>
      </c>
      <c r="U1349" s="28">
        <f t="array" ref="U1349">IFERROR(VLOOKUP($T1349,'Nghi hoc T12'!$H$7:$I$160,2,0),0)</f>
        <v>0</v>
      </c>
      <c r="V1349" s="28"/>
      <c r="W1349" s="28">
        <f t="shared" si="110"/>
        <v>0</v>
      </c>
      <c r="X1349" s="333">
        <f t="shared" si="111"/>
        <v>0</v>
      </c>
      <c r="Y1349" s="333">
        <f t="shared" si="112"/>
        <v>0</v>
      </c>
    </row>
    <row r="1350" spans="1:25" s="2" customFormat="1" ht="21.95" customHeight="1">
      <c r="A1350" s="82">
        <v>9</v>
      </c>
      <c r="B1350" s="91" t="s">
        <v>3370</v>
      </c>
      <c r="C1350" s="83" t="s">
        <v>365</v>
      </c>
      <c r="D1350" s="81" t="s">
        <v>522</v>
      </c>
      <c r="E1350" s="48">
        <v>101342</v>
      </c>
      <c r="F1350" s="30" t="s">
        <v>1982</v>
      </c>
      <c r="G1350" s="29" t="s">
        <v>53</v>
      </c>
      <c r="H1350" s="30" t="s">
        <v>463</v>
      </c>
      <c r="I1350" s="78"/>
      <c r="J1350" s="20"/>
      <c r="K1350" s="20"/>
      <c r="L1350" s="20"/>
      <c r="M1350" s="20"/>
      <c r="N1350" s="69" t="s">
        <v>256</v>
      </c>
      <c r="O1350" s="70">
        <v>0</v>
      </c>
      <c r="P1350" s="70">
        <v>0</v>
      </c>
      <c r="Q1350" s="70">
        <v>0</v>
      </c>
      <c r="R1350" s="70"/>
      <c r="S1350" s="67"/>
      <c r="T1350" s="2" t="str">
        <f t="shared" si="109"/>
        <v>Trần Thị Ánh Dương_12AS10</v>
      </c>
      <c r="U1350" s="28">
        <f t="array" ref="U1350">IFERROR(VLOOKUP($T1350,'Nghi hoc T12'!$H$7:$I$160,2,0),0)</f>
        <v>0</v>
      </c>
      <c r="V1350" s="28"/>
      <c r="W1350" s="28">
        <f t="shared" si="110"/>
        <v>0</v>
      </c>
      <c r="X1350" s="333">
        <f t="shared" si="111"/>
        <v>0</v>
      </c>
      <c r="Y1350" s="333">
        <f t="shared" si="112"/>
        <v>0</v>
      </c>
    </row>
    <row r="1351" spans="1:25" s="2" customFormat="1" ht="21.95" customHeight="1">
      <c r="A1351" s="82">
        <v>10</v>
      </c>
      <c r="B1351" s="91" t="s">
        <v>3370</v>
      </c>
      <c r="C1351" s="83" t="s">
        <v>365</v>
      </c>
      <c r="D1351" s="81" t="s">
        <v>522</v>
      </c>
      <c r="E1351" s="48">
        <v>101343</v>
      </c>
      <c r="F1351" s="30" t="s">
        <v>234</v>
      </c>
      <c r="G1351" s="29" t="s">
        <v>109</v>
      </c>
      <c r="H1351" s="30" t="s">
        <v>463</v>
      </c>
      <c r="I1351" s="78"/>
      <c r="J1351" s="20"/>
      <c r="K1351" s="20"/>
      <c r="L1351" s="20"/>
      <c r="M1351" s="20"/>
      <c r="N1351" s="69" t="s">
        <v>256</v>
      </c>
      <c r="O1351" s="70">
        <v>0</v>
      </c>
      <c r="P1351" s="70">
        <v>0</v>
      </c>
      <c r="Q1351" s="70">
        <v>0</v>
      </c>
      <c r="R1351" s="70"/>
      <c r="S1351" s="67"/>
      <c r="T1351" s="2" t="str">
        <f t="shared" si="109"/>
        <v>Nguyễn Trọng Đại_12AS10</v>
      </c>
      <c r="U1351" s="28">
        <f t="array" ref="U1351">IFERROR(VLOOKUP($T1351,'Nghi hoc T12'!$H$7:$I$160,2,0),0)</f>
        <v>0</v>
      </c>
      <c r="V1351" s="28"/>
      <c r="W1351" s="28">
        <f t="shared" si="110"/>
        <v>0</v>
      </c>
      <c r="X1351" s="333">
        <f t="shared" si="111"/>
        <v>0</v>
      </c>
      <c r="Y1351" s="333">
        <f t="shared" si="112"/>
        <v>0</v>
      </c>
    </row>
    <row r="1352" spans="1:25" s="2" customFormat="1" ht="21.95" customHeight="1">
      <c r="A1352" s="82">
        <v>11</v>
      </c>
      <c r="B1352" s="91" t="s">
        <v>3370</v>
      </c>
      <c r="C1352" s="83" t="s">
        <v>365</v>
      </c>
      <c r="D1352" s="81" t="s">
        <v>522</v>
      </c>
      <c r="E1352" s="48">
        <v>101344</v>
      </c>
      <c r="F1352" s="30" t="s">
        <v>1958</v>
      </c>
      <c r="G1352" s="29" t="s">
        <v>109</v>
      </c>
      <c r="H1352" s="30" t="s">
        <v>459</v>
      </c>
      <c r="I1352" s="78"/>
      <c r="J1352" s="20"/>
      <c r="K1352" s="20"/>
      <c r="L1352" s="20"/>
      <c r="M1352" s="20"/>
      <c r="N1352" s="69" t="s">
        <v>256</v>
      </c>
      <c r="O1352" s="70">
        <v>0</v>
      </c>
      <c r="P1352" s="70">
        <v>0</v>
      </c>
      <c r="Q1352" s="70">
        <v>0</v>
      </c>
      <c r="R1352" s="70"/>
      <c r="S1352" s="67"/>
      <c r="T1352" s="2" t="str">
        <f t="shared" si="109"/>
        <v>Phan Trần Hữu Đại_12AS9</v>
      </c>
      <c r="U1352" s="28">
        <f t="array" ref="U1352">IFERROR(VLOOKUP($T1352,'Nghi hoc T12'!$H$7:$I$160,2,0),0)</f>
        <v>0</v>
      </c>
      <c r="V1352" s="28"/>
      <c r="W1352" s="28">
        <f t="shared" si="110"/>
        <v>0</v>
      </c>
      <c r="X1352" s="333">
        <f t="shared" si="111"/>
        <v>0</v>
      </c>
      <c r="Y1352" s="333">
        <f t="shared" si="112"/>
        <v>0</v>
      </c>
    </row>
    <row r="1353" spans="1:25" s="2" customFormat="1" ht="21.95" customHeight="1">
      <c r="A1353" s="82">
        <v>12</v>
      </c>
      <c r="B1353" s="91" t="s">
        <v>3370</v>
      </c>
      <c r="C1353" s="83" t="s">
        <v>365</v>
      </c>
      <c r="D1353" s="81" t="s">
        <v>522</v>
      </c>
      <c r="E1353" s="48">
        <v>101345</v>
      </c>
      <c r="F1353" s="30" t="s">
        <v>2011</v>
      </c>
      <c r="G1353" s="29" t="s">
        <v>7</v>
      </c>
      <c r="H1353" s="30" t="s">
        <v>461</v>
      </c>
      <c r="I1353" s="78"/>
      <c r="J1353" s="20"/>
      <c r="K1353" s="20"/>
      <c r="L1353" s="20"/>
      <c r="M1353" s="20"/>
      <c r="N1353" s="69" t="s">
        <v>256</v>
      </c>
      <c r="O1353" s="70">
        <v>0</v>
      </c>
      <c r="P1353" s="70">
        <v>0</v>
      </c>
      <c r="Q1353" s="70">
        <v>0</v>
      </c>
      <c r="R1353" s="70"/>
      <c r="S1353" s="67"/>
      <c r="T1353" s="2" t="str">
        <f t="shared" si="109"/>
        <v>Dương Xuân Đạt_12AS11</v>
      </c>
      <c r="U1353" s="28">
        <f t="array" ref="U1353">IFERROR(VLOOKUP($T1353,'Nghi hoc T12'!$H$7:$I$160,2,0),0)</f>
        <v>0</v>
      </c>
      <c r="V1353" s="28"/>
      <c r="W1353" s="28">
        <f t="shared" si="110"/>
        <v>0</v>
      </c>
      <c r="X1353" s="333">
        <f t="shared" si="111"/>
        <v>0</v>
      </c>
      <c r="Y1353" s="333">
        <f t="shared" si="112"/>
        <v>0</v>
      </c>
    </row>
    <row r="1354" spans="1:25" s="2" customFormat="1" ht="21.95" customHeight="1">
      <c r="A1354" s="82">
        <v>13</v>
      </c>
      <c r="B1354" s="91" t="s">
        <v>3370</v>
      </c>
      <c r="C1354" s="83" t="s">
        <v>365</v>
      </c>
      <c r="D1354" s="81" t="s">
        <v>522</v>
      </c>
      <c r="E1354" s="48">
        <v>101346</v>
      </c>
      <c r="F1354" s="30" t="s">
        <v>276</v>
      </c>
      <c r="G1354" s="29" t="s">
        <v>7</v>
      </c>
      <c r="H1354" s="30" t="s">
        <v>460</v>
      </c>
      <c r="I1354" s="78"/>
      <c r="J1354" s="20"/>
      <c r="K1354" s="20"/>
      <c r="L1354" s="20"/>
      <c r="M1354" s="20"/>
      <c r="N1354" s="69" t="s">
        <v>256</v>
      </c>
      <c r="O1354" s="70">
        <v>0</v>
      </c>
      <c r="P1354" s="70">
        <v>0</v>
      </c>
      <c r="Q1354" s="70">
        <v>0</v>
      </c>
      <c r="R1354" s="70"/>
      <c r="S1354" s="67"/>
      <c r="T1354" s="2" t="str">
        <f t="shared" ref="T1354:T1417" si="113">TRIM(F1354&amp;" "&amp;G1354&amp;"_"&amp;H1354)</f>
        <v>Nguyễn Trung Đạt_12AS12</v>
      </c>
      <c r="U1354" s="28">
        <f t="array" ref="U1354">IFERROR(VLOOKUP($T1354,'Nghi hoc T12'!$H$7:$I$160,2,0),0)</f>
        <v>0</v>
      </c>
      <c r="V1354" s="28"/>
      <c r="W1354" s="28">
        <f t="shared" ref="W1354:W1417" si="114">I1354</f>
        <v>0</v>
      </c>
      <c r="X1354" s="333">
        <f t="shared" ref="X1354:X1417" si="115">O1354</f>
        <v>0</v>
      </c>
      <c r="Y1354" s="333">
        <f t="shared" ref="Y1354:Y1417" si="116">P1354</f>
        <v>0</v>
      </c>
    </row>
    <row r="1355" spans="1:25" s="2" customFormat="1" ht="21.95" customHeight="1">
      <c r="A1355" s="82">
        <v>14</v>
      </c>
      <c r="B1355" s="91" t="s">
        <v>3370</v>
      </c>
      <c r="C1355" s="83" t="s">
        <v>365</v>
      </c>
      <c r="D1355" s="81" t="s">
        <v>522</v>
      </c>
      <c r="E1355" s="48">
        <v>101347</v>
      </c>
      <c r="F1355" s="30" t="s">
        <v>1983</v>
      </c>
      <c r="G1355" s="29" t="s">
        <v>119</v>
      </c>
      <c r="H1355" s="30" t="s">
        <v>463</v>
      </c>
      <c r="I1355" s="78"/>
      <c r="J1355" s="20"/>
      <c r="K1355" s="20"/>
      <c r="L1355" s="20"/>
      <c r="M1355" s="20"/>
      <c r="N1355" s="69" t="s">
        <v>256</v>
      </c>
      <c r="O1355" s="70">
        <v>0</v>
      </c>
      <c r="P1355" s="70">
        <v>0</v>
      </c>
      <c r="Q1355" s="70">
        <v>0</v>
      </c>
      <c r="R1355" s="70"/>
      <c r="S1355" s="67"/>
      <c r="T1355" s="2" t="str">
        <f t="shared" si="113"/>
        <v>Lại Hoàng Hải Đăng_12AS10</v>
      </c>
      <c r="U1355" s="28">
        <f t="array" ref="U1355">IFERROR(VLOOKUP($T1355,'Nghi hoc T12'!$H$7:$I$160,2,0),0)</f>
        <v>0</v>
      </c>
      <c r="V1355" s="28"/>
      <c r="W1355" s="28">
        <f t="shared" si="114"/>
        <v>0</v>
      </c>
      <c r="X1355" s="333">
        <f t="shared" si="115"/>
        <v>0</v>
      </c>
      <c r="Y1355" s="333">
        <f t="shared" si="116"/>
        <v>0</v>
      </c>
    </row>
    <row r="1356" spans="1:25" s="2" customFormat="1" ht="21.95" customHeight="1">
      <c r="A1356" s="82">
        <v>15</v>
      </c>
      <c r="B1356" s="91" t="s">
        <v>3370</v>
      </c>
      <c r="C1356" s="83" t="s">
        <v>365</v>
      </c>
      <c r="D1356" s="81" t="s">
        <v>522</v>
      </c>
      <c r="E1356" s="48">
        <v>101348</v>
      </c>
      <c r="F1356" s="30" t="s">
        <v>257</v>
      </c>
      <c r="G1356" s="29" t="s">
        <v>36</v>
      </c>
      <c r="H1356" s="30" t="s">
        <v>461</v>
      </c>
      <c r="I1356" s="78"/>
      <c r="J1356" s="20"/>
      <c r="K1356" s="20"/>
      <c r="L1356" s="20"/>
      <c r="M1356" s="20"/>
      <c r="N1356" s="69" t="s">
        <v>256</v>
      </c>
      <c r="O1356" s="70">
        <v>0</v>
      </c>
      <c r="P1356" s="70">
        <v>0</v>
      </c>
      <c r="Q1356" s="70">
        <v>0</v>
      </c>
      <c r="R1356" s="70"/>
      <c r="S1356" s="67"/>
      <c r="T1356" s="2" t="str">
        <f t="shared" si="113"/>
        <v>Lê Minh Đức_12AS11</v>
      </c>
      <c r="U1356" s="28">
        <f t="array" ref="U1356">IFERROR(VLOOKUP($T1356,'Nghi hoc T12'!$H$7:$I$160,2,0),0)</f>
        <v>0</v>
      </c>
      <c r="V1356" s="28"/>
      <c r="W1356" s="28">
        <f t="shared" si="114"/>
        <v>0</v>
      </c>
      <c r="X1356" s="333">
        <f t="shared" si="115"/>
        <v>0</v>
      </c>
      <c r="Y1356" s="333">
        <f t="shared" si="116"/>
        <v>0</v>
      </c>
    </row>
    <row r="1357" spans="1:25" s="2" customFormat="1" ht="21.95" customHeight="1">
      <c r="A1357" s="82">
        <v>16</v>
      </c>
      <c r="B1357" s="91" t="s">
        <v>3370</v>
      </c>
      <c r="C1357" s="83" t="s">
        <v>365</v>
      </c>
      <c r="D1357" s="81" t="s">
        <v>522</v>
      </c>
      <c r="E1357" s="48">
        <v>101349</v>
      </c>
      <c r="F1357" s="30" t="s">
        <v>1984</v>
      </c>
      <c r="G1357" s="29" t="s">
        <v>36</v>
      </c>
      <c r="H1357" s="30" t="s">
        <v>463</v>
      </c>
      <c r="I1357" s="78"/>
      <c r="J1357" s="20"/>
      <c r="K1357" s="20"/>
      <c r="L1357" s="20"/>
      <c r="M1357" s="20"/>
      <c r="N1357" s="69" t="s">
        <v>256</v>
      </c>
      <c r="O1357" s="70">
        <v>0</v>
      </c>
      <c r="P1357" s="70">
        <v>0</v>
      </c>
      <c r="Q1357" s="70">
        <v>0</v>
      </c>
      <c r="R1357" s="70"/>
      <c r="S1357" s="67"/>
      <c r="T1357" s="2" t="str">
        <f t="shared" si="113"/>
        <v>Trương Hồng Đức_12AS10</v>
      </c>
      <c r="U1357" s="28">
        <f t="array" ref="U1357">IFERROR(VLOOKUP($T1357,'Nghi hoc T12'!$H$7:$I$160,2,0),0)</f>
        <v>0</v>
      </c>
      <c r="V1357" s="28"/>
      <c r="W1357" s="28">
        <f t="shared" si="114"/>
        <v>0</v>
      </c>
      <c r="X1357" s="333">
        <f t="shared" si="115"/>
        <v>0</v>
      </c>
      <c r="Y1357" s="333">
        <f t="shared" si="116"/>
        <v>0</v>
      </c>
    </row>
    <row r="1358" spans="1:25" s="2" customFormat="1" ht="21.95" customHeight="1">
      <c r="A1358" s="82">
        <v>17</v>
      </c>
      <c r="B1358" s="91" t="s">
        <v>3370</v>
      </c>
      <c r="C1358" s="83" t="s">
        <v>365</v>
      </c>
      <c r="D1358" s="81" t="s">
        <v>522</v>
      </c>
      <c r="E1358" s="48">
        <v>101350</v>
      </c>
      <c r="F1358" s="30" t="s">
        <v>263</v>
      </c>
      <c r="G1358" s="29" t="s">
        <v>143</v>
      </c>
      <c r="H1358" s="30" t="s">
        <v>459</v>
      </c>
      <c r="I1358" s="78"/>
      <c r="J1358" s="20"/>
      <c r="K1358" s="20"/>
      <c r="L1358" s="20"/>
      <c r="M1358" s="20"/>
      <c r="N1358" s="69" t="s">
        <v>256</v>
      </c>
      <c r="O1358" s="70">
        <v>0</v>
      </c>
      <c r="P1358" s="70">
        <v>0</v>
      </c>
      <c r="Q1358" s="70">
        <v>0</v>
      </c>
      <c r="R1358" s="70"/>
      <c r="S1358" s="67"/>
      <c r="T1358" s="2" t="str">
        <f t="shared" si="113"/>
        <v>Lê Thị Thanh Hà_12AS9</v>
      </c>
      <c r="U1358" s="28">
        <f t="array" ref="U1358">IFERROR(VLOOKUP($T1358,'Nghi hoc T12'!$H$7:$I$160,2,0),0)</f>
        <v>0</v>
      </c>
      <c r="V1358" s="28"/>
      <c r="W1358" s="28">
        <f t="shared" si="114"/>
        <v>0</v>
      </c>
      <c r="X1358" s="333">
        <f t="shared" si="115"/>
        <v>0</v>
      </c>
      <c r="Y1358" s="333">
        <f t="shared" si="116"/>
        <v>0</v>
      </c>
    </row>
    <row r="1359" spans="1:25" s="2" customFormat="1" ht="21.95" customHeight="1">
      <c r="A1359" s="82">
        <v>18</v>
      </c>
      <c r="B1359" s="91" t="s">
        <v>3370</v>
      </c>
      <c r="C1359" s="83" t="s">
        <v>365</v>
      </c>
      <c r="D1359" s="81" t="s">
        <v>522</v>
      </c>
      <c r="E1359" s="48">
        <v>101351</v>
      </c>
      <c r="F1359" s="30" t="s">
        <v>151</v>
      </c>
      <c r="G1359" s="29" t="s">
        <v>171</v>
      </c>
      <c r="H1359" s="30" t="s">
        <v>461</v>
      </c>
      <c r="I1359" s="78"/>
      <c r="J1359" s="20"/>
      <c r="K1359" s="20"/>
      <c r="L1359" s="20"/>
      <c r="M1359" s="20"/>
      <c r="N1359" s="69" t="s">
        <v>256</v>
      </c>
      <c r="O1359" s="70">
        <v>0</v>
      </c>
      <c r="P1359" s="70">
        <v>0</v>
      </c>
      <c r="Q1359" s="70">
        <v>0</v>
      </c>
      <c r="R1359" s="70"/>
      <c r="S1359" s="67"/>
      <c r="T1359" s="2" t="str">
        <f t="shared" si="113"/>
        <v>Nguyễn Hoàng Hải_12AS11</v>
      </c>
      <c r="U1359" s="28">
        <f t="array" ref="U1359">IFERROR(VLOOKUP($T1359,'Nghi hoc T12'!$H$7:$I$160,2,0),0)</f>
        <v>0</v>
      </c>
      <c r="V1359" s="28"/>
      <c r="W1359" s="28">
        <f t="shared" si="114"/>
        <v>0</v>
      </c>
      <c r="X1359" s="333">
        <f t="shared" si="115"/>
        <v>0</v>
      </c>
      <c r="Y1359" s="333">
        <f t="shared" si="116"/>
        <v>0</v>
      </c>
    </row>
    <row r="1360" spans="1:25" s="2" customFormat="1" ht="21.95" customHeight="1">
      <c r="A1360" s="82">
        <v>19</v>
      </c>
      <c r="B1360" s="91" t="s">
        <v>3370</v>
      </c>
      <c r="C1360" s="83" t="s">
        <v>365</v>
      </c>
      <c r="D1360" s="81" t="s">
        <v>522</v>
      </c>
      <c r="E1360" s="48">
        <v>101352</v>
      </c>
      <c r="F1360" s="30" t="s">
        <v>264</v>
      </c>
      <c r="G1360" s="29" t="s">
        <v>78</v>
      </c>
      <c r="H1360" s="30" t="s">
        <v>459</v>
      </c>
      <c r="I1360" s="78"/>
      <c r="J1360" s="20"/>
      <c r="K1360" s="20"/>
      <c r="L1360" s="20"/>
      <c r="M1360" s="20"/>
      <c r="N1360" s="69" t="s">
        <v>256</v>
      </c>
      <c r="O1360" s="70">
        <v>0</v>
      </c>
      <c r="P1360" s="70">
        <v>0</v>
      </c>
      <c r="Q1360" s="70">
        <v>0</v>
      </c>
      <c r="R1360" s="70"/>
      <c r="S1360" s="67"/>
      <c r="T1360" s="2" t="str">
        <f t="shared" si="113"/>
        <v>Hà Nhật Hào_12AS9</v>
      </c>
      <c r="U1360" s="28">
        <f t="array" ref="U1360">IFERROR(VLOOKUP($T1360,'Nghi hoc T12'!$H$7:$I$160,2,0),0)</f>
        <v>0</v>
      </c>
      <c r="V1360" s="28"/>
      <c r="W1360" s="28">
        <f t="shared" si="114"/>
        <v>0</v>
      </c>
      <c r="X1360" s="333">
        <f t="shared" si="115"/>
        <v>0</v>
      </c>
      <c r="Y1360" s="333">
        <f t="shared" si="116"/>
        <v>0</v>
      </c>
    </row>
    <row r="1361" spans="1:25" s="2" customFormat="1" ht="21.95" customHeight="1">
      <c r="A1361" s="82">
        <v>20</v>
      </c>
      <c r="B1361" s="91" t="s">
        <v>3370</v>
      </c>
      <c r="C1361" s="83" t="s">
        <v>365</v>
      </c>
      <c r="D1361" s="81" t="s">
        <v>522</v>
      </c>
      <c r="E1361" s="48">
        <v>101353</v>
      </c>
      <c r="F1361" s="30" t="s">
        <v>2033</v>
      </c>
      <c r="G1361" s="29" t="s">
        <v>78</v>
      </c>
      <c r="H1361" s="30" t="s">
        <v>460</v>
      </c>
      <c r="I1361" s="78"/>
      <c r="J1361" s="20"/>
      <c r="K1361" s="20"/>
      <c r="L1361" s="20"/>
      <c r="M1361" s="20"/>
      <c r="N1361" s="69" t="s">
        <v>256</v>
      </c>
      <c r="O1361" s="70">
        <v>0</v>
      </c>
      <c r="P1361" s="70">
        <v>0</v>
      </c>
      <c r="Q1361" s="70">
        <v>0</v>
      </c>
      <c r="R1361" s="70"/>
      <c r="S1361" s="67"/>
      <c r="T1361" s="2" t="str">
        <f t="shared" si="113"/>
        <v>Lê Đặng Anh Hào_12AS12</v>
      </c>
      <c r="U1361" s="28">
        <f t="array" ref="U1361">IFERROR(VLOOKUP($T1361,'Nghi hoc T12'!$H$7:$I$160,2,0),0)</f>
        <v>0</v>
      </c>
      <c r="V1361" s="28"/>
      <c r="W1361" s="28">
        <f t="shared" si="114"/>
        <v>0</v>
      </c>
      <c r="X1361" s="333">
        <f t="shared" si="115"/>
        <v>0</v>
      </c>
      <c r="Y1361" s="333">
        <f t="shared" si="116"/>
        <v>0</v>
      </c>
    </row>
    <row r="1362" spans="1:25" s="2" customFormat="1" ht="21.95" customHeight="1">
      <c r="A1362" s="82">
        <v>21</v>
      </c>
      <c r="B1362" s="91" t="s">
        <v>3370</v>
      </c>
      <c r="C1362" s="83" t="s">
        <v>365</v>
      </c>
      <c r="D1362" s="81" t="s">
        <v>522</v>
      </c>
      <c r="E1362" s="48">
        <v>101354</v>
      </c>
      <c r="F1362" s="30" t="s">
        <v>1985</v>
      </c>
      <c r="G1362" s="29" t="s">
        <v>78</v>
      </c>
      <c r="H1362" s="30" t="s">
        <v>463</v>
      </c>
      <c r="I1362" s="78"/>
      <c r="J1362" s="20"/>
      <c r="K1362" s="20"/>
      <c r="L1362" s="20"/>
      <c r="M1362" s="20"/>
      <c r="N1362" s="69" t="s">
        <v>256</v>
      </c>
      <c r="O1362" s="70">
        <v>0</v>
      </c>
      <c r="P1362" s="70">
        <v>0</v>
      </c>
      <c r="Q1362" s="70">
        <v>0</v>
      </c>
      <c r="R1362" s="70"/>
      <c r="S1362" s="67"/>
      <c r="T1362" s="2" t="str">
        <f t="shared" si="113"/>
        <v>Trần Phạm Gia Hào_12AS10</v>
      </c>
      <c r="U1362" s="28">
        <f t="array" ref="U1362">IFERROR(VLOOKUP($T1362,'Nghi hoc T12'!$H$7:$I$160,2,0),0)</f>
        <v>0</v>
      </c>
      <c r="V1362" s="28"/>
      <c r="W1362" s="28">
        <f t="shared" si="114"/>
        <v>0</v>
      </c>
      <c r="X1362" s="333">
        <f t="shared" si="115"/>
        <v>0</v>
      </c>
      <c r="Y1362" s="333">
        <f t="shared" si="116"/>
        <v>0</v>
      </c>
    </row>
    <row r="1363" spans="1:25" s="2" customFormat="1" ht="21.95" customHeight="1">
      <c r="A1363" s="82">
        <v>22</v>
      </c>
      <c r="B1363" s="91" t="s">
        <v>3370</v>
      </c>
      <c r="C1363" s="83" t="s">
        <v>365</v>
      </c>
      <c r="D1363" s="81" t="s">
        <v>522</v>
      </c>
      <c r="E1363" s="48">
        <v>101355</v>
      </c>
      <c r="F1363" s="30" t="s">
        <v>1959</v>
      </c>
      <c r="G1363" s="29" t="s">
        <v>173</v>
      </c>
      <c r="H1363" s="30" t="s">
        <v>459</v>
      </c>
      <c r="I1363" s="78"/>
      <c r="J1363" s="20"/>
      <c r="K1363" s="20"/>
      <c r="L1363" s="20"/>
      <c r="M1363" s="20"/>
      <c r="N1363" s="69" t="s">
        <v>256</v>
      </c>
      <c r="O1363" s="70">
        <v>0</v>
      </c>
      <c r="P1363" s="70">
        <v>0</v>
      </c>
      <c r="Q1363" s="70">
        <v>0</v>
      </c>
      <c r="R1363" s="70"/>
      <c r="S1363" s="67"/>
      <c r="T1363" s="2" t="str">
        <f t="shared" si="113"/>
        <v>Nguyễn Ngọc Bích Hằng_12AS9</v>
      </c>
      <c r="U1363" s="28">
        <f t="array" ref="U1363">IFERROR(VLOOKUP($T1363,'Nghi hoc T12'!$H$7:$I$160,2,0),0)</f>
        <v>0</v>
      </c>
      <c r="V1363" s="28"/>
      <c r="W1363" s="28">
        <f t="shared" si="114"/>
        <v>0</v>
      </c>
      <c r="X1363" s="333">
        <f t="shared" si="115"/>
        <v>0</v>
      </c>
      <c r="Y1363" s="333">
        <f t="shared" si="116"/>
        <v>0</v>
      </c>
    </row>
    <row r="1364" spans="1:25" s="2" customFormat="1" ht="21.95" customHeight="1">
      <c r="A1364" s="82">
        <v>23</v>
      </c>
      <c r="B1364" s="91" t="s">
        <v>3370</v>
      </c>
      <c r="C1364" s="83" t="s">
        <v>365</v>
      </c>
      <c r="D1364" s="81" t="s">
        <v>522</v>
      </c>
      <c r="E1364" s="48">
        <v>101356</v>
      </c>
      <c r="F1364" s="30" t="s">
        <v>2034</v>
      </c>
      <c r="G1364" s="29" t="s">
        <v>84</v>
      </c>
      <c r="H1364" s="30" t="s">
        <v>460</v>
      </c>
      <c r="I1364" s="78"/>
      <c r="J1364" s="20"/>
      <c r="K1364" s="20"/>
      <c r="L1364" s="20"/>
      <c r="M1364" s="20"/>
      <c r="N1364" s="69" t="s">
        <v>256</v>
      </c>
      <c r="O1364" s="70">
        <v>0</v>
      </c>
      <c r="P1364" s="70">
        <v>0</v>
      </c>
      <c r="Q1364" s="70">
        <v>0</v>
      </c>
      <c r="R1364" s="70"/>
      <c r="S1364" s="67"/>
      <c r="T1364" s="2" t="str">
        <f t="shared" si="113"/>
        <v>Lưu Nguyễn Gia Hân_12AS12</v>
      </c>
      <c r="U1364" s="28">
        <f t="array" ref="U1364">IFERROR(VLOOKUP($T1364,'Nghi hoc T12'!$H$7:$I$160,2,0),0)</f>
        <v>0</v>
      </c>
      <c r="V1364" s="28"/>
      <c r="W1364" s="28">
        <f t="shared" si="114"/>
        <v>0</v>
      </c>
      <c r="X1364" s="333">
        <f t="shared" si="115"/>
        <v>0</v>
      </c>
      <c r="Y1364" s="333">
        <f t="shared" si="116"/>
        <v>0</v>
      </c>
    </row>
    <row r="1365" spans="1:25" s="2" customFormat="1" ht="21.95" customHeight="1">
      <c r="A1365" s="82">
        <v>24</v>
      </c>
      <c r="B1365" s="91" t="s">
        <v>3370</v>
      </c>
      <c r="C1365" s="83" t="s">
        <v>365</v>
      </c>
      <c r="D1365" s="81" t="s">
        <v>522</v>
      </c>
      <c r="E1365" s="48">
        <v>101357</v>
      </c>
      <c r="F1365" s="30" t="s">
        <v>1262</v>
      </c>
      <c r="G1365" s="29" t="s">
        <v>84</v>
      </c>
      <c r="H1365" s="30" t="s">
        <v>463</v>
      </c>
      <c r="I1365" s="78"/>
      <c r="J1365" s="20"/>
      <c r="K1365" s="20"/>
      <c r="L1365" s="20"/>
      <c r="M1365" s="20"/>
      <c r="N1365" s="69" t="s">
        <v>256</v>
      </c>
      <c r="O1365" s="70">
        <v>0</v>
      </c>
      <c r="P1365" s="70">
        <v>0</v>
      </c>
      <c r="Q1365" s="70">
        <v>0</v>
      </c>
      <c r="R1365" s="70"/>
      <c r="S1365" s="67"/>
      <c r="T1365" s="2" t="str">
        <f t="shared" si="113"/>
        <v>Nguyễn Ngọc Gia Hân_12AS10</v>
      </c>
      <c r="U1365" s="28">
        <f t="array" ref="U1365">IFERROR(VLOOKUP($T1365,'Nghi hoc T12'!$H$7:$I$160,2,0),0)</f>
        <v>0</v>
      </c>
      <c r="V1365" s="28"/>
      <c r="W1365" s="28">
        <f t="shared" si="114"/>
        <v>0</v>
      </c>
      <c r="X1365" s="333">
        <f t="shared" si="115"/>
        <v>0</v>
      </c>
      <c r="Y1365" s="333">
        <f t="shared" si="116"/>
        <v>0</v>
      </c>
    </row>
    <row r="1366" spans="1:25" s="2" customFormat="1" ht="21.95" customHeight="1">
      <c r="A1366" s="82">
        <v>25</v>
      </c>
      <c r="B1366" s="91" t="s">
        <v>3370</v>
      </c>
      <c r="C1366" s="83" t="s">
        <v>365</v>
      </c>
      <c r="D1366" s="81" t="s">
        <v>522</v>
      </c>
      <c r="E1366" s="48">
        <v>101358</v>
      </c>
      <c r="F1366" s="30" t="s">
        <v>246</v>
      </c>
      <c r="G1366" s="29" t="s">
        <v>84</v>
      </c>
      <c r="H1366" s="30" t="s">
        <v>463</v>
      </c>
      <c r="I1366" s="78"/>
      <c r="J1366" s="20"/>
      <c r="K1366" s="20"/>
      <c r="L1366" s="20"/>
      <c r="M1366" s="20"/>
      <c r="N1366" s="69" t="s">
        <v>256</v>
      </c>
      <c r="O1366" s="70">
        <v>0</v>
      </c>
      <c r="P1366" s="70">
        <v>0</v>
      </c>
      <c r="Q1366" s="70">
        <v>0</v>
      </c>
      <c r="R1366" s="70"/>
      <c r="S1366" s="67"/>
      <c r="T1366" s="2" t="str">
        <f t="shared" si="113"/>
        <v>Nguyễn Thị Ngọc Hân_12AS10</v>
      </c>
      <c r="U1366" s="28">
        <f t="array" ref="U1366">IFERROR(VLOOKUP($T1366,'Nghi hoc T12'!$H$7:$I$160,2,0),0)</f>
        <v>0</v>
      </c>
      <c r="V1366" s="28"/>
      <c r="W1366" s="28">
        <f t="shared" si="114"/>
        <v>0</v>
      </c>
      <c r="X1366" s="333">
        <f t="shared" si="115"/>
        <v>0</v>
      </c>
      <c r="Y1366" s="333">
        <f t="shared" si="116"/>
        <v>0</v>
      </c>
    </row>
    <row r="1367" spans="1:25" s="2" customFormat="1" ht="21.95" customHeight="1">
      <c r="A1367" s="82">
        <v>26</v>
      </c>
      <c r="B1367" s="91" t="s">
        <v>3370</v>
      </c>
      <c r="C1367" s="83" t="s">
        <v>365</v>
      </c>
      <c r="D1367" s="81" t="s">
        <v>522</v>
      </c>
      <c r="E1367" s="48">
        <v>101359</v>
      </c>
      <c r="F1367" s="30" t="s">
        <v>246</v>
      </c>
      <c r="G1367" s="29" t="s">
        <v>84</v>
      </c>
      <c r="H1367" s="30" t="s">
        <v>461</v>
      </c>
      <c r="I1367" s="78"/>
      <c r="J1367" s="20"/>
      <c r="K1367" s="20"/>
      <c r="L1367" s="20"/>
      <c r="M1367" s="20"/>
      <c r="N1367" s="69" t="s">
        <v>256</v>
      </c>
      <c r="O1367" s="70">
        <v>0</v>
      </c>
      <c r="P1367" s="70">
        <v>0</v>
      </c>
      <c r="Q1367" s="70">
        <v>0</v>
      </c>
      <c r="R1367" s="70"/>
      <c r="S1367" s="67"/>
      <c r="T1367" s="2" t="str">
        <f t="shared" si="113"/>
        <v>Nguyễn Thị Ngọc Hân_12AS11</v>
      </c>
      <c r="U1367" s="28">
        <f t="array" ref="U1367">IFERROR(VLOOKUP($T1367,'Nghi hoc T12'!$H$7:$I$160,2,0),0)</f>
        <v>0</v>
      </c>
      <c r="V1367" s="28"/>
      <c r="W1367" s="28">
        <f t="shared" si="114"/>
        <v>0</v>
      </c>
      <c r="X1367" s="333">
        <f t="shared" si="115"/>
        <v>0</v>
      </c>
      <c r="Y1367" s="333">
        <f t="shared" si="116"/>
        <v>0</v>
      </c>
    </row>
    <row r="1368" spans="1:25" s="2" customFormat="1" ht="21.95" customHeight="1">
      <c r="A1368" s="82">
        <v>27</v>
      </c>
      <c r="B1368" s="91" t="s">
        <v>3370</v>
      </c>
      <c r="C1368" s="83" t="s">
        <v>365</v>
      </c>
      <c r="D1368" s="81" t="s">
        <v>522</v>
      </c>
      <c r="E1368" s="48">
        <v>101360</v>
      </c>
      <c r="F1368" s="30" t="s">
        <v>1986</v>
      </c>
      <c r="G1368" s="29" t="s">
        <v>8</v>
      </c>
      <c r="H1368" s="30" t="s">
        <v>463</v>
      </c>
      <c r="I1368" s="78"/>
      <c r="J1368" s="20"/>
      <c r="K1368" s="20"/>
      <c r="L1368" s="20"/>
      <c r="M1368" s="20"/>
      <c r="N1368" s="69" t="s">
        <v>256</v>
      </c>
      <c r="O1368" s="70">
        <v>0</v>
      </c>
      <c r="P1368" s="70">
        <v>0</v>
      </c>
      <c r="Q1368" s="70">
        <v>0</v>
      </c>
      <c r="R1368" s="70"/>
      <c r="S1368" s="67"/>
      <c r="T1368" s="2" t="str">
        <f t="shared" si="113"/>
        <v>Hoàng Thị Thảo Hiền_12AS10</v>
      </c>
      <c r="U1368" s="28">
        <f t="array" ref="U1368">IFERROR(VLOOKUP($T1368,'Nghi hoc T12'!$H$7:$I$160,2,0),0)</f>
        <v>0</v>
      </c>
      <c r="V1368" s="28"/>
      <c r="W1368" s="28">
        <f t="shared" si="114"/>
        <v>0</v>
      </c>
      <c r="X1368" s="333">
        <f t="shared" si="115"/>
        <v>0</v>
      </c>
      <c r="Y1368" s="333">
        <f t="shared" si="116"/>
        <v>0</v>
      </c>
    </row>
    <row r="1369" spans="1:25" s="2" customFormat="1" ht="21.95" customHeight="1">
      <c r="A1369" s="82">
        <v>28</v>
      </c>
      <c r="B1369" s="91" t="s">
        <v>3370</v>
      </c>
      <c r="C1369" s="83" t="s">
        <v>365</v>
      </c>
      <c r="D1369" s="81" t="s">
        <v>522</v>
      </c>
      <c r="E1369" s="48">
        <v>101361</v>
      </c>
      <c r="F1369" s="30" t="s">
        <v>56</v>
      </c>
      <c r="G1369" s="29" t="s">
        <v>8</v>
      </c>
      <c r="H1369" s="30" t="s">
        <v>460</v>
      </c>
      <c r="I1369" s="78"/>
      <c r="J1369" s="20"/>
      <c r="K1369" s="20"/>
      <c r="L1369" s="20"/>
      <c r="M1369" s="20"/>
      <c r="N1369" s="69" t="s">
        <v>256</v>
      </c>
      <c r="O1369" s="70">
        <v>0</v>
      </c>
      <c r="P1369" s="70">
        <v>0</v>
      </c>
      <c r="Q1369" s="70">
        <v>0</v>
      </c>
      <c r="R1369" s="70"/>
      <c r="S1369" s="67"/>
      <c r="T1369" s="2" t="str">
        <f t="shared" si="113"/>
        <v>Nguyễn Thị Thu Hiền_12AS12</v>
      </c>
      <c r="U1369" s="28">
        <f t="array" ref="U1369">IFERROR(VLOOKUP($T1369,'Nghi hoc T12'!$H$7:$I$160,2,0),0)</f>
        <v>0</v>
      </c>
      <c r="V1369" s="28"/>
      <c r="W1369" s="28">
        <f t="shared" si="114"/>
        <v>0</v>
      </c>
      <c r="X1369" s="333">
        <f t="shared" si="115"/>
        <v>0</v>
      </c>
      <c r="Y1369" s="333">
        <f t="shared" si="116"/>
        <v>0</v>
      </c>
    </row>
    <row r="1370" spans="1:25" s="2" customFormat="1" ht="21.95" customHeight="1">
      <c r="A1370" s="200">
        <v>1</v>
      </c>
      <c r="B1370" s="91" t="s">
        <v>3371</v>
      </c>
      <c r="C1370" s="185" t="s">
        <v>365</v>
      </c>
      <c r="D1370" s="186" t="s">
        <v>523</v>
      </c>
      <c r="E1370" s="187">
        <v>101362</v>
      </c>
      <c r="F1370" s="188" t="s">
        <v>1423</v>
      </c>
      <c r="G1370" s="189" t="s">
        <v>8</v>
      </c>
      <c r="H1370" s="188" t="s">
        <v>459</v>
      </c>
      <c r="I1370" s="190"/>
      <c r="J1370" s="191"/>
      <c r="K1370" s="191"/>
      <c r="L1370" s="191"/>
      <c r="M1370" s="191"/>
      <c r="N1370" s="69" t="s">
        <v>256</v>
      </c>
      <c r="O1370" s="70">
        <v>0</v>
      </c>
      <c r="P1370" s="70">
        <v>0</v>
      </c>
      <c r="Q1370" s="70">
        <v>0</v>
      </c>
      <c r="R1370" s="70"/>
      <c r="S1370" s="67"/>
      <c r="T1370" s="2" t="str">
        <f t="shared" si="113"/>
        <v>Nguyễn Thị Thúy Hiền_12AS9</v>
      </c>
      <c r="U1370" s="28">
        <f t="array" ref="U1370">IFERROR(VLOOKUP($T1370,'Nghi hoc T12'!$H$7:$I$160,2,0),0)</f>
        <v>0</v>
      </c>
      <c r="V1370" s="28"/>
      <c r="W1370" s="28">
        <f t="shared" si="114"/>
        <v>0</v>
      </c>
      <c r="X1370" s="333">
        <f t="shared" si="115"/>
        <v>0</v>
      </c>
      <c r="Y1370" s="333">
        <f t="shared" si="116"/>
        <v>0</v>
      </c>
    </row>
    <row r="1371" spans="1:25" s="2" customFormat="1" ht="21.95" customHeight="1">
      <c r="A1371" s="82">
        <v>2</v>
      </c>
      <c r="B1371" s="91" t="s">
        <v>3371</v>
      </c>
      <c r="C1371" s="83" t="s">
        <v>365</v>
      </c>
      <c r="D1371" s="81" t="s">
        <v>523</v>
      </c>
      <c r="E1371" s="48">
        <v>101363</v>
      </c>
      <c r="F1371" s="30" t="s">
        <v>151</v>
      </c>
      <c r="G1371" s="29" t="s">
        <v>9</v>
      </c>
      <c r="H1371" s="30" t="s">
        <v>461</v>
      </c>
      <c r="I1371" s="78"/>
      <c r="J1371" s="20"/>
      <c r="K1371" s="20"/>
      <c r="L1371" s="20"/>
      <c r="M1371" s="20"/>
      <c r="N1371" s="69" t="s">
        <v>256</v>
      </c>
      <c r="O1371" s="70">
        <v>0</v>
      </c>
      <c r="P1371" s="70">
        <v>0</v>
      </c>
      <c r="Q1371" s="70">
        <v>0</v>
      </c>
      <c r="R1371" s="70"/>
      <c r="S1371" s="67"/>
      <c r="T1371" s="2" t="str">
        <f t="shared" si="113"/>
        <v>Nguyễn Hoàng Hiếu_12AS11</v>
      </c>
      <c r="U1371" s="28">
        <f t="array" ref="U1371">IFERROR(VLOOKUP($T1371,'Nghi hoc T12'!$H$7:$I$160,2,0),0)</f>
        <v>0</v>
      </c>
      <c r="V1371" s="28"/>
      <c r="W1371" s="28">
        <f t="shared" si="114"/>
        <v>0</v>
      </c>
      <c r="X1371" s="333">
        <f t="shared" si="115"/>
        <v>0</v>
      </c>
      <c r="Y1371" s="333">
        <f t="shared" si="116"/>
        <v>0</v>
      </c>
    </row>
    <row r="1372" spans="1:25" s="2" customFormat="1" ht="21.95" customHeight="1">
      <c r="A1372" s="82">
        <v>3</v>
      </c>
      <c r="B1372" s="91" t="s">
        <v>3371</v>
      </c>
      <c r="C1372" s="83" t="s">
        <v>365</v>
      </c>
      <c r="D1372" s="81" t="s">
        <v>523</v>
      </c>
      <c r="E1372" s="48">
        <v>101364</v>
      </c>
      <c r="F1372" s="30" t="s">
        <v>2012</v>
      </c>
      <c r="G1372" s="29" t="s">
        <v>9</v>
      </c>
      <c r="H1372" s="30" t="s">
        <v>461</v>
      </c>
      <c r="I1372" s="78"/>
      <c r="J1372" s="20"/>
      <c r="K1372" s="20"/>
      <c r="L1372" s="20"/>
      <c r="M1372" s="20"/>
      <c r="N1372" s="69" t="s">
        <v>256</v>
      </c>
      <c r="O1372" s="70">
        <v>0</v>
      </c>
      <c r="P1372" s="70">
        <v>0</v>
      </c>
      <c r="Q1372" s="70">
        <v>0</v>
      </c>
      <c r="R1372" s="70"/>
      <c r="S1372" s="67"/>
      <c r="T1372" s="2" t="str">
        <f t="shared" si="113"/>
        <v>Nguyễn Thị Trung Hiếu_12AS11</v>
      </c>
      <c r="U1372" s="28">
        <f t="array" ref="U1372">IFERROR(VLOOKUP($T1372,'Nghi hoc T12'!$H$7:$I$160,2,0),0)</f>
        <v>0</v>
      </c>
      <c r="V1372" s="28"/>
      <c r="W1372" s="28">
        <f t="shared" si="114"/>
        <v>0</v>
      </c>
      <c r="X1372" s="333">
        <f t="shared" si="115"/>
        <v>0</v>
      </c>
      <c r="Y1372" s="333">
        <f t="shared" si="116"/>
        <v>0</v>
      </c>
    </row>
    <row r="1373" spans="1:25" s="2" customFormat="1" ht="21.95" customHeight="1">
      <c r="A1373" s="82">
        <v>4</v>
      </c>
      <c r="B1373" s="91" t="s">
        <v>3371</v>
      </c>
      <c r="C1373" s="83" t="s">
        <v>365</v>
      </c>
      <c r="D1373" s="81" t="s">
        <v>523</v>
      </c>
      <c r="E1373" s="48">
        <v>101365</v>
      </c>
      <c r="F1373" s="30" t="s">
        <v>1271</v>
      </c>
      <c r="G1373" s="29" t="s">
        <v>9</v>
      </c>
      <c r="H1373" s="30" t="s">
        <v>463</v>
      </c>
      <c r="I1373" s="78"/>
      <c r="J1373" s="20"/>
      <c r="K1373" s="20"/>
      <c r="L1373" s="20"/>
      <c r="M1373" s="20"/>
      <c r="N1373" s="69" t="s">
        <v>256</v>
      </c>
      <c r="O1373" s="70">
        <v>0</v>
      </c>
      <c r="P1373" s="70">
        <v>0</v>
      </c>
      <c r="Q1373" s="70">
        <v>0</v>
      </c>
      <c r="R1373" s="70"/>
      <c r="S1373" s="67"/>
      <c r="T1373" s="2" t="str">
        <f t="shared" si="113"/>
        <v>Phạm Thành Hiếu_12AS10</v>
      </c>
      <c r="U1373" s="28">
        <f t="array" ref="U1373">IFERROR(VLOOKUP($T1373,'Nghi hoc T12'!$H$7:$I$160,2,0),0)</f>
        <v>0</v>
      </c>
      <c r="V1373" s="28"/>
      <c r="W1373" s="28">
        <f t="shared" si="114"/>
        <v>0</v>
      </c>
      <c r="X1373" s="333">
        <f t="shared" si="115"/>
        <v>0</v>
      </c>
      <c r="Y1373" s="333">
        <f t="shared" si="116"/>
        <v>0</v>
      </c>
    </row>
    <row r="1374" spans="1:25" s="2" customFormat="1" ht="21.95" customHeight="1">
      <c r="A1374" s="82">
        <v>5</v>
      </c>
      <c r="B1374" s="91" t="s">
        <v>3371</v>
      </c>
      <c r="C1374" s="83" t="s">
        <v>365</v>
      </c>
      <c r="D1374" s="81" t="s">
        <v>523</v>
      </c>
      <c r="E1374" s="48">
        <v>101366</v>
      </c>
      <c r="F1374" s="30" t="s">
        <v>265</v>
      </c>
      <c r="G1374" s="29" t="s">
        <v>1128</v>
      </c>
      <c r="H1374" s="30" t="s">
        <v>459</v>
      </c>
      <c r="I1374" s="78"/>
      <c r="J1374" s="20"/>
      <c r="K1374" s="20"/>
      <c r="L1374" s="20"/>
      <c r="M1374" s="20"/>
      <c r="N1374" s="69" t="s">
        <v>256</v>
      </c>
      <c r="O1374" s="70">
        <v>0</v>
      </c>
      <c r="P1374" s="70">
        <v>0</v>
      </c>
      <c r="Q1374" s="70">
        <v>0</v>
      </c>
      <c r="R1374" s="70"/>
      <c r="S1374" s="67"/>
      <c r="T1374" s="2" t="str">
        <f t="shared" si="113"/>
        <v>Hồ Thị Mỹ Hoa_12AS9</v>
      </c>
      <c r="U1374" s="28">
        <f t="array" ref="U1374">IFERROR(VLOOKUP($T1374,'Nghi hoc T12'!$H$7:$I$160,2,0),0)</f>
        <v>0</v>
      </c>
      <c r="V1374" s="28"/>
      <c r="W1374" s="28">
        <f t="shared" si="114"/>
        <v>0</v>
      </c>
      <c r="X1374" s="333">
        <f t="shared" si="115"/>
        <v>0</v>
      </c>
      <c r="Y1374" s="333">
        <f t="shared" si="116"/>
        <v>0</v>
      </c>
    </row>
    <row r="1375" spans="1:25" s="2" customFormat="1" ht="21.95" customHeight="1">
      <c r="A1375" s="82">
        <v>6</v>
      </c>
      <c r="B1375" s="91" t="s">
        <v>3371</v>
      </c>
      <c r="C1375" s="83" t="s">
        <v>365</v>
      </c>
      <c r="D1375" s="81" t="s">
        <v>523</v>
      </c>
      <c r="E1375" s="48">
        <v>101367</v>
      </c>
      <c r="F1375" s="30" t="s">
        <v>184</v>
      </c>
      <c r="G1375" s="29" t="s">
        <v>266</v>
      </c>
      <c r="H1375" s="30" t="s">
        <v>460</v>
      </c>
      <c r="I1375" s="78"/>
      <c r="J1375" s="20"/>
      <c r="K1375" s="20"/>
      <c r="L1375" s="20"/>
      <c r="M1375" s="20"/>
      <c r="N1375" s="69" t="s">
        <v>256</v>
      </c>
      <c r="O1375" s="70">
        <v>0</v>
      </c>
      <c r="P1375" s="70">
        <v>0</v>
      </c>
      <c r="Q1375" s="70">
        <v>0</v>
      </c>
      <c r="R1375" s="70"/>
      <c r="S1375" s="67"/>
      <c r="T1375" s="2" t="str">
        <f t="shared" si="113"/>
        <v>Nguyễn Duy Hoàn_12AS12</v>
      </c>
      <c r="U1375" s="28">
        <f t="array" ref="U1375">IFERROR(VLOOKUP($T1375,'Nghi hoc T12'!$H$7:$I$160,2,0),0)</f>
        <v>0</v>
      </c>
      <c r="V1375" s="28"/>
      <c r="W1375" s="28">
        <f t="shared" si="114"/>
        <v>0</v>
      </c>
      <c r="X1375" s="333">
        <f t="shared" si="115"/>
        <v>0</v>
      </c>
      <c r="Y1375" s="333">
        <f t="shared" si="116"/>
        <v>0</v>
      </c>
    </row>
    <row r="1376" spans="1:25" s="2" customFormat="1" ht="21.95" customHeight="1">
      <c r="A1376" s="82">
        <v>7</v>
      </c>
      <c r="B1376" s="91" t="s">
        <v>3371</v>
      </c>
      <c r="C1376" s="83" t="s">
        <v>365</v>
      </c>
      <c r="D1376" s="81" t="s">
        <v>523</v>
      </c>
      <c r="E1376" s="48">
        <v>101368</v>
      </c>
      <c r="F1376" s="30" t="s">
        <v>234</v>
      </c>
      <c r="G1376" s="29" t="s">
        <v>10</v>
      </c>
      <c r="H1376" s="30" t="s">
        <v>463</v>
      </c>
      <c r="I1376" s="78"/>
      <c r="J1376" s="20"/>
      <c r="K1376" s="20"/>
      <c r="L1376" s="20"/>
      <c r="M1376" s="20"/>
      <c r="N1376" s="69" t="s">
        <v>256</v>
      </c>
      <c r="O1376" s="70">
        <v>0</v>
      </c>
      <c r="P1376" s="70">
        <v>0</v>
      </c>
      <c r="Q1376" s="70">
        <v>0</v>
      </c>
      <c r="R1376" s="70"/>
      <c r="S1376" s="67"/>
      <c r="T1376" s="2" t="str">
        <f t="shared" si="113"/>
        <v>Nguyễn Trọng Hoàng_12AS10</v>
      </c>
      <c r="U1376" s="28">
        <f t="array" ref="U1376">IFERROR(VLOOKUP($T1376,'Nghi hoc T12'!$H$7:$I$160,2,0),0)</f>
        <v>0</v>
      </c>
      <c r="V1376" s="28"/>
      <c r="W1376" s="28">
        <f t="shared" si="114"/>
        <v>0</v>
      </c>
      <c r="X1376" s="333">
        <f t="shared" si="115"/>
        <v>0</v>
      </c>
      <c r="Y1376" s="333">
        <f t="shared" si="116"/>
        <v>0</v>
      </c>
    </row>
    <row r="1377" spans="1:25" s="2" customFormat="1" ht="21.95" customHeight="1">
      <c r="A1377" s="82">
        <v>8</v>
      </c>
      <c r="B1377" s="91" t="s">
        <v>3371</v>
      </c>
      <c r="C1377" s="83" t="s">
        <v>365</v>
      </c>
      <c r="D1377" s="81" t="s">
        <v>523</v>
      </c>
      <c r="E1377" s="48">
        <v>101369</v>
      </c>
      <c r="F1377" s="30" t="s">
        <v>2035</v>
      </c>
      <c r="G1377" s="29" t="s">
        <v>100</v>
      </c>
      <c r="H1377" s="30" t="s">
        <v>460</v>
      </c>
      <c r="I1377" s="78"/>
      <c r="J1377" s="20"/>
      <c r="K1377" s="20"/>
      <c r="L1377" s="20"/>
      <c r="M1377" s="20"/>
      <c r="N1377" s="69" t="s">
        <v>256</v>
      </c>
      <c r="O1377" s="70">
        <v>0</v>
      </c>
      <c r="P1377" s="70">
        <v>0</v>
      </c>
      <c r="Q1377" s="70">
        <v>0</v>
      </c>
      <c r="R1377" s="70"/>
      <c r="S1377" s="67"/>
      <c r="T1377" s="2" t="str">
        <f t="shared" si="113"/>
        <v>Nguyễn Huy Hùng_12AS12</v>
      </c>
      <c r="U1377" s="28">
        <f t="array" ref="U1377">IFERROR(VLOOKUP($T1377,'Nghi hoc T12'!$H$7:$I$160,2,0),0)</f>
        <v>0</v>
      </c>
      <c r="V1377" s="28"/>
      <c r="W1377" s="28">
        <f t="shared" si="114"/>
        <v>0</v>
      </c>
      <c r="X1377" s="333">
        <f t="shared" si="115"/>
        <v>0</v>
      </c>
      <c r="Y1377" s="333">
        <f t="shared" si="116"/>
        <v>0</v>
      </c>
    </row>
    <row r="1378" spans="1:25" s="2" customFormat="1" ht="21.95" customHeight="1">
      <c r="A1378" s="82">
        <v>9</v>
      </c>
      <c r="B1378" s="91" t="s">
        <v>3371</v>
      </c>
      <c r="C1378" s="83" t="s">
        <v>365</v>
      </c>
      <c r="D1378" s="81" t="s">
        <v>523</v>
      </c>
      <c r="E1378" s="48">
        <v>101370</v>
      </c>
      <c r="F1378" s="30" t="s">
        <v>277</v>
      </c>
      <c r="G1378" s="29" t="s">
        <v>11</v>
      </c>
      <c r="H1378" s="30" t="s">
        <v>460</v>
      </c>
      <c r="I1378" s="78"/>
      <c r="J1378" s="20"/>
      <c r="K1378" s="20"/>
      <c r="L1378" s="20"/>
      <c r="M1378" s="20"/>
      <c r="N1378" s="69" t="s">
        <v>256</v>
      </c>
      <c r="O1378" s="70">
        <v>0</v>
      </c>
      <c r="P1378" s="70">
        <v>0</v>
      </c>
      <c r="Q1378" s="70">
        <v>0</v>
      </c>
      <c r="R1378" s="70"/>
      <c r="S1378" s="67"/>
      <c r="T1378" s="2" t="str">
        <f t="shared" si="113"/>
        <v>Ngô Gia Huy_12AS12</v>
      </c>
      <c r="U1378" s="28">
        <f t="array" ref="U1378">IFERROR(VLOOKUP($T1378,'Nghi hoc T12'!$H$7:$I$160,2,0),0)</f>
        <v>0</v>
      </c>
      <c r="V1378" s="28"/>
      <c r="W1378" s="28">
        <f t="shared" si="114"/>
        <v>0</v>
      </c>
      <c r="X1378" s="333">
        <f t="shared" si="115"/>
        <v>0</v>
      </c>
      <c r="Y1378" s="333">
        <f t="shared" si="116"/>
        <v>0</v>
      </c>
    </row>
    <row r="1379" spans="1:25" s="2" customFormat="1" ht="21.95" customHeight="1">
      <c r="A1379" s="82">
        <v>10</v>
      </c>
      <c r="B1379" s="91" t="s">
        <v>3371</v>
      </c>
      <c r="C1379" s="83" t="s">
        <v>365</v>
      </c>
      <c r="D1379" s="81" t="s">
        <v>523</v>
      </c>
      <c r="E1379" s="48">
        <v>101371</v>
      </c>
      <c r="F1379" s="30" t="s">
        <v>1987</v>
      </c>
      <c r="G1379" s="29" t="s">
        <v>91</v>
      </c>
      <c r="H1379" s="30" t="s">
        <v>463</v>
      </c>
      <c r="I1379" s="78"/>
      <c r="J1379" s="20"/>
      <c r="K1379" s="20"/>
      <c r="L1379" s="20"/>
      <c r="M1379" s="20"/>
      <c r="N1379" s="69" t="s">
        <v>256</v>
      </c>
      <c r="O1379" s="70">
        <v>0</v>
      </c>
      <c r="P1379" s="70">
        <v>0</v>
      </c>
      <c r="Q1379" s="70">
        <v>0</v>
      </c>
      <c r="R1379" s="70"/>
      <c r="S1379" s="67"/>
      <c r="T1379" s="2" t="str">
        <f t="shared" si="113"/>
        <v>Đoàn Khánh Hưng_12AS10</v>
      </c>
      <c r="U1379" s="28">
        <f t="array" ref="U1379">IFERROR(VLOOKUP($T1379,'Nghi hoc T12'!$H$7:$I$160,2,0),0)</f>
        <v>0</v>
      </c>
      <c r="V1379" s="28"/>
      <c r="W1379" s="28">
        <f t="shared" si="114"/>
        <v>0</v>
      </c>
      <c r="X1379" s="333">
        <f t="shared" si="115"/>
        <v>0</v>
      </c>
      <c r="Y1379" s="333">
        <f t="shared" si="116"/>
        <v>0</v>
      </c>
    </row>
    <row r="1380" spans="1:25" s="2" customFormat="1" ht="21.95" customHeight="1">
      <c r="A1380" s="82">
        <v>11</v>
      </c>
      <c r="B1380" s="91" t="s">
        <v>3371</v>
      </c>
      <c r="C1380" s="83" t="s">
        <v>365</v>
      </c>
      <c r="D1380" s="81" t="s">
        <v>523</v>
      </c>
      <c r="E1380" s="48">
        <v>101372</v>
      </c>
      <c r="F1380" s="30" t="s">
        <v>2013</v>
      </c>
      <c r="G1380" s="29" t="s">
        <v>54</v>
      </c>
      <c r="H1380" s="30" t="s">
        <v>461</v>
      </c>
      <c r="I1380" s="78"/>
      <c r="J1380" s="20"/>
      <c r="K1380" s="20"/>
      <c r="L1380" s="20"/>
      <c r="M1380" s="20"/>
      <c r="N1380" s="69" t="s">
        <v>256</v>
      </c>
      <c r="O1380" s="70">
        <v>0</v>
      </c>
      <c r="P1380" s="70">
        <v>0</v>
      </c>
      <c r="Q1380" s="70">
        <v>0</v>
      </c>
      <c r="R1380" s="70"/>
      <c r="S1380" s="67"/>
      <c r="T1380" s="2" t="str">
        <f t="shared" si="113"/>
        <v>Nguyễn Huỳnh Trầm Hương_12AS11</v>
      </c>
      <c r="U1380" s="28">
        <f t="array" ref="U1380">IFERROR(VLOOKUP($T1380,'Nghi hoc T12'!$H$7:$I$160,2,0),0)</f>
        <v>0</v>
      </c>
      <c r="V1380" s="28"/>
      <c r="W1380" s="28">
        <f t="shared" si="114"/>
        <v>0</v>
      </c>
      <c r="X1380" s="333">
        <f t="shared" si="115"/>
        <v>0</v>
      </c>
      <c r="Y1380" s="333">
        <f t="shared" si="116"/>
        <v>0</v>
      </c>
    </row>
    <row r="1381" spans="1:25" s="2" customFormat="1" ht="21.95" customHeight="1">
      <c r="A1381" s="82">
        <v>12</v>
      </c>
      <c r="B1381" s="91" t="s">
        <v>3371</v>
      </c>
      <c r="C1381" s="83" t="s">
        <v>365</v>
      </c>
      <c r="D1381" s="81" t="s">
        <v>523</v>
      </c>
      <c r="E1381" s="48">
        <v>101373</v>
      </c>
      <c r="F1381" s="30" t="s">
        <v>1988</v>
      </c>
      <c r="G1381" s="29" t="s">
        <v>94</v>
      </c>
      <c r="H1381" s="30" t="s">
        <v>463</v>
      </c>
      <c r="I1381" s="78"/>
      <c r="J1381" s="20"/>
      <c r="K1381" s="20"/>
      <c r="L1381" s="20"/>
      <c r="M1381" s="20"/>
      <c r="N1381" s="69" t="s">
        <v>256</v>
      </c>
      <c r="O1381" s="70">
        <v>0</v>
      </c>
      <c r="P1381" s="70">
        <v>0</v>
      </c>
      <c r="Q1381" s="70">
        <v>0</v>
      </c>
      <c r="R1381" s="70"/>
      <c r="S1381" s="67"/>
      <c r="T1381" s="2" t="str">
        <f t="shared" si="113"/>
        <v>Hồ Đắc Khánh_12AS10</v>
      </c>
      <c r="U1381" s="28">
        <f t="array" ref="U1381">IFERROR(VLOOKUP($T1381,'Nghi hoc T12'!$H$7:$I$160,2,0),0)</f>
        <v>0</v>
      </c>
      <c r="V1381" s="28"/>
      <c r="W1381" s="28">
        <f t="shared" si="114"/>
        <v>0</v>
      </c>
      <c r="X1381" s="333">
        <f t="shared" si="115"/>
        <v>0</v>
      </c>
      <c r="Y1381" s="333">
        <f t="shared" si="116"/>
        <v>0</v>
      </c>
    </row>
    <row r="1382" spans="1:25" s="2" customFormat="1" ht="21.95" customHeight="1">
      <c r="A1382" s="82">
        <v>13</v>
      </c>
      <c r="B1382" s="91" t="s">
        <v>3371</v>
      </c>
      <c r="C1382" s="83" t="s">
        <v>365</v>
      </c>
      <c r="D1382" s="81" t="s">
        <v>523</v>
      </c>
      <c r="E1382" s="48">
        <v>101374</v>
      </c>
      <c r="F1382" s="30" t="s">
        <v>2014</v>
      </c>
      <c r="G1382" s="29" t="s">
        <v>55</v>
      </c>
      <c r="H1382" s="30" t="s">
        <v>461</v>
      </c>
      <c r="I1382" s="78"/>
      <c r="J1382" s="20"/>
      <c r="K1382" s="20"/>
      <c r="L1382" s="20"/>
      <c r="M1382" s="20"/>
      <c r="N1382" s="69" t="s">
        <v>256</v>
      </c>
      <c r="O1382" s="70">
        <v>0</v>
      </c>
      <c r="P1382" s="70">
        <v>0</v>
      </c>
      <c r="Q1382" s="70">
        <v>0</v>
      </c>
      <c r="R1382" s="70"/>
      <c r="S1382" s="67"/>
      <c r="T1382" s="2" t="str">
        <f t="shared" si="113"/>
        <v>Lê Hoàng Đăng Khoa_12AS11</v>
      </c>
      <c r="U1382" s="28">
        <f t="array" ref="U1382">IFERROR(VLOOKUP($T1382,'Nghi hoc T12'!$H$7:$I$160,2,0),0)</f>
        <v>0</v>
      </c>
      <c r="V1382" s="28"/>
      <c r="W1382" s="28">
        <f t="shared" si="114"/>
        <v>0</v>
      </c>
      <c r="X1382" s="333">
        <f t="shared" si="115"/>
        <v>0</v>
      </c>
      <c r="Y1382" s="333">
        <f t="shared" si="116"/>
        <v>0</v>
      </c>
    </row>
    <row r="1383" spans="1:25" s="2" customFormat="1" ht="21.95" customHeight="1">
      <c r="A1383" s="82">
        <v>14</v>
      </c>
      <c r="B1383" s="91" t="s">
        <v>3371</v>
      </c>
      <c r="C1383" s="83" t="s">
        <v>365</v>
      </c>
      <c r="D1383" s="81" t="s">
        <v>523</v>
      </c>
      <c r="E1383" s="48">
        <v>101375</v>
      </c>
      <c r="F1383" s="30" t="s">
        <v>2036</v>
      </c>
      <c r="G1383" s="29" t="s">
        <v>55</v>
      </c>
      <c r="H1383" s="30" t="s">
        <v>460</v>
      </c>
      <c r="I1383" s="78"/>
      <c r="J1383" s="20"/>
      <c r="K1383" s="20"/>
      <c r="L1383" s="20"/>
      <c r="M1383" s="20"/>
      <c r="N1383" s="69" t="s">
        <v>256</v>
      </c>
      <c r="O1383" s="70">
        <v>0</v>
      </c>
      <c r="P1383" s="70">
        <v>0</v>
      </c>
      <c r="Q1383" s="70">
        <v>0</v>
      </c>
      <c r="R1383" s="70"/>
      <c r="S1383" s="67"/>
      <c r="T1383" s="2" t="str">
        <f t="shared" si="113"/>
        <v>Nguyễn Huỳnh Đăng Khoa_12AS12</v>
      </c>
      <c r="U1383" s="28">
        <f t="array" ref="U1383">IFERROR(VLOOKUP($T1383,'Nghi hoc T12'!$H$7:$I$160,2,0),0)</f>
        <v>0</v>
      </c>
      <c r="V1383" s="28"/>
      <c r="W1383" s="28">
        <f t="shared" si="114"/>
        <v>0</v>
      </c>
      <c r="X1383" s="333">
        <f t="shared" si="115"/>
        <v>0</v>
      </c>
      <c r="Y1383" s="333">
        <f t="shared" si="116"/>
        <v>0</v>
      </c>
    </row>
    <row r="1384" spans="1:25" s="2" customFormat="1" ht="21.95" customHeight="1">
      <c r="A1384" s="82">
        <v>15</v>
      </c>
      <c r="B1384" s="91" t="s">
        <v>3371</v>
      </c>
      <c r="C1384" s="83" t="s">
        <v>365</v>
      </c>
      <c r="D1384" s="81" t="s">
        <v>523</v>
      </c>
      <c r="E1384" s="48">
        <v>101376</v>
      </c>
      <c r="F1384" s="30" t="s">
        <v>2037</v>
      </c>
      <c r="G1384" s="29" t="s">
        <v>13</v>
      </c>
      <c r="H1384" s="30" t="s">
        <v>460</v>
      </c>
      <c r="I1384" s="78"/>
      <c r="J1384" s="20"/>
      <c r="K1384" s="20"/>
      <c r="L1384" s="20"/>
      <c r="M1384" s="20"/>
      <c r="N1384" s="69" t="s">
        <v>256</v>
      </c>
      <c r="O1384" s="70">
        <v>0</v>
      </c>
      <c r="P1384" s="70">
        <v>0</v>
      </c>
      <c r="Q1384" s="70">
        <v>0</v>
      </c>
      <c r="R1384" s="70"/>
      <c r="S1384" s="67"/>
      <c r="T1384" s="2" t="str">
        <f t="shared" si="113"/>
        <v>Bạch Ngọc Duy Khôi_12AS12</v>
      </c>
      <c r="U1384" s="28">
        <f t="array" ref="U1384">IFERROR(VLOOKUP($T1384,'Nghi hoc T12'!$H$7:$I$160,2,0),0)</f>
        <v>0</v>
      </c>
      <c r="V1384" s="28"/>
      <c r="W1384" s="28">
        <f t="shared" si="114"/>
        <v>0</v>
      </c>
      <c r="X1384" s="333">
        <f t="shared" si="115"/>
        <v>0</v>
      </c>
      <c r="Y1384" s="333">
        <f t="shared" si="116"/>
        <v>0</v>
      </c>
    </row>
    <row r="1385" spans="1:25" s="2" customFormat="1" ht="21.95" customHeight="1">
      <c r="A1385" s="82">
        <v>16</v>
      </c>
      <c r="B1385" s="91" t="s">
        <v>3371</v>
      </c>
      <c r="C1385" s="83" t="s">
        <v>365</v>
      </c>
      <c r="D1385" s="81" t="s">
        <v>523</v>
      </c>
      <c r="E1385" s="48">
        <v>101377</v>
      </c>
      <c r="F1385" s="30" t="s">
        <v>1960</v>
      </c>
      <c r="G1385" s="29" t="s">
        <v>1132</v>
      </c>
      <c r="H1385" s="30" t="s">
        <v>459</v>
      </c>
      <c r="I1385" s="78"/>
      <c r="J1385" s="20"/>
      <c r="K1385" s="20"/>
      <c r="L1385" s="20"/>
      <c r="M1385" s="20"/>
      <c r="N1385" s="69" t="s">
        <v>256</v>
      </c>
      <c r="O1385" s="70">
        <v>0</v>
      </c>
      <c r="P1385" s="70">
        <v>0</v>
      </c>
      <c r="Q1385" s="70">
        <v>0</v>
      </c>
      <c r="R1385" s="70"/>
      <c r="S1385" s="67"/>
      <c r="T1385" s="2" t="str">
        <f t="shared" si="113"/>
        <v>Nguyễn Phan Minh Kiên_12AS9</v>
      </c>
      <c r="U1385" s="28">
        <f t="array" ref="U1385">IFERROR(VLOOKUP($T1385,'Nghi hoc T12'!$H$7:$I$160,2,0),0)</f>
        <v>0</v>
      </c>
      <c r="V1385" s="28"/>
      <c r="W1385" s="28">
        <f t="shared" si="114"/>
        <v>0</v>
      </c>
      <c r="X1385" s="333">
        <f t="shared" si="115"/>
        <v>0</v>
      </c>
      <c r="Y1385" s="333">
        <f t="shared" si="116"/>
        <v>0</v>
      </c>
    </row>
    <row r="1386" spans="1:25" s="2" customFormat="1" ht="21.95" customHeight="1">
      <c r="A1386" s="82">
        <v>17</v>
      </c>
      <c r="B1386" s="91" t="s">
        <v>3371</v>
      </c>
      <c r="C1386" s="83" t="s">
        <v>365</v>
      </c>
      <c r="D1386" s="81" t="s">
        <v>523</v>
      </c>
      <c r="E1386" s="48">
        <v>101378</v>
      </c>
      <c r="F1386" s="30" t="s">
        <v>1961</v>
      </c>
      <c r="G1386" s="29" t="s">
        <v>68</v>
      </c>
      <c r="H1386" s="30" t="s">
        <v>459</v>
      </c>
      <c r="I1386" s="78"/>
      <c r="J1386" s="20"/>
      <c r="K1386" s="20"/>
      <c r="L1386" s="20"/>
      <c r="M1386" s="20"/>
      <c r="N1386" s="69" t="s">
        <v>256</v>
      </c>
      <c r="O1386" s="70">
        <v>0</v>
      </c>
      <c r="P1386" s="70">
        <v>0</v>
      </c>
      <c r="Q1386" s="70">
        <v>0</v>
      </c>
      <c r="R1386" s="70"/>
      <c r="S1386" s="67"/>
      <c r="T1386" s="2" t="str">
        <f t="shared" si="113"/>
        <v>Phạm Anh Kiệt_12AS9</v>
      </c>
      <c r="U1386" s="28">
        <f t="array" ref="U1386">IFERROR(VLOOKUP($T1386,'Nghi hoc T12'!$H$7:$I$160,2,0),0)</f>
        <v>0</v>
      </c>
      <c r="V1386" s="28"/>
      <c r="W1386" s="28">
        <f t="shared" si="114"/>
        <v>0</v>
      </c>
      <c r="X1386" s="333">
        <f t="shared" si="115"/>
        <v>0</v>
      </c>
      <c r="Y1386" s="333">
        <f t="shared" si="116"/>
        <v>0</v>
      </c>
    </row>
    <row r="1387" spans="1:25" s="2" customFormat="1" ht="21.95" customHeight="1">
      <c r="A1387" s="82">
        <v>18</v>
      </c>
      <c r="B1387" s="91" t="s">
        <v>3371</v>
      </c>
      <c r="C1387" s="83" t="s">
        <v>365</v>
      </c>
      <c r="D1387" s="81" t="s">
        <v>523</v>
      </c>
      <c r="E1387" s="48">
        <v>101379</v>
      </c>
      <c r="F1387" s="30" t="s">
        <v>1586</v>
      </c>
      <c r="G1387" s="29" t="s">
        <v>86</v>
      </c>
      <c r="H1387" s="30" t="s">
        <v>459</v>
      </c>
      <c r="I1387" s="78"/>
      <c r="J1387" s="20"/>
      <c r="K1387" s="20"/>
      <c r="L1387" s="20"/>
      <c r="M1387" s="20"/>
      <c r="N1387" s="69" t="s">
        <v>256</v>
      </c>
      <c r="O1387" s="70">
        <v>0</v>
      </c>
      <c r="P1387" s="70">
        <v>0</v>
      </c>
      <c r="Q1387" s="70">
        <v>0</v>
      </c>
      <c r="R1387" s="70"/>
      <c r="S1387" s="67"/>
      <c r="T1387" s="2" t="str">
        <f t="shared" si="113"/>
        <v>Phạm Thiên Kim_12AS9</v>
      </c>
      <c r="U1387" s="28">
        <f t="array" ref="U1387">IFERROR(VLOOKUP($T1387,'Nghi hoc T12'!$H$7:$I$160,2,0),0)</f>
        <v>0</v>
      </c>
      <c r="V1387" s="28"/>
      <c r="W1387" s="28">
        <f t="shared" si="114"/>
        <v>0</v>
      </c>
      <c r="X1387" s="333">
        <f t="shared" si="115"/>
        <v>0</v>
      </c>
      <c r="Y1387" s="333">
        <f t="shared" si="116"/>
        <v>0</v>
      </c>
    </row>
    <row r="1388" spans="1:25" s="2" customFormat="1" ht="21.95" customHeight="1">
      <c r="A1388" s="82">
        <v>19</v>
      </c>
      <c r="B1388" s="91" t="s">
        <v>3371</v>
      </c>
      <c r="C1388" s="83" t="s">
        <v>365</v>
      </c>
      <c r="D1388" s="81" t="s">
        <v>523</v>
      </c>
      <c r="E1388" s="48">
        <v>101380</v>
      </c>
      <c r="F1388" s="30" t="s">
        <v>1152</v>
      </c>
      <c r="G1388" s="29" t="s">
        <v>278</v>
      </c>
      <c r="H1388" s="30" t="s">
        <v>463</v>
      </c>
      <c r="I1388" s="78"/>
      <c r="J1388" s="20"/>
      <c r="K1388" s="20"/>
      <c r="L1388" s="20"/>
      <c r="M1388" s="20"/>
      <c r="N1388" s="69" t="s">
        <v>256</v>
      </c>
      <c r="O1388" s="70">
        <v>0</v>
      </c>
      <c r="P1388" s="70">
        <v>0</v>
      </c>
      <c r="Q1388" s="70">
        <v>0</v>
      </c>
      <c r="R1388" s="70"/>
      <c r="S1388" s="67"/>
      <c r="T1388" s="2" t="str">
        <f t="shared" si="113"/>
        <v>Mai Hồng Lam_12AS10</v>
      </c>
      <c r="U1388" s="28">
        <f t="array" ref="U1388">IFERROR(VLOOKUP($T1388,'Nghi hoc T12'!$H$7:$I$160,2,0),0)</f>
        <v>0</v>
      </c>
      <c r="V1388" s="28"/>
      <c r="W1388" s="28">
        <f t="shared" si="114"/>
        <v>0</v>
      </c>
      <c r="X1388" s="333">
        <f t="shared" si="115"/>
        <v>0</v>
      </c>
      <c r="Y1388" s="333">
        <f t="shared" si="116"/>
        <v>0</v>
      </c>
    </row>
    <row r="1389" spans="1:25" s="2" customFormat="1" ht="21.95" customHeight="1">
      <c r="A1389" s="82">
        <v>20</v>
      </c>
      <c r="B1389" s="91" t="s">
        <v>3371</v>
      </c>
      <c r="C1389" s="83" t="s">
        <v>365</v>
      </c>
      <c r="D1389" s="81" t="s">
        <v>523</v>
      </c>
      <c r="E1389" s="48">
        <v>101381</v>
      </c>
      <c r="F1389" s="30" t="s">
        <v>2015</v>
      </c>
      <c r="G1389" s="29" t="s">
        <v>92</v>
      </c>
      <c r="H1389" s="30" t="s">
        <v>461</v>
      </c>
      <c r="I1389" s="78"/>
      <c r="J1389" s="20"/>
      <c r="K1389" s="20"/>
      <c r="L1389" s="20"/>
      <c r="M1389" s="20"/>
      <c r="N1389" s="69" t="s">
        <v>256</v>
      </c>
      <c r="O1389" s="70">
        <v>0</v>
      </c>
      <c r="P1389" s="70">
        <v>0</v>
      </c>
      <c r="Q1389" s="70">
        <v>0</v>
      </c>
      <c r="R1389" s="70"/>
      <c r="S1389" s="67"/>
      <c r="T1389" s="2" t="str">
        <f t="shared" si="113"/>
        <v>Huỳnh Ngọc Vũ Lâm_12AS11</v>
      </c>
      <c r="U1389" s="28">
        <f t="array" ref="U1389">IFERROR(VLOOKUP($T1389,'Nghi hoc T12'!$H$7:$I$160,2,0),0)</f>
        <v>0</v>
      </c>
      <c r="V1389" s="28"/>
      <c r="W1389" s="28">
        <f t="shared" si="114"/>
        <v>0</v>
      </c>
      <c r="X1389" s="333">
        <f t="shared" si="115"/>
        <v>0</v>
      </c>
      <c r="Y1389" s="333">
        <f t="shared" si="116"/>
        <v>0</v>
      </c>
    </row>
    <row r="1390" spans="1:25" s="2" customFormat="1" ht="21.95" customHeight="1">
      <c r="A1390" s="82">
        <v>21</v>
      </c>
      <c r="B1390" s="91" t="s">
        <v>3371</v>
      </c>
      <c r="C1390" s="83" t="s">
        <v>365</v>
      </c>
      <c r="D1390" s="81" t="s">
        <v>523</v>
      </c>
      <c r="E1390" s="48">
        <v>101382</v>
      </c>
      <c r="F1390" s="30" t="s">
        <v>1989</v>
      </c>
      <c r="G1390" s="29" t="s">
        <v>92</v>
      </c>
      <c r="H1390" s="30" t="s">
        <v>463</v>
      </c>
      <c r="I1390" s="78"/>
      <c r="J1390" s="20"/>
      <c r="K1390" s="20"/>
      <c r="L1390" s="20"/>
      <c r="M1390" s="20"/>
      <c r="N1390" s="69" t="s">
        <v>256</v>
      </c>
      <c r="O1390" s="70">
        <v>0</v>
      </c>
      <c r="P1390" s="70">
        <v>0</v>
      </c>
      <c r="Q1390" s="70">
        <v>0</v>
      </c>
      <c r="R1390" s="70"/>
      <c r="S1390" s="67"/>
      <c r="T1390" s="2" t="str">
        <f t="shared" si="113"/>
        <v>Phạm Mạnh Tùng Lâm_12AS10</v>
      </c>
      <c r="U1390" s="28">
        <f t="array" ref="U1390">IFERROR(VLOOKUP($T1390,'Nghi hoc T12'!$H$7:$I$160,2,0),0)</f>
        <v>0</v>
      </c>
      <c r="V1390" s="28"/>
      <c r="W1390" s="28">
        <f t="shared" si="114"/>
        <v>0</v>
      </c>
      <c r="X1390" s="333">
        <f t="shared" si="115"/>
        <v>0</v>
      </c>
      <c r="Y1390" s="333">
        <f t="shared" si="116"/>
        <v>0</v>
      </c>
    </row>
    <row r="1391" spans="1:25" s="2" customFormat="1" ht="21.95" customHeight="1">
      <c r="A1391" s="82">
        <v>22</v>
      </c>
      <c r="B1391" s="91" t="s">
        <v>3371</v>
      </c>
      <c r="C1391" s="83" t="s">
        <v>365</v>
      </c>
      <c r="D1391" s="81" t="s">
        <v>523</v>
      </c>
      <c r="E1391" s="48">
        <v>101383</v>
      </c>
      <c r="F1391" s="30" t="s">
        <v>1962</v>
      </c>
      <c r="G1391" s="29" t="s">
        <v>92</v>
      </c>
      <c r="H1391" s="30" t="s">
        <v>459</v>
      </c>
      <c r="I1391" s="78"/>
      <c r="J1391" s="20"/>
      <c r="K1391" s="20"/>
      <c r="L1391" s="20"/>
      <c r="M1391" s="20"/>
      <c r="N1391" s="69" t="s">
        <v>256</v>
      </c>
      <c r="O1391" s="70">
        <v>0</v>
      </c>
      <c r="P1391" s="70">
        <v>0</v>
      </c>
      <c r="Q1391" s="70">
        <v>0</v>
      </c>
      <c r="R1391" s="70"/>
      <c r="S1391" s="67"/>
      <c r="T1391" s="2" t="str">
        <f t="shared" si="113"/>
        <v>Trần Tùng Lâm_12AS9</v>
      </c>
      <c r="U1391" s="28">
        <f t="array" ref="U1391">IFERROR(VLOOKUP($T1391,'Nghi hoc T12'!$H$7:$I$160,2,0),0)</f>
        <v>0</v>
      </c>
      <c r="V1391" s="28"/>
      <c r="W1391" s="28">
        <f t="shared" si="114"/>
        <v>0</v>
      </c>
      <c r="X1391" s="333">
        <f t="shared" si="115"/>
        <v>0</v>
      </c>
      <c r="Y1391" s="333">
        <f t="shared" si="116"/>
        <v>0</v>
      </c>
    </row>
    <row r="1392" spans="1:25" s="2" customFormat="1" ht="21.95" customHeight="1">
      <c r="A1392" s="82">
        <v>23</v>
      </c>
      <c r="B1392" s="91" t="s">
        <v>3371</v>
      </c>
      <c r="C1392" s="83" t="s">
        <v>365</v>
      </c>
      <c r="D1392" s="81" t="s">
        <v>523</v>
      </c>
      <c r="E1392" s="48">
        <v>101384</v>
      </c>
      <c r="F1392" s="30" t="s">
        <v>247</v>
      </c>
      <c r="G1392" s="29" t="s">
        <v>38</v>
      </c>
      <c r="H1392" s="30" t="s">
        <v>460</v>
      </c>
      <c r="I1392" s="78"/>
      <c r="J1392" s="20"/>
      <c r="K1392" s="20"/>
      <c r="L1392" s="20"/>
      <c r="M1392" s="20"/>
      <c r="N1392" s="69" t="s">
        <v>256</v>
      </c>
      <c r="O1392" s="70">
        <v>0</v>
      </c>
      <c r="P1392" s="70">
        <v>0</v>
      </c>
      <c r="Q1392" s="70">
        <v>0</v>
      </c>
      <c r="R1392" s="70"/>
      <c r="S1392" s="67"/>
      <c r="T1392" s="2" t="str">
        <f t="shared" si="113"/>
        <v>Lê Thùy Linh_12AS12</v>
      </c>
      <c r="U1392" s="28">
        <f t="array" ref="U1392">IFERROR(VLOOKUP($T1392,'Nghi hoc T12'!$H$7:$I$160,2,0),0)</f>
        <v>0</v>
      </c>
      <c r="V1392" s="28"/>
      <c r="W1392" s="28">
        <f t="shared" si="114"/>
        <v>0</v>
      </c>
      <c r="X1392" s="333">
        <f t="shared" si="115"/>
        <v>0</v>
      </c>
      <c r="Y1392" s="333">
        <f t="shared" si="116"/>
        <v>0</v>
      </c>
    </row>
    <row r="1393" spans="1:25" s="2" customFormat="1" ht="21.95" customHeight="1">
      <c r="A1393" s="82">
        <v>24</v>
      </c>
      <c r="B1393" s="91" t="s">
        <v>3371</v>
      </c>
      <c r="C1393" s="83" t="s">
        <v>365</v>
      </c>
      <c r="D1393" s="81" t="s">
        <v>523</v>
      </c>
      <c r="E1393" s="48">
        <v>101385</v>
      </c>
      <c r="F1393" s="30" t="s">
        <v>2016</v>
      </c>
      <c r="G1393" s="29" t="s">
        <v>38</v>
      </c>
      <c r="H1393" s="30" t="s">
        <v>461</v>
      </c>
      <c r="I1393" s="78"/>
      <c r="J1393" s="20"/>
      <c r="K1393" s="20"/>
      <c r="L1393" s="20"/>
      <c r="M1393" s="20"/>
      <c r="N1393" s="69" t="s">
        <v>256</v>
      </c>
      <c r="O1393" s="70">
        <v>0</v>
      </c>
      <c r="P1393" s="70">
        <v>0</v>
      </c>
      <c r="Q1393" s="70">
        <v>0</v>
      </c>
      <c r="R1393" s="70"/>
      <c r="S1393" s="67"/>
      <c r="T1393" s="2" t="str">
        <f t="shared" si="113"/>
        <v>Lê Vũ Ánh Linh_12AS11</v>
      </c>
      <c r="U1393" s="28">
        <f t="array" ref="U1393">IFERROR(VLOOKUP($T1393,'Nghi hoc T12'!$H$7:$I$160,2,0),0)</f>
        <v>0</v>
      </c>
      <c r="V1393" s="28"/>
      <c r="W1393" s="28">
        <f t="shared" si="114"/>
        <v>0</v>
      </c>
      <c r="X1393" s="333">
        <f t="shared" si="115"/>
        <v>0</v>
      </c>
      <c r="Y1393" s="333">
        <f t="shared" si="116"/>
        <v>0</v>
      </c>
    </row>
    <row r="1394" spans="1:25" s="2" customFormat="1" ht="21.95" customHeight="1">
      <c r="A1394" s="82">
        <v>25</v>
      </c>
      <c r="B1394" s="91" t="s">
        <v>3371</v>
      </c>
      <c r="C1394" s="83" t="s">
        <v>365</v>
      </c>
      <c r="D1394" s="81" t="s">
        <v>523</v>
      </c>
      <c r="E1394" s="48">
        <v>101386</v>
      </c>
      <c r="F1394" s="30" t="s">
        <v>268</v>
      </c>
      <c r="G1394" s="29" t="s">
        <v>38</v>
      </c>
      <c r="H1394" s="30" t="s">
        <v>463</v>
      </c>
      <c r="I1394" s="78"/>
      <c r="J1394" s="20"/>
      <c r="K1394" s="20"/>
      <c r="L1394" s="20"/>
      <c r="M1394" s="20"/>
      <c r="N1394" s="69" t="s">
        <v>256</v>
      </c>
      <c r="O1394" s="70">
        <v>0</v>
      </c>
      <c r="P1394" s="70">
        <v>0</v>
      </c>
      <c r="Q1394" s="70">
        <v>0</v>
      </c>
      <c r="R1394" s="70"/>
      <c r="S1394" s="67"/>
      <c r="T1394" s="2" t="str">
        <f t="shared" si="113"/>
        <v>Nguyễn Văn Linh_12AS10</v>
      </c>
      <c r="U1394" s="28">
        <f t="array" ref="U1394">IFERROR(VLOOKUP($T1394,'Nghi hoc T12'!$H$7:$I$160,2,0),0)</f>
        <v>0</v>
      </c>
      <c r="V1394" s="28"/>
      <c r="W1394" s="28">
        <f t="shared" si="114"/>
        <v>0</v>
      </c>
      <c r="X1394" s="333">
        <f t="shared" si="115"/>
        <v>0</v>
      </c>
      <c r="Y1394" s="333">
        <f t="shared" si="116"/>
        <v>0</v>
      </c>
    </row>
    <row r="1395" spans="1:25" s="2" customFormat="1" ht="21.95" customHeight="1">
      <c r="A1395" s="82">
        <v>26</v>
      </c>
      <c r="B1395" s="91" t="s">
        <v>3371</v>
      </c>
      <c r="C1395" s="83" t="s">
        <v>365</v>
      </c>
      <c r="D1395" s="81" t="s">
        <v>523</v>
      </c>
      <c r="E1395" s="48">
        <v>101387</v>
      </c>
      <c r="F1395" s="30" t="s">
        <v>2038</v>
      </c>
      <c r="G1395" s="29" t="s">
        <v>269</v>
      </c>
      <c r="H1395" s="30" t="s">
        <v>460</v>
      </c>
      <c r="I1395" s="78"/>
      <c r="J1395" s="20"/>
      <c r="K1395" s="20"/>
      <c r="L1395" s="20"/>
      <c r="M1395" s="20"/>
      <c r="N1395" s="69" t="s">
        <v>256</v>
      </c>
      <c r="O1395" s="70">
        <v>0</v>
      </c>
      <c r="P1395" s="70">
        <v>0</v>
      </c>
      <c r="Q1395" s="70">
        <v>0</v>
      </c>
      <c r="R1395" s="70"/>
      <c r="S1395" s="67"/>
      <c r="T1395" s="2" t="str">
        <f t="shared" si="113"/>
        <v>Võ Tuyết Loan_12AS12</v>
      </c>
      <c r="U1395" s="28">
        <f t="array" ref="U1395">IFERROR(VLOOKUP($T1395,'Nghi hoc T12'!$H$7:$I$160,2,0),0)</f>
        <v>0</v>
      </c>
      <c r="V1395" s="28"/>
      <c r="W1395" s="28">
        <f t="shared" si="114"/>
        <v>0</v>
      </c>
      <c r="X1395" s="333">
        <f t="shared" si="115"/>
        <v>0</v>
      </c>
      <c r="Y1395" s="333">
        <f t="shared" si="116"/>
        <v>0</v>
      </c>
    </row>
    <row r="1396" spans="1:25" s="2" customFormat="1" ht="21.95" customHeight="1">
      <c r="A1396" s="82">
        <v>27</v>
      </c>
      <c r="B1396" s="91" t="s">
        <v>3371</v>
      </c>
      <c r="C1396" s="83" t="s">
        <v>365</v>
      </c>
      <c r="D1396" s="81" t="s">
        <v>523</v>
      </c>
      <c r="E1396" s="48">
        <v>101388</v>
      </c>
      <c r="F1396" s="30" t="s">
        <v>251</v>
      </c>
      <c r="G1396" s="29" t="s">
        <v>14</v>
      </c>
      <c r="H1396" s="30" t="s">
        <v>459</v>
      </c>
      <c r="I1396" s="78"/>
      <c r="J1396" s="20"/>
      <c r="K1396" s="20"/>
      <c r="L1396" s="20"/>
      <c r="M1396" s="20"/>
      <c r="N1396" s="69" t="s">
        <v>256</v>
      </c>
      <c r="O1396" s="70">
        <v>0</v>
      </c>
      <c r="P1396" s="70">
        <v>0</v>
      </c>
      <c r="Q1396" s="70">
        <v>0</v>
      </c>
      <c r="R1396" s="70"/>
      <c r="S1396" s="67"/>
      <c r="T1396" s="2" t="str">
        <f t="shared" si="113"/>
        <v>Lê Thành Long_12AS9</v>
      </c>
      <c r="U1396" s="28">
        <f t="array" ref="U1396">IFERROR(VLOOKUP($T1396,'Nghi hoc T12'!$H$7:$I$160,2,0),0)</f>
        <v>0</v>
      </c>
      <c r="V1396" s="28"/>
      <c r="W1396" s="28">
        <f t="shared" si="114"/>
        <v>0</v>
      </c>
      <c r="X1396" s="333">
        <f t="shared" si="115"/>
        <v>0</v>
      </c>
      <c r="Y1396" s="333">
        <f t="shared" si="116"/>
        <v>0</v>
      </c>
    </row>
    <row r="1397" spans="1:25" s="2" customFormat="1" ht="21.95" customHeight="1">
      <c r="A1397" s="82">
        <v>28</v>
      </c>
      <c r="B1397" s="91" t="s">
        <v>3371</v>
      </c>
      <c r="C1397" s="83" t="s">
        <v>365</v>
      </c>
      <c r="D1397" s="81" t="s">
        <v>523</v>
      </c>
      <c r="E1397" s="48">
        <v>101389</v>
      </c>
      <c r="F1397" s="30" t="s">
        <v>2039</v>
      </c>
      <c r="G1397" s="29" t="s">
        <v>152</v>
      </c>
      <c r="H1397" s="30" t="s">
        <v>460</v>
      </c>
      <c r="I1397" s="78"/>
      <c r="J1397" s="20"/>
      <c r="K1397" s="20"/>
      <c r="L1397" s="20"/>
      <c r="M1397" s="20"/>
      <c r="N1397" s="69" t="s">
        <v>256</v>
      </c>
      <c r="O1397" s="70">
        <v>0</v>
      </c>
      <c r="P1397" s="70">
        <v>0</v>
      </c>
      <c r="Q1397" s="70">
        <v>0</v>
      </c>
      <c r="R1397" s="70"/>
      <c r="S1397" s="67"/>
      <c r="T1397" s="2" t="str">
        <f t="shared" si="113"/>
        <v>Phan Hữu Lộc_12AS12</v>
      </c>
      <c r="U1397" s="28">
        <f t="array" ref="U1397">IFERROR(VLOOKUP($T1397,'Nghi hoc T12'!$H$7:$I$160,2,0),0)</f>
        <v>0</v>
      </c>
      <c r="V1397" s="28"/>
      <c r="W1397" s="28">
        <f t="shared" si="114"/>
        <v>0</v>
      </c>
      <c r="X1397" s="333">
        <f t="shared" si="115"/>
        <v>0</v>
      </c>
      <c r="Y1397" s="333">
        <f t="shared" si="116"/>
        <v>0</v>
      </c>
    </row>
    <row r="1398" spans="1:25" s="2" customFormat="1" ht="21.95" customHeight="1">
      <c r="A1398" s="200">
        <v>1</v>
      </c>
      <c r="B1398" s="91" t="s">
        <v>3372</v>
      </c>
      <c r="C1398" s="185" t="s">
        <v>365</v>
      </c>
      <c r="D1398" s="186" t="s">
        <v>524</v>
      </c>
      <c r="E1398" s="187">
        <v>101390</v>
      </c>
      <c r="F1398" s="188" t="s">
        <v>1808</v>
      </c>
      <c r="G1398" s="189" t="s">
        <v>153</v>
      </c>
      <c r="H1398" s="188" t="s">
        <v>460</v>
      </c>
      <c r="I1398" s="190"/>
      <c r="J1398" s="191"/>
      <c r="K1398" s="191"/>
      <c r="L1398" s="191"/>
      <c r="M1398" s="191"/>
      <c r="N1398" s="69" t="s">
        <v>256</v>
      </c>
      <c r="O1398" s="70">
        <v>0</v>
      </c>
      <c r="P1398" s="70">
        <v>0</v>
      </c>
      <c r="Q1398" s="70">
        <v>0</v>
      </c>
      <c r="R1398" s="70"/>
      <c r="S1398" s="67"/>
      <c r="T1398" s="2" t="str">
        <f t="shared" si="113"/>
        <v>Đoàn Minh Luân_12AS12</v>
      </c>
      <c r="U1398" s="28">
        <f t="array" ref="U1398">IFERROR(VLOOKUP($T1398,'Nghi hoc T12'!$H$7:$I$160,2,0),0)</f>
        <v>0</v>
      </c>
      <c r="V1398" s="28"/>
      <c r="W1398" s="28">
        <f t="shared" si="114"/>
        <v>0</v>
      </c>
      <c r="X1398" s="333">
        <f t="shared" si="115"/>
        <v>0</v>
      </c>
      <c r="Y1398" s="333">
        <f t="shared" si="116"/>
        <v>0</v>
      </c>
    </row>
    <row r="1399" spans="1:25" s="2" customFormat="1" ht="21.95" customHeight="1">
      <c r="A1399" s="82">
        <v>2</v>
      </c>
      <c r="B1399" s="91" t="s">
        <v>3372</v>
      </c>
      <c r="C1399" s="83" t="s">
        <v>365</v>
      </c>
      <c r="D1399" s="81" t="s">
        <v>524</v>
      </c>
      <c r="E1399" s="48">
        <v>101391</v>
      </c>
      <c r="F1399" s="30" t="s">
        <v>1963</v>
      </c>
      <c r="G1399" s="29" t="s">
        <v>69</v>
      </c>
      <c r="H1399" s="30" t="s">
        <v>459</v>
      </c>
      <c r="I1399" s="78"/>
      <c r="J1399" s="20"/>
      <c r="K1399" s="20"/>
      <c r="L1399" s="20"/>
      <c r="M1399" s="20"/>
      <c r="N1399" s="69" t="s">
        <v>256</v>
      </c>
      <c r="O1399" s="70">
        <v>0</v>
      </c>
      <c r="P1399" s="70">
        <v>0</v>
      </c>
      <c r="Q1399" s="70">
        <v>0</v>
      </c>
      <c r="R1399" s="70"/>
      <c r="S1399" s="67"/>
      <c r="T1399" s="2" t="str">
        <f t="shared" si="113"/>
        <v>Nguyễn Võ Khánh Ly_12AS9</v>
      </c>
      <c r="U1399" s="28">
        <f t="array" ref="U1399">IFERROR(VLOOKUP($T1399,'Nghi hoc T12'!$H$7:$I$160,2,0),0)</f>
        <v>0</v>
      </c>
      <c r="V1399" s="28"/>
      <c r="W1399" s="28">
        <f t="shared" si="114"/>
        <v>0</v>
      </c>
      <c r="X1399" s="333">
        <f t="shared" si="115"/>
        <v>0</v>
      </c>
      <c r="Y1399" s="333">
        <f t="shared" si="116"/>
        <v>0</v>
      </c>
    </row>
    <row r="1400" spans="1:25" s="2" customFormat="1" ht="21.95" customHeight="1">
      <c r="A1400" s="82">
        <v>3</v>
      </c>
      <c r="B1400" s="91" t="s">
        <v>3372</v>
      </c>
      <c r="C1400" s="83" t="s">
        <v>365</v>
      </c>
      <c r="D1400" s="81" t="s">
        <v>524</v>
      </c>
      <c r="E1400" s="48">
        <v>101392</v>
      </c>
      <c r="F1400" s="30" t="s">
        <v>2017</v>
      </c>
      <c r="G1400" s="29" t="s">
        <v>15</v>
      </c>
      <c r="H1400" s="30" t="s">
        <v>461</v>
      </c>
      <c r="I1400" s="78"/>
      <c r="J1400" s="20"/>
      <c r="K1400" s="20"/>
      <c r="L1400" s="20"/>
      <c r="M1400" s="20"/>
      <c r="N1400" s="69" t="s">
        <v>256</v>
      </c>
      <c r="O1400" s="70">
        <v>0</v>
      </c>
      <c r="P1400" s="70">
        <v>0</v>
      </c>
      <c r="Q1400" s="70">
        <v>0</v>
      </c>
      <c r="R1400" s="70"/>
      <c r="S1400" s="67"/>
      <c r="T1400" s="2" t="str">
        <f t="shared" si="113"/>
        <v>Nguyễn Hoàng Hương Mai_12AS11</v>
      </c>
      <c r="U1400" s="28">
        <f t="array" ref="U1400">IFERROR(VLOOKUP($T1400,'Nghi hoc T12'!$H$7:$I$160,2,0),0)</f>
        <v>0</v>
      </c>
      <c r="V1400" s="28"/>
      <c r="W1400" s="28">
        <f t="shared" si="114"/>
        <v>0</v>
      </c>
      <c r="X1400" s="333">
        <f t="shared" si="115"/>
        <v>0</v>
      </c>
      <c r="Y1400" s="333">
        <f t="shared" si="116"/>
        <v>0</v>
      </c>
    </row>
    <row r="1401" spans="1:25" s="2" customFormat="1" ht="21.95" customHeight="1">
      <c r="A1401" s="82">
        <v>4</v>
      </c>
      <c r="B1401" s="91" t="s">
        <v>3372</v>
      </c>
      <c r="C1401" s="83" t="s">
        <v>365</v>
      </c>
      <c r="D1401" s="81" t="s">
        <v>524</v>
      </c>
      <c r="E1401" s="48">
        <v>101393</v>
      </c>
      <c r="F1401" s="30" t="s">
        <v>2040</v>
      </c>
      <c r="G1401" s="29" t="s">
        <v>1592</v>
      </c>
      <c r="H1401" s="30" t="s">
        <v>460</v>
      </c>
      <c r="I1401" s="78"/>
      <c r="J1401" s="20"/>
      <c r="K1401" s="20"/>
      <c r="L1401" s="20"/>
      <c r="M1401" s="20"/>
      <c r="N1401" s="69" t="s">
        <v>256</v>
      </c>
      <c r="O1401" s="70">
        <v>0</v>
      </c>
      <c r="P1401" s="70">
        <v>0</v>
      </c>
      <c r="Q1401" s="70">
        <v>0</v>
      </c>
      <c r="R1401" s="70"/>
      <c r="S1401" s="67"/>
      <c r="T1401" s="2" t="str">
        <f t="shared" si="113"/>
        <v>Phạm Nguyễn Hồng Mi_12AS12</v>
      </c>
      <c r="U1401" s="28">
        <f t="array" ref="U1401">IFERROR(VLOOKUP($T1401,'Nghi hoc T12'!$H$7:$I$160,2,0),0)</f>
        <v>0</v>
      </c>
      <c r="V1401" s="28"/>
      <c r="W1401" s="28">
        <f t="shared" si="114"/>
        <v>0</v>
      </c>
      <c r="X1401" s="333">
        <f t="shared" si="115"/>
        <v>0</v>
      </c>
      <c r="Y1401" s="333">
        <f t="shared" si="116"/>
        <v>0</v>
      </c>
    </row>
    <row r="1402" spans="1:25" s="2" customFormat="1" ht="21.95" customHeight="1">
      <c r="A1402" s="82">
        <v>5</v>
      </c>
      <c r="B1402" s="91" t="s">
        <v>3372</v>
      </c>
      <c r="C1402" s="83" t="s">
        <v>365</v>
      </c>
      <c r="D1402" s="81" t="s">
        <v>524</v>
      </c>
      <c r="E1402" s="48">
        <v>101394</v>
      </c>
      <c r="F1402" s="30" t="s">
        <v>202</v>
      </c>
      <c r="G1402" s="29" t="s">
        <v>16</v>
      </c>
      <c r="H1402" s="30" t="s">
        <v>459</v>
      </c>
      <c r="I1402" s="78"/>
      <c r="J1402" s="20"/>
      <c r="K1402" s="20"/>
      <c r="L1402" s="20"/>
      <c r="M1402" s="20"/>
      <c r="N1402" s="69" t="s">
        <v>256</v>
      </c>
      <c r="O1402" s="70">
        <v>0</v>
      </c>
      <c r="P1402" s="70">
        <v>0</v>
      </c>
      <c r="Q1402" s="70">
        <v>0</v>
      </c>
      <c r="R1402" s="70"/>
      <c r="S1402" s="67"/>
      <c r="T1402" s="2" t="str">
        <f t="shared" si="113"/>
        <v>Nguyễn Chí Minh_12AS9</v>
      </c>
      <c r="U1402" s="28">
        <f t="array" ref="U1402">IFERROR(VLOOKUP($T1402,'Nghi hoc T12'!$H$7:$I$160,2,0),0)</f>
        <v>0</v>
      </c>
      <c r="V1402" s="28"/>
      <c r="W1402" s="28">
        <f t="shared" si="114"/>
        <v>0</v>
      </c>
      <c r="X1402" s="333">
        <f t="shared" si="115"/>
        <v>0</v>
      </c>
      <c r="Y1402" s="333">
        <f t="shared" si="116"/>
        <v>0</v>
      </c>
    </row>
    <row r="1403" spans="1:25" s="2" customFormat="1" ht="21.95" customHeight="1">
      <c r="A1403" s="82">
        <v>6</v>
      </c>
      <c r="B1403" s="91" t="s">
        <v>3372</v>
      </c>
      <c r="C1403" s="83" t="s">
        <v>365</v>
      </c>
      <c r="D1403" s="81" t="s">
        <v>524</v>
      </c>
      <c r="E1403" s="48">
        <v>101395</v>
      </c>
      <c r="F1403" s="30" t="s">
        <v>1990</v>
      </c>
      <c r="G1403" s="29" t="s">
        <v>16</v>
      </c>
      <c r="H1403" s="30" t="s">
        <v>463</v>
      </c>
      <c r="I1403" s="78"/>
      <c r="J1403" s="20"/>
      <c r="K1403" s="20"/>
      <c r="L1403" s="20"/>
      <c r="M1403" s="20"/>
      <c r="N1403" s="69" t="s">
        <v>256</v>
      </c>
      <c r="O1403" s="70">
        <v>0</v>
      </c>
      <c r="P1403" s="70">
        <v>0</v>
      </c>
      <c r="Q1403" s="70">
        <v>0</v>
      </c>
      <c r="R1403" s="70"/>
      <c r="S1403" s="67"/>
      <c r="T1403" s="2" t="str">
        <f t="shared" si="113"/>
        <v>Nguyễn Đặng Nhật Minh_12AS10</v>
      </c>
      <c r="U1403" s="28">
        <f t="array" ref="U1403">IFERROR(VLOOKUP($T1403,'Nghi hoc T12'!$H$7:$I$160,2,0),0)</f>
        <v>0</v>
      </c>
      <c r="V1403" s="28"/>
      <c r="W1403" s="28">
        <f t="shared" si="114"/>
        <v>0</v>
      </c>
      <c r="X1403" s="333">
        <f t="shared" si="115"/>
        <v>0</v>
      </c>
      <c r="Y1403" s="333">
        <f t="shared" si="116"/>
        <v>0</v>
      </c>
    </row>
    <row r="1404" spans="1:25" s="2" customFormat="1" ht="21.95" customHeight="1">
      <c r="A1404" s="82">
        <v>7</v>
      </c>
      <c r="B1404" s="91" t="s">
        <v>3372</v>
      </c>
      <c r="C1404" s="83" t="s">
        <v>365</v>
      </c>
      <c r="D1404" s="81" t="s">
        <v>524</v>
      </c>
      <c r="E1404" s="48">
        <v>101396</v>
      </c>
      <c r="F1404" s="30" t="s">
        <v>1964</v>
      </c>
      <c r="G1404" s="29" t="s">
        <v>40</v>
      </c>
      <c r="H1404" s="30" t="s">
        <v>459</v>
      </c>
      <c r="I1404" s="78"/>
      <c r="J1404" s="20"/>
      <c r="K1404" s="20"/>
      <c r="L1404" s="20"/>
      <c r="M1404" s="20"/>
      <c r="N1404" s="69" t="s">
        <v>256</v>
      </c>
      <c r="O1404" s="70">
        <v>0</v>
      </c>
      <c r="P1404" s="70">
        <v>0</v>
      </c>
      <c r="Q1404" s="70">
        <v>0</v>
      </c>
      <c r="R1404" s="70"/>
      <c r="S1404" s="67"/>
      <c r="T1404" s="2" t="str">
        <f t="shared" si="113"/>
        <v>Ngô Ngọc Kiều My_12AS9</v>
      </c>
      <c r="U1404" s="28">
        <f t="array" ref="U1404">IFERROR(VLOOKUP($T1404,'Nghi hoc T12'!$H$7:$I$160,2,0),0)</f>
        <v>0</v>
      </c>
      <c r="V1404" s="28"/>
      <c r="W1404" s="28">
        <f t="shared" si="114"/>
        <v>0</v>
      </c>
      <c r="X1404" s="333">
        <f t="shared" si="115"/>
        <v>0</v>
      </c>
      <c r="Y1404" s="333">
        <f t="shared" si="116"/>
        <v>0</v>
      </c>
    </row>
    <row r="1405" spans="1:25" s="2" customFormat="1" ht="21.95" customHeight="1">
      <c r="A1405" s="82">
        <v>8</v>
      </c>
      <c r="B1405" s="91" t="s">
        <v>3372</v>
      </c>
      <c r="C1405" s="83" t="s">
        <v>365</v>
      </c>
      <c r="D1405" s="81" t="s">
        <v>524</v>
      </c>
      <c r="E1405" s="48">
        <v>101397</v>
      </c>
      <c r="F1405" s="30" t="s">
        <v>1137</v>
      </c>
      <c r="G1405" s="29" t="s">
        <v>40</v>
      </c>
      <c r="H1405" s="30" t="s">
        <v>461</v>
      </c>
      <c r="I1405" s="78"/>
      <c r="J1405" s="20"/>
      <c r="K1405" s="20"/>
      <c r="L1405" s="20"/>
      <c r="M1405" s="20"/>
      <c r="N1405" s="69" t="s">
        <v>256</v>
      </c>
      <c r="O1405" s="70">
        <v>0</v>
      </c>
      <c r="P1405" s="70">
        <v>0</v>
      </c>
      <c r="Q1405" s="70">
        <v>0</v>
      </c>
      <c r="R1405" s="70"/>
      <c r="S1405" s="67"/>
      <c r="T1405" s="2" t="str">
        <f t="shared" si="113"/>
        <v>Nguyễn Thị Trà My_12AS11</v>
      </c>
      <c r="U1405" s="28">
        <f t="array" ref="U1405">IFERROR(VLOOKUP($T1405,'Nghi hoc T12'!$H$7:$I$160,2,0),0)</f>
        <v>0</v>
      </c>
      <c r="V1405" s="28"/>
      <c r="W1405" s="28">
        <f t="shared" si="114"/>
        <v>0</v>
      </c>
      <c r="X1405" s="333">
        <f t="shared" si="115"/>
        <v>0</v>
      </c>
      <c r="Y1405" s="333">
        <f t="shared" si="116"/>
        <v>0</v>
      </c>
    </row>
    <row r="1406" spans="1:25" s="2" customFormat="1" ht="21.95" customHeight="1">
      <c r="A1406" s="82">
        <v>9</v>
      </c>
      <c r="B1406" s="91" t="s">
        <v>3372</v>
      </c>
      <c r="C1406" s="83" t="s">
        <v>365</v>
      </c>
      <c r="D1406" s="81" t="s">
        <v>524</v>
      </c>
      <c r="E1406" s="48">
        <v>101398</v>
      </c>
      <c r="F1406" s="30" t="s">
        <v>1991</v>
      </c>
      <c r="G1406" s="29" t="s">
        <v>17</v>
      </c>
      <c r="H1406" s="30" t="s">
        <v>463</v>
      </c>
      <c r="I1406" s="78"/>
      <c r="J1406" s="20"/>
      <c r="K1406" s="20"/>
      <c r="L1406" s="20"/>
      <c r="M1406" s="20"/>
      <c r="N1406" s="69" t="s">
        <v>256</v>
      </c>
      <c r="O1406" s="70">
        <v>0</v>
      </c>
      <c r="P1406" s="70">
        <v>0</v>
      </c>
      <c r="Q1406" s="70">
        <v>0</v>
      </c>
      <c r="R1406" s="70"/>
      <c r="S1406" s="67"/>
      <c r="T1406" s="2" t="str">
        <f t="shared" si="113"/>
        <v>Nguyễn Hạo Nam_12AS10</v>
      </c>
      <c r="U1406" s="28">
        <f t="array" ref="U1406">IFERROR(VLOOKUP($T1406,'Nghi hoc T12'!$H$7:$I$160,2,0),0)</f>
        <v>0</v>
      </c>
      <c r="V1406" s="28"/>
      <c r="W1406" s="28">
        <f t="shared" si="114"/>
        <v>0</v>
      </c>
      <c r="X1406" s="333">
        <f t="shared" si="115"/>
        <v>0</v>
      </c>
      <c r="Y1406" s="333">
        <f t="shared" si="116"/>
        <v>0</v>
      </c>
    </row>
    <row r="1407" spans="1:25" s="2" customFormat="1" ht="21.95" customHeight="1">
      <c r="A1407" s="82">
        <v>10</v>
      </c>
      <c r="B1407" s="91" t="s">
        <v>3372</v>
      </c>
      <c r="C1407" s="83" t="s">
        <v>365</v>
      </c>
      <c r="D1407" s="81" t="s">
        <v>524</v>
      </c>
      <c r="E1407" s="48">
        <v>101399</v>
      </c>
      <c r="F1407" s="30" t="s">
        <v>1185</v>
      </c>
      <c r="G1407" s="29" t="s">
        <v>18</v>
      </c>
      <c r="H1407" s="30" t="s">
        <v>459</v>
      </c>
      <c r="I1407" s="78"/>
      <c r="J1407" s="20"/>
      <c r="K1407" s="20"/>
      <c r="L1407" s="20"/>
      <c r="M1407" s="20"/>
      <c r="N1407" s="69" t="s">
        <v>256</v>
      </c>
      <c r="O1407" s="70">
        <v>0</v>
      </c>
      <c r="P1407" s="70">
        <v>0</v>
      </c>
      <c r="Q1407" s="70">
        <v>0</v>
      </c>
      <c r="R1407" s="70"/>
      <c r="S1407" s="67"/>
      <c r="T1407" s="2" t="str">
        <f t="shared" si="113"/>
        <v>Nguyễn Mỹ Ngân_12AS9</v>
      </c>
      <c r="U1407" s="28">
        <f t="array" ref="U1407">IFERROR(VLOOKUP($T1407,'Nghi hoc T12'!$H$7:$I$160,2,0),0)</f>
        <v>0</v>
      </c>
      <c r="V1407" s="28"/>
      <c r="W1407" s="28">
        <f t="shared" si="114"/>
        <v>0</v>
      </c>
      <c r="X1407" s="333">
        <f t="shared" si="115"/>
        <v>0</v>
      </c>
      <c r="Y1407" s="333">
        <f t="shared" si="116"/>
        <v>0</v>
      </c>
    </row>
    <row r="1408" spans="1:25" s="2" customFormat="1" ht="21.95" customHeight="1">
      <c r="A1408" s="82">
        <v>11</v>
      </c>
      <c r="B1408" s="91" t="s">
        <v>3372</v>
      </c>
      <c r="C1408" s="83" t="s">
        <v>365</v>
      </c>
      <c r="D1408" s="81" t="s">
        <v>524</v>
      </c>
      <c r="E1408" s="48">
        <v>101400</v>
      </c>
      <c r="F1408" s="30" t="s">
        <v>280</v>
      </c>
      <c r="G1408" s="29" t="s">
        <v>18</v>
      </c>
      <c r="H1408" s="30" t="s">
        <v>459</v>
      </c>
      <c r="I1408" s="78"/>
      <c r="J1408" s="20"/>
      <c r="K1408" s="20"/>
      <c r="L1408" s="20"/>
      <c r="M1408" s="20"/>
      <c r="N1408" s="69" t="s">
        <v>256</v>
      </c>
      <c r="O1408" s="70">
        <v>0</v>
      </c>
      <c r="P1408" s="70">
        <v>0</v>
      </c>
      <c r="Q1408" s="70">
        <v>0</v>
      </c>
      <c r="R1408" s="70"/>
      <c r="S1408" s="67"/>
      <c r="T1408" s="2" t="str">
        <f t="shared" si="113"/>
        <v>Nguyễn Ngọc Kim Ngân_12AS9</v>
      </c>
      <c r="U1408" s="28">
        <f t="array" ref="U1408">IFERROR(VLOOKUP($T1408,'Nghi hoc T12'!$H$7:$I$160,2,0),0)</f>
        <v>0</v>
      </c>
      <c r="V1408" s="28"/>
      <c r="W1408" s="28">
        <f t="shared" si="114"/>
        <v>0</v>
      </c>
      <c r="X1408" s="333">
        <f t="shared" si="115"/>
        <v>0</v>
      </c>
      <c r="Y1408" s="333">
        <f t="shared" si="116"/>
        <v>0</v>
      </c>
    </row>
    <row r="1409" spans="1:25" s="2" customFormat="1" ht="21.95" customHeight="1">
      <c r="A1409" s="82">
        <v>12</v>
      </c>
      <c r="B1409" s="91" t="s">
        <v>3372</v>
      </c>
      <c r="C1409" s="83" t="s">
        <v>365</v>
      </c>
      <c r="D1409" s="81" t="s">
        <v>524</v>
      </c>
      <c r="E1409" s="48">
        <v>101401</v>
      </c>
      <c r="F1409" s="30" t="s">
        <v>248</v>
      </c>
      <c r="G1409" s="29" t="s">
        <v>18</v>
      </c>
      <c r="H1409" s="30" t="s">
        <v>461</v>
      </c>
      <c r="I1409" s="78"/>
      <c r="J1409" s="20"/>
      <c r="K1409" s="20"/>
      <c r="L1409" s="20"/>
      <c r="M1409" s="20"/>
      <c r="N1409" s="69" t="s">
        <v>256</v>
      </c>
      <c r="O1409" s="70">
        <v>0</v>
      </c>
      <c r="P1409" s="70">
        <v>0</v>
      </c>
      <c r="Q1409" s="70">
        <v>0</v>
      </c>
      <c r="R1409" s="70"/>
      <c r="S1409" s="67"/>
      <c r="T1409" s="2" t="str">
        <f t="shared" si="113"/>
        <v>Trần Thị Kim Ngân_12AS11</v>
      </c>
      <c r="U1409" s="28">
        <f t="array" ref="U1409">IFERROR(VLOOKUP($T1409,'Nghi hoc T12'!$H$7:$I$160,2,0),0)</f>
        <v>0</v>
      </c>
      <c r="V1409" s="28"/>
      <c r="W1409" s="28">
        <f t="shared" si="114"/>
        <v>0</v>
      </c>
      <c r="X1409" s="333">
        <f t="shared" si="115"/>
        <v>0</v>
      </c>
      <c r="Y1409" s="333">
        <f t="shared" si="116"/>
        <v>0</v>
      </c>
    </row>
    <row r="1410" spans="1:25" s="2" customFormat="1" ht="21.95" customHeight="1">
      <c r="A1410" s="82">
        <v>13</v>
      </c>
      <c r="B1410" s="91" t="s">
        <v>3372</v>
      </c>
      <c r="C1410" s="83" t="s">
        <v>365</v>
      </c>
      <c r="D1410" s="81" t="s">
        <v>524</v>
      </c>
      <c r="E1410" s="48">
        <v>101402</v>
      </c>
      <c r="F1410" s="30" t="s">
        <v>1463</v>
      </c>
      <c r="G1410" s="29" t="s">
        <v>19</v>
      </c>
      <c r="H1410" s="30" t="s">
        <v>460</v>
      </c>
      <c r="I1410" s="78"/>
      <c r="J1410" s="20"/>
      <c r="K1410" s="20"/>
      <c r="L1410" s="20"/>
      <c r="M1410" s="20"/>
      <c r="N1410" s="69" t="s">
        <v>256</v>
      </c>
      <c r="O1410" s="70">
        <v>0</v>
      </c>
      <c r="P1410" s="70">
        <v>0</v>
      </c>
      <c r="Q1410" s="70">
        <v>0</v>
      </c>
      <c r="R1410" s="70"/>
      <c r="S1410" s="67"/>
      <c r="T1410" s="2" t="str">
        <f t="shared" si="113"/>
        <v>Hoàng Lưu Hồng Ngọc_12AS12</v>
      </c>
      <c r="U1410" s="28">
        <f t="array" ref="U1410">IFERROR(VLOOKUP($T1410,'Nghi hoc T12'!$H$7:$I$160,2,0),0)</f>
        <v>0</v>
      </c>
      <c r="V1410" s="28"/>
      <c r="W1410" s="28">
        <f t="shared" si="114"/>
        <v>0</v>
      </c>
      <c r="X1410" s="333">
        <f t="shared" si="115"/>
        <v>0</v>
      </c>
      <c r="Y1410" s="333">
        <f t="shared" si="116"/>
        <v>0</v>
      </c>
    </row>
    <row r="1411" spans="1:25" s="2" customFormat="1" ht="21.95" customHeight="1">
      <c r="A1411" s="82">
        <v>14</v>
      </c>
      <c r="B1411" s="91" t="s">
        <v>3372</v>
      </c>
      <c r="C1411" s="83" t="s">
        <v>365</v>
      </c>
      <c r="D1411" s="81" t="s">
        <v>524</v>
      </c>
      <c r="E1411" s="48">
        <v>101403</v>
      </c>
      <c r="F1411" s="30" t="s">
        <v>184</v>
      </c>
      <c r="G1411" s="29" t="s">
        <v>19</v>
      </c>
      <c r="H1411" s="30" t="s">
        <v>459</v>
      </c>
      <c r="I1411" s="78"/>
      <c r="J1411" s="20"/>
      <c r="K1411" s="20"/>
      <c r="L1411" s="20"/>
      <c r="M1411" s="20"/>
      <c r="N1411" s="69" t="s">
        <v>256</v>
      </c>
      <c r="O1411" s="70">
        <v>0</v>
      </c>
      <c r="P1411" s="70">
        <v>0</v>
      </c>
      <c r="Q1411" s="70">
        <v>0</v>
      </c>
      <c r="R1411" s="70"/>
      <c r="S1411" s="67"/>
      <c r="T1411" s="2" t="str">
        <f t="shared" si="113"/>
        <v>Nguyễn Duy Ngọc_12AS9</v>
      </c>
      <c r="U1411" s="28">
        <f t="array" ref="U1411">IFERROR(VLOOKUP($T1411,'Nghi hoc T12'!$H$7:$I$160,2,0),0)</f>
        <v>0</v>
      </c>
      <c r="V1411" s="28"/>
      <c r="W1411" s="28">
        <f t="shared" si="114"/>
        <v>0</v>
      </c>
      <c r="X1411" s="333">
        <f t="shared" si="115"/>
        <v>0</v>
      </c>
      <c r="Y1411" s="333">
        <f t="shared" si="116"/>
        <v>0</v>
      </c>
    </row>
    <row r="1412" spans="1:25" s="2" customFormat="1" ht="21.95" customHeight="1">
      <c r="A1412" s="82">
        <v>15</v>
      </c>
      <c r="B1412" s="91" t="s">
        <v>3372</v>
      </c>
      <c r="C1412" s="83" t="s">
        <v>365</v>
      </c>
      <c r="D1412" s="81" t="s">
        <v>524</v>
      </c>
      <c r="E1412" s="48">
        <v>101404</v>
      </c>
      <c r="F1412" s="30" t="s">
        <v>2041</v>
      </c>
      <c r="G1412" s="29" t="s">
        <v>19</v>
      </c>
      <c r="H1412" s="30" t="s">
        <v>460</v>
      </c>
      <c r="I1412" s="78"/>
      <c r="J1412" s="20"/>
      <c r="K1412" s="20"/>
      <c r="L1412" s="20"/>
      <c r="M1412" s="20"/>
      <c r="N1412" s="69" t="s">
        <v>256</v>
      </c>
      <c r="O1412" s="70">
        <v>0</v>
      </c>
      <c r="P1412" s="70">
        <v>0</v>
      </c>
      <c r="Q1412" s="70">
        <v>0</v>
      </c>
      <c r="R1412" s="70"/>
      <c r="S1412" s="67"/>
      <c r="T1412" s="2" t="str">
        <f t="shared" si="113"/>
        <v>Nguyễn Lê Khánh Ngọc_12AS12</v>
      </c>
      <c r="U1412" s="28">
        <f t="array" ref="U1412">IFERROR(VLOOKUP($T1412,'Nghi hoc T12'!$H$7:$I$160,2,0),0)</f>
        <v>0</v>
      </c>
      <c r="V1412" s="28"/>
      <c r="W1412" s="28">
        <f t="shared" si="114"/>
        <v>0</v>
      </c>
      <c r="X1412" s="333">
        <f t="shared" si="115"/>
        <v>0</v>
      </c>
      <c r="Y1412" s="333">
        <f t="shared" si="116"/>
        <v>0</v>
      </c>
    </row>
    <row r="1413" spans="1:25" s="2" customFormat="1" ht="21.95" customHeight="1">
      <c r="A1413" s="82">
        <v>16</v>
      </c>
      <c r="B1413" s="91" t="s">
        <v>3372</v>
      </c>
      <c r="C1413" s="83" t="s">
        <v>365</v>
      </c>
      <c r="D1413" s="81" t="s">
        <v>524</v>
      </c>
      <c r="E1413" s="48">
        <v>101405</v>
      </c>
      <c r="F1413" s="30" t="s">
        <v>1965</v>
      </c>
      <c r="G1413" s="29" t="s">
        <v>19</v>
      </c>
      <c r="H1413" s="30" t="s">
        <v>459</v>
      </c>
      <c r="I1413" s="78"/>
      <c r="J1413" s="20"/>
      <c r="K1413" s="20"/>
      <c r="L1413" s="20"/>
      <c r="M1413" s="20"/>
      <c r="N1413" s="69" t="s">
        <v>256</v>
      </c>
      <c r="O1413" s="70">
        <v>0</v>
      </c>
      <c r="P1413" s="70">
        <v>0</v>
      </c>
      <c r="Q1413" s="70">
        <v>0</v>
      </c>
      <c r="R1413" s="70"/>
      <c r="S1413" s="67"/>
      <c r="T1413" s="2" t="str">
        <f t="shared" si="113"/>
        <v>Trần Nguyễn Bảo Ngọc_12AS9</v>
      </c>
      <c r="U1413" s="28">
        <f t="array" ref="U1413">IFERROR(VLOOKUP($T1413,'Nghi hoc T12'!$H$7:$I$160,2,0),0)</f>
        <v>0</v>
      </c>
      <c r="V1413" s="28"/>
      <c r="W1413" s="28">
        <f t="shared" si="114"/>
        <v>0</v>
      </c>
      <c r="X1413" s="333">
        <f t="shared" si="115"/>
        <v>0</v>
      </c>
      <c r="Y1413" s="333">
        <f t="shared" si="116"/>
        <v>0</v>
      </c>
    </row>
    <row r="1414" spans="1:25" s="2" customFormat="1" ht="21.95" customHeight="1">
      <c r="A1414" s="82">
        <v>17</v>
      </c>
      <c r="B1414" s="91" t="s">
        <v>3372</v>
      </c>
      <c r="C1414" s="83" t="s">
        <v>365</v>
      </c>
      <c r="D1414" s="81" t="s">
        <v>524</v>
      </c>
      <c r="E1414" s="48">
        <v>101406</v>
      </c>
      <c r="F1414" s="30" t="s">
        <v>1323</v>
      </c>
      <c r="G1414" s="29" t="s">
        <v>19</v>
      </c>
      <c r="H1414" s="30" t="s">
        <v>459</v>
      </c>
      <c r="I1414" s="78"/>
      <c r="J1414" s="20"/>
      <c r="K1414" s="20"/>
      <c r="L1414" s="20"/>
      <c r="M1414" s="20"/>
      <c r="N1414" s="69" t="s">
        <v>256</v>
      </c>
      <c r="O1414" s="70">
        <v>0</v>
      </c>
      <c r="P1414" s="70">
        <v>0</v>
      </c>
      <c r="Q1414" s="70">
        <v>0</v>
      </c>
      <c r="R1414" s="70"/>
      <c r="S1414" s="67"/>
      <c r="T1414" s="2" t="str">
        <f t="shared" si="113"/>
        <v>Vũ Thị Bảo Ngọc_12AS9</v>
      </c>
      <c r="U1414" s="28">
        <f t="array" ref="U1414">IFERROR(VLOOKUP($T1414,'Nghi hoc T12'!$H$7:$I$160,2,0),0)</f>
        <v>0</v>
      </c>
      <c r="V1414" s="28"/>
      <c r="W1414" s="28">
        <f t="shared" si="114"/>
        <v>0</v>
      </c>
      <c r="X1414" s="333">
        <f t="shared" si="115"/>
        <v>0</v>
      </c>
      <c r="Y1414" s="333">
        <f t="shared" si="116"/>
        <v>0</v>
      </c>
    </row>
    <row r="1415" spans="1:25" s="2" customFormat="1" ht="21.95" customHeight="1">
      <c r="A1415" s="82">
        <v>18</v>
      </c>
      <c r="B1415" s="91" t="s">
        <v>3372</v>
      </c>
      <c r="C1415" s="83" t="s">
        <v>365</v>
      </c>
      <c r="D1415" s="81" t="s">
        <v>524</v>
      </c>
      <c r="E1415" s="48">
        <v>101407</v>
      </c>
      <c r="F1415" s="30" t="s">
        <v>281</v>
      </c>
      <c r="G1415" s="29" t="s">
        <v>87</v>
      </c>
      <c r="H1415" s="30" t="s">
        <v>463</v>
      </c>
      <c r="I1415" s="78"/>
      <c r="J1415" s="20"/>
      <c r="K1415" s="20"/>
      <c r="L1415" s="20"/>
      <c r="M1415" s="20"/>
      <c r="N1415" s="69" t="s">
        <v>256</v>
      </c>
      <c r="O1415" s="70">
        <v>0</v>
      </c>
      <c r="P1415" s="70">
        <v>0</v>
      </c>
      <c r="Q1415" s="70">
        <v>0</v>
      </c>
      <c r="R1415" s="70"/>
      <c r="S1415" s="67"/>
      <c r="T1415" s="2" t="str">
        <f t="shared" si="113"/>
        <v>Trần Khánh Nguyên_12AS10</v>
      </c>
      <c r="U1415" s="28">
        <f t="array" ref="U1415">IFERROR(VLOOKUP($T1415,'Nghi hoc T12'!$H$7:$I$160,2,0),0)</f>
        <v>0</v>
      </c>
      <c r="V1415" s="28"/>
      <c r="W1415" s="28">
        <f t="shared" si="114"/>
        <v>0</v>
      </c>
      <c r="X1415" s="333">
        <f t="shared" si="115"/>
        <v>0</v>
      </c>
      <c r="Y1415" s="333">
        <f t="shared" si="116"/>
        <v>0</v>
      </c>
    </row>
    <row r="1416" spans="1:25" s="2" customFormat="1" ht="21.95" customHeight="1">
      <c r="A1416" s="82">
        <v>19</v>
      </c>
      <c r="B1416" s="91" t="s">
        <v>3372</v>
      </c>
      <c r="C1416" s="83" t="s">
        <v>365</v>
      </c>
      <c r="D1416" s="81" t="s">
        <v>524</v>
      </c>
      <c r="E1416" s="48">
        <v>101408</v>
      </c>
      <c r="F1416" s="30" t="s">
        <v>1966</v>
      </c>
      <c r="G1416" s="29" t="s">
        <v>253</v>
      </c>
      <c r="H1416" s="30" t="s">
        <v>459</v>
      </c>
      <c r="I1416" s="78"/>
      <c r="J1416" s="20"/>
      <c r="K1416" s="20"/>
      <c r="L1416" s="20"/>
      <c r="M1416" s="20"/>
      <c r="N1416" s="69" t="s">
        <v>256</v>
      </c>
      <c r="O1416" s="70">
        <v>0</v>
      </c>
      <c r="P1416" s="70">
        <v>0</v>
      </c>
      <c r="Q1416" s="70">
        <v>0</v>
      </c>
      <c r="R1416" s="70"/>
      <c r="S1416" s="67"/>
      <c r="T1416" s="2" t="str">
        <f t="shared" si="113"/>
        <v>Trần Hoàng Uyển Nhã_12AS9</v>
      </c>
      <c r="U1416" s="28">
        <f t="array" ref="U1416">IFERROR(VLOOKUP($T1416,'Nghi hoc T12'!$H$7:$I$160,2,0),0)</f>
        <v>0</v>
      </c>
      <c r="V1416" s="28"/>
      <c r="W1416" s="28">
        <f t="shared" si="114"/>
        <v>0</v>
      </c>
      <c r="X1416" s="333">
        <f t="shared" si="115"/>
        <v>0</v>
      </c>
      <c r="Y1416" s="333">
        <f t="shared" si="116"/>
        <v>0</v>
      </c>
    </row>
    <row r="1417" spans="1:25" s="2" customFormat="1" ht="21.95" customHeight="1">
      <c r="A1417" s="82">
        <v>20</v>
      </c>
      <c r="B1417" s="91" t="s">
        <v>3372</v>
      </c>
      <c r="C1417" s="83" t="s">
        <v>365</v>
      </c>
      <c r="D1417" s="81" t="s">
        <v>524</v>
      </c>
      <c r="E1417" s="48">
        <v>101409</v>
      </c>
      <c r="F1417" s="30" t="s">
        <v>1967</v>
      </c>
      <c r="G1417" s="29" t="s">
        <v>102</v>
      </c>
      <c r="H1417" s="30" t="s">
        <v>459</v>
      </c>
      <c r="I1417" s="78"/>
      <c r="J1417" s="20"/>
      <c r="K1417" s="20"/>
      <c r="L1417" s="20"/>
      <c r="M1417" s="20"/>
      <c r="N1417" s="69" t="s">
        <v>256</v>
      </c>
      <c r="O1417" s="70">
        <v>0</v>
      </c>
      <c r="P1417" s="70">
        <v>0</v>
      </c>
      <c r="Q1417" s="70">
        <v>0</v>
      </c>
      <c r="R1417" s="70"/>
      <c r="S1417" s="67"/>
      <c r="T1417" s="2" t="str">
        <f t="shared" si="113"/>
        <v>Huỳnh Hữu Nhân_12AS9</v>
      </c>
      <c r="U1417" s="28">
        <f t="array" ref="U1417">IFERROR(VLOOKUP($T1417,'Nghi hoc T12'!$H$7:$I$160,2,0),0)</f>
        <v>0</v>
      </c>
      <c r="V1417" s="28"/>
      <c r="W1417" s="28">
        <f t="shared" si="114"/>
        <v>0</v>
      </c>
      <c r="X1417" s="333">
        <f t="shared" si="115"/>
        <v>0</v>
      </c>
      <c r="Y1417" s="333">
        <f t="shared" si="116"/>
        <v>0</v>
      </c>
    </row>
    <row r="1418" spans="1:25" s="2" customFormat="1" ht="21.95" customHeight="1">
      <c r="A1418" s="82">
        <v>21</v>
      </c>
      <c r="B1418" s="91" t="s">
        <v>3372</v>
      </c>
      <c r="C1418" s="83" t="s">
        <v>365</v>
      </c>
      <c r="D1418" s="81" t="s">
        <v>524</v>
      </c>
      <c r="E1418" s="48">
        <v>101410</v>
      </c>
      <c r="F1418" s="30" t="s">
        <v>234</v>
      </c>
      <c r="G1418" s="29" t="s">
        <v>102</v>
      </c>
      <c r="H1418" s="30" t="s">
        <v>460</v>
      </c>
      <c r="I1418" s="78"/>
      <c r="J1418" s="20"/>
      <c r="K1418" s="20"/>
      <c r="L1418" s="20"/>
      <c r="M1418" s="20"/>
      <c r="N1418" s="69" t="s">
        <v>256</v>
      </c>
      <c r="O1418" s="70">
        <v>0</v>
      </c>
      <c r="P1418" s="70">
        <v>0</v>
      </c>
      <c r="Q1418" s="70">
        <v>0</v>
      </c>
      <c r="R1418" s="70"/>
      <c r="S1418" s="67"/>
      <c r="T1418" s="2" t="str">
        <f t="shared" ref="T1418:T1481" si="117">TRIM(F1418&amp;" "&amp;G1418&amp;"_"&amp;H1418)</f>
        <v>Nguyễn Trọng Nhân_12AS12</v>
      </c>
      <c r="U1418" s="28">
        <f t="array" ref="U1418">IFERROR(VLOOKUP($T1418,'Nghi hoc T12'!$H$7:$I$160,2,0),0)</f>
        <v>0</v>
      </c>
      <c r="V1418" s="28"/>
      <c r="W1418" s="28">
        <f t="shared" ref="W1418:W1481" si="118">I1418</f>
        <v>0</v>
      </c>
      <c r="X1418" s="333">
        <f t="shared" ref="X1418:X1481" si="119">O1418</f>
        <v>0</v>
      </c>
      <c r="Y1418" s="333">
        <f t="shared" ref="Y1418:Y1481" si="120">P1418</f>
        <v>0</v>
      </c>
    </row>
    <row r="1419" spans="1:25" s="2" customFormat="1" ht="21.95" customHeight="1">
      <c r="A1419" s="82">
        <v>22</v>
      </c>
      <c r="B1419" s="91" t="s">
        <v>3372</v>
      </c>
      <c r="C1419" s="83" t="s">
        <v>365</v>
      </c>
      <c r="D1419" s="81" t="s">
        <v>524</v>
      </c>
      <c r="E1419" s="48">
        <v>101411</v>
      </c>
      <c r="F1419" s="30" t="s">
        <v>282</v>
      </c>
      <c r="G1419" s="29" t="s">
        <v>102</v>
      </c>
      <c r="H1419" s="30" t="s">
        <v>461</v>
      </c>
      <c r="I1419" s="78"/>
      <c r="J1419" s="20"/>
      <c r="K1419" s="20"/>
      <c r="L1419" s="20"/>
      <c r="M1419" s="20"/>
      <c r="N1419" s="69" t="s">
        <v>256</v>
      </c>
      <c r="O1419" s="70">
        <v>0</v>
      </c>
      <c r="P1419" s="70">
        <v>0</v>
      </c>
      <c r="Q1419" s="70">
        <v>0</v>
      </c>
      <c r="R1419" s="70"/>
      <c r="S1419" s="67"/>
      <c r="T1419" s="2" t="str">
        <f t="shared" si="117"/>
        <v>Phạm Trọng Nhân_12AS11</v>
      </c>
      <c r="U1419" s="28">
        <f t="array" ref="U1419">IFERROR(VLOOKUP($T1419,'Nghi hoc T12'!$H$7:$I$160,2,0),0)</f>
        <v>0</v>
      </c>
      <c r="V1419" s="28"/>
      <c r="W1419" s="28">
        <f t="shared" si="118"/>
        <v>0</v>
      </c>
      <c r="X1419" s="333">
        <f t="shared" si="119"/>
        <v>0</v>
      </c>
      <c r="Y1419" s="333">
        <f t="shared" si="120"/>
        <v>0</v>
      </c>
    </row>
    <row r="1420" spans="1:25" s="2" customFormat="1" ht="21.95" customHeight="1">
      <c r="A1420" s="82">
        <v>23</v>
      </c>
      <c r="B1420" s="91" t="s">
        <v>3372</v>
      </c>
      <c r="C1420" s="83" t="s">
        <v>365</v>
      </c>
      <c r="D1420" s="81" t="s">
        <v>524</v>
      </c>
      <c r="E1420" s="48">
        <v>101412</v>
      </c>
      <c r="F1420" s="30" t="s">
        <v>1992</v>
      </c>
      <c r="G1420" s="29" t="s">
        <v>254</v>
      </c>
      <c r="H1420" s="30" t="s">
        <v>463</v>
      </c>
      <c r="I1420" s="78"/>
      <c r="J1420" s="20"/>
      <c r="K1420" s="20"/>
      <c r="L1420" s="20"/>
      <c r="M1420" s="20"/>
      <c r="N1420" s="69" t="s">
        <v>256</v>
      </c>
      <c r="O1420" s="70">
        <v>0</v>
      </c>
      <c r="P1420" s="70">
        <v>0</v>
      </c>
      <c r="Q1420" s="70">
        <v>0</v>
      </c>
      <c r="R1420" s="70"/>
      <c r="S1420" s="67"/>
      <c r="T1420" s="2" t="str">
        <f t="shared" si="117"/>
        <v>Nguyễn Lê Tuấn Nhật_12AS10</v>
      </c>
      <c r="U1420" s="28">
        <f t="array" ref="U1420">IFERROR(VLOOKUP($T1420,'Nghi hoc T12'!$H$7:$I$160,2,0),0)</f>
        <v>0</v>
      </c>
      <c r="V1420" s="28"/>
      <c r="W1420" s="28">
        <f t="shared" si="118"/>
        <v>0</v>
      </c>
      <c r="X1420" s="333">
        <f t="shared" si="119"/>
        <v>0</v>
      </c>
      <c r="Y1420" s="333">
        <f t="shared" si="120"/>
        <v>0</v>
      </c>
    </row>
    <row r="1421" spans="1:25" s="2" customFormat="1" ht="21.95" customHeight="1">
      <c r="A1421" s="82">
        <v>24</v>
      </c>
      <c r="B1421" s="91" t="s">
        <v>3372</v>
      </c>
      <c r="C1421" s="83" t="s">
        <v>365</v>
      </c>
      <c r="D1421" s="81" t="s">
        <v>524</v>
      </c>
      <c r="E1421" s="48">
        <v>101413</v>
      </c>
      <c r="F1421" s="30" t="s">
        <v>270</v>
      </c>
      <c r="G1421" s="29" t="s">
        <v>20</v>
      </c>
      <c r="H1421" s="30" t="s">
        <v>463</v>
      </c>
      <c r="I1421" s="78"/>
      <c r="J1421" s="20"/>
      <c r="K1421" s="20"/>
      <c r="L1421" s="20"/>
      <c r="M1421" s="20"/>
      <c r="N1421" s="69" t="s">
        <v>256</v>
      </c>
      <c r="O1421" s="70">
        <v>0</v>
      </c>
      <c r="P1421" s="70">
        <v>0</v>
      </c>
      <c r="Q1421" s="70">
        <v>0</v>
      </c>
      <c r="R1421" s="70"/>
      <c r="S1421" s="67"/>
      <c r="T1421" s="2" t="str">
        <f t="shared" si="117"/>
        <v>Bùi Ngọc Yến Nhi_12AS10</v>
      </c>
      <c r="U1421" s="28">
        <f t="array" ref="U1421">IFERROR(VLOOKUP($T1421,'Nghi hoc T12'!$H$7:$I$160,2,0),0)</f>
        <v>0</v>
      </c>
      <c r="V1421" s="28"/>
      <c r="W1421" s="28">
        <f t="shared" si="118"/>
        <v>0</v>
      </c>
      <c r="X1421" s="333">
        <f t="shared" si="119"/>
        <v>0</v>
      </c>
      <c r="Y1421" s="333">
        <f t="shared" si="120"/>
        <v>0</v>
      </c>
    </row>
    <row r="1422" spans="1:25" s="2" customFormat="1" ht="21.95" customHeight="1">
      <c r="A1422" s="82">
        <v>25</v>
      </c>
      <c r="B1422" s="91" t="s">
        <v>3372</v>
      </c>
      <c r="C1422" s="83" t="s">
        <v>365</v>
      </c>
      <c r="D1422" s="81" t="s">
        <v>524</v>
      </c>
      <c r="E1422" s="48">
        <v>101414</v>
      </c>
      <c r="F1422" s="30" t="s">
        <v>1968</v>
      </c>
      <c r="G1422" s="29" t="s">
        <v>20</v>
      </c>
      <c r="H1422" s="30" t="s">
        <v>459</v>
      </c>
      <c r="I1422" s="78"/>
      <c r="J1422" s="20"/>
      <c r="K1422" s="20"/>
      <c r="L1422" s="20"/>
      <c r="M1422" s="20"/>
      <c r="N1422" s="69" t="s">
        <v>256</v>
      </c>
      <c r="O1422" s="70">
        <v>0</v>
      </c>
      <c r="P1422" s="70">
        <v>0</v>
      </c>
      <c r="Q1422" s="70">
        <v>0</v>
      </c>
      <c r="R1422" s="70"/>
      <c r="S1422" s="67"/>
      <c r="T1422" s="2" t="str">
        <f t="shared" si="117"/>
        <v>Cao Yến Nhi_12AS9</v>
      </c>
      <c r="U1422" s="28">
        <f t="array" ref="U1422">IFERROR(VLOOKUP($T1422,'Nghi hoc T12'!$H$7:$I$160,2,0),0)</f>
        <v>0</v>
      </c>
      <c r="V1422" s="28"/>
      <c r="W1422" s="28">
        <f t="shared" si="118"/>
        <v>0</v>
      </c>
      <c r="X1422" s="333">
        <f t="shared" si="119"/>
        <v>0</v>
      </c>
      <c r="Y1422" s="333">
        <f t="shared" si="120"/>
        <v>0</v>
      </c>
    </row>
    <row r="1423" spans="1:25" s="2" customFormat="1" ht="21.95" customHeight="1">
      <c r="A1423" s="82">
        <v>26</v>
      </c>
      <c r="B1423" s="91" t="s">
        <v>3372</v>
      </c>
      <c r="C1423" s="83" t="s">
        <v>365</v>
      </c>
      <c r="D1423" s="81" t="s">
        <v>524</v>
      </c>
      <c r="E1423" s="48">
        <v>101415</v>
      </c>
      <c r="F1423" s="30" t="s">
        <v>1969</v>
      </c>
      <c r="G1423" s="29" t="s">
        <v>20</v>
      </c>
      <c r="H1423" s="30" t="s">
        <v>459</v>
      </c>
      <c r="I1423" s="78"/>
      <c r="J1423" s="20"/>
      <c r="K1423" s="20"/>
      <c r="L1423" s="20"/>
      <c r="M1423" s="20"/>
      <c r="N1423" s="69" t="s">
        <v>256</v>
      </c>
      <c r="O1423" s="70">
        <v>0</v>
      </c>
      <c r="P1423" s="70">
        <v>0</v>
      </c>
      <c r="Q1423" s="70">
        <v>0</v>
      </c>
      <c r="R1423" s="70"/>
      <c r="S1423" s="67"/>
      <c r="T1423" s="2" t="str">
        <f t="shared" si="117"/>
        <v>Nguyễn Ngọc Tâm Nhi_12AS9</v>
      </c>
      <c r="U1423" s="28">
        <f t="array" ref="U1423">IFERROR(VLOOKUP($T1423,'Nghi hoc T12'!$H$7:$I$160,2,0),0)</f>
        <v>0</v>
      </c>
      <c r="V1423" s="28"/>
      <c r="W1423" s="28">
        <f t="shared" si="118"/>
        <v>0</v>
      </c>
      <c r="X1423" s="333">
        <f t="shared" si="119"/>
        <v>0</v>
      </c>
      <c r="Y1423" s="333">
        <f t="shared" si="120"/>
        <v>0</v>
      </c>
    </row>
    <row r="1424" spans="1:25" s="2" customFormat="1" ht="21.95" customHeight="1">
      <c r="A1424" s="82">
        <v>27</v>
      </c>
      <c r="B1424" s="91" t="s">
        <v>3372</v>
      </c>
      <c r="C1424" s="83" t="s">
        <v>365</v>
      </c>
      <c r="D1424" s="81" t="s">
        <v>524</v>
      </c>
      <c r="E1424" s="48">
        <v>101416</v>
      </c>
      <c r="F1424" s="30" t="s">
        <v>255</v>
      </c>
      <c r="G1424" s="29" t="s">
        <v>20</v>
      </c>
      <c r="H1424" s="30" t="s">
        <v>459</v>
      </c>
      <c r="I1424" s="78"/>
      <c r="J1424" s="20"/>
      <c r="K1424" s="20"/>
      <c r="L1424" s="20"/>
      <c r="M1424" s="20"/>
      <c r="N1424" s="69" t="s">
        <v>256</v>
      </c>
      <c r="O1424" s="70">
        <v>0</v>
      </c>
      <c r="P1424" s="70">
        <v>0</v>
      </c>
      <c r="Q1424" s="70">
        <v>0</v>
      </c>
      <c r="R1424" s="70"/>
      <c r="S1424" s="67"/>
      <c r="T1424" s="2" t="str">
        <f t="shared" si="117"/>
        <v>Nguyễn Thị Quỳnh Nhi_12AS9</v>
      </c>
      <c r="U1424" s="28">
        <f t="array" ref="U1424">IFERROR(VLOOKUP($T1424,'Nghi hoc T12'!$H$7:$I$160,2,0),0)</f>
        <v>0</v>
      </c>
      <c r="V1424" s="28"/>
      <c r="W1424" s="28">
        <f t="shared" si="118"/>
        <v>0</v>
      </c>
      <c r="X1424" s="333">
        <f t="shared" si="119"/>
        <v>0</v>
      </c>
      <c r="Y1424" s="333">
        <f t="shared" si="120"/>
        <v>0</v>
      </c>
    </row>
    <row r="1425" spans="1:25" s="2" customFormat="1" ht="21.95" customHeight="1">
      <c r="A1425" s="82">
        <v>28</v>
      </c>
      <c r="B1425" s="91" t="s">
        <v>3372</v>
      </c>
      <c r="C1425" s="83" t="s">
        <v>365</v>
      </c>
      <c r="D1425" s="81" t="s">
        <v>524</v>
      </c>
      <c r="E1425" s="48">
        <v>101417</v>
      </c>
      <c r="F1425" s="30" t="s">
        <v>1945</v>
      </c>
      <c r="G1425" s="29" t="s">
        <v>20</v>
      </c>
      <c r="H1425" s="30" t="s">
        <v>461</v>
      </c>
      <c r="I1425" s="78"/>
      <c r="J1425" s="20"/>
      <c r="K1425" s="20"/>
      <c r="L1425" s="20"/>
      <c r="M1425" s="20"/>
      <c r="N1425" s="69" t="s">
        <v>256</v>
      </c>
      <c r="O1425" s="70">
        <v>0</v>
      </c>
      <c r="P1425" s="70">
        <v>0</v>
      </c>
      <c r="Q1425" s="70">
        <v>0</v>
      </c>
      <c r="R1425" s="70"/>
      <c r="S1425" s="67"/>
      <c r="T1425" s="2" t="str">
        <f t="shared" si="117"/>
        <v>Phan Thị Thanh Nhi_12AS11</v>
      </c>
      <c r="U1425" s="28">
        <f t="array" ref="U1425">IFERROR(VLOOKUP($T1425,'Nghi hoc T12'!$H$7:$I$160,2,0),0)</f>
        <v>0</v>
      </c>
      <c r="V1425" s="28"/>
      <c r="W1425" s="28">
        <f t="shared" si="118"/>
        <v>0</v>
      </c>
      <c r="X1425" s="333">
        <f t="shared" si="119"/>
        <v>0</v>
      </c>
      <c r="Y1425" s="333">
        <f t="shared" si="120"/>
        <v>0</v>
      </c>
    </row>
    <row r="1426" spans="1:25" s="2" customFormat="1" ht="21.95" customHeight="1">
      <c r="A1426" s="200">
        <v>1</v>
      </c>
      <c r="B1426" s="91" t="s">
        <v>3373</v>
      </c>
      <c r="C1426" s="185" t="s">
        <v>365</v>
      </c>
      <c r="D1426" s="186" t="s">
        <v>525</v>
      </c>
      <c r="E1426" s="187">
        <v>101418</v>
      </c>
      <c r="F1426" s="188" t="s">
        <v>1232</v>
      </c>
      <c r="G1426" s="189" t="s">
        <v>20</v>
      </c>
      <c r="H1426" s="188" t="s">
        <v>463</v>
      </c>
      <c r="I1426" s="190"/>
      <c r="J1426" s="191"/>
      <c r="K1426" s="191"/>
      <c r="L1426" s="191"/>
      <c r="M1426" s="191"/>
      <c r="N1426" s="69" t="s">
        <v>256</v>
      </c>
      <c r="O1426" s="70">
        <v>0</v>
      </c>
      <c r="P1426" s="70">
        <v>0</v>
      </c>
      <c r="Q1426" s="70">
        <v>0</v>
      </c>
      <c r="R1426" s="70"/>
      <c r="S1426" s="67"/>
      <c r="T1426" s="2" t="str">
        <f t="shared" si="117"/>
        <v>Võ Ái Nhi_12AS10</v>
      </c>
      <c r="U1426" s="28">
        <f t="array" ref="U1426">IFERROR(VLOOKUP($T1426,'Nghi hoc T12'!$H$7:$I$160,2,0),0)</f>
        <v>0</v>
      </c>
      <c r="V1426" s="28"/>
      <c r="W1426" s="28">
        <f t="shared" si="118"/>
        <v>0</v>
      </c>
      <c r="X1426" s="333">
        <f t="shared" si="119"/>
        <v>0</v>
      </c>
      <c r="Y1426" s="333">
        <f t="shared" si="120"/>
        <v>0</v>
      </c>
    </row>
    <row r="1427" spans="1:25" s="2" customFormat="1" ht="21.95" customHeight="1">
      <c r="A1427" s="82">
        <v>2</v>
      </c>
      <c r="B1427" s="91" t="s">
        <v>3373</v>
      </c>
      <c r="C1427" s="83" t="s">
        <v>365</v>
      </c>
      <c r="D1427" s="81" t="s">
        <v>525</v>
      </c>
      <c r="E1427" s="48">
        <v>101419</v>
      </c>
      <c r="F1427" s="30" t="s">
        <v>177</v>
      </c>
      <c r="G1427" s="29" t="s">
        <v>88</v>
      </c>
      <c r="H1427" s="30" t="s">
        <v>459</v>
      </c>
      <c r="I1427" s="78"/>
      <c r="J1427" s="20"/>
      <c r="K1427" s="20"/>
      <c r="L1427" s="20"/>
      <c r="M1427" s="20"/>
      <c r="N1427" s="69" t="s">
        <v>256</v>
      </c>
      <c r="O1427" s="70">
        <v>0</v>
      </c>
      <c r="P1427" s="70">
        <v>0</v>
      </c>
      <c r="Q1427" s="70">
        <v>0</v>
      </c>
      <c r="R1427" s="70"/>
      <c r="S1427" s="67"/>
      <c r="T1427" s="2" t="str">
        <f t="shared" si="117"/>
        <v>Hoàng Thị Ngọc Nhung_12AS9</v>
      </c>
      <c r="U1427" s="28">
        <f t="array" ref="U1427">IFERROR(VLOOKUP($T1427,'Nghi hoc T12'!$H$7:$I$160,2,0),0)</f>
        <v>0</v>
      </c>
      <c r="V1427" s="28"/>
      <c r="W1427" s="28">
        <f t="shared" si="118"/>
        <v>0</v>
      </c>
      <c r="X1427" s="333">
        <f t="shared" si="119"/>
        <v>0</v>
      </c>
      <c r="Y1427" s="333">
        <f t="shared" si="120"/>
        <v>0</v>
      </c>
    </row>
    <row r="1428" spans="1:25" s="2" customFormat="1" ht="21.95" customHeight="1">
      <c r="A1428" s="82">
        <v>3</v>
      </c>
      <c r="B1428" s="91" t="s">
        <v>3373</v>
      </c>
      <c r="C1428" s="83" t="s">
        <v>365</v>
      </c>
      <c r="D1428" s="81" t="s">
        <v>525</v>
      </c>
      <c r="E1428" s="48">
        <v>101420</v>
      </c>
      <c r="F1428" s="30" t="s">
        <v>1993</v>
      </c>
      <c r="G1428" s="29" t="s">
        <v>21</v>
      </c>
      <c r="H1428" s="30" t="s">
        <v>463</v>
      </c>
      <c r="I1428" s="78"/>
      <c r="J1428" s="20"/>
      <c r="K1428" s="20"/>
      <c r="L1428" s="20"/>
      <c r="M1428" s="20"/>
      <c r="N1428" s="69" t="s">
        <v>256</v>
      </c>
      <c r="O1428" s="70">
        <v>0</v>
      </c>
      <c r="P1428" s="70">
        <v>0</v>
      </c>
      <c r="Q1428" s="70">
        <v>0</v>
      </c>
      <c r="R1428" s="70"/>
      <c r="S1428" s="67"/>
      <c r="T1428" s="2" t="str">
        <f t="shared" si="117"/>
        <v>Hoàng Huỳnh Như_12AS10</v>
      </c>
      <c r="U1428" s="28">
        <f t="array" ref="U1428">IFERROR(VLOOKUP($T1428,'Nghi hoc T12'!$H$7:$I$160,2,0),0)</f>
        <v>0</v>
      </c>
      <c r="V1428" s="28"/>
      <c r="W1428" s="28">
        <f t="shared" si="118"/>
        <v>0</v>
      </c>
      <c r="X1428" s="333">
        <f t="shared" si="119"/>
        <v>0</v>
      </c>
      <c r="Y1428" s="333">
        <f t="shared" si="120"/>
        <v>0</v>
      </c>
    </row>
    <row r="1429" spans="1:25" s="2" customFormat="1" ht="21.95" customHeight="1">
      <c r="A1429" s="82">
        <v>4</v>
      </c>
      <c r="B1429" s="91" t="s">
        <v>3373</v>
      </c>
      <c r="C1429" s="83" t="s">
        <v>365</v>
      </c>
      <c r="D1429" s="81" t="s">
        <v>525</v>
      </c>
      <c r="E1429" s="48">
        <v>101421</v>
      </c>
      <c r="F1429" s="30" t="s">
        <v>242</v>
      </c>
      <c r="G1429" s="29" t="s">
        <v>21</v>
      </c>
      <c r="H1429" s="30" t="s">
        <v>463</v>
      </c>
      <c r="I1429" s="78"/>
      <c r="J1429" s="20"/>
      <c r="K1429" s="20"/>
      <c r="L1429" s="20"/>
      <c r="M1429" s="20"/>
      <c r="N1429" s="69" t="s">
        <v>256</v>
      </c>
      <c r="O1429" s="70">
        <v>0</v>
      </c>
      <c r="P1429" s="70">
        <v>0</v>
      </c>
      <c r="Q1429" s="70">
        <v>0</v>
      </c>
      <c r="R1429" s="70"/>
      <c r="S1429" s="67"/>
      <c r="T1429" s="2" t="str">
        <f t="shared" si="117"/>
        <v>Nguyễn Ngọc Bảo Như_12AS10</v>
      </c>
      <c r="U1429" s="28">
        <f t="array" ref="U1429">IFERROR(VLOOKUP($T1429,'Nghi hoc T12'!$H$7:$I$160,2,0),0)</f>
        <v>0</v>
      </c>
      <c r="V1429" s="28"/>
      <c r="W1429" s="28">
        <f t="shared" si="118"/>
        <v>0</v>
      </c>
      <c r="X1429" s="333">
        <f t="shared" si="119"/>
        <v>0</v>
      </c>
      <c r="Y1429" s="333">
        <f t="shared" si="120"/>
        <v>0</v>
      </c>
    </row>
    <row r="1430" spans="1:25" s="2" customFormat="1" ht="21.95" customHeight="1">
      <c r="A1430" s="82">
        <v>5</v>
      </c>
      <c r="B1430" s="91" t="s">
        <v>3373</v>
      </c>
      <c r="C1430" s="83" t="s">
        <v>365</v>
      </c>
      <c r="D1430" s="81" t="s">
        <v>525</v>
      </c>
      <c r="E1430" s="48">
        <v>101422</v>
      </c>
      <c r="F1430" s="30" t="s">
        <v>1969</v>
      </c>
      <c r="G1430" s="29" t="s">
        <v>21</v>
      </c>
      <c r="H1430" s="30" t="s">
        <v>460</v>
      </c>
      <c r="I1430" s="78"/>
      <c r="J1430" s="20"/>
      <c r="K1430" s="20"/>
      <c r="L1430" s="20"/>
      <c r="M1430" s="20"/>
      <c r="N1430" s="69" t="s">
        <v>256</v>
      </c>
      <c r="O1430" s="70">
        <v>0</v>
      </c>
      <c r="P1430" s="70">
        <v>0</v>
      </c>
      <c r="Q1430" s="70">
        <v>0</v>
      </c>
      <c r="R1430" s="70"/>
      <c r="S1430" s="67"/>
      <c r="T1430" s="2" t="str">
        <f t="shared" si="117"/>
        <v>Nguyễn Ngọc Tâm Như_12AS12</v>
      </c>
      <c r="U1430" s="28">
        <f t="array" ref="U1430">IFERROR(VLOOKUP($T1430,'Nghi hoc T12'!$H$7:$I$160,2,0),0)</f>
        <v>0</v>
      </c>
      <c r="V1430" s="28"/>
      <c r="W1430" s="28">
        <f t="shared" si="118"/>
        <v>0</v>
      </c>
      <c r="X1430" s="333">
        <f t="shared" si="119"/>
        <v>0</v>
      </c>
      <c r="Y1430" s="333">
        <f t="shared" si="120"/>
        <v>0</v>
      </c>
    </row>
    <row r="1431" spans="1:25" s="2" customFormat="1" ht="21.95" customHeight="1">
      <c r="A1431" s="82">
        <v>6</v>
      </c>
      <c r="B1431" s="91" t="s">
        <v>3373</v>
      </c>
      <c r="C1431" s="83" t="s">
        <v>365</v>
      </c>
      <c r="D1431" s="81" t="s">
        <v>525</v>
      </c>
      <c r="E1431" s="48">
        <v>101423</v>
      </c>
      <c r="F1431" s="30" t="s">
        <v>1218</v>
      </c>
      <c r="G1431" s="29" t="s">
        <v>21</v>
      </c>
      <c r="H1431" s="30" t="s">
        <v>461</v>
      </c>
      <c r="I1431" s="78"/>
      <c r="J1431" s="20"/>
      <c r="K1431" s="20"/>
      <c r="L1431" s="20"/>
      <c r="M1431" s="20"/>
      <c r="N1431" s="69" t="s">
        <v>256</v>
      </c>
      <c r="O1431" s="70">
        <v>0</v>
      </c>
      <c r="P1431" s="70">
        <v>0</v>
      </c>
      <c r="Q1431" s="70">
        <v>0</v>
      </c>
      <c r="R1431" s="70"/>
      <c r="S1431" s="67"/>
      <c r="T1431" s="2" t="str">
        <f t="shared" si="117"/>
        <v>Nguyễn Ngọc Tố Như_12AS11</v>
      </c>
      <c r="U1431" s="28">
        <f t="array" ref="U1431">IFERROR(VLOOKUP($T1431,'Nghi hoc T12'!$H$7:$I$160,2,0),0)</f>
        <v>0</v>
      </c>
      <c r="V1431" s="28"/>
      <c r="W1431" s="28">
        <f t="shared" si="118"/>
        <v>0</v>
      </c>
      <c r="X1431" s="333">
        <f t="shared" si="119"/>
        <v>0</v>
      </c>
      <c r="Y1431" s="333">
        <f t="shared" si="120"/>
        <v>0</v>
      </c>
    </row>
    <row r="1432" spans="1:25" s="2" customFormat="1" ht="21.95" customHeight="1">
      <c r="A1432" s="82">
        <v>7</v>
      </c>
      <c r="B1432" s="91" t="s">
        <v>3373</v>
      </c>
      <c r="C1432" s="83" t="s">
        <v>365</v>
      </c>
      <c r="D1432" s="81" t="s">
        <v>525</v>
      </c>
      <c r="E1432" s="48">
        <v>101424</v>
      </c>
      <c r="F1432" s="30" t="s">
        <v>2042</v>
      </c>
      <c r="G1432" s="29" t="s">
        <v>21</v>
      </c>
      <c r="H1432" s="30" t="s">
        <v>460</v>
      </c>
      <c r="I1432" s="78"/>
      <c r="J1432" s="20"/>
      <c r="K1432" s="20"/>
      <c r="L1432" s="20"/>
      <c r="M1432" s="20"/>
      <c r="N1432" s="69" t="s">
        <v>256</v>
      </c>
      <c r="O1432" s="70">
        <v>0</v>
      </c>
      <c r="P1432" s="70">
        <v>0</v>
      </c>
      <c r="Q1432" s="70">
        <v>0</v>
      </c>
      <c r="R1432" s="70"/>
      <c r="S1432" s="67"/>
      <c r="T1432" s="2" t="str">
        <f t="shared" si="117"/>
        <v>Nguyễn Trương Yến Như_12AS12</v>
      </c>
      <c r="U1432" s="28">
        <f t="array" ref="U1432">IFERROR(VLOOKUP($T1432,'Nghi hoc T12'!$H$7:$I$160,2,0),0)</f>
        <v>0</v>
      </c>
      <c r="V1432" s="28"/>
      <c r="W1432" s="28">
        <f t="shared" si="118"/>
        <v>0</v>
      </c>
      <c r="X1432" s="333">
        <f t="shared" si="119"/>
        <v>0</v>
      </c>
      <c r="Y1432" s="333">
        <f t="shared" si="120"/>
        <v>0</v>
      </c>
    </row>
    <row r="1433" spans="1:25" s="2" customFormat="1" ht="21.95" customHeight="1">
      <c r="A1433" s="82">
        <v>8</v>
      </c>
      <c r="B1433" s="91" t="s">
        <v>3373</v>
      </c>
      <c r="C1433" s="83" t="s">
        <v>365</v>
      </c>
      <c r="D1433" s="81" t="s">
        <v>525</v>
      </c>
      <c r="E1433" s="48">
        <v>101425</v>
      </c>
      <c r="F1433" s="30" t="s">
        <v>262</v>
      </c>
      <c r="G1433" s="29" t="s">
        <v>21</v>
      </c>
      <c r="H1433" s="30" t="s">
        <v>460</v>
      </c>
      <c r="I1433" s="78"/>
      <c r="J1433" s="20"/>
      <c r="K1433" s="20"/>
      <c r="L1433" s="20"/>
      <c r="M1433" s="20"/>
      <c r="N1433" s="69" t="s">
        <v>256</v>
      </c>
      <c r="O1433" s="70">
        <v>0</v>
      </c>
      <c r="P1433" s="70">
        <v>0</v>
      </c>
      <c r="Q1433" s="70">
        <v>0</v>
      </c>
      <c r="R1433" s="70"/>
      <c r="S1433" s="67"/>
      <c r="T1433" s="2" t="str">
        <f t="shared" si="117"/>
        <v>Trần Quỳnh Như_12AS12</v>
      </c>
      <c r="U1433" s="28">
        <f t="array" ref="U1433">IFERROR(VLOOKUP($T1433,'Nghi hoc T12'!$H$7:$I$160,2,0),0)</f>
        <v>0</v>
      </c>
      <c r="V1433" s="28"/>
      <c r="W1433" s="28">
        <f t="shared" si="118"/>
        <v>0</v>
      </c>
      <c r="X1433" s="333">
        <f t="shared" si="119"/>
        <v>0</v>
      </c>
      <c r="Y1433" s="333">
        <f t="shared" si="120"/>
        <v>0</v>
      </c>
    </row>
    <row r="1434" spans="1:25" s="2" customFormat="1" ht="21.95" customHeight="1">
      <c r="A1434" s="82">
        <v>9</v>
      </c>
      <c r="B1434" s="91" t="s">
        <v>3373</v>
      </c>
      <c r="C1434" s="83" t="s">
        <v>365</v>
      </c>
      <c r="D1434" s="81" t="s">
        <v>525</v>
      </c>
      <c r="E1434" s="48">
        <v>101426</v>
      </c>
      <c r="F1434" s="30" t="s">
        <v>283</v>
      </c>
      <c r="G1434" s="29" t="s">
        <v>21</v>
      </c>
      <c r="H1434" s="30" t="s">
        <v>461</v>
      </c>
      <c r="I1434" s="78"/>
      <c r="J1434" s="20"/>
      <c r="K1434" s="20"/>
      <c r="L1434" s="20"/>
      <c r="M1434" s="20"/>
      <c r="N1434" s="69" t="s">
        <v>256</v>
      </c>
      <c r="O1434" s="70">
        <v>0</v>
      </c>
      <c r="P1434" s="70">
        <v>0</v>
      </c>
      <c r="Q1434" s="70">
        <v>0</v>
      </c>
      <c r="R1434" s="70"/>
      <c r="S1434" s="67"/>
      <c r="T1434" s="2" t="str">
        <f t="shared" si="117"/>
        <v>Vũ Thị Quỳnh Như_12AS11</v>
      </c>
      <c r="U1434" s="28">
        <f t="array" ref="U1434">IFERROR(VLOOKUP($T1434,'Nghi hoc T12'!$H$7:$I$160,2,0),0)</f>
        <v>0</v>
      </c>
      <c r="V1434" s="28"/>
      <c r="W1434" s="28">
        <f t="shared" si="118"/>
        <v>0</v>
      </c>
      <c r="X1434" s="333">
        <f t="shared" si="119"/>
        <v>0</v>
      </c>
      <c r="Y1434" s="333">
        <f t="shared" si="120"/>
        <v>0</v>
      </c>
    </row>
    <row r="1435" spans="1:25" s="2" customFormat="1" ht="21.95" customHeight="1">
      <c r="A1435" s="82">
        <v>10</v>
      </c>
      <c r="B1435" s="91" t="s">
        <v>3373</v>
      </c>
      <c r="C1435" s="83" t="s">
        <v>365</v>
      </c>
      <c r="D1435" s="81" t="s">
        <v>525</v>
      </c>
      <c r="E1435" s="48">
        <v>101427</v>
      </c>
      <c r="F1435" s="30" t="s">
        <v>1518</v>
      </c>
      <c r="G1435" s="29" t="s">
        <v>181</v>
      </c>
      <c r="H1435" s="30" t="s">
        <v>461</v>
      </c>
      <c r="I1435" s="78"/>
      <c r="J1435" s="20"/>
      <c r="K1435" s="20"/>
      <c r="L1435" s="20"/>
      <c r="M1435" s="20"/>
      <c r="N1435" s="69" t="s">
        <v>256</v>
      </c>
      <c r="O1435" s="70">
        <v>0</v>
      </c>
      <c r="P1435" s="70">
        <v>0</v>
      </c>
      <c r="Q1435" s="70">
        <v>0</v>
      </c>
      <c r="R1435" s="70"/>
      <c r="S1435" s="67"/>
      <c r="T1435" s="2" t="str">
        <f t="shared" si="117"/>
        <v>Lê Nguyễn Hoàng Oanh_12AS11</v>
      </c>
      <c r="U1435" s="28">
        <f t="array" ref="U1435">IFERROR(VLOOKUP($T1435,'Nghi hoc T12'!$H$7:$I$160,2,0),0)</f>
        <v>0</v>
      </c>
      <c r="V1435" s="28"/>
      <c r="W1435" s="28">
        <f t="shared" si="118"/>
        <v>0</v>
      </c>
      <c r="X1435" s="333">
        <f t="shared" si="119"/>
        <v>0</v>
      </c>
      <c r="Y1435" s="333">
        <f t="shared" si="120"/>
        <v>0</v>
      </c>
    </row>
    <row r="1436" spans="1:25" s="2" customFormat="1" ht="21.95" customHeight="1">
      <c r="A1436" s="82">
        <v>11</v>
      </c>
      <c r="B1436" s="91" t="s">
        <v>3373</v>
      </c>
      <c r="C1436" s="83" t="s">
        <v>365</v>
      </c>
      <c r="D1436" s="81" t="s">
        <v>525</v>
      </c>
      <c r="E1436" s="48">
        <v>101428</v>
      </c>
      <c r="F1436" s="30" t="s">
        <v>2043</v>
      </c>
      <c r="G1436" s="29" t="s">
        <v>42</v>
      </c>
      <c r="H1436" s="30" t="s">
        <v>460</v>
      </c>
      <c r="I1436" s="78"/>
      <c r="J1436" s="20"/>
      <c r="K1436" s="20"/>
      <c r="L1436" s="20"/>
      <c r="M1436" s="20"/>
      <c r="N1436" s="69" t="s">
        <v>256</v>
      </c>
      <c r="O1436" s="70">
        <v>0</v>
      </c>
      <c r="P1436" s="70">
        <v>0</v>
      </c>
      <c r="Q1436" s="70">
        <v>0</v>
      </c>
      <c r="R1436" s="70"/>
      <c r="S1436" s="67"/>
      <c r="T1436" s="2" t="str">
        <f t="shared" si="117"/>
        <v>Hà Nguyễn Đức Phát_12AS12</v>
      </c>
      <c r="U1436" s="28">
        <f t="array" ref="U1436">IFERROR(VLOOKUP($T1436,'Nghi hoc T12'!$H$7:$I$160,2,0),0)</f>
        <v>0</v>
      </c>
      <c r="V1436" s="28"/>
      <c r="W1436" s="28">
        <f t="shared" si="118"/>
        <v>0</v>
      </c>
      <c r="X1436" s="333">
        <f t="shared" si="119"/>
        <v>0</v>
      </c>
      <c r="Y1436" s="333">
        <f t="shared" si="120"/>
        <v>0</v>
      </c>
    </row>
    <row r="1437" spans="1:25" s="2" customFormat="1" ht="21.95" customHeight="1">
      <c r="A1437" s="82">
        <v>12</v>
      </c>
      <c r="B1437" s="91" t="s">
        <v>3373</v>
      </c>
      <c r="C1437" s="83" t="s">
        <v>365</v>
      </c>
      <c r="D1437" s="81" t="s">
        <v>525</v>
      </c>
      <c r="E1437" s="48">
        <v>101429</v>
      </c>
      <c r="F1437" s="30" t="s">
        <v>1994</v>
      </c>
      <c r="G1437" s="29" t="s">
        <v>42</v>
      </c>
      <c r="H1437" s="30" t="s">
        <v>463</v>
      </c>
      <c r="I1437" s="78"/>
      <c r="J1437" s="20"/>
      <c r="K1437" s="20"/>
      <c r="L1437" s="20"/>
      <c r="M1437" s="20"/>
      <c r="N1437" s="69" t="s">
        <v>256</v>
      </c>
      <c r="O1437" s="70">
        <v>0</v>
      </c>
      <c r="P1437" s="70">
        <v>0</v>
      </c>
      <c r="Q1437" s="70">
        <v>0</v>
      </c>
      <c r="R1437" s="70"/>
      <c r="S1437" s="67"/>
      <c r="T1437" s="2" t="str">
        <f t="shared" si="117"/>
        <v>Lê Văn Tuấn Phát_12AS10</v>
      </c>
      <c r="U1437" s="28">
        <f t="array" ref="U1437">IFERROR(VLOOKUP($T1437,'Nghi hoc T12'!$H$7:$I$160,2,0),0)</f>
        <v>0</v>
      </c>
      <c r="V1437" s="28"/>
      <c r="W1437" s="28">
        <f t="shared" si="118"/>
        <v>0</v>
      </c>
      <c r="X1437" s="333">
        <f t="shared" si="119"/>
        <v>0</v>
      </c>
      <c r="Y1437" s="333">
        <f t="shared" si="120"/>
        <v>0</v>
      </c>
    </row>
    <row r="1438" spans="1:25" s="2" customFormat="1" ht="21.95" customHeight="1">
      <c r="A1438" s="82">
        <v>13</v>
      </c>
      <c r="B1438" s="91" t="s">
        <v>3373</v>
      </c>
      <c r="C1438" s="83" t="s">
        <v>365</v>
      </c>
      <c r="D1438" s="81" t="s">
        <v>525</v>
      </c>
      <c r="E1438" s="48">
        <v>101430</v>
      </c>
      <c r="F1438" s="30" t="s">
        <v>150</v>
      </c>
      <c r="G1438" s="29" t="s">
        <v>42</v>
      </c>
      <c r="H1438" s="30" t="s">
        <v>463</v>
      </c>
      <c r="I1438" s="78"/>
      <c r="J1438" s="20"/>
      <c r="K1438" s="20"/>
      <c r="L1438" s="20"/>
      <c r="M1438" s="20"/>
      <c r="N1438" s="69" t="s">
        <v>256</v>
      </c>
      <c r="O1438" s="70">
        <v>0</v>
      </c>
      <c r="P1438" s="70">
        <v>0</v>
      </c>
      <c r="Q1438" s="70">
        <v>0</v>
      </c>
      <c r="R1438" s="70"/>
      <c r="S1438" s="67"/>
      <c r="T1438" s="2" t="str">
        <f t="shared" si="117"/>
        <v>Trần Tuấn Phát_12AS10</v>
      </c>
      <c r="U1438" s="28">
        <f t="array" ref="U1438">IFERROR(VLOOKUP($T1438,'Nghi hoc T12'!$H$7:$I$160,2,0),0)</f>
        <v>0</v>
      </c>
      <c r="V1438" s="28"/>
      <c r="W1438" s="28">
        <f t="shared" si="118"/>
        <v>0</v>
      </c>
      <c r="X1438" s="333">
        <f t="shared" si="119"/>
        <v>0</v>
      </c>
      <c r="Y1438" s="333">
        <f t="shared" si="120"/>
        <v>0</v>
      </c>
    </row>
    <row r="1439" spans="1:25" s="2" customFormat="1" ht="21.95" customHeight="1">
      <c r="A1439" s="82">
        <v>14</v>
      </c>
      <c r="B1439" s="91" t="s">
        <v>3373</v>
      </c>
      <c r="C1439" s="83" t="s">
        <v>365</v>
      </c>
      <c r="D1439" s="81" t="s">
        <v>525</v>
      </c>
      <c r="E1439" s="48">
        <v>101431</v>
      </c>
      <c r="F1439" s="30" t="s">
        <v>2018</v>
      </c>
      <c r="G1439" s="29" t="s">
        <v>271</v>
      </c>
      <c r="H1439" s="30" t="s">
        <v>461</v>
      </c>
      <c r="I1439" s="78"/>
      <c r="J1439" s="20"/>
      <c r="K1439" s="20"/>
      <c r="L1439" s="20"/>
      <c r="M1439" s="20"/>
      <c r="N1439" s="69" t="s">
        <v>256</v>
      </c>
      <c r="O1439" s="70">
        <v>0</v>
      </c>
      <c r="P1439" s="70">
        <v>0</v>
      </c>
      <c r="Q1439" s="70">
        <v>0</v>
      </c>
      <c r="R1439" s="70"/>
      <c r="S1439" s="67"/>
      <c r="T1439" s="2" t="str">
        <f t="shared" si="117"/>
        <v>Doãn Thanh Châu Phi_12AS11</v>
      </c>
      <c r="U1439" s="28">
        <f t="array" ref="U1439">IFERROR(VLOOKUP($T1439,'Nghi hoc T12'!$H$7:$I$160,2,0),0)</f>
        <v>0</v>
      </c>
      <c r="V1439" s="28"/>
      <c r="W1439" s="28">
        <f t="shared" si="118"/>
        <v>0</v>
      </c>
      <c r="X1439" s="333">
        <f t="shared" si="119"/>
        <v>0</v>
      </c>
      <c r="Y1439" s="333">
        <f t="shared" si="120"/>
        <v>0</v>
      </c>
    </row>
    <row r="1440" spans="1:25" s="2" customFormat="1" ht="21.95" customHeight="1">
      <c r="A1440" s="82">
        <v>15</v>
      </c>
      <c r="B1440" s="91" t="s">
        <v>3373</v>
      </c>
      <c r="C1440" s="83" t="s">
        <v>365</v>
      </c>
      <c r="D1440" s="81" t="s">
        <v>525</v>
      </c>
      <c r="E1440" s="48">
        <v>101432</v>
      </c>
      <c r="F1440" s="30" t="s">
        <v>2044</v>
      </c>
      <c r="G1440" s="29" t="s">
        <v>103</v>
      </c>
      <c r="H1440" s="30" t="s">
        <v>460</v>
      </c>
      <c r="I1440" s="78"/>
      <c r="J1440" s="20"/>
      <c r="K1440" s="20"/>
      <c r="L1440" s="20"/>
      <c r="M1440" s="20"/>
      <c r="N1440" s="69" t="s">
        <v>256</v>
      </c>
      <c r="O1440" s="70">
        <v>0</v>
      </c>
      <c r="P1440" s="70">
        <v>0</v>
      </c>
      <c r="Q1440" s="70">
        <v>0</v>
      </c>
      <c r="R1440" s="70"/>
      <c r="S1440" s="67"/>
      <c r="T1440" s="2" t="str">
        <f t="shared" si="117"/>
        <v>Lương Quang Phú_12AS12</v>
      </c>
      <c r="U1440" s="28">
        <f t="array" ref="U1440">IFERROR(VLOOKUP($T1440,'Nghi hoc T12'!$H$7:$I$160,2,0),0)</f>
        <v>0</v>
      </c>
      <c r="V1440" s="28"/>
      <c r="W1440" s="28">
        <f t="shared" si="118"/>
        <v>0</v>
      </c>
      <c r="X1440" s="333">
        <f t="shared" si="119"/>
        <v>0</v>
      </c>
      <c r="Y1440" s="333">
        <f t="shared" si="120"/>
        <v>0</v>
      </c>
    </row>
    <row r="1441" spans="1:25" s="2" customFormat="1" ht="21.95" customHeight="1">
      <c r="A1441" s="82">
        <v>16</v>
      </c>
      <c r="B1441" s="91" t="s">
        <v>3373</v>
      </c>
      <c r="C1441" s="83" t="s">
        <v>365</v>
      </c>
      <c r="D1441" s="81" t="s">
        <v>525</v>
      </c>
      <c r="E1441" s="48">
        <v>101433</v>
      </c>
      <c r="F1441" s="30" t="s">
        <v>37</v>
      </c>
      <c r="G1441" s="29" t="s">
        <v>103</v>
      </c>
      <c r="H1441" s="30" t="s">
        <v>463</v>
      </c>
      <c r="I1441" s="78"/>
      <c r="J1441" s="20"/>
      <c r="K1441" s="20"/>
      <c r="L1441" s="20"/>
      <c r="M1441" s="20"/>
      <c r="N1441" s="69" t="s">
        <v>256</v>
      </c>
      <c r="O1441" s="70">
        <v>0</v>
      </c>
      <c r="P1441" s="70">
        <v>0</v>
      </c>
      <c r="Q1441" s="70">
        <v>0</v>
      </c>
      <c r="R1441" s="70"/>
      <c r="S1441" s="67"/>
      <c r="T1441" s="2" t="str">
        <f t="shared" si="117"/>
        <v>Nguyễn Trường Phú_12AS10</v>
      </c>
      <c r="U1441" s="28">
        <f t="array" ref="U1441">IFERROR(VLOOKUP($T1441,'Nghi hoc T12'!$H$7:$I$160,2,0),0)</f>
        <v>0</v>
      </c>
      <c r="V1441" s="28"/>
      <c r="W1441" s="28">
        <f t="shared" si="118"/>
        <v>0</v>
      </c>
      <c r="X1441" s="333">
        <f t="shared" si="119"/>
        <v>0</v>
      </c>
      <c r="Y1441" s="333">
        <f t="shared" si="120"/>
        <v>0</v>
      </c>
    </row>
    <row r="1442" spans="1:25" s="2" customFormat="1" ht="21.95" customHeight="1">
      <c r="A1442" s="82">
        <v>17</v>
      </c>
      <c r="B1442" s="91" t="s">
        <v>3373</v>
      </c>
      <c r="C1442" s="83" t="s">
        <v>365</v>
      </c>
      <c r="D1442" s="81" t="s">
        <v>525</v>
      </c>
      <c r="E1442" s="48">
        <v>101434</v>
      </c>
      <c r="F1442" s="30" t="s">
        <v>1540</v>
      </c>
      <c r="G1442" s="29" t="s">
        <v>71</v>
      </c>
      <c r="H1442" s="30" t="s">
        <v>459</v>
      </c>
      <c r="I1442" s="78"/>
      <c r="J1442" s="20"/>
      <c r="K1442" s="20"/>
      <c r="L1442" s="20"/>
      <c r="M1442" s="20"/>
      <c r="N1442" s="69" t="s">
        <v>256</v>
      </c>
      <c r="O1442" s="70">
        <v>0</v>
      </c>
      <c r="P1442" s="70">
        <v>0</v>
      </c>
      <c r="Q1442" s="70">
        <v>0</v>
      </c>
      <c r="R1442" s="70"/>
      <c r="S1442" s="67"/>
      <c r="T1442" s="2" t="str">
        <f t="shared" si="117"/>
        <v>Dương Hồng Phúc_12AS9</v>
      </c>
      <c r="U1442" s="28">
        <f t="array" ref="U1442">IFERROR(VLOOKUP($T1442,'Nghi hoc T12'!$H$7:$I$160,2,0),0)</f>
        <v>0</v>
      </c>
      <c r="V1442" s="28"/>
      <c r="W1442" s="28">
        <f t="shared" si="118"/>
        <v>0</v>
      </c>
      <c r="X1442" s="333">
        <f t="shared" si="119"/>
        <v>0</v>
      </c>
      <c r="Y1442" s="333">
        <f t="shared" si="120"/>
        <v>0</v>
      </c>
    </row>
    <row r="1443" spans="1:25" s="2" customFormat="1" ht="21.95" customHeight="1">
      <c r="A1443" s="82">
        <v>18</v>
      </c>
      <c r="B1443" s="91" t="s">
        <v>3373</v>
      </c>
      <c r="C1443" s="83" t="s">
        <v>365</v>
      </c>
      <c r="D1443" s="81" t="s">
        <v>525</v>
      </c>
      <c r="E1443" s="48">
        <v>101435</v>
      </c>
      <c r="F1443" s="30" t="s">
        <v>2045</v>
      </c>
      <c r="G1443" s="29" t="s">
        <v>284</v>
      </c>
      <c r="H1443" s="30" t="s">
        <v>460</v>
      </c>
      <c r="I1443" s="78"/>
      <c r="J1443" s="20"/>
      <c r="K1443" s="20"/>
      <c r="L1443" s="20"/>
      <c r="M1443" s="20"/>
      <c r="N1443" s="69" t="s">
        <v>256</v>
      </c>
      <c r="O1443" s="70">
        <v>0</v>
      </c>
      <c r="P1443" s="70">
        <v>0</v>
      </c>
      <c r="Q1443" s="70">
        <v>0</v>
      </c>
      <c r="R1443" s="70"/>
      <c r="S1443" s="67"/>
      <c r="T1443" s="2" t="str">
        <f t="shared" si="117"/>
        <v>Trần Võ Minh Phước_12AS12</v>
      </c>
      <c r="U1443" s="28">
        <f t="array" ref="U1443">IFERROR(VLOOKUP($T1443,'Nghi hoc T12'!$H$7:$I$160,2,0),0)</f>
        <v>0</v>
      </c>
      <c r="V1443" s="28"/>
      <c r="W1443" s="28">
        <f t="shared" si="118"/>
        <v>0</v>
      </c>
      <c r="X1443" s="333">
        <f t="shared" si="119"/>
        <v>0</v>
      </c>
      <c r="Y1443" s="333">
        <f t="shared" si="120"/>
        <v>0</v>
      </c>
    </row>
    <row r="1444" spans="1:25" s="2" customFormat="1" ht="21.95" customHeight="1">
      <c r="A1444" s="82">
        <v>19</v>
      </c>
      <c r="B1444" s="91" t="s">
        <v>3373</v>
      </c>
      <c r="C1444" s="83" t="s">
        <v>365</v>
      </c>
      <c r="D1444" s="81" t="s">
        <v>525</v>
      </c>
      <c r="E1444" s="48">
        <v>101436</v>
      </c>
      <c r="F1444" s="30" t="s">
        <v>1443</v>
      </c>
      <c r="G1444" s="29" t="s">
        <v>43</v>
      </c>
      <c r="H1444" s="30" t="s">
        <v>463</v>
      </c>
      <c r="I1444" s="78"/>
      <c r="J1444" s="20"/>
      <c r="K1444" s="20"/>
      <c r="L1444" s="20"/>
      <c r="M1444" s="20"/>
      <c r="N1444" s="69" t="s">
        <v>256</v>
      </c>
      <c r="O1444" s="70">
        <v>0</v>
      </c>
      <c r="P1444" s="70">
        <v>0</v>
      </c>
      <c r="Q1444" s="70">
        <v>0</v>
      </c>
      <c r="R1444" s="70"/>
      <c r="S1444" s="67"/>
      <c r="T1444" s="2" t="str">
        <f t="shared" si="117"/>
        <v>Lê Thảo Phương_12AS10</v>
      </c>
      <c r="U1444" s="28">
        <f t="array" ref="U1444">IFERROR(VLOOKUP($T1444,'Nghi hoc T12'!$H$7:$I$160,2,0),0)</f>
        <v>0</v>
      </c>
      <c r="V1444" s="28"/>
      <c r="W1444" s="28">
        <f t="shared" si="118"/>
        <v>0</v>
      </c>
      <c r="X1444" s="333">
        <f t="shared" si="119"/>
        <v>0</v>
      </c>
      <c r="Y1444" s="333">
        <f t="shared" si="120"/>
        <v>0</v>
      </c>
    </row>
    <row r="1445" spans="1:25" s="2" customFormat="1" ht="21.95" customHeight="1">
      <c r="A1445" s="82">
        <v>20</v>
      </c>
      <c r="B1445" s="91" t="s">
        <v>3373</v>
      </c>
      <c r="C1445" s="83" t="s">
        <v>365</v>
      </c>
      <c r="D1445" s="81" t="s">
        <v>525</v>
      </c>
      <c r="E1445" s="48">
        <v>101437</v>
      </c>
      <c r="F1445" s="30" t="s">
        <v>1970</v>
      </c>
      <c r="G1445" s="29" t="s">
        <v>43</v>
      </c>
      <c r="H1445" s="30" t="s">
        <v>459</v>
      </c>
      <c r="I1445" s="78"/>
      <c r="J1445" s="20"/>
      <c r="K1445" s="20"/>
      <c r="L1445" s="20"/>
      <c r="M1445" s="20"/>
      <c r="N1445" s="69" t="s">
        <v>256</v>
      </c>
      <c r="O1445" s="70">
        <v>0</v>
      </c>
      <c r="P1445" s="70">
        <v>0</v>
      </c>
      <c r="Q1445" s="70">
        <v>0</v>
      </c>
      <c r="R1445" s="70"/>
      <c r="S1445" s="67"/>
      <c r="T1445" s="2" t="str">
        <f t="shared" si="117"/>
        <v>Nguyễn Thị Trúc Phương_12AS9</v>
      </c>
      <c r="U1445" s="28">
        <f t="array" ref="U1445">IFERROR(VLOOKUP($T1445,'Nghi hoc T12'!$H$7:$I$160,2,0),0)</f>
        <v>0</v>
      </c>
      <c r="V1445" s="28"/>
      <c r="W1445" s="28">
        <f t="shared" si="118"/>
        <v>0</v>
      </c>
      <c r="X1445" s="333">
        <f t="shared" si="119"/>
        <v>0</v>
      </c>
      <c r="Y1445" s="333">
        <f t="shared" si="120"/>
        <v>0</v>
      </c>
    </row>
    <row r="1446" spans="1:25" s="2" customFormat="1" ht="21.95" customHeight="1">
      <c r="A1446" s="82">
        <v>21</v>
      </c>
      <c r="B1446" s="91" t="s">
        <v>3373</v>
      </c>
      <c r="C1446" s="83" t="s">
        <v>365</v>
      </c>
      <c r="D1446" s="81" t="s">
        <v>525</v>
      </c>
      <c r="E1446" s="48">
        <v>101438</v>
      </c>
      <c r="F1446" s="30" t="s">
        <v>2019</v>
      </c>
      <c r="G1446" s="29" t="s">
        <v>43</v>
      </c>
      <c r="H1446" s="30" t="s">
        <v>461</v>
      </c>
      <c r="I1446" s="78"/>
      <c r="J1446" s="20"/>
      <c r="K1446" s="20"/>
      <c r="L1446" s="20"/>
      <c r="M1446" s="20"/>
      <c r="N1446" s="69" t="s">
        <v>256</v>
      </c>
      <c r="O1446" s="70">
        <v>0</v>
      </c>
      <c r="P1446" s="70">
        <v>0</v>
      </c>
      <c r="Q1446" s="70">
        <v>0</v>
      </c>
      <c r="R1446" s="70"/>
      <c r="S1446" s="67"/>
      <c r="T1446" s="2" t="str">
        <f t="shared" si="117"/>
        <v>Phan Thị Kim Phương_12AS11</v>
      </c>
      <c r="U1446" s="28">
        <f t="array" ref="U1446">IFERROR(VLOOKUP($T1446,'Nghi hoc T12'!$H$7:$I$160,2,0),0)</f>
        <v>0</v>
      </c>
      <c r="V1446" s="28"/>
      <c r="W1446" s="28">
        <f t="shared" si="118"/>
        <v>0</v>
      </c>
      <c r="X1446" s="333">
        <f t="shared" si="119"/>
        <v>0</v>
      </c>
      <c r="Y1446" s="333">
        <f t="shared" si="120"/>
        <v>0</v>
      </c>
    </row>
    <row r="1447" spans="1:25" s="2" customFormat="1" ht="21.95" customHeight="1">
      <c r="A1447" s="82">
        <v>22</v>
      </c>
      <c r="B1447" s="91" t="s">
        <v>3373</v>
      </c>
      <c r="C1447" s="83" t="s">
        <v>365</v>
      </c>
      <c r="D1447" s="81" t="s">
        <v>525</v>
      </c>
      <c r="E1447" s="48">
        <v>101439</v>
      </c>
      <c r="F1447" s="30" t="s">
        <v>2020</v>
      </c>
      <c r="G1447" s="29" t="s">
        <v>43</v>
      </c>
      <c r="H1447" s="30" t="s">
        <v>461</v>
      </c>
      <c r="I1447" s="78"/>
      <c r="J1447" s="20"/>
      <c r="K1447" s="20"/>
      <c r="L1447" s="20"/>
      <c r="M1447" s="20"/>
      <c r="N1447" s="69" t="s">
        <v>256</v>
      </c>
      <c r="O1447" s="70">
        <v>0</v>
      </c>
      <c r="P1447" s="70">
        <v>0</v>
      </c>
      <c r="Q1447" s="70">
        <v>0</v>
      </c>
      <c r="R1447" s="70"/>
      <c r="S1447" s="67"/>
      <c r="T1447" s="2" t="str">
        <f t="shared" si="117"/>
        <v>Vũ Hoàng Minh Phương_12AS11</v>
      </c>
      <c r="U1447" s="28">
        <f t="array" ref="U1447">IFERROR(VLOOKUP($T1447,'Nghi hoc T12'!$H$7:$I$160,2,0),0)</f>
        <v>0</v>
      </c>
      <c r="V1447" s="28"/>
      <c r="W1447" s="28">
        <f t="shared" si="118"/>
        <v>0</v>
      </c>
      <c r="X1447" s="333">
        <f t="shared" si="119"/>
        <v>0</v>
      </c>
      <c r="Y1447" s="333">
        <f t="shared" si="120"/>
        <v>0</v>
      </c>
    </row>
    <row r="1448" spans="1:25" s="2" customFormat="1" ht="21.95" customHeight="1">
      <c r="A1448" s="82">
        <v>23</v>
      </c>
      <c r="B1448" s="91" t="s">
        <v>3373</v>
      </c>
      <c r="C1448" s="83" t="s">
        <v>365</v>
      </c>
      <c r="D1448" s="81" t="s">
        <v>525</v>
      </c>
      <c r="E1448" s="48">
        <v>101440</v>
      </c>
      <c r="F1448" s="30" t="s">
        <v>1995</v>
      </c>
      <c r="G1448" s="29" t="s">
        <v>46</v>
      </c>
      <c r="H1448" s="30" t="s">
        <v>463</v>
      </c>
      <c r="I1448" s="78"/>
      <c r="J1448" s="20"/>
      <c r="K1448" s="20"/>
      <c r="L1448" s="20"/>
      <c r="M1448" s="20"/>
      <c r="N1448" s="69" t="s">
        <v>256</v>
      </c>
      <c r="O1448" s="70">
        <v>0</v>
      </c>
      <c r="P1448" s="70">
        <v>0</v>
      </c>
      <c r="Q1448" s="70">
        <v>0</v>
      </c>
      <c r="R1448" s="70"/>
      <c r="S1448" s="67"/>
      <c r="T1448" s="2" t="str">
        <f t="shared" si="117"/>
        <v>Châu Ngọc Quý_12AS10</v>
      </c>
      <c r="U1448" s="28">
        <f t="array" ref="U1448">IFERROR(VLOOKUP($T1448,'Nghi hoc T12'!$H$7:$I$160,2,0),0)</f>
        <v>0</v>
      </c>
      <c r="V1448" s="28"/>
      <c r="W1448" s="28">
        <f t="shared" si="118"/>
        <v>0</v>
      </c>
      <c r="X1448" s="333">
        <f t="shared" si="119"/>
        <v>0</v>
      </c>
      <c r="Y1448" s="333">
        <f t="shared" si="120"/>
        <v>0</v>
      </c>
    </row>
    <row r="1449" spans="1:25" s="2" customFormat="1" ht="21.95" customHeight="1">
      <c r="A1449" s="82">
        <v>24</v>
      </c>
      <c r="B1449" s="91" t="s">
        <v>3373</v>
      </c>
      <c r="C1449" s="83" t="s">
        <v>365</v>
      </c>
      <c r="D1449" s="81" t="s">
        <v>525</v>
      </c>
      <c r="E1449" s="48">
        <v>101441</v>
      </c>
      <c r="F1449" s="30" t="s">
        <v>2046</v>
      </c>
      <c r="G1449" s="29" t="s">
        <v>46</v>
      </c>
      <c r="H1449" s="30" t="s">
        <v>460</v>
      </c>
      <c r="I1449" s="78"/>
      <c r="J1449" s="20"/>
      <c r="K1449" s="20"/>
      <c r="L1449" s="20"/>
      <c r="M1449" s="20"/>
      <c r="N1449" s="69" t="s">
        <v>256</v>
      </c>
      <c r="O1449" s="70"/>
      <c r="P1449" s="70"/>
      <c r="Q1449" s="70">
        <v>0</v>
      </c>
      <c r="R1449" s="70"/>
      <c r="S1449" s="67"/>
      <c r="T1449" s="2" t="str">
        <f t="shared" si="117"/>
        <v>Nguyễn Mai Gia Phú Quý_12AS12</v>
      </c>
      <c r="U1449" s="28">
        <f t="array" ref="U1449">IFERROR(VLOOKUP($T1449,'Nghi hoc T12'!$H$7:$I$160,2,0),0)</f>
        <v>0</v>
      </c>
      <c r="V1449" s="28"/>
      <c r="W1449" s="28">
        <f t="shared" si="118"/>
        <v>0</v>
      </c>
      <c r="X1449" s="333">
        <f t="shared" si="119"/>
        <v>0</v>
      </c>
      <c r="Y1449" s="333">
        <f t="shared" si="120"/>
        <v>0</v>
      </c>
    </row>
    <row r="1450" spans="1:25" s="2" customFormat="1" ht="21.95" customHeight="1">
      <c r="A1450" s="82">
        <v>25</v>
      </c>
      <c r="B1450" s="91" t="s">
        <v>3373</v>
      </c>
      <c r="C1450" s="83" t="s">
        <v>365</v>
      </c>
      <c r="D1450" s="81" t="s">
        <v>525</v>
      </c>
      <c r="E1450" s="48">
        <v>101442</v>
      </c>
      <c r="F1450" s="30" t="s">
        <v>272</v>
      </c>
      <c r="G1450" s="29" t="s">
        <v>22</v>
      </c>
      <c r="H1450" s="30" t="s">
        <v>461</v>
      </c>
      <c r="I1450" s="78"/>
      <c r="J1450" s="20"/>
      <c r="K1450" s="20"/>
      <c r="L1450" s="20"/>
      <c r="M1450" s="20"/>
      <c r="N1450" s="69" t="s">
        <v>256</v>
      </c>
      <c r="O1450" s="70"/>
      <c r="P1450" s="70"/>
      <c r="Q1450" s="70">
        <v>0</v>
      </c>
      <c r="R1450" s="70"/>
      <c r="S1450" s="67"/>
      <c r="T1450" s="2" t="str">
        <f t="shared" si="117"/>
        <v>Nguyễn Như Quỳnh_12AS11</v>
      </c>
      <c r="U1450" s="28">
        <f t="array" ref="U1450">IFERROR(VLOOKUP($T1450,'Nghi hoc T12'!$H$7:$I$160,2,0),0)</f>
        <v>0</v>
      </c>
      <c r="V1450" s="28"/>
      <c r="W1450" s="28">
        <f t="shared" si="118"/>
        <v>0</v>
      </c>
      <c r="X1450" s="333">
        <f t="shared" si="119"/>
        <v>0</v>
      </c>
      <c r="Y1450" s="333">
        <f t="shared" si="120"/>
        <v>0</v>
      </c>
    </row>
    <row r="1451" spans="1:25" s="2" customFormat="1" ht="21.95" customHeight="1">
      <c r="A1451" s="82">
        <v>26</v>
      </c>
      <c r="B1451" s="91" t="s">
        <v>3373</v>
      </c>
      <c r="C1451" s="83" t="s">
        <v>365</v>
      </c>
      <c r="D1451" s="81" t="s">
        <v>525</v>
      </c>
      <c r="E1451" s="48">
        <v>101443</v>
      </c>
      <c r="F1451" s="30" t="s">
        <v>252</v>
      </c>
      <c r="G1451" s="29" t="s">
        <v>18</v>
      </c>
      <c r="H1451" s="30" t="s">
        <v>459</v>
      </c>
      <c r="I1451" s="78" t="s">
        <v>408</v>
      </c>
      <c r="J1451" s="20"/>
      <c r="K1451" s="20"/>
      <c r="L1451" s="20"/>
      <c r="M1451" s="20"/>
      <c r="N1451" s="69" t="s">
        <v>256</v>
      </c>
      <c r="O1451" s="70" t="s">
        <v>402</v>
      </c>
      <c r="P1451" s="70" t="s">
        <v>2123</v>
      </c>
      <c r="Q1451" s="70">
        <v>0</v>
      </c>
      <c r="R1451" s="70"/>
      <c r="S1451" s="67"/>
      <c r="T1451" s="2" t="str">
        <f>TRIM(F1451&amp;" "&amp;G1451&amp;"_"&amp;H1451)</f>
        <v>Nguyễn Huỳnh Kim Ngân_12AS9</v>
      </c>
      <c r="U1451" s="28">
        <f t="array" ref="U1451">IFERROR(VLOOKUP($T1451,'Nghi hoc T12'!$H$7:$I$160,2,0),0)</f>
        <v>0</v>
      </c>
      <c r="V1451" s="28"/>
      <c r="W1451" s="28" t="str">
        <f t="shared" si="118"/>
        <v>HN</v>
      </c>
      <c r="X1451" s="333" t="str">
        <f t="shared" si="119"/>
        <v>Nhìn</v>
      </c>
      <c r="Y1451" s="333" t="str">
        <f t="shared" si="120"/>
        <v>Nặng</v>
      </c>
    </row>
    <row r="1452" spans="1:25" s="2" customFormat="1" ht="21.95" customHeight="1">
      <c r="A1452" s="82">
        <v>27</v>
      </c>
      <c r="B1452" s="91" t="s">
        <v>3373</v>
      </c>
      <c r="C1452" s="83" t="s">
        <v>365</v>
      </c>
      <c r="D1452" s="81" t="s">
        <v>525</v>
      </c>
      <c r="E1452" s="48">
        <v>101444</v>
      </c>
      <c r="F1452" s="30" t="s">
        <v>223</v>
      </c>
      <c r="G1452" s="29" t="s">
        <v>20</v>
      </c>
      <c r="H1452" s="30" t="s">
        <v>461</v>
      </c>
      <c r="I1452" s="78" t="s">
        <v>408</v>
      </c>
      <c r="J1452" s="20"/>
      <c r="K1452" s="20"/>
      <c r="L1452" s="20"/>
      <c r="M1452" s="20"/>
      <c r="N1452" s="69" t="s">
        <v>256</v>
      </c>
      <c r="O1452" s="70" t="s">
        <v>403</v>
      </c>
      <c r="P1452" s="70" t="s">
        <v>2123</v>
      </c>
      <c r="Q1452" s="70">
        <v>0</v>
      </c>
      <c r="R1452" s="70"/>
      <c r="S1452" s="67"/>
      <c r="T1452" s="2" t="str">
        <f>TRIM(F1452&amp;" "&amp;G1452&amp;"_"&amp;H1452)</f>
        <v>Nguyễn Thị Yến Nhi_12AS11</v>
      </c>
      <c r="U1452" s="28">
        <f t="array" ref="U1452">IFERROR(VLOOKUP($T1452,'Nghi hoc T12'!$H$7:$I$160,2,0),0)</f>
        <v>0</v>
      </c>
      <c r="V1452" s="28"/>
      <c r="W1452" s="28" t="str">
        <f t="shared" si="118"/>
        <v>HN</v>
      </c>
      <c r="X1452" s="333" t="str">
        <f t="shared" si="119"/>
        <v>Khác</v>
      </c>
      <c r="Y1452" s="333" t="str">
        <f t="shared" si="120"/>
        <v>Nặng</v>
      </c>
    </row>
    <row r="1453" spans="1:25" s="2" customFormat="1" ht="21.95" customHeight="1">
      <c r="A1453" s="200">
        <v>1</v>
      </c>
      <c r="B1453" s="91" t="s">
        <v>3374</v>
      </c>
      <c r="C1453" s="185" t="s">
        <v>365</v>
      </c>
      <c r="D1453" s="186" t="s">
        <v>526</v>
      </c>
      <c r="E1453" s="187">
        <v>101445</v>
      </c>
      <c r="F1453" s="188" t="s">
        <v>2021</v>
      </c>
      <c r="G1453" s="189" t="s">
        <v>256</v>
      </c>
      <c r="H1453" s="188" t="s">
        <v>461</v>
      </c>
      <c r="I1453" s="190"/>
      <c r="J1453" s="191"/>
      <c r="K1453" s="191"/>
      <c r="L1453" s="191"/>
      <c r="M1453" s="191"/>
      <c r="N1453" s="69" t="s">
        <v>256</v>
      </c>
      <c r="O1453" s="70">
        <v>0</v>
      </c>
      <c r="P1453" s="70">
        <v>0</v>
      </c>
      <c r="Q1453" s="70">
        <v>0</v>
      </c>
      <c r="R1453" s="70"/>
      <c r="S1453" s="67"/>
      <c r="T1453" s="2" t="str">
        <f t="shared" si="117"/>
        <v>Trương Phan Ngọc Sáng_12AS11</v>
      </c>
      <c r="U1453" s="28">
        <f t="array" ref="U1453">IFERROR(VLOOKUP($T1453,'Nghi hoc T12'!$H$7:$I$160,2,0),0)</f>
        <v>0</v>
      </c>
      <c r="V1453" s="28"/>
      <c r="W1453" s="28">
        <f t="shared" si="118"/>
        <v>0</v>
      </c>
      <c r="X1453" s="333">
        <f t="shared" si="119"/>
        <v>0</v>
      </c>
      <c r="Y1453" s="333">
        <f t="shared" si="120"/>
        <v>0</v>
      </c>
    </row>
    <row r="1454" spans="1:25" s="2" customFormat="1" ht="21.95" customHeight="1">
      <c r="A1454" s="82">
        <v>2</v>
      </c>
      <c r="B1454" s="91" t="s">
        <v>3374</v>
      </c>
      <c r="C1454" s="83" t="s">
        <v>365</v>
      </c>
      <c r="D1454" s="81" t="s">
        <v>526</v>
      </c>
      <c r="E1454" s="48">
        <v>101446</v>
      </c>
      <c r="F1454" s="30" t="s">
        <v>2047</v>
      </c>
      <c r="G1454" s="29" t="s">
        <v>23</v>
      </c>
      <c r="H1454" s="30" t="s">
        <v>460</v>
      </c>
      <c r="I1454" s="78"/>
      <c r="J1454" s="20"/>
      <c r="K1454" s="20"/>
      <c r="L1454" s="20"/>
      <c r="M1454" s="20"/>
      <c r="N1454" s="69" t="s">
        <v>256</v>
      </c>
      <c r="O1454" s="70">
        <v>0</v>
      </c>
      <c r="P1454" s="70">
        <v>0</v>
      </c>
      <c r="Q1454" s="70">
        <v>0</v>
      </c>
      <c r="R1454" s="70"/>
      <c r="S1454" s="67"/>
      <c r="T1454" s="2" t="str">
        <f t="shared" si="117"/>
        <v>Danh Hùng Sơn_12AS12</v>
      </c>
      <c r="U1454" s="28">
        <f t="array" ref="U1454">IFERROR(VLOOKUP($T1454,'Nghi hoc T12'!$H$7:$I$160,2,0),0)</f>
        <v>0</v>
      </c>
      <c r="V1454" s="28"/>
      <c r="W1454" s="28">
        <f t="shared" si="118"/>
        <v>0</v>
      </c>
      <c r="X1454" s="333">
        <f t="shared" si="119"/>
        <v>0</v>
      </c>
      <c r="Y1454" s="333">
        <f t="shared" si="120"/>
        <v>0</v>
      </c>
    </row>
    <row r="1455" spans="1:25" s="2" customFormat="1" ht="21.95" customHeight="1">
      <c r="A1455" s="82">
        <v>3</v>
      </c>
      <c r="B1455" s="91" t="s">
        <v>3374</v>
      </c>
      <c r="C1455" s="83" t="s">
        <v>365</v>
      </c>
      <c r="D1455" s="81" t="s">
        <v>526</v>
      </c>
      <c r="E1455" s="48">
        <v>101447</v>
      </c>
      <c r="F1455" s="30" t="s">
        <v>251</v>
      </c>
      <c r="G1455" s="29" t="s">
        <v>93</v>
      </c>
      <c r="H1455" s="30" t="s">
        <v>463</v>
      </c>
      <c r="I1455" s="78"/>
      <c r="J1455" s="20"/>
      <c r="K1455" s="20"/>
      <c r="L1455" s="20"/>
      <c r="M1455" s="20"/>
      <c r="N1455" s="69" t="s">
        <v>256</v>
      </c>
      <c r="O1455" s="70">
        <v>0</v>
      </c>
      <c r="P1455" s="70">
        <v>0</v>
      </c>
      <c r="Q1455" s="70">
        <v>0</v>
      </c>
      <c r="R1455" s="70"/>
      <c r="S1455" s="67"/>
      <c r="T1455" s="2" t="str">
        <f t="shared" si="117"/>
        <v>Lê Thành Tài_12AS10</v>
      </c>
      <c r="U1455" s="28">
        <f t="array" ref="U1455">IFERROR(VLOOKUP($T1455,'Nghi hoc T12'!$H$7:$I$160,2,0),0)</f>
        <v>0</v>
      </c>
      <c r="V1455" s="28"/>
      <c r="W1455" s="28">
        <f t="shared" si="118"/>
        <v>0</v>
      </c>
      <c r="X1455" s="333">
        <f t="shared" si="119"/>
        <v>0</v>
      </c>
      <c r="Y1455" s="333">
        <f t="shared" si="120"/>
        <v>0</v>
      </c>
    </row>
    <row r="1456" spans="1:25" s="2" customFormat="1" ht="21.95" customHeight="1">
      <c r="A1456" s="82">
        <v>4</v>
      </c>
      <c r="B1456" s="91" t="s">
        <v>3374</v>
      </c>
      <c r="C1456" s="83" t="s">
        <v>365</v>
      </c>
      <c r="D1456" s="81" t="s">
        <v>526</v>
      </c>
      <c r="E1456" s="48">
        <v>101448</v>
      </c>
      <c r="F1456" s="30" t="s">
        <v>246</v>
      </c>
      <c r="G1456" s="29" t="s">
        <v>93</v>
      </c>
      <c r="H1456" s="30" t="s">
        <v>461</v>
      </c>
      <c r="I1456" s="78"/>
      <c r="J1456" s="20"/>
      <c r="K1456" s="20"/>
      <c r="L1456" s="20"/>
      <c r="M1456" s="20"/>
      <c r="N1456" s="69" t="s">
        <v>256</v>
      </c>
      <c r="O1456" s="70">
        <v>0</v>
      </c>
      <c r="P1456" s="70">
        <v>0</v>
      </c>
      <c r="Q1456" s="70">
        <v>0</v>
      </c>
      <c r="R1456" s="70"/>
      <c r="S1456" s="67"/>
      <c r="T1456" s="2" t="str">
        <f t="shared" si="117"/>
        <v>Nguyễn Thị Ngọc Tài_12AS11</v>
      </c>
      <c r="U1456" s="28">
        <f t="array" ref="U1456">IFERROR(VLOOKUP($T1456,'Nghi hoc T12'!$H$7:$I$160,2,0),0)</f>
        <v>0</v>
      </c>
      <c r="V1456" s="28"/>
      <c r="W1456" s="28">
        <f t="shared" si="118"/>
        <v>0</v>
      </c>
      <c r="X1456" s="333">
        <f t="shared" si="119"/>
        <v>0</v>
      </c>
      <c r="Y1456" s="333">
        <f t="shared" si="120"/>
        <v>0</v>
      </c>
    </row>
    <row r="1457" spans="1:25" s="2" customFormat="1" ht="21.95" customHeight="1">
      <c r="A1457" s="82">
        <v>5</v>
      </c>
      <c r="B1457" s="91" t="s">
        <v>3374</v>
      </c>
      <c r="C1457" s="83" t="s">
        <v>365</v>
      </c>
      <c r="D1457" s="81" t="s">
        <v>526</v>
      </c>
      <c r="E1457" s="48">
        <v>101449</v>
      </c>
      <c r="F1457" s="30" t="s">
        <v>1883</v>
      </c>
      <c r="G1457" s="29" t="s">
        <v>24</v>
      </c>
      <c r="H1457" s="30" t="s">
        <v>459</v>
      </c>
      <c r="I1457" s="78"/>
      <c r="J1457" s="20"/>
      <c r="K1457" s="20"/>
      <c r="L1457" s="20"/>
      <c r="M1457" s="20"/>
      <c r="N1457" s="69" t="s">
        <v>256</v>
      </c>
      <c r="O1457" s="70">
        <v>0</v>
      </c>
      <c r="P1457" s="70">
        <v>0</v>
      </c>
      <c r="Q1457" s="70">
        <v>0</v>
      </c>
      <c r="R1457" s="70"/>
      <c r="S1457" s="67"/>
      <c r="T1457" s="2" t="str">
        <f t="shared" si="117"/>
        <v>Lê Mai Tâm_12AS9</v>
      </c>
      <c r="U1457" s="28">
        <f t="array" ref="U1457">IFERROR(VLOOKUP($T1457,'Nghi hoc T12'!$H$7:$I$160,2,0),0)</f>
        <v>0</v>
      </c>
      <c r="V1457" s="28"/>
      <c r="W1457" s="28">
        <f t="shared" si="118"/>
        <v>0</v>
      </c>
      <c r="X1457" s="333">
        <f t="shared" si="119"/>
        <v>0</v>
      </c>
      <c r="Y1457" s="333">
        <f t="shared" si="120"/>
        <v>0</v>
      </c>
    </row>
    <row r="1458" spans="1:25" s="2" customFormat="1" ht="21.95" customHeight="1">
      <c r="A1458" s="82">
        <v>6</v>
      </c>
      <c r="B1458" s="91" t="s">
        <v>3374</v>
      </c>
      <c r="C1458" s="83" t="s">
        <v>365</v>
      </c>
      <c r="D1458" s="81" t="s">
        <v>526</v>
      </c>
      <c r="E1458" s="48">
        <v>101450</v>
      </c>
      <c r="F1458" s="30" t="s">
        <v>2048</v>
      </c>
      <c r="G1458" s="29" t="s">
        <v>97</v>
      </c>
      <c r="H1458" s="30" t="s">
        <v>460</v>
      </c>
      <c r="I1458" s="78"/>
      <c r="J1458" s="20"/>
      <c r="K1458" s="20"/>
      <c r="L1458" s="20"/>
      <c r="M1458" s="20"/>
      <c r="N1458" s="69" t="s">
        <v>256</v>
      </c>
      <c r="O1458" s="70">
        <v>0</v>
      </c>
      <c r="P1458" s="70">
        <v>0</v>
      </c>
      <c r="Q1458" s="70">
        <v>0</v>
      </c>
      <c r="R1458" s="70"/>
      <c r="S1458" s="67"/>
      <c r="T1458" s="2" t="str">
        <f t="shared" si="117"/>
        <v>Nguyễn Lê Nhật Tân_12AS12</v>
      </c>
      <c r="U1458" s="28">
        <f t="array" ref="U1458">IFERROR(VLOOKUP($T1458,'Nghi hoc T12'!$H$7:$I$160,2,0),0)</f>
        <v>0</v>
      </c>
      <c r="V1458" s="28"/>
      <c r="W1458" s="28">
        <f t="shared" si="118"/>
        <v>0</v>
      </c>
      <c r="X1458" s="333">
        <f t="shared" si="119"/>
        <v>0</v>
      </c>
      <c r="Y1458" s="333">
        <f t="shared" si="120"/>
        <v>0</v>
      </c>
    </row>
    <row r="1459" spans="1:25" s="2" customFormat="1" ht="21.95" customHeight="1">
      <c r="A1459" s="82">
        <v>7</v>
      </c>
      <c r="B1459" s="91" t="s">
        <v>3374</v>
      </c>
      <c r="C1459" s="83" t="s">
        <v>365</v>
      </c>
      <c r="D1459" s="81" t="s">
        <v>526</v>
      </c>
      <c r="E1459" s="48">
        <v>101451</v>
      </c>
      <c r="F1459" s="30" t="s">
        <v>2022</v>
      </c>
      <c r="G1459" s="29" t="s">
        <v>49</v>
      </c>
      <c r="H1459" s="30" t="s">
        <v>461</v>
      </c>
      <c r="I1459" s="78"/>
      <c r="J1459" s="20"/>
      <c r="K1459" s="20"/>
      <c r="L1459" s="20"/>
      <c r="M1459" s="20"/>
      <c r="N1459" s="69" t="s">
        <v>256</v>
      </c>
      <c r="O1459" s="70">
        <v>0</v>
      </c>
      <c r="P1459" s="70">
        <v>0</v>
      </c>
      <c r="Q1459" s="70">
        <v>0</v>
      </c>
      <c r="R1459" s="70"/>
      <c r="S1459" s="67"/>
      <c r="T1459" s="2" t="str">
        <f t="shared" si="117"/>
        <v>Nguyễn Lâm Phương Thảo_12AS11</v>
      </c>
      <c r="U1459" s="28">
        <f t="array" ref="U1459">IFERROR(VLOOKUP($T1459,'Nghi hoc T12'!$H$7:$I$160,2,0),0)</f>
        <v>0</v>
      </c>
      <c r="V1459" s="28"/>
      <c r="W1459" s="28">
        <f t="shared" si="118"/>
        <v>0</v>
      </c>
      <c r="X1459" s="333">
        <f t="shared" si="119"/>
        <v>0</v>
      </c>
      <c r="Y1459" s="333">
        <f t="shared" si="120"/>
        <v>0</v>
      </c>
    </row>
    <row r="1460" spans="1:25" s="2" customFormat="1" ht="21.95" customHeight="1">
      <c r="A1460" s="82">
        <v>8</v>
      </c>
      <c r="B1460" s="91" t="s">
        <v>3374</v>
      </c>
      <c r="C1460" s="83" t="s">
        <v>365</v>
      </c>
      <c r="D1460" s="81" t="s">
        <v>526</v>
      </c>
      <c r="E1460" s="48">
        <v>101452</v>
      </c>
      <c r="F1460" s="30" t="s">
        <v>227</v>
      </c>
      <c r="G1460" s="29" t="s">
        <v>49</v>
      </c>
      <c r="H1460" s="30" t="s">
        <v>463</v>
      </c>
      <c r="I1460" s="78"/>
      <c r="J1460" s="20"/>
      <c r="K1460" s="20"/>
      <c r="L1460" s="20"/>
      <c r="M1460" s="20"/>
      <c r="N1460" s="69" t="s">
        <v>256</v>
      </c>
      <c r="O1460" s="70">
        <v>0</v>
      </c>
      <c r="P1460" s="70">
        <v>0</v>
      </c>
      <c r="Q1460" s="70">
        <v>0</v>
      </c>
      <c r="R1460" s="70"/>
      <c r="S1460" s="67"/>
      <c r="T1460" s="2" t="str">
        <f t="shared" si="117"/>
        <v>Nguyễn Thị Thảo_12AS10</v>
      </c>
      <c r="U1460" s="28">
        <f t="array" ref="U1460">IFERROR(VLOOKUP($T1460,'Nghi hoc T12'!$H$7:$I$160,2,0),0)</f>
        <v>0</v>
      </c>
      <c r="V1460" s="28"/>
      <c r="W1460" s="28">
        <f t="shared" si="118"/>
        <v>0</v>
      </c>
      <c r="X1460" s="333">
        <f t="shared" si="119"/>
        <v>0</v>
      </c>
      <c r="Y1460" s="333">
        <f t="shared" si="120"/>
        <v>0</v>
      </c>
    </row>
    <row r="1461" spans="1:25" s="2" customFormat="1" ht="21.95" customHeight="1">
      <c r="A1461" s="82">
        <v>9</v>
      </c>
      <c r="B1461" s="91" t="s">
        <v>3374</v>
      </c>
      <c r="C1461" s="83" t="s">
        <v>365</v>
      </c>
      <c r="D1461" s="81" t="s">
        <v>526</v>
      </c>
      <c r="E1461" s="48">
        <v>101453</v>
      </c>
      <c r="F1461" s="30" t="s">
        <v>231</v>
      </c>
      <c r="G1461" s="29" t="s">
        <v>49</v>
      </c>
      <c r="H1461" s="30" t="s">
        <v>459</v>
      </c>
      <c r="I1461" s="78"/>
      <c r="J1461" s="20"/>
      <c r="K1461" s="20"/>
      <c r="L1461" s="20"/>
      <c r="M1461" s="20"/>
      <c r="N1461" s="69" t="s">
        <v>256</v>
      </c>
      <c r="O1461" s="70">
        <v>0</v>
      </c>
      <c r="P1461" s="70">
        <v>0</v>
      </c>
      <c r="Q1461" s="70">
        <v>0</v>
      </c>
      <c r="R1461" s="70"/>
      <c r="S1461" s="67"/>
      <c r="T1461" s="2" t="str">
        <f t="shared" si="117"/>
        <v>Nguyễn Thị Phương Thảo_12AS9</v>
      </c>
      <c r="U1461" s="28">
        <f t="array" ref="U1461">IFERROR(VLOOKUP($T1461,'Nghi hoc T12'!$H$7:$I$160,2,0),0)</f>
        <v>0</v>
      </c>
      <c r="V1461" s="28"/>
      <c r="W1461" s="28">
        <f t="shared" si="118"/>
        <v>0</v>
      </c>
      <c r="X1461" s="333">
        <f t="shared" si="119"/>
        <v>0</v>
      </c>
      <c r="Y1461" s="333">
        <f t="shared" si="120"/>
        <v>0</v>
      </c>
    </row>
    <row r="1462" spans="1:25" s="2" customFormat="1" ht="21.95" customHeight="1">
      <c r="A1462" s="82">
        <v>10</v>
      </c>
      <c r="B1462" s="91" t="s">
        <v>3374</v>
      </c>
      <c r="C1462" s="83" t="s">
        <v>365</v>
      </c>
      <c r="D1462" s="81" t="s">
        <v>526</v>
      </c>
      <c r="E1462" s="48">
        <v>101454</v>
      </c>
      <c r="F1462" s="30" t="s">
        <v>226</v>
      </c>
      <c r="G1462" s="29" t="s">
        <v>49</v>
      </c>
      <c r="H1462" s="30" t="s">
        <v>459</v>
      </c>
      <c r="I1462" s="78"/>
      <c r="J1462" s="20"/>
      <c r="K1462" s="20"/>
      <c r="L1462" s="20"/>
      <c r="M1462" s="20"/>
      <c r="N1462" s="69" t="s">
        <v>256</v>
      </c>
      <c r="O1462" s="70">
        <v>0</v>
      </c>
      <c r="P1462" s="70">
        <v>0</v>
      </c>
      <c r="Q1462" s="70">
        <v>0</v>
      </c>
      <c r="R1462" s="70"/>
      <c r="S1462" s="67"/>
      <c r="T1462" s="2" t="str">
        <f t="shared" si="117"/>
        <v>Nguyễn Thị Thanh Thảo_12AS9</v>
      </c>
      <c r="U1462" s="28">
        <f t="array" ref="U1462">IFERROR(VLOOKUP($T1462,'Nghi hoc T12'!$H$7:$I$160,2,0),0)</f>
        <v>0</v>
      </c>
      <c r="V1462" s="28"/>
      <c r="W1462" s="28">
        <f t="shared" si="118"/>
        <v>0</v>
      </c>
      <c r="X1462" s="333">
        <f t="shared" si="119"/>
        <v>0</v>
      </c>
      <c r="Y1462" s="333">
        <f t="shared" si="120"/>
        <v>0</v>
      </c>
    </row>
    <row r="1463" spans="1:25" s="2" customFormat="1" ht="21.95" customHeight="1">
      <c r="A1463" s="82">
        <v>11</v>
      </c>
      <c r="B1463" s="91" t="s">
        <v>3374</v>
      </c>
      <c r="C1463" s="83" t="s">
        <v>365</v>
      </c>
      <c r="D1463" s="81" t="s">
        <v>526</v>
      </c>
      <c r="E1463" s="48">
        <v>101455</v>
      </c>
      <c r="F1463" s="30" t="s">
        <v>226</v>
      </c>
      <c r="G1463" s="29" t="s">
        <v>49</v>
      </c>
      <c r="H1463" s="30" t="s">
        <v>460</v>
      </c>
      <c r="I1463" s="78"/>
      <c r="J1463" s="20"/>
      <c r="K1463" s="20"/>
      <c r="L1463" s="20"/>
      <c r="M1463" s="20"/>
      <c r="N1463" s="69" t="s">
        <v>256</v>
      </c>
      <c r="O1463" s="70">
        <v>0</v>
      </c>
      <c r="P1463" s="70">
        <v>0</v>
      </c>
      <c r="Q1463" s="70">
        <v>0</v>
      </c>
      <c r="R1463" s="70"/>
      <c r="S1463" s="67"/>
      <c r="T1463" s="2" t="str">
        <f t="shared" si="117"/>
        <v>Nguyễn Thị Thanh Thảo_12AS12</v>
      </c>
      <c r="U1463" s="28">
        <f t="array" ref="U1463">IFERROR(VLOOKUP($T1463,'Nghi hoc T12'!$H$7:$I$160,2,0),0)</f>
        <v>0</v>
      </c>
      <c r="V1463" s="28"/>
      <c r="W1463" s="28">
        <f t="shared" si="118"/>
        <v>0</v>
      </c>
      <c r="X1463" s="333">
        <f t="shared" si="119"/>
        <v>0</v>
      </c>
      <c r="Y1463" s="333">
        <f t="shared" si="120"/>
        <v>0</v>
      </c>
    </row>
    <row r="1464" spans="1:25" s="2" customFormat="1" ht="21.95" customHeight="1">
      <c r="A1464" s="82">
        <v>12</v>
      </c>
      <c r="B1464" s="91" t="s">
        <v>3374</v>
      </c>
      <c r="C1464" s="83" t="s">
        <v>365</v>
      </c>
      <c r="D1464" s="81" t="s">
        <v>526</v>
      </c>
      <c r="E1464" s="48">
        <v>101456</v>
      </c>
      <c r="F1464" s="30" t="s">
        <v>1996</v>
      </c>
      <c r="G1464" s="29" t="s">
        <v>48</v>
      </c>
      <c r="H1464" s="30" t="s">
        <v>463</v>
      </c>
      <c r="I1464" s="78"/>
      <c r="J1464" s="20"/>
      <c r="K1464" s="20"/>
      <c r="L1464" s="20"/>
      <c r="M1464" s="20"/>
      <c r="N1464" s="69" t="s">
        <v>256</v>
      </c>
      <c r="O1464" s="70">
        <v>0</v>
      </c>
      <c r="P1464" s="70">
        <v>0</v>
      </c>
      <c r="Q1464" s="70">
        <v>0</v>
      </c>
      <c r="R1464" s="70"/>
      <c r="S1464" s="67"/>
      <c r="T1464" s="2" t="str">
        <f t="shared" si="117"/>
        <v>Nguyễn Hùng Thắng_12AS10</v>
      </c>
      <c r="U1464" s="28">
        <f t="array" ref="U1464">IFERROR(VLOOKUP($T1464,'Nghi hoc T12'!$H$7:$I$160,2,0),0)</f>
        <v>0</v>
      </c>
      <c r="V1464" s="28"/>
      <c r="W1464" s="28">
        <f t="shared" si="118"/>
        <v>0</v>
      </c>
      <c r="X1464" s="333">
        <f t="shared" si="119"/>
        <v>0</v>
      </c>
      <c r="Y1464" s="333">
        <f t="shared" si="120"/>
        <v>0</v>
      </c>
    </row>
    <row r="1465" spans="1:25" s="2" customFormat="1" ht="21.95" customHeight="1">
      <c r="A1465" s="82">
        <v>13</v>
      </c>
      <c r="B1465" s="91" t="s">
        <v>3374</v>
      </c>
      <c r="C1465" s="83" t="s">
        <v>365</v>
      </c>
      <c r="D1465" s="81" t="s">
        <v>526</v>
      </c>
      <c r="E1465" s="48">
        <v>101457</v>
      </c>
      <c r="F1465" s="30" t="s">
        <v>1997</v>
      </c>
      <c r="G1465" s="29" t="s">
        <v>161</v>
      </c>
      <c r="H1465" s="30" t="s">
        <v>463</v>
      </c>
      <c r="I1465" s="78"/>
      <c r="J1465" s="20"/>
      <c r="K1465" s="20"/>
      <c r="L1465" s="20"/>
      <c r="M1465" s="20"/>
      <c r="N1465" s="69" t="s">
        <v>256</v>
      </c>
      <c r="O1465" s="70">
        <v>0</v>
      </c>
      <c r="P1465" s="70">
        <v>0</v>
      </c>
      <c r="Q1465" s="70">
        <v>0</v>
      </c>
      <c r="R1465" s="70"/>
      <c r="S1465" s="67"/>
      <c r="T1465" s="2" t="str">
        <f t="shared" si="117"/>
        <v>Lê Thuận Thiên_12AS10</v>
      </c>
      <c r="U1465" s="28">
        <f t="array" ref="U1465">IFERROR(VLOOKUP($T1465,'Nghi hoc T12'!$H$7:$I$160,2,0),0)</f>
        <v>0</v>
      </c>
      <c r="V1465" s="28"/>
      <c r="W1465" s="28">
        <f t="shared" si="118"/>
        <v>0</v>
      </c>
      <c r="X1465" s="333">
        <f t="shared" si="119"/>
        <v>0</v>
      </c>
      <c r="Y1465" s="333">
        <f t="shared" si="120"/>
        <v>0</v>
      </c>
    </row>
    <row r="1466" spans="1:25" s="2" customFormat="1" ht="21.95" customHeight="1">
      <c r="A1466" s="82">
        <v>14</v>
      </c>
      <c r="B1466" s="91" t="s">
        <v>3374</v>
      </c>
      <c r="C1466" s="83" t="s">
        <v>365</v>
      </c>
      <c r="D1466" s="81" t="s">
        <v>526</v>
      </c>
      <c r="E1466" s="48">
        <v>101458</v>
      </c>
      <c r="F1466" s="30" t="s">
        <v>257</v>
      </c>
      <c r="G1466" s="29" t="s">
        <v>50</v>
      </c>
      <c r="H1466" s="30" t="s">
        <v>460</v>
      </c>
      <c r="I1466" s="78"/>
      <c r="J1466" s="20"/>
      <c r="K1466" s="20"/>
      <c r="L1466" s="20"/>
      <c r="M1466" s="20"/>
      <c r="N1466" s="69" t="s">
        <v>256</v>
      </c>
      <c r="O1466" s="70">
        <v>0</v>
      </c>
      <c r="P1466" s="70">
        <v>0</v>
      </c>
      <c r="Q1466" s="70">
        <v>0</v>
      </c>
      <c r="R1466" s="70"/>
      <c r="S1466" s="67"/>
      <c r="T1466" s="2" t="str">
        <f t="shared" si="117"/>
        <v>Lê Minh Thiện_12AS12</v>
      </c>
      <c r="U1466" s="28">
        <f t="array" ref="U1466">IFERROR(VLOOKUP($T1466,'Nghi hoc T12'!$H$7:$I$160,2,0),0)</f>
        <v>0</v>
      </c>
      <c r="V1466" s="28"/>
      <c r="W1466" s="28">
        <f t="shared" si="118"/>
        <v>0</v>
      </c>
      <c r="X1466" s="333">
        <f t="shared" si="119"/>
        <v>0</v>
      </c>
      <c r="Y1466" s="333">
        <f t="shared" si="120"/>
        <v>0</v>
      </c>
    </row>
    <row r="1467" spans="1:25" s="2" customFormat="1" ht="21.95" customHeight="1">
      <c r="A1467" s="82">
        <v>15</v>
      </c>
      <c r="B1467" s="91" t="s">
        <v>3374</v>
      </c>
      <c r="C1467" s="83" t="s">
        <v>365</v>
      </c>
      <c r="D1467" s="81" t="s">
        <v>526</v>
      </c>
      <c r="E1467" s="48">
        <v>101459</v>
      </c>
      <c r="F1467" s="30" t="s">
        <v>285</v>
      </c>
      <c r="G1467" s="29" t="s">
        <v>59</v>
      </c>
      <c r="H1467" s="30" t="s">
        <v>463</v>
      </c>
      <c r="I1467" s="78"/>
      <c r="J1467" s="20"/>
      <c r="K1467" s="20"/>
      <c r="L1467" s="20"/>
      <c r="M1467" s="20"/>
      <c r="N1467" s="69" t="s">
        <v>256</v>
      </c>
      <c r="O1467" s="70">
        <v>0</v>
      </c>
      <c r="P1467" s="70">
        <v>0</v>
      </c>
      <c r="Q1467" s="70">
        <v>0</v>
      </c>
      <c r="R1467" s="70"/>
      <c r="S1467" s="67"/>
      <c r="T1467" s="2" t="str">
        <f t="shared" si="117"/>
        <v>Huỳnh Quốc Thuận_12AS10</v>
      </c>
      <c r="U1467" s="28">
        <f t="array" ref="U1467">IFERROR(VLOOKUP($T1467,'Nghi hoc T12'!$H$7:$I$160,2,0),0)</f>
        <v>0</v>
      </c>
      <c r="V1467" s="28"/>
      <c r="W1467" s="28">
        <f t="shared" si="118"/>
        <v>0</v>
      </c>
      <c r="X1467" s="333">
        <f t="shared" si="119"/>
        <v>0</v>
      </c>
      <c r="Y1467" s="333">
        <f t="shared" si="120"/>
        <v>0</v>
      </c>
    </row>
    <row r="1468" spans="1:25" s="2" customFormat="1" ht="21.95" customHeight="1">
      <c r="A1468" s="82">
        <v>16</v>
      </c>
      <c r="B1468" s="91" t="s">
        <v>3374</v>
      </c>
      <c r="C1468" s="83" t="s">
        <v>365</v>
      </c>
      <c r="D1468" s="81" t="s">
        <v>526</v>
      </c>
      <c r="E1468" s="48">
        <v>101460</v>
      </c>
      <c r="F1468" s="30" t="s">
        <v>2023</v>
      </c>
      <c r="G1468" s="29" t="s">
        <v>59</v>
      </c>
      <c r="H1468" s="30" t="s">
        <v>461</v>
      </c>
      <c r="I1468" s="78"/>
      <c r="J1468" s="20"/>
      <c r="K1468" s="20"/>
      <c r="L1468" s="20"/>
      <c r="M1468" s="20"/>
      <c r="N1468" s="69" t="s">
        <v>256</v>
      </c>
      <c r="O1468" s="70">
        <v>0</v>
      </c>
      <c r="P1468" s="70">
        <v>0</v>
      </c>
      <c r="Q1468" s="70">
        <v>0</v>
      </c>
      <c r="R1468" s="70"/>
      <c r="S1468" s="67"/>
      <c r="T1468" s="2" t="str">
        <f t="shared" si="117"/>
        <v>Nguyễn Hồ Ngọc Thuận_12AS11</v>
      </c>
      <c r="U1468" s="28">
        <f t="array" ref="U1468">IFERROR(VLOOKUP($T1468,'Nghi hoc T12'!$H$7:$I$160,2,0),0)</f>
        <v>0</v>
      </c>
      <c r="V1468" s="28"/>
      <c r="W1468" s="28">
        <f t="shared" si="118"/>
        <v>0</v>
      </c>
      <c r="X1468" s="333">
        <f t="shared" si="119"/>
        <v>0</v>
      </c>
      <c r="Y1468" s="333">
        <f t="shared" si="120"/>
        <v>0</v>
      </c>
    </row>
    <row r="1469" spans="1:25" s="2" customFormat="1" ht="21.95" customHeight="1">
      <c r="A1469" s="82">
        <v>17</v>
      </c>
      <c r="B1469" s="91" t="s">
        <v>3374</v>
      </c>
      <c r="C1469" s="83" t="s">
        <v>365</v>
      </c>
      <c r="D1469" s="81" t="s">
        <v>526</v>
      </c>
      <c r="E1469" s="48">
        <v>101461</v>
      </c>
      <c r="F1469" s="30" t="s">
        <v>1971</v>
      </c>
      <c r="G1469" s="29" t="s">
        <v>28</v>
      </c>
      <c r="H1469" s="30" t="s">
        <v>459</v>
      </c>
      <c r="I1469" s="78"/>
      <c r="J1469" s="20"/>
      <c r="K1469" s="20"/>
      <c r="L1469" s="20"/>
      <c r="M1469" s="20"/>
      <c r="N1469" s="69" t="s">
        <v>256</v>
      </c>
      <c r="O1469" s="70">
        <v>0</v>
      </c>
      <c r="P1469" s="70">
        <v>0</v>
      </c>
      <c r="Q1469" s="70">
        <v>0</v>
      </c>
      <c r="R1469" s="70"/>
      <c r="S1469" s="67"/>
      <c r="T1469" s="2" t="str">
        <f t="shared" si="117"/>
        <v>Chu Minh Thư_12AS9</v>
      </c>
      <c r="U1469" s="28">
        <f t="array" ref="U1469">IFERROR(VLOOKUP($T1469,'Nghi hoc T12'!$H$7:$I$160,2,0),0)</f>
        <v>0</v>
      </c>
      <c r="V1469" s="28"/>
      <c r="W1469" s="28">
        <f t="shared" si="118"/>
        <v>0</v>
      </c>
      <c r="X1469" s="333">
        <f t="shared" si="119"/>
        <v>0</v>
      </c>
      <c r="Y1469" s="333">
        <f t="shared" si="120"/>
        <v>0</v>
      </c>
    </row>
    <row r="1470" spans="1:25" s="2" customFormat="1" ht="21.95" customHeight="1">
      <c r="A1470" s="82">
        <v>18</v>
      </c>
      <c r="B1470" s="91" t="s">
        <v>3374</v>
      </c>
      <c r="C1470" s="83" t="s">
        <v>365</v>
      </c>
      <c r="D1470" s="81" t="s">
        <v>526</v>
      </c>
      <c r="E1470" s="48">
        <v>101462</v>
      </c>
      <c r="F1470" s="30" t="s">
        <v>239</v>
      </c>
      <c r="G1470" s="29" t="s">
        <v>28</v>
      </c>
      <c r="H1470" s="30" t="s">
        <v>461</v>
      </c>
      <c r="I1470" s="78"/>
      <c r="J1470" s="20"/>
      <c r="K1470" s="20"/>
      <c r="L1470" s="20"/>
      <c r="M1470" s="20"/>
      <c r="N1470" s="69" t="s">
        <v>256</v>
      </c>
      <c r="O1470" s="70">
        <v>0</v>
      </c>
      <c r="P1470" s="70">
        <v>0</v>
      </c>
      <c r="Q1470" s="70">
        <v>0</v>
      </c>
      <c r="R1470" s="70"/>
      <c r="S1470" s="67"/>
      <c r="T1470" s="2" t="str">
        <f t="shared" si="117"/>
        <v>Nguyễn Ngọc Anh Thư_12AS11</v>
      </c>
      <c r="U1470" s="28">
        <f t="array" ref="U1470">IFERROR(VLOOKUP($T1470,'Nghi hoc T12'!$H$7:$I$160,2,0),0)</f>
        <v>0</v>
      </c>
      <c r="V1470" s="28"/>
      <c r="W1470" s="28">
        <f t="shared" si="118"/>
        <v>0</v>
      </c>
      <c r="X1470" s="333">
        <f t="shared" si="119"/>
        <v>0</v>
      </c>
      <c r="Y1470" s="333">
        <f t="shared" si="120"/>
        <v>0</v>
      </c>
    </row>
    <row r="1471" spans="1:25" s="2" customFormat="1" ht="21.95" customHeight="1">
      <c r="A1471" s="82">
        <v>19</v>
      </c>
      <c r="B1471" s="91" t="s">
        <v>3374</v>
      </c>
      <c r="C1471" s="83" t="s">
        <v>365</v>
      </c>
      <c r="D1471" s="81" t="s">
        <v>526</v>
      </c>
      <c r="E1471" s="48">
        <v>101463</v>
      </c>
      <c r="F1471" s="30" t="s">
        <v>2024</v>
      </c>
      <c r="G1471" s="29" t="s">
        <v>111</v>
      </c>
      <c r="H1471" s="30" t="s">
        <v>461</v>
      </c>
      <c r="I1471" s="78"/>
      <c r="J1471" s="20"/>
      <c r="K1471" s="20"/>
      <c r="L1471" s="20"/>
      <c r="M1471" s="20"/>
      <c r="N1471" s="69" t="s">
        <v>256</v>
      </c>
      <c r="O1471" s="70">
        <v>0</v>
      </c>
      <c r="P1471" s="70">
        <v>0</v>
      </c>
      <c r="Q1471" s="70">
        <v>0</v>
      </c>
      <c r="R1471" s="70"/>
      <c r="S1471" s="67"/>
      <c r="T1471" s="2" t="str">
        <f t="shared" si="117"/>
        <v>Lê Nguyễn Hoài Thương_12AS11</v>
      </c>
      <c r="U1471" s="28">
        <f t="array" ref="U1471">IFERROR(VLOOKUP($T1471,'Nghi hoc T12'!$H$7:$I$160,2,0),0)</f>
        <v>0</v>
      </c>
      <c r="V1471" s="28"/>
      <c r="W1471" s="28">
        <f t="shared" si="118"/>
        <v>0</v>
      </c>
      <c r="X1471" s="333">
        <f t="shared" si="119"/>
        <v>0</v>
      </c>
      <c r="Y1471" s="333">
        <f t="shared" si="120"/>
        <v>0</v>
      </c>
    </row>
    <row r="1472" spans="1:25" s="2" customFormat="1" ht="21.95" customHeight="1">
      <c r="A1472" s="82">
        <v>20</v>
      </c>
      <c r="B1472" s="91" t="s">
        <v>3374</v>
      </c>
      <c r="C1472" s="83" t="s">
        <v>365</v>
      </c>
      <c r="D1472" s="81" t="s">
        <v>526</v>
      </c>
      <c r="E1472" s="48">
        <v>101464</v>
      </c>
      <c r="F1472" s="30" t="s">
        <v>1998</v>
      </c>
      <c r="G1472" s="29" t="s">
        <v>213</v>
      </c>
      <c r="H1472" s="30" t="s">
        <v>463</v>
      </c>
      <c r="I1472" s="78"/>
      <c r="J1472" s="20"/>
      <c r="K1472" s="20"/>
      <c r="L1472" s="20"/>
      <c r="M1472" s="20"/>
      <c r="N1472" s="69" t="s">
        <v>256</v>
      </c>
      <c r="O1472" s="70">
        <v>0</v>
      </c>
      <c r="P1472" s="70">
        <v>0</v>
      </c>
      <c r="Q1472" s="70">
        <v>0</v>
      </c>
      <c r="R1472" s="70"/>
      <c r="S1472" s="67"/>
      <c r="T1472" s="2" t="str">
        <f t="shared" si="117"/>
        <v>Trần Gia Bảo Thy_12AS10</v>
      </c>
      <c r="U1472" s="28">
        <f t="array" ref="U1472">IFERROR(VLOOKUP($T1472,'Nghi hoc T12'!$H$7:$I$160,2,0),0)</f>
        <v>0</v>
      </c>
      <c r="V1472" s="28"/>
      <c r="W1472" s="28">
        <f t="shared" si="118"/>
        <v>0</v>
      </c>
      <c r="X1472" s="333">
        <f t="shared" si="119"/>
        <v>0</v>
      </c>
      <c r="Y1472" s="333">
        <f t="shared" si="120"/>
        <v>0</v>
      </c>
    </row>
    <row r="1473" spans="1:25" s="2" customFormat="1" ht="21.95" customHeight="1">
      <c r="A1473" s="82">
        <v>21</v>
      </c>
      <c r="B1473" s="91" t="s">
        <v>3374</v>
      </c>
      <c r="C1473" s="83" t="s">
        <v>365</v>
      </c>
      <c r="D1473" s="81" t="s">
        <v>526</v>
      </c>
      <c r="E1473" s="48">
        <v>101465</v>
      </c>
      <c r="F1473" s="30" t="s">
        <v>2025</v>
      </c>
      <c r="G1473" s="29" t="s">
        <v>80</v>
      </c>
      <c r="H1473" s="30" t="s">
        <v>461</v>
      </c>
      <c r="I1473" s="78"/>
      <c r="J1473" s="20"/>
      <c r="K1473" s="20"/>
      <c r="L1473" s="20"/>
      <c r="M1473" s="20"/>
      <c r="N1473" s="69" t="s">
        <v>256</v>
      </c>
      <c r="O1473" s="70">
        <v>0</v>
      </c>
      <c r="P1473" s="70">
        <v>0</v>
      </c>
      <c r="Q1473" s="70">
        <v>0</v>
      </c>
      <c r="R1473" s="70"/>
      <c r="S1473" s="67"/>
      <c r="T1473" s="2" t="str">
        <f t="shared" si="117"/>
        <v>Nguyễn Thị Thủy Tiên_12AS11</v>
      </c>
      <c r="U1473" s="28">
        <f t="array" ref="U1473">IFERROR(VLOOKUP($T1473,'Nghi hoc T12'!$H$7:$I$160,2,0),0)</f>
        <v>0</v>
      </c>
      <c r="V1473" s="28"/>
      <c r="W1473" s="28">
        <f t="shared" si="118"/>
        <v>0</v>
      </c>
      <c r="X1473" s="333">
        <f t="shared" si="119"/>
        <v>0</v>
      </c>
      <c r="Y1473" s="333">
        <f t="shared" si="120"/>
        <v>0</v>
      </c>
    </row>
    <row r="1474" spans="1:25" s="2" customFormat="1" ht="21.95" customHeight="1">
      <c r="A1474" s="82">
        <v>22</v>
      </c>
      <c r="B1474" s="91" t="s">
        <v>3374</v>
      </c>
      <c r="C1474" s="83" t="s">
        <v>365</v>
      </c>
      <c r="D1474" s="81" t="s">
        <v>526</v>
      </c>
      <c r="E1474" s="48">
        <v>101466</v>
      </c>
      <c r="F1474" s="30" t="s">
        <v>2049</v>
      </c>
      <c r="G1474" s="29" t="s">
        <v>215</v>
      </c>
      <c r="H1474" s="30" t="s">
        <v>460</v>
      </c>
      <c r="I1474" s="78"/>
      <c r="J1474" s="20"/>
      <c r="K1474" s="20"/>
      <c r="L1474" s="20"/>
      <c r="M1474" s="20"/>
      <c r="N1474" s="69" t="s">
        <v>256</v>
      </c>
      <c r="O1474" s="70">
        <v>0</v>
      </c>
      <c r="P1474" s="70">
        <v>0</v>
      </c>
      <c r="Q1474" s="70">
        <v>0</v>
      </c>
      <c r="R1474" s="70"/>
      <c r="S1474" s="67"/>
      <c r="T1474" s="2" t="str">
        <f t="shared" si="117"/>
        <v>Đỗ Đức Tiến_12AS12</v>
      </c>
      <c r="U1474" s="28">
        <f t="array" ref="U1474">IFERROR(VLOOKUP($T1474,'Nghi hoc T12'!$H$7:$I$160,2,0),0)</f>
        <v>0</v>
      </c>
      <c r="V1474" s="28"/>
      <c r="W1474" s="28">
        <f t="shared" si="118"/>
        <v>0</v>
      </c>
      <c r="X1474" s="333">
        <f t="shared" si="119"/>
        <v>0</v>
      </c>
      <c r="Y1474" s="333">
        <f t="shared" si="120"/>
        <v>0</v>
      </c>
    </row>
    <row r="1475" spans="1:25" s="2" customFormat="1" ht="21.95" customHeight="1">
      <c r="A1475" s="82">
        <v>23</v>
      </c>
      <c r="B1475" s="91" t="s">
        <v>3374</v>
      </c>
      <c r="C1475" s="83" t="s">
        <v>365</v>
      </c>
      <c r="D1475" s="81" t="s">
        <v>526</v>
      </c>
      <c r="E1475" s="48">
        <v>101467</v>
      </c>
      <c r="F1475" s="30" t="s">
        <v>1972</v>
      </c>
      <c r="G1475" s="29" t="s">
        <v>215</v>
      </c>
      <c r="H1475" s="30" t="s">
        <v>459</v>
      </c>
      <c r="I1475" s="78"/>
      <c r="J1475" s="20"/>
      <c r="K1475" s="20"/>
      <c r="L1475" s="20"/>
      <c r="M1475" s="20"/>
      <c r="N1475" s="69" t="s">
        <v>256</v>
      </c>
      <c r="O1475" s="70">
        <v>0</v>
      </c>
      <c r="P1475" s="70">
        <v>0</v>
      </c>
      <c r="Q1475" s="70">
        <v>0</v>
      </c>
      <c r="R1475" s="70"/>
      <c r="S1475" s="67"/>
      <c r="T1475" s="2" t="str">
        <f t="shared" si="117"/>
        <v>Vũ Xuân Tiến_12AS9</v>
      </c>
      <c r="U1475" s="28">
        <f t="array" ref="U1475">IFERROR(VLOOKUP($T1475,'Nghi hoc T12'!$H$7:$I$160,2,0),0)</f>
        <v>0</v>
      </c>
      <c r="V1475" s="28"/>
      <c r="W1475" s="28">
        <f t="shared" si="118"/>
        <v>0</v>
      </c>
      <c r="X1475" s="333">
        <f t="shared" si="119"/>
        <v>0</v>
      </c>
      <c r="Y1475" s="333">
        <f t="shared" si="120"/>
        <v>0</v>
      </c>
    </row>
    <row r="1476" spans="1:25" s="2" customFormat="1" ht="21.95" customHeight="1">
      <c r="A1476" s="82">
        <v>24</v>
      </c>
      <c r="B1476" s="91" t="s">
        <v>3374</v>
      </c>
      <c r="C1476" s="83" t="s">
        <v>365</v>
      </c>
      <c r="D1476" s="81" t="s">
        <v>526</v>
      </c>
      <c r="E1476" s="48">
        <v>101468</v>
      </c>
      <c r="F1476" s="30" t="s">
        <v>37</v>
      </c>
      <c r="G1476" s="29" t="s">
        <v>106</v>
      </c>
      <c r="H1476" s="30" t="s">
        <v>460</v>
      </c>
      <c r="I1476" s="78"/>
      <c r="J1476" s="20"/>
      <c r="K1476" s="20"/>
      <c r="L1476" s="20"/>
      <c r="M1476" s="20"/>
      <c r="N1476" s="69" t="s">
        <v>256</v>
      </c>
      <c r="O1476" s="70">
        <v>0</v>
      </c>
      <c r="P1476" s="70">
        <v>0</v>
      </c>
      <c r="Q1476" s="70">
        <v>0</v>
      </c>
      <c r="R1476" s="70"/>
      <c r="S1476" s="67"/>
      <c r="T1476" s="2" t="str">
        <f t="shared" si="117"/>
        <v>Nguyễn Trường Toàn_12AS12</v>
      </c>
      <c r="U1476" s="28">
        <f t="array" ref="U1476">IFERROR(VLOOKUP($T1476,'Nghi hoc T12'!$H$7:$I$160,2,0),0)</f>
        <v>0</v>
      </c>
      <c r="V1476" s="28"/>
      <c r="W1476" s="28">
        <f t="shared" si="118"/>
        <v>0</v>
      </c>
      <c r="X1476" s="333">
        <f t="shared" si="119"/>
        <v>0</v>
      </c>
      <c r="Y1476" s="333">
        <f t="shared" si="120"/>
        <v>0</v>
      </c>
    </row>
    <row r="1477" spans="1:25" s="2" customFormat="1" ht="21.95" customHeight="1">
      <c r="A1477" s="82">
        <v>25</v>
      </c>
      <c r="B1477" s="91" t="s">
        <v>3374</v>
      </c>
      <c r="C1477" s="83" t="s">
        <v>365</v>
      </c>
      <c r="D1477" s="81" t="s">
        <v>526</v>
      </c>
      <c r="E1477" s="48">
        <v>101469</v>
      </c>
      <c r="F1477" s="30" t="s">
        <v>2026</v>
      </c>
      <c r="G1477" s="29" t="s">
        <v>30</v>
      </c>
      <c r="H1477" s="30" t="s">
        <v>461</v>
      </c>
      <c r="I1477" s="78"/>
      <c r="J1477" s="20"/>
      <c r="K1477" s="20"/>
      <c r="L1477" s="20"/>
      <c r="M1477" s="20"/>
      <c r="N1477" s="69" t="s">
        <v>256</v>
      </c>
      <c r="O1477" s="70">
        <v>0</v>
      </c>
      <c r="P1477" s="70">
        <v>0</v>
      </c>
      <c r="Q1477" s="70">
        <v>0</v>
      </c>
      <c r="R1477" s="70"/>
      <c r="S1477" s="67"/>
      <c r="T1477" s="2" t="str">
        <f t="shared" si="117"/>
        <v>Đinh Thị Thùy Trang_12AS11</v>
      </c>
      <c r="U1477" s="28">
        <f t="array" ref="U1477">IFERROR(VLOOKUP($T1477,'Nghi hoc T12'!$H$7:$I$160,2,0),0)</f>
        <v>0</v>
      </c>
      <c r="V1477" s="28"/>
      <c r="W1477" s="28">
        <f t="shared" si="118"/>
        <v>0</v>
      </c>
      <c r="X1477" s="333">
        <f t="shared" si="119"/>
        <v>0</v>
      </c>
      <c r="Y1477" s="333">
        <f t="shared" si="120"/>
        <v>0</v>
      </c>
    </row>
    <row r="1478" spans="1:25" s="2" customFormat="1" ht="21.95" customHeight="1">
      <c r="A1478" s="82">
        <v>26</v>
      </c>
      <c r="B1478" s="91" t="s">
        <v>3374</v>
      </c>
      <c r="C1478" s="83" t="s">
        <v>365</v>
      </c>
      <c r="D1478" s="81" t="s">
        <v>526</v>
      </c>
      <c r="E1478" s="48">
        <v>101470</v>
      </c>
      <c r="F1478" s="30" t="s">
        <v>1999</v>
      </c>
      <c r="G1478" s="29" t="s">
        <v>29</v>
      </c>
      <c r="H1478" s="30" t="s">
        <v>463</v>
      </c>
      <c r="I1478" s="78"/>
      <c r="J1478" s="20"/>
      <c r="K1478" s="20"/>
      <c r="L1478" s="20"/>
      <c r="M1478" s="20"/>
      <c r="N1478" s="69" t="s">
        <v>256</v>
      </c>
      <c r="O1478" s="70">
        <v>0</v>
      </c>
      <c r="P1478" s="70">
        <v>0</v>
      </c>
      <c r="Q1478" s="70">
        <v>0</v>
      </c>
      <c r="R1478" s="70"/>
      <c r="S1478" s="67"/>
      <c r="T1478" s="2" t="str">
        <f t="shared" si="117"/>
        <v>Ngô Thạch Bích Trâm_12AS10</v>
      </c>
      <c r="U1478" s="28">
        <f t="array" ref="U1478">IFERROR(VLOOKUP($T1478,'Nghi hoc T12'!$H$7:$I$160,2,0),0)</f>
        <v>0</v>
      </c>
      <c r="V1478" s="28"/>
      <c r="W1478" s="28">
        <f t="shared" si="118"/>
        <v>0</v>
      </c>
      <c r="X1478" s="333">
        <f t="shared" si="119"/>
        <v>0</v>
      </c>
      <c r="Y1478" s="333">
        <f t="shared" si="120"/>
        <v>0</v>
      </c>
    </row>
    <row r="1479" spans="1:25" s="2" customFormat="1" ht="21.95" customHeight="1">
      <c r="A1479" s="82">
        <v>27</v>
      </c>
      <c r="B1479" s="91" t="s">
        <v>3374</v>
      </c>
      <c r="C1479" s="83" t="s">
        <v>365</v>
      </c>
      <c r="D1479" s="81" t="s">
        <v>526</v>
      </c>
      <c r="E1479" s="48">
        <v>101471</v>
      </c>
      <c r="F1479" s="30" t="s">
        <v>2027</v>
      </c>
      <c r="G1479" s="29" t="s">
        <v>29</v>
      </c>
      <c r="H1479" s="30" t="s">
        <v>461</v>
      </c>
      <c r="I1479" s="78"/>
      <c r="J1479" s="20"/>
      <c r="K1479" s="20"/>
      <c r="L1479" s="20"/>
      <c r="M1479" s="20"/>
      <c r="N1479" s="69" t="s">
        <v>256</v>
      </c>
      <c r="O1479" s="70">
        <v>0</v>
      </c>
      <c r="P1479" s="70">
        <v>0</v>
      </c>
      <c r="Q1479" s="70">
        <v>0</v>
      </c>
      <c r="R1479" s="70"/>
      <c r="S1479" s="67"/>
      <c r="T1479" s="2" t="str">
        <f t="shared" si="117"/>
        <v>Nguyễn Thị Bích Trâm_12AS11</v>
      </c>
      <c r="U1479" s="28">
        <f t="array" ref="U1479">IFERROR(VLOOKUP($T1479,'Nghi hoc T12'!$H$7:$I$160,2,0),0)</f>
        <v>0</v>
      </c>
      <c r="V1479" s="28"/>
      <c r="W1479" s="28">
        <f t="shared" si="118"/>
        <v>0</v>
      </c>
      <c r="X1479" s="333">
        <f t="shared" si="119"/>
        <v>0</v>
      </c>
      <c r="Y1479" s="333">
        <f t="shared" si="120"/>
        <v>0</v>
      </c>
    </row>
    <row r="1480" spans="1:25" s="2" customFormat="1" ht="21.95" customHeight="1">
      <c r="A1480" s="200">
        <v>1</v>
      </c>
      <c r="B1480" s="91" t="s">
        <v>3375</v>
      </c>
      <c r="C1480" s="185" t="s">
        <v>365</v>
      </c>
      <c r="D1480" s="186" t="s">
        <v>527</v>
      </c>
      <c r="E1480" s="187">
        <v>101472</v>
      </c>
      <c r="F1480" s="188" t="s">
        <v>347</v>
      </c>
      <c r="G1480" s="189" t="s">
        <v>81</v>
      </c>
      <c r="H1480" s="188" t="s">
        <v>460</v>
      </c>
      <c r="I1480" s="190"/>
      <c r="J1480" s="191"/>
      <c r="K1480" s="191"/>
      <c r="L1480" s="191"/>
      <c r="M1480" s="191"/>
      <c r="N1480" s="69" t="s">
        <v>256</v>
      </c>
      <c r="O1480" s="70">
        <v>0</v>
      </c>
      <c r="P1480" s="70">
        <v>0</v>
      </c>
      <c r="Q1480" s="70">
        <v>0</v>
      </c>
      <c r="R1480" s="70"/>
      <c r="S1480" s="67"/>
      <c r="T1480" s="2" t="str">
        <f t="shared" si="117"/>
        <v>Lý Bảo Trân_12AS12</v>
      </c>
      <c r="U1480" s="28">
        <f t="array" ref="U1480">IFERROR(VLOOKUP($T1480,'Nghi hoc T12'!$H$7:$I$160,2,0),0)</f>
        <v>0</v>
      </c>
      <c r="V1480" s="28"/>
      <c r="W1480" s="28">
        <f t="shared" si="118"/>
        <v>0</v>
      </c>
      <c r="X1480" s="333">
        <f t="shared" si="119"/>
        <v>0</v>
      </c>
      <c r="Y1480" s="333">
        <f t="shared" si="120"/>
        <v>0</v>
      </c>
    </row>
    <row r="1481" spans="1:25" s="2" customFormat="1" ht="21.95" customHeight="1">
      <c r="A1481" s="82">
        <v>2</v>
      </c>
      <c r="B1481" s="91" t="s">
        <v>3375</v>
      </c>
      <c r="C1481" s="83" t="s">
        <v>365</v>
      </c>
      <c r="D1481" s="81" t="s">
        <v>527</v>
      </c>
      <c r="E1481" s="48">
        <v>101473</v>
      </c>
      <c r="F1481" s="30" t="s">
        <v>1221</v>
      </c>
      <c r="G1481" s="29" t="s">
        <v>206</v>
      </c>
      <c r="H1481" s="30" t="s">
        <v>459</v>
      </c>
      <c r="I1481" s="78"/>
      <c r="J1481" s="20"/>
      <c r="K1481" s="20"/>
      <c r="L1481" s="20"/>
      <c r="M1481" s="20"/>
      <c r="N1481" s="69" t="s">
        <v>256</v>
      </c>
      <c r="O1481" s="70">
        <v>0</v>
      </c>
      <c r="P1481" s="70">
        <v>0</v>
      </c>
      <c r="Q1481" s="70">
        <v>0</v>
      </c>
      <c r="R1481" s="70"/>
      <c r="S1481" s="67"/>
      <c r="T1481" s="2" t="str">
        <f t="shared" si="117"/>
        <v>Dương Đức Trí_12AS9</v>
      </c>
      <c r="U1481" s="28">
        <f t="array" ref="U1481">IFERROR(VLOOKUP($T1481,'Nghi hoc T12'!$H$7:$I$160,2,0),0)</f>
        <v>0</v>
      </c>
      <c r="V1481" s="28"/>
      <c r="W1481" s="28">
        <f t="shared" si="118"/>
        <v>0</v>
      </c>
      <c r="X1481" s="333">
        <f t="shared" si="119"/>
        <v>0</v>
      </c>
      <c r="Y1481" s="333">
        <f t="shared" si="120"/>
        <v>0</v>
      </c>
    </row>
    <row r="1482" spans="1:25" s="2" customFormat="1" ht="21.95" customHeight="1">
      <c r="A1482" s="82">
        <v>3</v>
      </c>
      <c r="B1482" s="91" t="s">
        <v>3375</v>
      </c>
      <c r="C1482" s="83" t="s">
        <v>365</v>
      </c>
      <c r="D1482" s="81" t="s">
        <v>527</v>
      </c>
      <c r="E1482" s="48">
        <v>101474</v>
      </c>
      <c r="F1482" s="30" t="s">
        <v>314</v>
      </c>
      <c r="G1482" s="29" t="s">
        <v>206</v>
      </c>
      <c r="H1482" s="30" t="s">
        <v>460</v>
      </c>
      <c r="I1482" s="78"/>
      <c r="J1482" s="20"/>
      <c r="K1482" s="20"/>
      <c r="L1482" s="20"/>
      <c r="M1482" s="20"/>
      <c r="N1482" s="69" t="s">
        <v>256</v>
      </c>
      <c r="O1482" s="70">
        <v>0</v>
      </c>
      <c r="P1482" s="70">
        <v>0</v>
      </c>
      <c r="Q1482" s="70">
        <v>0</v>
      </c>
      <c r="R1482" s="70"/>
      <c r="S1482" s="67"/>
      <c r="T1482" s="2" t="str">
        <f t="shared" ref="T1482:T1545" si="121">TRIM(F1482&amp;" "&amp;G1482&amp;"_"&amp;H1482)</f>
        <v>Phạm Minh Trí_12AS12</v>
      </c>
      <c r="U1482" s="28">
        <f t="array" ref="U1482">IFERROR(VLOOKUP($T1482,'Nghi hoc T12'!$H$7:$I$160,2,0),0)</f>
        <v>0</v>
      </c>
      <c r="V1482" s="28"/>
      <c r="W1482" s="28">
        <f t="shared" ref="W1482:W1545" si="122">I1482</f>
        <v>0</v>
      </c>
      <c r="X1482" s="333">
        <f t="shared" ref="X1482:X1545" si="123">O1482</f>
        <v>0</v>
      </c>
      <c r="Y1482" s="333">
        <f t="shared" ref="Y1482:Y1545" si="124">P1482</f>
        <v>0</v>
      </c>
    </row>
    <row r="1483" spans="1:25" s="2" customFormat="1" ht="21.95" customHeight="1">
      <c r="A1483" s="82">
        <v>4</v>
      </c>
      <c r="B1483" s="91" t="s">
        <v>3375</v>
      </c>
      <c r="C1483" s="83" t="s">
        <v>365</v>
      </c>
      <c r="D1483" s="81" t="s">
        <v>527</v>
      </c>
      <c r="E1483" s="48">
        <v>101475</v>
      </c>
      <c r="F1483" s="30" t="s">
        <v>1973</v>
      </c>
      <c r="G1483" s="29" t="s">
        <v>273</v>
      </c>
      <c r="H1483" s="30" t="s">
        <v>459</v>
      </c>
      <c r="I1483" s="78"/>
      <c r="J1483" s="20"/>
      <c r="K1483" s="20"/>
      <c r="L1483" s="20"/>
      <c r="M1483" s="20"/>
      <c r="N1483" s="69" t="s">
        <v>256</v>
      </c>
      <c r="O1483" s="70">
        <v>0</v>
      </c>
      <c r="P1483" s="70">
        <v>0</v>
      </c>
      <c r="Q1483" s="70">
        <v>0</v>
      </c>
      <c r="R1483" s="70"/>
      <c r="S1483" s="67"/>
      <c r="T1483" s="2" t="str">
        <f t="shared" si="121"/>
        <v>Nguyễn Tân Hải Triều_12AS9</v>
      </c>
      <c r="U1483" s="28">
        <f t="array" ref="U1483">IFERROR(VLOOKUP($T1483,'Nghi hoc T12'!$H$7:$I$160,2,0),0)</f>
        <v>0</v>
      </c>
      <c r="V1483" s="28"/>
      <c r="W1483" s="28">
        <f t="shared" si="122"/>
        <v>0</v>
      </c>
      <c r="X1483" s="333">
        <f t="shared" si="123"/>
        <v>0</v>
      </c>
      <c r="Y1483" s="333">
        <f t="shared" si="124"/>
        <v>0</v>
      </c>
    </row>
    <row r="1484" spans="1:25" s="2" customFormat="1" ht="21.95" customHeight="1">
      <c r="A1484" s="82">
        <v>5</v>
      </c>
      <c r="B1484" s="91" t="s">
        <v>3375</v>
      </c>
      <c r="C1484" s="83" t="s">
        <v>365</v>
      </c>
      <c r="D1484" s="81" t="s">
        <v>527</v>
      </c>
      <c r="E1484" s="48">
        <v>101476</v>
      </c>
      <c r="F1484" s="30" t="s">
        <v>286</v>
      </c>
      <c r="G1484" s="29" t="s">
        <v>98</v>
      </c>
      <c r="H1484" s="30" t="s">
        <v>459</v>
      </c>
      <c r="I1484" s="78"/>
      <c r="J1484" s="20"/>
      <c r="K1484" s="20"/>
      <c r="L1484" s="20"/>
      <c r="M1484" s="20"/>
      <c r="N1484" s="69" t="s">
        <v>256</v>
      </c>
      <c r="O1484" s="70">
        <v>0</v>
      </c>
      <c r="P1484" s="70">
        <v>0</v>
      </c>
      <c r="Q1484" s="70">
        <v>0</v>
      </c>
      <c r="R1484" s="70"/>
      <c r="S1484" s="67"/>
      <c r="T1484" s="2" t="str">
        <f t="shared" si="121"/>
        <v>Lê Cẩm Trinh_12AS9</v>
      </c>
      <c r="U1484" s="28">
        <f t="array" ref="U1484">IFERROR(VLOOKUP($T1484,'Nghi hoc T12'!$H$7:$I$160,2,0),0)</f>
        <v>0</v>
      </c>
      <c r="V1484" s="28"/>
      <c r="W1484" s="28">
        <f t="shared" si="122"/>
        <v>0</v>
      </c>
      <c r="X1484" s="333">
        <f t="shared" si="123"/>
        <v>0</v>
      </c>
      <c r="Y1484" s="333">
        <f t="shared" si="124"/>
        <v>0</v>
      </c>
    </row>
    <row r="1485" spans="1:25" s="2" customFormat="1" ht="21.95" customHeight="1">
      <c r="A1485" s="82">
        <v>6</v>
      </c>
      <c r="B1485" s="91" t="s">
        <v>3375</v>
      </c>
      <c r="C1485" s="83" t="s">
        <v>365</v>
      </c>
      <c r="D1485" s="81" t="s">
        <v>527</v>
      </c>
      <c r="E1485" s="48">
        <v>101477</v>
      </c>
      <c r="F1485" s="30" t="s">
        <v>203</v>
      </c>
      <c r="G1485" s="29" t="s">
        <v>98</v>
      </c>
      <c r="H1485" s="30" t="s">
        <v>459</v>
      </c>
      <c r="I1485" s="78"/>
      <c r="J1485" s="20"/>
      <c r="K1485" s="20"/>
      <c r="L1485" s="20"/>
      <c r="M1485" s="20"/>
      <c r="N1485" s="69" t="s">
        <v>256</v>
      </c>
      <c r="O1485" s="70">
        <v>0</v>
      </c>
      <c r="P1485" s="70">
        <v>0</v>
      </c>
      <c r="Q1485" s="70">
        <v>0</v>
      </c>
      <c r="R1485" s="70"/>
      <c r="S1485" s="67"/>
      <c r="T1485" s="2" t="str">
        <f t="shared" si="121"/>
        <v>Nguyễn Ngọc Phương Trinh_12AS9</v>
      </c>
      <c r="U1485" s="28">
        <f t="array" ref="U1485">IFERROR(VLOOKUP($T1485,'Nghi hoc T12'!$H$7:$I$160,2,0),0)</f>
        <v>0</v>
      </c>
      <c r="V1485" s="28"/>
      <c r="W1485" s="28">
        <f t="shared" si="122"/>
        <v>0</v>
      </c>
      <c r="X1485" s="333">
        <f t="shared" si="123"/>
        <v>0</v>
      </c>
      <c r="Y1485" s="333">
        <f t="shared" si="124"/>
        <v>0</v>
      </c>
    </row>
    <row r="1486" spans="1:25" s="2" customFormat="1" ht="21.95" customHeight="1">
      <c r="A1486" s="82">
        <v>7</v>
      </c>
      <c r="B1486" s="91" t="s">
        <v>3375</v>
      </c>
      <c r="C1486" s="83" t="s">
        <v>365</v>
      </c>
      <c r="D1486" s="81" t="s">
        <v>527</v>
      </c>
      <c r="E1486" s="48">
        <v>101478</v>
      </c>
      <c r="F1486" s="30" t="s">
        <v>183</v>
      </c>
      <c r="G1486" s="29" t="s">
        <v>31</v>
      </c>
      <c r="H1486" s="30" t="s">
        <v>463</v>
      </c>
      <c r="I1486" s="78"/>
      <c r="J1486" s="20"/>
      <c r="K1486" s="20"/>
      <c r="L1486" s="20"/>
      <c r="M1486" s="20"/>
      <c r="N1486" s="69" t="s">
        <v>256</v>
      </c>
      <c r="O1486" s="70">
        <v>0</v>
      </c>
      <c r="P1486" s="70">
        <v>0</v>
      </c>
      <c r="Q1486" s="70">
        <v>0</v>
      </c>
      <c r="R1486" s="70"/>
      <c r="S1486" s="67"/>
      <c r="T1486" s="2" t="str">
        <f t="shared" si="121"/>
        <v>Nguyễn Thanh Trúc_12AS10</v>
      </c>
      <c r="U1486" s="28">
        <f t="array" ref="U1486">IFERROR(VLOOKUP($T1486,'Nghi hoc T12'!$H$7:$I$160,2,0),0)</f>
        <v>0</v>
      </c>
      <c r="V1486" s="28"/>
      <c r="W1486" s="28">
        <f t="shared" si="122"/>
        <v>0</v>
      </c>
      <c r="X1486" s="333">
        <f t="shared" si="123"/>
        <v>0</v>
      </c>
      <c r="Y1486" s="333">
        <f t="shared" si="124"/>
        <v>0</v>
      </c>
    </row>
    <row r="1487" spans="1:25" s="2" customFormat="1" ht="21.95" customHeight="1">
      <c r="A1487" s="82">
        <v>8</v>
      </c>
      <c r="B1487" s="91" t="s">
        <v>3375</v>
      </c>
      <c r="C1487" s="83" t="s">
        <v>365</v>
      </c>
      <c r="D1487" s="81" t="s">
        <v>527</v>
      </c>
      <c r="E1487" s="48">
        <v>101479</v>
      </c>
      <c r="F1487" s="30" t="s">
        <v>2050</v>
      </c>
      <c r="G1487" s="29" t="s">
        <v>31</v>
      </c>
      <c r="H1487" s="30" t="s">
        <v>460</v>
      </c>
      <c r="I1487" s="78"/>
      <c r="J1487" s="20"/>
      <c r="K1487" s="20"/>
      <c r="L1487" s="20"/>
      <c r="M1487" s="20"/>
      <c r="N1487" s="69" t="s">
        <v>256</v>
      </c>
      <c r="O1487" s="70">
        <v>0</v>
      </c>
      <c r="P1487" s="70">
        <v>0</v>
      </c>
      <c r="Q1487" s="70">
        <v>0</v>
      </c>
      <c r="R1487" s="70"/>
      <c r="S1487" s="67"/>
      <c r="T1487" s="2" t="str">
        <f t="shared" si="121"/>
        <v>Trịnh Hoàng Thanh Trúc_12AS12</v>
      </c>
      <c r="U1487" s="28">
        <f t="array" ref="U1487">IFERROR(VLOOKUP($T1487,'Nghi hoc T12'!$H$7:$I$160,2,0),0)</f>
        <v>0</v>
      </c>
      <c r="V1487" s="28"/>
      <c r="W1487" s="28">
        <f t="shared" si="122"/>
        <v>0</v>
      </c>
      <c r="X1487" s="333">
        <f t="shared" si="123"/>
        <v>0</v>
      </c>
      <c r="Y1487" s="333">
        <f t="shared" si="124"/>
        <v>0</v>
      </c>
    </row>
    <row r="1488" spans="1:25" s="2" customFormat="1" ht="21.95" customHeight="1">
      <c r="A1488" s="82">
        <v>9</v>
      </c>
      <c r="B1488" s="91" t="s">
        <v>3375</v>
      </c>
      <c r="C1488" s="83" t="s">
        <v>365</v>
      </c>
      <c r="D1488" s="81" t="s">
        <v>527</v>
      </c>
      <c r="E1488" s="48">
        <v>101480</v>
      </c>
      <c r="F1488" s="30" t="s">
        <v>207</v>
      </c>
      <c r="G1488" s="29" t="s">
        <v>2028</v>
      </c>
      <c r="H1488" s="30" t="s">
        <v>461</v>
      </c>
      <c r="I1488" s="78"/>
      <c r="J1488" s="20"/>
      <c r="K1488" s="20"/>
      <c r="L1488" s="20"/>
      <c r="M1488" s="20"/>
      <c r="N1488" s="69" t="s">
        <v>256</v>
      </c>
      <c r="O1488" s="70">
        <v>0</v>
      </c>
      <c r="P1488" s="70">
        <v>0</v>
      </c>
      <c r="Q1488" s="70">
        <v>0</v>
      </c>
      <c r="R1488" s="70"/>
      <c r="S1488" s="67"/>
      <c r="T1488" s="2" t="str">
        <f t="shared" si="121"/>
        <v>Phạm Văn Trương_12AS11</v>
      </c>
      <c r="U1488" s="28">
        <f t="array" ref="U1488">IFERROR(VLOOKUP($T1488,'Nghi hoc T12'!$H$7:$I$160,2,0),0)</f>
        <v>0</v>
      </c>
      <c r="V1488" s="28"/>
      <c r="W1488" s="28">
        <f t="shared" si="122"/>
        <v>0</v>
      </c>
      <c r="X1488" s="333">
        <f t="shared" si="123"/>
        <v>0</v>
      </c>
      <c r="Y1488" s="333">
        <f t="shared" si="124"/>
        <v>0</v>
      </c>
    </row>
    <row r="1489" spans="1:25" s="2" customFormat="1" ht="21.95" customHeight="1">
      <c r="A1489" s="82">
        <v>10</v>
      </c>
      <c r="B1489" s="91" t="s">
        <v>3375</v>
      </c>
      <c r="C1489" s="83" t="s">
        <v>365</v>
      </c>
      <c r="D1489" s="81" t="s">
        <v>527</v>
      </c>
      <c r="E1489" s="48">
        <v>101481</v>
      </c>
      <c r="F1489" s="30" t="s">
        <v>2029</v>
      </c>
      <c r="G1489" s="29" t="s">
        <v>52</v>
      </c>
      <c r="H1489" s="30" t="s">
        <v>461</v>
      </c>
      <c r="I1489" s="78"/>
      <c r="J1489" s="20"/>
      <c r="K1489" s="20"/>
      <c r="L1489" s="20"/>
      <c r="M1489" s="20"/>
      <c r="N1489" s="69" t="s">
        <v>256</v>
      </c>
      <c r="O1489" s="70">
        <v>0</v>
      </c>
      <c r="P1489" s="70">
        <v>0</v>
      </c>
      <c r="Q1489" s="70">
        <v>0</v>
      </c>
      <c r="R1489" s="70"/>
      <c r="S1489" s="67"/>
      <c r="T1489" s="2" t="str">
        <f t="shared" si="121"/>
        <v>Cao Anh Tuấn_12AS11</v>
      </c>
      <c r="U1489" s="28">
        <f t="array" ref="U1489">IFERROR(VLOOKUP($T1489,'Nghi hoc T12'!$H$7:$I$160,2,0),0)</f>
        <v>0</v>
      </c>
      <c r="V1489" s="28"/>
      <c r="W1489" s="28">
        <f t="shared" si="122"/>
        <v>0</v>
      </c>
      <c r="X1489" s="333">
        <f t="shared" si="123"/>
        <v>0</v>
      </c>
      <c r="Y1489" s="333">
        <f t="shared" si="124"/>
        <v>0</v>
      </c>
    </row>
    <row r="1490" spans="1:25" s="2" customFormat="1" ht="21.95" customHeight="1">
      <c r="A1490" s="82">
        <v>11</v>
      </c>
      <c r="B1490" s="91" t="s">
        <v>3375</v>
      </c>
      <c r="C1490" s="83" t="s">
        <v>365</v>
      </c>
      <c r="D1490" s="81" t="s">
        <v>527</v>
      </c>
      <c r="E1490" s="48">
        <v>101482</v>
      </c>
      <c r="F1490" s="30" t="s">
        <v>1947</v>
      </c>
      <c r="G1490" s="29" t="s">
        <v>52</v>
      </c>
      <c r="H1490" s="30" t="s">
        <v>461</v>
      </c>
      <c r="I1490" s="78"/>
      <c r="J1490" s="20"/>
      <c r="K1490" s="20"/>
      <c r="L1490" s="20"/>
      <c r="M1490" s="20"/>
      <c r="N1490" s="69" t="s">
        <v>256</v>
      </c>
      <c r="O1490" s="70">
        <v>0</v>
      </c>
      <c r="P1490" s="70">
        <v>0</v>
      </c>
      <c r="Q1490" s="70">
        <v>0</v>
      </c>
      <c r="R1490" s="70"/>
      <c r="S1490" s="67"/>
      <c r="T1490" s="2" t="str">
        <f t="shared" si="121"/>
        <v>Dương Quốc Tuấn_12AS11</v>
      </c>
      <c r="U1490" s="28">
        <f t="array" ref="U1490">IFERROR(VLOOKUP($T1490,'Nghi hoc T12'!$H$7:$I$160,2,0),0)</f>
        <v>0</v>
      </c>
      <c r="V1490" s="28"/>
      <c r="W1490" s="28">
        <f t="shared" si="122"/>
        <v>0</v>
      </c>
      <c r="X1490" s="333">
        <f t="shared" si="123"/>
        <v>0</v>
      </c>
      <c r="Y1490" s="333">
        <f t="shared" si="124"/>
        <v>0</v>
      </c>
    </row>
    <row r="1491" spans="1:25" s="2" customFormat="1" ht="21.95" customHeight="1">
      <c r="A1491" s="82">
        <v>12</v>
      </c>
      <c r="B1491" s="91" t="s">
        <v>3375</v>
      </c>
      <c r="C1491" s="83" t="s">
        <v>365</v>
      </c>
      <c r="D1491" s="81" t="s">
        <v>527</v>
      </c>
      <c r="E1491" s="48">
        <v>101483</v>
      </c>
      <c r="F1491" s="30" t="s">
        <v>1516</v>
      </c>
      <c r="G1491" s="29" t="s">
        <v>52</v>
      </c>
      <c r="H1491" s="30" t="s">
        <v>460</v>
      </c>
      <c r="I1491" s="78"/>
      <c r="J1491" s="20"/>
      <c r="K1491" s="20"/>
      <c r="L1491" s="20"/>
      <c r="M1491" s="20"/>
      <c r="N1491" s="69" t="s">
        <v>256</v>
      </c>
      <c r="O1491" s="70">
        <v>0</v>
      </c>
      <c r="P1491" s="70">
        <v>0</v>
      </c>
      <c r="Q1491" s="70">
        <v>0</v>
      </c>
      <c r="R1491" s="70"/>
      <c r="S1491" s="67"/>
      <c r="T1491" s="2" t="str">
        <f t="shared" si="121"/>
        <v>Lê Hoàng Anh Tuấn_12AS12</v>
      </c>
      <c r="U1491" s="28">
        <f t="array" ref="U1491">IFERROR(VLOOKUP($T1491,'Nghi hoc T12'!$H$7:$I$160,2,0),0)</f>
        <v>0</v>
      </c>
      <c r="V1491" s="28"/>
      <c r="W1491" s="28">
        <f t="shared" si="122"/>
        <v>0</v>
      </c>
      <c r="X1491" s="333">
        <f t="shared" si="123"/>
        <v>0</v>
      </c>
      <c r="Y1491" s="333">
        <f t="shared" si="124"/>
        <v>0</v>
      </c>
    </row>
    <row r="1492" spans="1:25" s="2" customFormat="1" ht="21.95" customHeight="1">
      <c r="A1492" s="82">
        <v>13</v>
      </c>
      <c r="B1492" s="91" t="s">
        <v>3375</v>
      </c>
      <c r="C1492" s="83" t="s">
        <v>365</v>
      </c>
      <c r="D1492" s="81" t="s">
        <v>527</v>
      </c>
      <c r="E1492" s="48">
        <v>101484</v>
      </c>
      <c r="F1492" s="30" t="s">
        <v>2000</v>
      </c>
      <c r="G1492" s="29" t="s">
        <v>52</v>
      </c>
      <c r="H1492" s="30" t="s">
        <v>463</v>
      </c>
      <c r="I1492" s="78"/>
      <c r="J1492" s="20"/>
      <c r="K1492" s="20"/>
      <c r="L1492" s="20"/>
      <c r="M1492" s="20"/>
      <c r="N1492" s="69" t="s">
        <v>256</v>
      </c>
      <c r="O1492" s="70">
        <v>0</v>
      </c>
      <c r="P1492" s="70">
        <v>0</v>
      </c>
      <c r="Q1492" s="70">
        <v>0</v>
      </c>
      <c r="R1492" s="70"/>
      <c r="S1492" s="67"/>
      <c r="T1492" s="2" t="str">
        <f t="shared" si="121"/>
        <v>Lê Quang Anh Tuấn_12AS10</v>
      </c>
      <c r="U1492" s="28">
        <f t="array" ref="U1492">IFERROR(VLOOKUP($T1492,'Nghi hoc T12'!$H$7:$I$160,2,0),0)</f>
        <v>0</v>
      </c>
      <c r="V1492" s="28"/>
      <c r="W1492" s="28">
        <f t="shared" si="122"/>
        <v>0</v>
      </c>
      <c r="X1492" s="333">
        <f t="shared" si="123"/>
        <v>0</v>
      </c>
      <c r="Y1492" s="333">
        <f t="shared" si="124"/>
        <v>0</v>
      </c>
    </row>
    <row r="1493" spans="1:25" s="2" customFormat="1" ht="21.95" customHeight="1">
      <c r="A1493" s="82">
        <v>14</v>
      </c>
      <c r="B1493" s="91" t="s">
        <v>3375</v>
      </c>
      <c r="C1493" s="83" t="s">
        <v>365</v>
      </c>
      <c r="D1493" s="81" t="s">
        <v>527</v>
      </c>
      <c r="E1493" s="48">
        <v>101485</v>
      </c>
      <c r="F1493" s="30" t="s">
        <v>2001</v>
      </c>
      <c r="G1493" s="29" t="s">
        <v>52</v>
      </c>
      <c r="H1493" s="30" t="s">
        <v>463</v>
      </c>
      <c r="I1493" s="78"/>
      <c r="J1493" s="20"/>
      <c r="K1493" s="20"/>
      <c r="L1493" s="20"/>
      <c r="M1493" s="20"/>
      <c r="N1493" s="69" t="s">
        <v>256</v>
      </c>
      <c r="O1493" s="70">
        <v>0</v>
      </c>
      <c r="P1493" s="70">
        <v>0</v>
      </c>
      <c r="Q1493" s="70">
        <v>0</v>
      </c>
      <c r="R1493" s="70"/>
      <c r="S1493" s="67"/>
      <c r="T1493" s="2" t="str">
        <f t="shared" si="121"/>
        <v>Nguyễn Lê Hoàng Anh Tuấn_12AS10</v>
      </c>
      <c r="U1493" s="28">
        <f t="array" ref="U1493">IFERROR(VLOOKUP($T1493,'Nghi hoc T12'!$H$7:$I$160,2,0),0)</f>
        <v>0</v>
      </c>
      <c r="V1493" s="28"/>
      <c r="W1493" s="28">
        <f t="shared" si="122"/>
        <v>0</v>
      </c>
      <c r="X1493" s="333">
        <f t="shared" si="123"/>
        <v>0</v>
      </c>
      <c r="Y1493" s="333">
        <f t="shared" si="124"/>
        <v>0</v>
      </c>
    </row>
    <row r="1494" spans="1:25" s="2" customFormat="1" ht="21.95" customHeight="1">
      <c r="A1494" s="82">
        <v>15</v>
      </c>
      <c r="B1494" s="91" t="s">
        <v>3375</v>
      </c>
      <c r="C1494" s="83" t="s">
        <v>365</v>
      </c>
      <c r="D1494" s="81" t="s">
        <v>527</v>
      </c>
      <c r="E1494" s="48">
        <v>101486</v>
      </c>
      <c r="F1494" s="30" t="s">
        <v>1776</v>
      </c>
      <c r="G1494" s="29" t="s">
        <v>274</v>
      </c>
      <c r="H1494" s="30" t="s">
        <v>459</v>
      </c>
      <c r="I1494" s="78"/>
      <c r="J1494" s="20"/>
      <c r="K1494" s="20"/>
      <c r="L1494" s="20"/>
      <c r="M1494" s="20"/>
      <c r="N1494" s="69" t="s">
        <v>256</v>
      </c>
      <c r="O1494" s="70">
        <v>0</v>
      </c>
      <c r="P1494" s="70">
        <v>0</v>
      </c>
      <c r="Q1494" s="70">
        <v>0</v>
      </c>
      <c r="R1494" s="70"/>
      <c r="S1494" s="67"/>
      <c r="T1494" s="2" t="str">
        <f t="shared" si="121"/>
        <v>Lý Gia Tuệ_12AS9</v>
      </c>
      <c r="U1494" s="28">
        <f t="array" ref="U1494">IFERROR(VLOOKUP($T1494,'Nghi hoc T12'!$H$7:$I$160,2,0),0)</f>
        <v>0</v>
      </c>
      <c r="V1494" s="28"/>
      <c r="W1494" s="28">
        <f t="shared" si="122"/>
        <v>0</v>
      </c>
      <c r="X1494" s="333">
        <f t="shared" si="123"/>
        <v>0</v>
      </c>
      <c r="Y1494" s="333">
        <f t="shared" si="124"/>
        <v>0</v>
      </c>
    </row>
    <row r="1495" spans="1:25" s="2" customFormat="1" ht="21.95" customHeight="1">
      <c r="A1495" s="82">
        <v>16</v>
      </c>
      <c r="B1495" s="91" t="s">
        <v>3375</v>
      </c>
      <c r="C1495" s="83" t="s">
        <v>365</v>
      </c>
      <c r="D1495" s="81" t="s">
        <v>527</v>
      </c>
      <c r="E1495" s="48">
        <v>101487</v>
      </c>
      <c r="F1495" s="30" t="s">
        <v>222</v>
      </c>
      <c r="G1495" s="29" t="s">
        <v>110</v>
      </c>
      <c r="H1495" s="30" t="s">
        <v>461</v>
      </c>
      <c r="I1495" s="78"/>
      <c r="J1495" s="20"/>
      <c r="K1495" s="20"/>
      <c r="L1495" s="20"/>
      <c r="M1495" s="20"/>
      <c r="N1495" s="69" t="s">
        <v>256</v>
      </c>
      <c r="O1495" s="70">
        <v>0</v>
      </c>
      <c r="P1495" s="70">
        <v>0</v>
      </c>
      <c r="Q1495" s="70">
        <v>0</v>
      </c>
      <c r="R1495" s="70"/>
      <c r="S1495" s="67"/>
      <c r="T1495" s="2" t="str">
        <f t="shared" si="121"/>
        <v>Nguyễn Ngọc Tùng_12AS11</v>
      </c>
      <c r="U1495" s="28">
        <f t="array" ref="U1495">IFERROR(VLOOKUP($T1495,'Nghi hoc T12'!$H$7:$I$160,2,0),0)</f>
        <v>0</v>
      </c>
      <c r="V1495" s="28"/>
      <c r="W1495" s="28">
        <f t="shared" si="122"/>
        <v>0</v>
      </c>
      <c r="X1495" s="333">
        <f t="shared" si="123"/>
        <v>0</v>
      </c>
      <c r="Y1495" s="333">
        <f t="shared" si="124"/>
        <v>0</v>
      </c>
    </row>
    <row r="1496" spans="1:25" s="2" customFormat="1" ht="21.95" customHeight="1">
      <c r="A1496" s="82">
        <v>17</v>
      </c>
      <c r="B1496" s="91" t="s">
        <v>3375</v>
      </c>
      <c r="C1496" s="83" t="s">
        <v>365</v>
      </c>
      <c r="D1496" s="81" t="s">
        <v>527</v>
      </c>
      <c r="E1496" s="48">
        <v>101488</v>
      </c>
      <c r="F1496" s="30" t="s">
        <v>258</v>
      </c>
      <c r="G1496" s="29" t="s">
        <v>73</v>
      </c>
      <c r="H1496" s="30" t="s">
        <v>460</v>
      </c>
      <c r="I1496" s="78"/>
      <c r="J1496" s="20"/>
      <c r="K1496" s="20"/>
      <c r="L1496" s="20"/>
      <c r="M1496" s="20"/>
      <c r="N1496" s="69" t="s">
        <v>256</v>
      </c>
      <c r="O1496" s="70">
        <v>0</v>
      </c>
      <c r="P1496" s="70">
        <v>0</v>
      </c>
      <c r="Q1496" s="70">
        <v>0</v>
      </c>
      <c r="R1496" s="70"/>
      <c r="S1496" s="67"/>
      <c r="T1496" s="2" t="str">
        <f t="shared" si="121"/>
        <v>Nguyễn Ngọc Thanh Tuyền_12AS12</v>
      </c>
      <c r="U1496" s="28">
        <f t="array" ref="U1496">IFERROR(VLOOKUP($T1496,'Nghi hoc T12'!$H$7:$I$160,2,0),0)</f>
        <v>0</v>
      </c>
      <c r="V1496" s="28"/>
      <c r="W1496" s="28">
        <f t="shared" si="122"/>
        <v>0</v>
      </c>
      <c r="X1496" s="333">
        <f t="shared" si="123"/>
        <v>0</v>
      </c>
      <c r="Y1496" s="333">
        <f t="shared" si="124"/>
        <v>0</v>
      </c>
    </row>
    <row r="1497" spans="1:25" s="2" customFormat="1" ht="21.95" customHeight="1">
      <c r="A1497" s="82">
        <v>18</v>
      </c>
      <c r="B1497" s="91" t="s">
        <v>3375</v>
      </c>
      <c r="C1497" s="83" t="s">
        <v>365</v>
      </c>
      <c r="D1497" s="81" t="s">
        <v>527</v>
      </c>
      <c r="E1497" s="48">
        <v>101489</v>
      </c>
      <c r="F1497" s="30" t="s">
        <v>1974</v>
      </c>
      <c r="G1497" s="29" t="s">
        <v>117</v>
      </c>
      <c r="H1497" s="30" t="s">
        <v>459</v>
      </c>
      <c r="I1497" s="78"/>
      <c r="J1497" s="20"/>
      <c r="K1497" s="20"/>
      <c r="L1497" s="20"/>
      <c r="M1497" s="20"/>
      <c r="N1497" s="69" t="s">
        <v>256</v>
      </c>
      <c r="O1497" s="70">
        <v>0</v>
      </c>
      <c r="P1497" s="70">
        <v>0</v>
      </c>
      <c r="Q1497" s="70">
        <v>0</v>
      </c>
      <c r="R1497" s="70"/>
      <c r="S1497" s="67"/>
      <c r="T1497" s="2" t="str">
        <f t="shared" si="121"/>
        <v>Hà Nguyễn Cát Tường_12AS9</v>
      </c>
      <c r="U1497" s="28">
        <f t="array" ref="U1497">IFERROR(VLOOKUP($T1497,'Nghi hoc T12'!$H$7:$I$160,2,0),0)</f>
        <v>0</v>
      </c>
      <c r="V1497" s="28"/>
      <c r="W1497" s="28">
        <f t="shared" si="122"/>
        <v>0</v>
      </c>
      <c r="X1497" s="333">
        <f t="shared" si="123"/>
        <v>0</v>
      </c>
      <c r="Y1497" s="333">
        <f t="shared" si="124"/>
        <v>0</v>
      </c>
    </row>
    <row r="1498" spans="1:25" s="2" customFormat="1" ht="21.95" customHeight="1">
      <c r="A1498" s="82">
        <v>19</v>
      </c>
      <c r="B1498" s="91" t="s">
        <v>3375</v>
      </c>
      <c r="C1498" s="83" t="s">
        <v>365</v>
      </c>
      <c r="D1498" s="81" t="s">
        <v>527</v>
      </c>
      <c r="E1498" s="48">
        <v>101490</v>
      </c>
      <c r="F1498" s="30" t="s">
        <v>2002</v>
      </c>
      <c r="G1498" s="29" t="s">
        <v>188</v>
      </c>
      <c r="H1498" s="30" t="s">
        <v>463</v>
      </c>
      <c r="I1498" s="78"/>
      <c r="J1498" s="20"/>
      <c r="K1498" s="20"/>
      <c r="L1498" s="20"/>
      <c r="M1498" s="20"/>
      <c r="N1498" s="69" t="s">
        <v>256</v>
      </c>
      <c r="O1498" s="70">
        <v>0</v>
      </c>
      <c r="P1498" s="70">
        <v>0</v>
      </c>
      <c r="Q1498" s="70">
        <v>0</v>
      </c>
      <c r="R1498" s="70"/>
      <c r="S1498" s="67"/>
      <c r="T1498" s="2" t="str">
        <f t="shared" si="121"/>
        <v>Võ Trần Thảo Uyên_12AS10</v>
      </c>
      <c r="U1498" s="28">
        <f t="array" ref="U1498">IFERROR(VLOOKUP($T1498,'Nghi hoc T12'!$H$7:$I$160,2,0),0)</f>
        <v>0</v>
      </c>
      <c r="V1498" s="28"/>
      <c r="W1498" s="28">
        <f t="shared" si="122"/>
        <v>0</v>
      </c>
      <c r="X1498" s="333">
        <f t="shared" si="123"/>
        <v>0</v>
      </c>
      <c r="Y1498" s="333">
        <f t="shared" si="124"/>
        <v>0</v>
      </c>
    </row>
    <row r="1499" spans="1:25" s="2" customFormat="1" ht="21.95" customHeight="1">
      <c r="A1499" s="82">
        <v>20</v>
      </c>
      <c r="B1499" s="91" t="s">
        <v>3375</v>
      </c>
      <c r="C1499" s="83" t="s">
        <v>365</v>
      </c>
      <c r="D1499" s="81" t="s">
        <v>527</v>
      </c>
      <c r="E1499" s="48">
        <v>101491</v>
      </c>
      <c r="F1499" s="30" t="s">
        <v>168</v>
      </c>
      <c r="G1499" s="29" t="s">
        <v>61</v>
      </c>
      <c r="H1499" s="30" t="s">
        <v>461</v>
      </c>
      <c r="I1499" s="78"/>
      <c r="J1499" s="20"/>
      <c r="K1499" s="20"/>
      <c r="L1499" s="20"/>
      <c r="M1499" s="20"/>
      <c r="N1499" s="69" t="s">
        <v>256</v>
      </c>
      <c r="O1499" s="70">
        <v>0</v>
      </c>
      <c r="P1499" s="70">
        <v>0</v>
      </c>
      <c r="Q1499" s="70">
        <v>0</v>
      </c>
      <c r="R1499" s="70"/>
      <c r="S1499" s="67"/>
      <c r="T1499" s="2" t="str">
        <f t="shared" si="121"/>
        <v>Trần Quang Vinh_12AS11</v>
      </c>
      <c r="U1499" s="28">
        <f t="array" ref="U1499">IFERROR(VLOOKUP($T1499,'Nghi hoc T12'!$H$7:$I$160,2,0),0)</f>
        <v>0</v>
      </c>
      <c r="V1499" s="28"/>
      <c r="W1499" s="28">
        <f t="shared" si="122"/>
        <v>0</v>
      </c>
      <c r="X1499" s="333">
        <f t="shared" si="123"/>
        <v>0</v>
      </c>
      <c r="Y1499" s="333">
        <f t="shared" si="124"/>
        <v>0</v>
      </c>
    </row>
    <row r="1500" spans="1:25" s="2" customFormat="1" ht="21.95" customHeight="1">
      <c r="A1500" s="82">
        <v>21</v>
      </c>
      <c r="B1500" s="91" t="s">
        <v>3375</v>
      </c>
      <c r="C1500" s="83" t="s">
        <v>365</v>
      </c>
      <c r="D1500" s="81" t="s">
        <v>527</v>
      </c>
      <c r="E1500" s="48">
        <v>101492</v>
      </c>
      <c r="F1500" s="30" t="s">
        <v>2051</v>
      </c>
      <c r="G1500" s="29" t="s">
        <v>34</v>
      </c>
      <c r="H1500" s="30" t="s">
        <v>460</v>
      </c>
      <c r="I1500" s="78"/>
      <c r="J1500" s="20"/>
      <c r="K1500" s="20"/>
      <c r="L1500" s="20"/>
      <c r="M1500" s="20"/>
      <c r="N1500" s="69" t="s">
        <v>256</v>
      </c>
      <c r="O1500" s="70">
        <v>0</v>
      </c>
      <c r="P1500" s="70">
        <v>0</v>
      </c>
      <c r="Q1500" s="70">
        <v>0</v>
      </c>
      <c r="R1500" s="70"/>
      <c r="S1500" s="67"/>
      <c r="T1500" s="2" t="str">
        <f t="shared" si="121"/>
        <v>Bùi Nguyễn Kiều Vy_12AS12</v>
      </c>
      <c r="U1500" s="28">
        <f t="array" ref="U1500">IFERROR(VLOOKUP($T1500,'Nghi hoc T12'!$H$7:$I$160,2,0),0)</f>
        <v>0</v>
      </c>
      <c r="V1500" s="28"/>
      <c r="W1500" s="28">
        <f t="shared" si="122"/>
        <v>0</v>
      </c>
      <c r="X1500" s="333">
        <f t="shared" si="123"/>
        <v>0</v>
      </c>
      <c r="Y1500" s="333">
        <f t="shared" si="124"/>
        <v>0</v>
      </c>
    </row>
    <row r="1501" spans="1:25" s="2" customFormat="1" ht="21.95" customHeight="1">
      <c r="A1501" s="82">
        <v>22</v>
      </c>
      <c r="B1501" s="91" t="s">
        <v>3375</v>
      </c>
      <c r="C1501" s="83" t="s">
        <v>365</v>
      </c>
      <c r="D1501" s="81" t="s">
        <v>527</v>
      </c>
      <c r="E1501" s="48">
        <v>101493</v>
      </c>
      <c r="F1501" s="30" t="s">
        <v>2003</v>
      </c>
      <c r="G1501" s="29" t="s">
        <v>34</v>
      </c>
      <c r="H1501" s="30" t="s">
        <v>463</v>
      </c>
      <c r="I1501" s="78"/>
      <c r="J1501" s="20"/>
      <c r="K1501" s="20"/>
      <c r="L1501" s="20"/>
      <c r="M1501" s="20"/>
      <c r="N1501" s="69" t="s">
        <v>256</v>
      </c>
      <c r="O1501" s="70">
        <v>0</v>
      </c>
      <c r="P1501" s="70">
        <v>0</v>
      </c>
      <c r="Q1501" s="70">
        <v>0</v>
      </c>
      <c r="R1501" s="70"/>
      <c r="S1501" s="67"/>
      <c r="T1501" s="2" t="str">
        <f t="shared" si="121"/>
        <v>Chung Thị Yến Vy_12AS10</v>
      </c>
      <c r="U1501" s="28">
        <f t="array" ref="U1501">IFERROR(VLOOKUP($T1501,'Nghi hoc T12'!$H$7:$I$160,2,0),0)</f>
        <v>0</v>
      </c>
      <c r="V1501" s="28"/>
      <c r="W1501" s="28">
        <f t="shared" si="122"/>
        <v>0</v>
      </c>
      <c r="X1501" s="333">
        <f t="shared" si="123"/>
        <v>0</v>
      </c>
      <c r="Y1501" s="333">
        <f t="shared" si="124"/>
        <v>0</v>
      </c>
    </row>
    <row r="1502" spans="1:25" s="2" customFormat="1" ht="21.95" customHeight="1">
      <c r="A1502" s="82">
        <v>23</v>
      </c>
      <c r="B1502" s="91" t="s">
        <v>3375</v>
      </c>
      <c r="C1502" s="83" t="s">
        <v>365</v>
      </c>
      <c r="D1502" s="81" t="s">
        <v>527</v>
      </c>
      <c r="E1502" s="48">
        <v>101494</v>
      </c>
      <c r="F1502" s="30" t="s">
        <v>2004</v>
      </c>
      <c r="G1502" s="29" t="s">
        <v>34</v>
      </c>
      <c r="H1502" s="30" t="s">
        <v>463</v>
      </c>
      <c r="I1502" s="78"/>
      <c r="J1502" s="20"/>
      <c r="K1502" s="20"/>
      <c r="L1502" s="20"/>
      <c r="M1502" s="20"/>
      <c r="N1502" s="69" t="s">
        <v>256</v>
      </c>
      <c r="O1502" s="70">
        <v>0</v>
      </c>
      <c r="P1502" s="70">
        <v>0</v>
      </c>
      <c r="Q1502" s="70">
        <v>0</v>
      </c>
      <c r="R1502" s="70"/>
      <c r="S1502" s="67"/>
      <c r="T1502" s="2" t="str">
        <f t="shared" si="121"/>
        <v>Đỗ Huỳnh Yến Vy_12AS10</v>
      </c>
      <c r="U1502" s="28">
        <f t="array" ref="U1502">IFERROR(VLOOKUP($T1502,'Nghi hoc T12'!$H$7:$I$160,2,0),0)</f>
        <v>0</v>
      </c>
      <c r="V1502" s="28"/>
      <c r="W1502" s="28">
        <f t="shared" si="122"/>
        <v>0</v>
      </c>
      <c r="X1502" s="333">
        <f t="shared" si="123"/>
        <v>0</v>
      </c>
      <c r="Y1502" s="333">
        <f t="shared" si="124"/>
        <v>0</v>
      </c>
    </row>
    <row r="1503" spans="1:25" s="2" customFormat="1" ht="21.95" customHeight="1">
      <c r="A1503" s="82">
        <v>24</v>
      </c>
      <c r="B1503" s="91" t="s">
        <v>3375</v>
      </c>
      <c r="C1503" s="83" t="s">
        <v>365</v>
      </c>
      <c r="D1503" s="81" t="s">
        <v>527</v>
      </c>
      <c r="E1503" s="48">
        <v>101495</v>
      </c>
      <c r="F1503" s="30" t="s">
        <v>1975</v>
      </c>
      <c r="G1503" s="29" t="s">
        <v>34</v>
      </c>
      <c r="H1503" s="30" t="s">
        <v>459</v>
      </c>
      <c r="I1503" s="78"/>
      <c r="J1503" s="20"/>
      <c r="K1503" s="20"/>
      <c r="L1503" s="20"/>
      <c r="M1503" s="20"/>
      <c r="N1503" s="69" t="s">
        <v>256</v>
      </c>
      <c r="O1503" s="70">
        <v>0</v>
      </c>
      <c r="P1503" s="70">
        <v>0</v>
      </c>
      <c r="Q1503" s="70">
        <v>0</v>
      </c>
      <c r="R1503" s="70"/>
      <c r="S1503" s="67"/>
      <c r="T1503" s="2" t="str">
        <f t="shared" si="121"/>
        <v>Huỳnh Ngọc Yến Vy_12AS9</v>
      </c>
      <c r="U1503" s="28">
        <f t="array" ref="U1503">IFERROR(VLOOKUP($T1503,'Nghi hoc T12'!$H$7:$I$160,2,0),0)</f>
        <v>0</v>
      </c>
      <c r="V1503" s="28"/>
      <c r="W1503" s="28">
        <f t="shared" si="122"/>
        <v>0</v>
      </c>
      <c r="X1503" s="333">
        <f t="shared" si="123"/>
        <v>0</v>
      </c>
      <c r="Y1503" s="333">
        <f t="shared" si="124"/>
        <v>0</v>
      </c>
    </row>
    <row r="1504" spans="1:25" s="2" customFormat="1" ht="21.95" customHeight="1">
      <c r="A1504" s="82">
        <v>25</v>
      </c>
      <c r="B1504" s="91" t="s">
        <v>3375</v>
      </c>
      <c r="C1504" s="83" t="s">
        <v>365</v>
      </c>
      <c r="D1504" s="81" t="s">
        <v>527</v>
      </c>
      <c r="E1504" s="48">
        <v>101496</v>
      </c>
      <c r="F1504" s="30" t="s">
        <v>275</v>
      </c>
      <c r="G1504" s="29" t="s">
        <v>112</v>
      </c>
      <c r="H1504" s="30" t="s">
        <v>460</v>
      </c>
      <c r="I1504" s="78"/>
      <c r="J1504" s="20"/>
      <c r="K1504" s="20"/>
      <c r="L1504" s="20"/>
      <c r="M1504" s="20"/>
      <c r="N1504" s="69" t="s">
        <v>256</v>
      </c>
      <c r="O1504" s="70">
        <v>0</v>
      </c>
      <c r="P1504" s="70">
        <v>0</v>
      </c>
      <c r="Q1504" s="70">
        <v>0</v>
      </c>
      <c r="R1504" s="70"/>
      <c r="S1504" s="67"/>
      <c r="T1504" s="2" t="str">
        <f t="shared" si="121"/>
        <v>Lê Thị Xuân_12AS12</v>
      </c>
      <c r="U1504" s="28">
        <f t="array" ref="U1504">IFERROR(VLOOKUP($T1504,'Nghi hoc T12'!$H$7:$I$160,2,0),0)</f>
        <v>0</v>
      </c>
      <c r="V1504" s="28"/>
      <c r="W1504" s="28">
        <f t="shared" si="122"/>
        <v>0</v>
      </c>
      <c r="X1504" s="333">
        <f t="shared" si="123"/>
        <v>0</v>
      </c>
      <c r="Y1504" s="333">
        <f t="shared" si="124"/>
        <v>0</v>
      </c>
    </row>
    <row r="1505" spans="1:25" s="2" customFormat="1" ht="21.95" customHeight="1">
      <c r="A1505" s="82">
        <v>26</v>
      </c>
      <c r="B1505" s="91" t="s">
        <v>3375</v>
      </c>
      <c r="C1505" s="83" t="s">
        <v>365</v>
      </c>
      <c r="D1505" s="81" t="s">
        <v>527</v>
      </c>
      <c r="E1505" s="48">
        <v>101497</v>
      </c>
      <c r="F1505" s="30" t="s">
        <v>222</v>
      </c>
      <c r="G1505" s="29" t="s">
        <v>62</v>
      </c>
      <c r="H1505" s="30" t="s">
        <v>461</v>
      </c>
      <c r="I1505" s="78"/>
      <c r="J1505" s="20"/>
      <c r="K1505" s="20"/>
      <c r="L1505" s="20"/>
      <c r="M1505" s="20"/>
      <c r="N1505" s="69" t="s">
        <v>256</v>
      </c>
      <c r="O1505" s="70">
        <v>0</v>
      </c>
      <c r="P1505" s="70">
        <v>0</v>
      </c>
      <c r="Q1505" s="70">
        <v>0</v>
      </c>
      <c r="R1505" s="70"/>
      <c r="S1505" s="67"/>
      <c r="T1505" s="2" t="str">
        <f t="shared" si="121"/>
        <v>Nguyễn Ngọc Yến_12AS11</v>
      </c>
      <c r="U1505" s="28">
        <f t="array" ref="U1505">IFERROR(VLOOKUP($T1505,'Nghi hoc T12'!$H$7:$I$160,2,0),0)</f>
        <v>0</v>
      </c>
      <c r="V1505" s="28"/>
      <c r="W1505" s="28">
        <f t="shared" si="122"/>
        <v>0</v>
      </c>
      <c r="X1505" s="333">
        <f t="shared" si="123"/>
        <v>0</v>
      </c>
      <c r="Y1505" s="333">
        <f t="shared" si="124"/>
        <v>0</v>
      </c>
    </row>
    <row r="1506" spans="1:25" s="2" customFormat="1" ht="21.95" customHeight="1">
      <c r="A1506" s="82">
        <v>27</v>
      </c>
      <c r="B1506" s="91" t="s">
        <v>3375</v>
      </c>
      <c r="C1506" s="83" t="s">
        <v>365</v>
      </c>
      <c r="D1506" s="81" t="s">
        <v>527</v>
      </c>
      <c r="E1506" s="48">
        <v>101498</v>
      </c>
      <c r="F1506" s="30" t="s">
        <v>1976</v>
      </c>
      <c r="G1506" s="29" t="s">
        <v>62</v>
      </c>
      <c r="H1506" s="30" t="s">
        <v>459</v>
      </c>
      <c r="I1506" s="78"/>
      <c r="J1506" s="20"/>
      <c r="K1506" s="20"/>
      <c r="L1506" s="20"/>
      <c r="M1506" s="20"/>
      <c r="N1506" s="69" t="s">
        <v>256</v>
      </c>
      <c r="O1506" s="70">
        <v>0</v>
      </c>
      <c r="P1506" s="70">
        <v>0</v>
      </c>
      <c r="Q1506" s="70">
        <v>0</v>
      </c>
      <c r="R1506" s="70"/>
      <c r="S1506" s="67"/>
      <c r="T1506" s="2" t="str">
        <f t="shared" si="121"/>
        <v>Phạm Ngọc Kim Yến_12AS9</v>
      </c>
      <c r="U1506" s="28">
        <f t="array" ref="U1506">IFERROR(VLOOKUP($T1506,'Nghi hoc T12'!$H$7:$I$160,2,0),0)</f>
        <v>0</v>
      </c>
      <c r="V1506" s="28"/>
      <c r="W1506" s="28">
        <f t="shared" si="122"/>
        <v>0</v>
      </c>
      <c r="X1506" s="333">
        <f t="shared" si="123"/>
        <v>0</v>
      </c>
      <c r="Y1506" s="333">
        <f t="shared" si="124"/>
        <v>0</v>
      </c>
    </row>
    <row r="1507" spans="1:25" s="2" customFormat="1" ht="21.95" customHeight="1">
      <c r="A1507" s="200">
        <v>1</v>
      </c>
      <c r="B1507" s="91" t="str">
        <f t="shared" ref="B1507:B1546" si="125">RIGHT(D1507,LEN(D1507)-2)&amp;"."&amp;LEFT(N1507,1)</f>
        <v>2B.T</v>
      </c>
      <c r="C1507" s="185" t="s">
        <v>362</v>
      </c>
      <c r="D1507" s="186" t="s">
        <v>520</v>
      </c>
      <c r="E1507" s="187">
        <v>101499</v>
      </c>
      <c r="F1507" s="188" t="s">
        <v>287</v>
      </c>
      <c r="G1507" s="189" t="s">
        <v>63</v>
      </c>
      <c r="H1507" s="188" t="s">
        <v>476</v>
      </c>
      <c r="I1507" s="190"/>
      <c r="J1507" s="191"/>
      <c r="K1507" s="191"/>
      <c r="L1507" s="191"/>
      <c r="M1507" s="191"/>
      <c r="N1507" s="179" t="s">
        <v>502</v>
      </c>
      <c r="O1507" s="70">
        <v>0</v>
      </c>
      <c r="P1507" s="70">
        <v>0</v>
      </c>
      <c r="Q1507" s="70">
        <v>0</v>
      </c>
      <c r="R1507" s="70"/>
      <c r="S1507" s="67"/>
      <c r="T1507" s="2" t="str">
        <f t="shared" si="121"/>
        <v>Đinh Văn An_12AT1</v>
      </c>
      <c r="U1507" s="28">
        <f t="array" ref="U1507">IFERROR(VLOOKUP($T1507,'Nghi hoc T12'!$H$7:$I$160,2,0),0)</f>
        <v>0</v>
      </c>
      <c r="V1507" s="28"/>
      <c r="W1507" s="28">
        <f t="shared" si="122"/>
        <v>0</v>
      </c>
      <c r="X1507" s="333">
        <f t="shared" si="123"/>
        <v>0</v>
      </c>
      <c r="Y1507" s="333">
        <f t="shared" si="124"/>
        <v>0</v>
      </c>
    </row>
    <row r="1508" spans="1:25" s="2" customFormat="1" ht="21.95" customHeight="1">
      <c r="A1508" s="82">
        <v>2</v>
      </c>
      <c r="B1508" s="91" t="str">
        <f t="shared" si="125"/>
        <v>2B.T</v>
      </c>
      <c r="C1508" s="83" t="s">
        <v>362</v>
      </c>
      <c r="D1508" s="81" t="s">
        <v>520</v>
      </c>
      <c r="E1508" s="48">
        <v>101500</v>
      </c>
      <c r="F1508" s="30" t="s">
        <v>2052</v>
      </c>
      <c r="G1508" s="29" t="s">
        <v>63</v>
      </c>
      <c r="H1508" s="30" t="s">
        <v>476</v>
      </c>
      <c r="I1508" s="78"/>
      <c r="J1508" s="20"/>
      <c r="K1508" s="20"/>
      <c r="L1508" s="20"/>
      <c r="M1508" s="20"/>
      <c r="N1508" s="179" t="s">
        <v>502</v>
      </c>
      <c r="O1508" s="70">
        <v>0</v>
      </c>
      <c r="P1508" s="70">
        <v>0</v>
      </c>
      <c r="Q1508" s="70">
        <v>0</v>
      </c>
      <c r="R1508" s="70"/>
      <c r="S1508" s="67"/>
      <c r="T1508" s="2" t="str">
        <f t="shared" si="121"/>
        <v>Tô Thạnh An_12AT1</v>
      </c>
      <c r="U1508" s="28">
        <f t="array" ref="U1508">IFERROR(VLOOKUP($T1508,'Nghi hoc T12'!$H$7:$I$160,2,0),0)</f>
        <v>0</v>
      </c>
      <c r="V1508" s="28"/>
      <c r="W1508" s="28">
        <f t="shared" si="122"/>
        <v>0</v>
      </c>
      <c r="X1508" s="333">
        <f t="shared" si="123"/>
        <v>0</v>
      </c>
      <c r="Y1508" s="333">
        <f t="shared" si="124"/>
        <v>0</v>
      </c>
    </row>
    <row r="1509" spans="1:25" s="2" customFormat="1" ht="21.95" customHeight="1">
      <c r="A1509" s="82">
        <v>3</v>
      </c>
      <c r="B1509" s="91" t="str">
        <f t="shared" si="125"/>
        <v>2B.T</v>
      </c>
      <c r="C1509" s="83" t="s">
        <v>362</v>
      </c>
      <c r="D1509" s="81" t="s">
        <v>520</v>
      </c>
      <c r="E1509" s="48">
        <v>101501</v>
      </c>
      <c r="F1509" s="30" t="s">
        <v>2075</v>
      </c>
      <c r="G1509" s="29" t="s">
        <v>5</v>
      </c>
      <c r="H1509" s="30" t="s">
        <v>475</v>
      </c>
      <c r="I1509" s="78"/>
      <c r="J1509" s="20"/>
      <c r="K1509" s="20"/>
      <c r="L1509" s="20"/>
      <c r="M1509" s="20"/>
      <c r="N1509" s="179" t="s">
        <v>502</v>
      </c>
      <c r="O1509" s="70">
        <v>0</v>
      </c>
      <c r="P1509" s="70">
        <v>0</v>
      </c>
      <c r="Q1509" s="70">
        <v>0</v>
      </c>
      <c r="R1509" s="70"/>
      <c r="S1509" s="67"/>
      <c r="T1509" s="2" t="str">
        <f t="shared" si="121"/>
        <v>Hồ Vân Anh_12AT2</v>
      </c>
      <c r="U1509" s="28">
        <f t="array" ref="U1509">IFERROR(VLOOKUP($T1509,'Nghi hoc T12'!$H$7:$I$160,2,0),0)</f>
        <v>0</v>
      </c>
      <c r="V1509" s="28"/>
      <c r="W1509" s="28">
        <f t="shared" si="122"/>
        <v>0</v>
      </c>
      <c r="X1509" s="333">
        <f t="shared" si="123"/>
        <v>0</v>
      </c>
      <c r="Y1509" s="333">
        <f t="shared" si="124"/>
        <v>0</v>
      </c>
    </row>
    <row r="1510" spans="1:25" s="2" customFormat="1" ht="21.95" customHeight="1">
      <c r="A1510" s="82">
        <v>4</v>
      </c>
      <c r="B1510" s="91" t="str">
        <f t="shared" si="125"/>
        <v>2B.T</v>
      </c>
      <c r="C1510" s="83" t="s">
        <v>362</v>
      </c>
      <c r="D1510" s="81" t="s">
        <v>520</v>
      </c>
      <c r="E1510" s="48">
        <v>101502</v>
      </c>
      <c r="F1510" s="30" t="s">
        <v>2053</v>
      </c>
      <c r="G1510" s="29" t="s">
        <v>5</v>
      </c>
      <c r="H1510" s="30" t="s">
        <v>476</v>
      </c>
      <c r="I1510" s="78"/>
      <c r="J1510" s="20"/>
      <c r="K1510" s="20"/>
      <c r="L1510" s="20"/>
      <c r="M1510" s="20"/>
      <c r="N1510" s="179" t="s">
        <v>502</v>
      </c>
      <c r="O1510" s="70">
        <v>0</v>
      </c>
      <c r="P1510" s="70">
        <v>0</v>
      </c>
      <c r="Q1510" s="70">
        <v>0</v>
      </c>
      <c r="R1510" s="70"/>
      <c r="S1510" s="67"/>
      <c r="T1510" s="2" t="str">
        <f t="shared" si="121"/>
        <v>Nguyễn Tú Anh_12AT1</v>
      </c>
      <c r="U1510" s="28">
        <f t="array" ref="U1510">IFERROR(VLOOKUP($T1510,'Nghi hoc T12'!$H$7:$I$160,2,0),0)</f>
        <v>0</v>
      </c>
      <c r="V1510" s="28"/>
      <c r="W1510" s="28">
        <f t="shared" si="122"/>
        <v>0</v>
      </c>
      <c r="X1510" s="333">
        <f t="shared" si="123"/>
        <v>0</v>
      </c>
      <c r="Y1510" s="333">
        <f t="shared" si="124"/>
        <v>0</v>
      </c>
    </row>
    <row r="1511" spans="1:25" s="2" customFormat="1" ht="21.95" customHeight="1">
      <c r="A1511" s="82">
        <v>5</v>
      </c>
      <c r="B1511" s="91" t="str">
        <f t="shared" si="125"/>
        <v>2B.T</v>
      </c>
      <c r="C1511" s="83" t="s">
        <v>362</v>
      </c>
      <c r="D1511" s="81" t="s">
        <v>520</v>
      </c>
      <c r="E1511" s="48">
        <v>101503</v>
      </c>
      <c r="F1511" s="30" t="s">
        <v>2076</v>
      </c>
      <c r="G1511" s="29" t="s">
        <v>5</v>
      </c>
      <c r="H1511" s="30" t="s">
        <v>475</v>
      </c>
      <c r="I1511" s="78"/>
      <c r="J1511" s="20"/>
      <c r="K1511" s="20"/>
      <c r="L1511" s="20"/>
      <c r="M1511" s="20"/>
      <c r="N1511" s="179" t="s">
        <v>502</v>
      </c>
      <c r="O1511" s="70">
        <v>0</v>
      </c>
      <c r="P1511" s="70">
        <v>0</v>
      </c>
      <c r="Q1511" s="70">
        <v>0</v>
      </c>
      <c r="R1511" s="70"/>
      <c r="S1511" s="67"/>
      <c r="T1511" s="2" t="str">
        <f t="shared" si="121"/>
        <v>Nguyễn Vân Anh_12AT2</v>
      </c>
      <c r="U1511" s="28">
        <f t="array" ref="U1511">IFERROR(VLOOKUP($T1511,'Nghi hoc T12'!$H$7:$I$160,2,0),0)</f>
        <v>0</v>
      </c>
      <c r="V1511" s="28"/>
      <c r="W1511" s="28">
        <f t="shared" si="122"/>
        <v>0</v>
      </c>
      <c r="X1511" s="333">
        <f t="shared" si="123"/>
        <v>0</v>
      </c>
      <c r="Y1511" s="333">
        <f t="shared" si="124"/>
        <v>0</v>
      </c>
    </row>
    <row r="1512" spans="1:25" s="2" customFormat="1" ht="21.95" customHeight="1">
      <c r="A1512" s="82">
        <v>6</v>
      </c>
      <c r="B1512" s="91" t="str">
        <f t="shared" si="125"/>
        <v>2B.T</v>
      </c>
      <c r="C1512" s="83" t="s">
        <v>362</v>
      </c>
      <c r="D1512" s="81" t="s">
        <v>520</v>
      </c>
      <c r="E1512" s="48">
        <v>101504</v>
      </c>
      <c r="F1512" s="30" t="s">
        <v>2054</v>
      </c>
      <c r="G1512" s="29" t="s">
        <v>5</v>
      </c>
      <c r="H1512" s="30" t="s">
        <v>476</v>
      </c>
      <c r="I1512" s="78"/>
      <c r="J1512" s="20"/>
      <c r="K1512" s="20"/>
      <c r="L1512" s="20"/>
      <c r="M1512" s="20"/>
      <c r="N1512" s="179" t="s">
        <v>502</v>
      </c>
      <c r="O1512" s="70">
        <v>0</v>
      </c>
      <c r="P1512" s="70">
        <v>0</v>
      </c>
      <c r="Q1512" s="70">
        <v>0</v>
      </c>
      <c r="R1512" s="70"/>
      <c r="S1512" s="67"/>
      <c r="T1512" s="2" t="str">
        <f t="shared" si="121"/>
        <v>Trần Thị Vân Anh_12AT1</v>
      </c>
      <c r="U1512" s="28">
        <f t="array" ref="U1512">IFERROR(VLOOKUP($T1512,'Nghi hoc T12'!$H$7:$I$160,2,0),0)</f>
        <v>0</v>
      </c>
      <c r="V1512" s="28"/>
      <c r="W1512" s="28">
        <f t="shared" si="122"/>
        <v>0</v>
      </c>
      <c r="X1512" s="333">
        <f t="shared" si="123"/>
        <v>0</v>
      </c>
      <c r="Y1512" s="333">
        <f t="shared" si="124"/>
        <v>0</v>
      </c>
    </row>
    <row r="1513" spans="1:25" s="2" customFormat="1" ht="21.95" customHeight="1">
      <c r="A1513" s="82">
        <v>7</v>
      </c>
      <c r="B1513" s="91" t="str">
        <f t="shared" si="125"/>
        <v>2B.T</v>
      </c>
      <c r="C1513" s="83" t="s">
        <v>362</v>
      </c>
      <c r="D1513" s="81" t="s">
        <v>520</v>
      </c>
      <c r="E1513" s="48">
        <v>101505</v>
      </c>
      <c r="F1513" s="30" t="s">
        <v>2077</v>
      </c>
      <c r="G1513" s="29" t="s">
        <v>76</v>
      </c>
      <c r="H1513" s="30" t="s">
        <v>475</v>
      </c>
      <c r="I1513" s="78"/>
      <c r="J1513" s="20"/>
      <c r="K1513" s="20"/>
      <c r="L1513" s="20"/>
      <c r="M1513" s="20"/>
      <c r="N1513" s="179" t="s">
        <v>502</v>
      </c>
      <c r="O1513" s="70">
        <v>0</v>
      </c>
      <c r="P1513" s="70">
        <v>0</v>
      </c>
      <c r="Q1513" s="70">
        <v>0</v>
      </c>
      <c r="R1513" s="70"/>
      <c r="S1513" s="67"/>
      <c r="T1513" s="2" t="str">
        <f t="shared" si="121"/>
        <v>Đỗ Ngọc Ánh_12AT2</v>
      </c>
      <c r="U1513" s="28">
        <f t="array" ref="U1513">IFERROR(VLOOKUP($T1513,'Nghi hoc T12'!$H$7:$I$160,2,0),0)</f>
        <v>0</v>
      </c>
      <c r="V1513" s="28"/>
      <c r="W1513" s="28">
        <f t="shared" si="122"/>
        <v>0</v>
      </c>
      <c r="X1513" s="333">
        <f t="shared" si="123"/>
        <v>0</v>
      </c>
      <c r="Y1513" s="333">
        <f t="shared" si="124"/>
        <v>0</v>
      </c>
    </row>
    <row r="1514" spans="1:25" s="2" customFormat="1" ht="21.95" customHeight="1">
      <c r="A1514" s="82">
        <v>8</v>
      </c>
      <c r="B1514" s="91" t="str">
        <f t="shared" si="125"/>
        <v>2B.T</v>
      </c>
      <c r="C1514" s="83" t="s">
        <v>362</v>
      </c>
      <c r="D1514" s="81" t="s">
        <v>520</v>
      </c>
      <c r="E1514" s="48">
        <v>101506</v>
      </c>
      <c r="F1514" s="30" t="s">
        <v>301</v>
      </c>
      <c r="G1514" s="29" t="s">
        <v>83</v>
      </c>
      <c r="H1514" s="30" t="s">
        <v>475</v>
      </c>
      <c r="I1514" s="78"/>
      <c r="J1514" s="20"/>
      <c r="K1514" s="20"/>
      <c r="L1514" s="20"/>
      <c r="M1514" s="20"/>
      <c r="N1514" s="179" t="s">
        <v>502</v>
      </c>
      <c r="O1514" s="70">
        <v>0</v>
      </c>
      <c r="P1514" s="70">
        <v>0</v>
      </c>
      <c r="Q1514" s="70">
        <v>0</v>
      </c>
      <c r="R1514" s="70"/>
      <c r="S1514" s="67"/>
      <c r="T1514" s="2" t="str">
        <f t="shared" si="121"/>
        <v>Nguyễn Hoài Bảo_12AT2</v>
      </c>
      <c r="U1514" s="28">
        <f t="array" ref="U1514">IFERROR(VLOOKUP($T1514,'Nghi hoc T12'!$H$7:$I$160,2,0),0)</f>
        <v>0</v>
      </c>
      <c r="V1514" s="28"/>
      <c r="W1514" s="28">
        <f t="shared" si="122"/>
        <v>0</v>
      </c>
      <c r="X1514" s="333">
        <f t="shared" si="123"/>
        <v>0</v>
      </c>
      <c r="Y1514" s="333">
        <f t="shared" si="124"/>
        <v>0</v>
      </c>
    </row>
    <row r="1515" spans="1:25" s="2" customFormat="1" ht="21.95" customHeight="1">
      <c r="A1515" s="82">
        <v>9</v>
      </c>
      <c r="B1515" s="91" t="str">
        <f t="shared" si="125"/>
        <v>2B.T</v>
      </c>
      <c r="C1515" s="83" t="s">
        <v>362</v>
      </c>
      <c r="D1515" s="81" t="s">
        <v>520</v>
      </c>
      <c r="E1515" s="48">
        <v>101507</v>
      </c>
      <c r="F1515" s="30" t="s">
        <v>2078</v>
      </c>
      <c r="G1515" s="29" t="s">
        <v>1687</v>
      </c>
      <c r="H1515" s="30" t="s">
        <v>475</v>
      </c>
      <c r="I1515" s="78"/>
      <c r="J1515" s="20"/>
      <c r="K1515" s="20"/>
      <c r="L1515" s="20"/>
      <c r="M1515" s="20"/>
      <c r="N1515" s="179" t="s">
        <v>502</v>
      </c>
      <c r="O1515" s="70">
        <v>0</v>
      </c>
      <c r="P1515" s="70">
        <v>0</v>
      </c>
      <c r="Q1515" s="70">
        <v>0</v>
      </c>
      <c r="R1515" s="70"/>
      <c r="S1515" s="67"/>
      <c r="T1515" s="2" t="str">
        <f t="shared" si="121"/>
        <v>Lê Huy Chung_12AT2</v>
      </c>
      <c r="U1515" s="28">
        <f t="array" ref="U1515">IFERROR(VLOOKUP($T1515,'Nghi hoc T12'!$H$7:$I$160,2,0),0)</f>
        <v>0</v>
      </c>
      <c r="V1515" s="28"/>
      <c r="W1515" s="28">
        <f t="shared" si="122"/>
        <v>0</v>
      </c>
      <c r="X1515" s="333">
        <f t="shared" si="123"/>
        <v>0</v>
      </c>
      <c r="Y1515" s="333">
        <f t="shared" si="124"/>
        <v>0</v>
      </c>
    </row>
    <row r="1516" spans="1:25" s="2" customFormat="1" ht="21.95" customHeight="1">
      <c r="A1516" s="82">
        <v>10</v>
      </c>
      <c r="B1516" s="91" t="str">
        <f t="shared" si="125"/>
        <v>2B.T</v>
      </c>
      <c r="C1516" s="83" t="s">
        <v>362</v>
      </c>
      <c r="D1516" s="81" t="s">
        <v>520</v>
      </c>
      <c r="E1516" s="48">
        <v>101508</v>
      </c>
      <c r="F1516" s="30" t="s">
        <v>1868</v>
      </c>
      <c r="G1516" s="29" t="s">
        <v>35</v>
      </c>
      <c r="H1516" s="30" t="s">
        <v>475</v>
      </c>
      <c r="I1516" s="78"/>
      <c r="J1516" s="20"/>
      <c r="K1516" s="20"/>
      <c r="L1516" s="20"/>
      <c r="M1516" s="20"/>
      <c r="N1516" s="179" t="s">
        <v>502</v>
      </c>
      <c r="O1516" s="70">
        <v>0</v>
      </c>
      <c r="P1516" s="70">
        <v>0</v>
      </c>
      <c r="Q1516" s="70">
        <v>0</v>
      </c>
      <c r="R1516" s="70"/>
      <c r="S1516" s="67"/>
      <c r="T1516" s="2" t="str">
        <f t="shared" si="121"/>
        <v>Bùi Trí Cường_12AT2</v>
      </c>
      <c r="U1516" s="28">
        <f t="array" ref="U1516">IFERROR(VLOOKUP($T1516,'Nghi hoc T12'!$H$7:$I$160,2,0),0)</f>
        <v>0</v>
      </c>
      <c r="V1516" s="28"/>
      <c r="W1516" s="28">
        <f t="shared" si="122"/>
        <v>0</v>
      </c>
      <c r="X1516" s="333">
        <f t="shared" si="123"/>
        <v>0</v>
      </c>
      <c r="Y1516" s="333">
        <f t="shared" si="124"/>
        <v>0</v>
      </c>
    </row>
    <row r="1517" spans="1:25" s="2" customFormat="1" ht="21.95" customHeight="1">
      <c r="A1517" s="82">
        <v>11</v>
      </c>
      <c r="B1517" s="91" t="str">
        <f t="shared" si="125"/>
        <v>2B.T</v>
      </c>
      <c r="C1517" s="83" t="s">
        <v>362</v>
      </c>
      <c r="D1517" s="81" t="s">
        <v>520</v>
      </c>
      <c r="E1517" s="48">
        <v>101509</v>
      </c>
      <c r="F1517" s="30" t="s">
        <v>2079</v>
      </c>
      <c r="G1517" s="29" t="s">
        <v>6</v>
      </c>
      <c r="H1517" s="30" t="s">
        <v>475</v>
      </c>
      <c r="I1517" s="78"/>
      <c r="J1517" s="20"/>
      <c r="K1517" s="20"/>
      <c r="L1517" s="20"/>
      <c r="M1517" s="20"/>
      <c r="N1517" s="179" t="s">
        <v>502</v>
      </c>
      <c r="O1517" s="70">
        <v>0</v>
      </c>
      <c r="P1517" s="70">
        <v>0</v>
      </c>
      <c r="Q1517" s="70">
        <v>0</v>
      </c>
      <c r="R1517" s="70"/>
      <c r="S1517" s="67"/>
      <c r="T1517" s="2" t="str">
        <f t="shared" si="121"/>
        <v>Hồ Nguyễn Văn Tiến Dũng_12AT2</v>
      </c>
      <c r="U1517" s="28" t="s">
        <v>3334</v>
      </c>
      <c r="V1517" s="28"/>
      <c r="W1517" s="28">
        <f t="shared" si="122"/>
        <v>0</v>
      </c>
      <c r="X1517" s="333">
        <f t="shared" si="123"/>
        <v>0</v>
      </c>
      <c r="Y1517" s="333">
        <f t="shared" si="124"/>
        <v>0</v>
      </c>
    </row>
    <row r="1518" spans="1:25" s="2" customFormat="1" ht="21.95" customHeight="1">
      <c r="A1518" s="82">
        <v>12</v>
      </c>
      <c r="B1518" s="91" t="str">
        <f t="shared" si="125"/>
        <v>2B.T</v>
      </c>
      <c r="C1518" s="83" t="s">
        <v>362</v>
      </c>
      <c r="D1518" s="81" t="s">
        <v>520</v>
      </c>
      <c r="E1518" s="48">
        <v>101510</v>
      </c>
      <c r="F1518" s="30" t="s">
        <v>186</v>
      </c>
      <c r="G1518" s="29" t="s">
        <v>65</v>
      </c>
      <c r="H1518" s="30" t="s">
        <v>476</v>
      </c>
      <c r="I1518" s="78"/>
      <c r="J1518" s="20"/>
      <c r="K1518" s="20"/>
      <c r="L1518" s="20"/>
      <c r="M1518" s="20"/>
      <c r="N1518" s="179" t="s">
        <v>502</v>
      </c>
      <c r="O1518" s="70">
        <v>0</v>
      </c>
      <c r="P1518" s="70">
        <v>0</v>
      </c>
      <c r="Q1518" s="70">
        <v>0</v>
      </c>
      <c r="R1518" s="70"/>
      <c r="S1518" s="67"/>
      <c r="T1518" s="2" t="str">
        <f t="shared" si="121"/>
        <v>Nguyễn Minh Duy_12AT1</v>
      </c>
      <c r="U1518" s="28">
        <f t="array" ref="U1518">IFERROR(VLOOKUP($T1518,'Nghi hoc T12'!$H$7:$I$160,2,0),0)</f>
        <v>0</v>
      </c>
      <c r="V1518" s="28"/>
      <c r="W1518" s="28">
        <f t="shared" si="122"/>
        <v>0</v>
      </c>
      <c r="X1518" s="333">
        <f t="shared" si="123"/>
        <v>0</v>
      </c>
      <c r="Y1518" s="333">
        <f t="shared" si="124"/>
        <v>0</v>
      </c>
    </row>
    <row r="1519" spans="1:25" s="2" customFormat="1" ht="21.95" customHeight="1">
      <c r="A1519" s="82">
        <v>13</v>
      </c>
      <c r="B1519" s="91" t="str">
        <f t="shared" si="125"/>
        <v>2B.T</v>
      </c>
      <c r="C1519" s="83" t="s">
        <v>362</v>
      </c>
      <c r="D1519" s="81" t="s">
        <v>520</v>
      </c>
      <c r="E1519" s="48">
        <v>101511</v>
      </c>
      <c r="F1519" s="30" t="s">
        <v>216</v>
      </c>
      <c r="G1519" s="29" t="s">
        <v>65</v>
      </c>
      <c r="H1519" s="30" t="s">
        <v>476</v>
      </c>
      <c r="I1519" s="78" t="s">
        <v>529</v>
      </c>
      <c r="J1519" s="20"/>
      <c r="K1519" s="20"/>
      <c r="L1519" s="20"/>
      <c r="M1519" s="20"/>
      <c r="N1519" s="179" t="s">
        <v>502</v>
      </c>
      <c r="O1519" s="70">
        <v>0</v>
      </c>
      <c r="P1519" s="70">
        <v>0</v>
      </c>
      <c r="Q1519" s="70" t="s">
        <v>3334</v>
      </c>
      <c r="R1519" s="70"/>
      <c r="S1519" s="67"/>
      <c r="T1519" s="2" t="str">
        <f t="shared" si="121"/>
        <v>Nguyễn Nhật Duy_12AT1</v>
      </c>
      <c r="U1519" s="28" t="str">
        <f t="array" ref="U1519">IFERROR(VLOOKUP($T1519,'Nghi hoc T12'!$H$7:$I$160,2,0),0)</f>
        <v>NgiH</v>
      </c>
      <c r="V1519" s="28"/>
      <c r="W1519" s="28" t="str">
        <f t="shared" si="122"/>
        <v>Nghỉ học</v>
      </c>
      <c r="X1519" s="333">
        <f t="shared" si="123"/>
        <v>0</v>
      </c>
      <c r="Y1519" s="333">
        <f t="shared" si="124"/>
        <v>0</v>
      </c>
    </row>
    <row r="1520" spans="1:25" s="2" customFormat="1" ht="21.95" customHeight="1">
      <c r="A1520" s="82">
        <v>14</v>
      </c>
      <c r="B1520" s="91" t="str">
        <f t="shared" si="125"/>
        <v>2B.T</v>
      </c>
      <c r="C1520" s="83" t="s">
        <v>362</v>
      </c>
      <c r="D1520" s="81" t="s">
        <v>520</v>
      </c>
      <c r="E1520" s="48">
        <v>101512</v>
      </c>
      <c r="F1520" s="30" t="s">
        <v>2055</v>
      </c>
      <c r="G1520" s="29" t="s">
        <v>65</v>
      </c>
      <c r="H1520" s="30" t="s">
        <v>476</v>
      </c>
      <c r="I1520" s="78"/>
      <c r="J1520" s="20"/>
      <c r="K1520" s="20"/>
      <c r="L1520" s="20"/>
      <c r="M1520" s="20"/>
      <c r="N1520" s="179" t="s">
        <v>502</v>
      </c>
      <c r="O1520" s="70">
        <v>0</v>
      </c>
      <c r="P1520" s="70">
        <v>0</v>
      </c>
      <c r="Q1520" s="70">
        <v>0</v>
      </c>
      <c r="R1520" s="70"/>
      <c r="S1520" s="67"/>
      <c r="T1520" s="2" t="str">
        <f t="shared" si="121"/>
        <v>Trần Huỳnh Thanh Duy_12AT1</v>
      </c>
      <c r="U1520" s="28">
        <f t="array" ref="U1520">IFERROR(VLOOKUP($T1520,'Nghi hoc T12'!$H$7:$I$160,2,0),0)</f>
        <v>0</v>
      </c>
      <c r="V1520" s="28"/>
      <c r="W1520" s="28">
        <f t="shared" si="122"/>
        <v>0</v>
      </c>
      <c r="X1520" s="333">
        <f t="shared" si="123"/>
        <v>0</v>
      </c>
      <c r="Y1520" s="333">
        <f t="shared" si="124"/>
        <v>0</v>
      </c>
    </row>
    <row r="1521" spans="1:25" s="2" customFormat="1" ht="21.95" customHeight="1">
      <c r="A1521" s="82">
        <v>15</v>
      </c>
      <c r="B1521" s="91" t="str">
        <f t="shared" si="125"/>
        <v>2B.T</v>
      </c>
      <c r="C1521" s="83" t="s">
        <v>362</v>
      </c>
      <c r="D1521" s="81" t="s">
        <v>520</v>
      </c>
      <c r="E1521" s="48">
        <v>101513</v>
      </c>
      <c r="F1521" s="30" t="s">
        <v>302</v>
      </c>
      <c r="G1521" s="29" t="s">
        <v>7</v>
      </c>
      <c r="H1521" s="30" t="s">
        <v>475</v>
      </c>
      <c r="I1521" s="78"/>
      <c r="J1521" s="20"/>
      <c r="K1521" s="20"/>
      <c r="L1521" s="20"/>
      <c r="M1521" s="20"/>
      <c r="N1521" s="179" t="s">
        <v>502</v>
      </c>
      <c r="O1521" s="70">
        <v>0</v>
      </c>
      <c r="P1521" s="70">
        <v>0</v>
      </c>
      <c r="Q1521" s="70">
        <v>0</v>
      </c>
      <c r="R1521" s="70"/>
      <c r="S1521" s="67"/>
      <c r="T1521" s="2" t="str">
        <f t="shared" si="121"/>
        <v>Nguyễn Phong Đạt_12AT2</v>
      </c>
      <c r="U1521" s="28">
        <f t="array" ref="U1521">IFERROR(VLOOKUP($T1521,'Nghi hoc T12'!$H$7:$I$160,2,0),0)</f>
        <v>0</v>
      </c>
      <c r="V1521" s="28"/>
      <c r="W1521" s="28">
        <f t="shared" si="122"/>
        <v>0</v>
      </c>
      <c r="X1521" s="333">
        <f t="shared" si="123"/>
        <v>0</v>
      </c>
      <c r="Y1521" s="333">
        <f t="shared" si="124"/>
        <v>0</v>
      </c>
    </row>
    <row r="1522" spans="1:25" s="2" customFormat="1" ht="21.95" customHeight="1">
      <c r="A1522" s="82">
        <v>16</v>
      </c>
      <c r="B1522" s="91" t="str">
        <f t="shared" si="125"/>
        <v>2B.T</v>
      </c>
      <c r="C1522" s="83" t="s">
        <v>362</v>
      </c>
      <c r="D1522" s="81" t="s">
        <v>520</v>
      </c>
      <c r="E1522" s="48">
        <v>101514</v>
      </c>
      <c r="F1522" s="30" t="s">
        <v>56</v>
      </c>
      <c r="G1522" s="29" t="s">
        <v>143</v>
      </c>
      <c r="H1522" s="30" t="s">
        <v>475</v>
      </c>
      <c r="I1522" s="78"/>
      <c r="J1522" s="20"/>
      <c r="K1522" s="20"/>
      <c r="L1522" s="20"/>
      <c r="M1522" s="20"/>
      <c r="N1522" s="179" t="s">
        <v>502</v>
      </c>
      <c r="O1522" s="70">
        <v>0</v>
      </c>
      <c r="P1522" s="70">
        <v>0</v>
      </c>
      <c r="Q1522" s="70">
        <v>0</v>
      </c>
      <c r="R1522" s="70"/>
      <c r="S1522" s="67"/>
      <c r="T1522" s="2" t="str">
        <f t="shared" si="121"/>
        <v>Nguyễn Thị Thu Hà_12AT2</v>
      </c>
      <c r="U1522" s="28">
        <f t="array" ref="U1522">IFERROR(VLOOKUP($T1522,'Nghi hoc T12'!$H$7:$I$160,2,0),0)</f>
        <v>0</v>
      </c>
      <c r="V1522" s="28"/>
      <c r="W1522" s="28">
        <f t="shared" si="122"/>
        <v>0</v>
      </c>
      <c r="X1522" s="333">
        <f t="shared" si="123"/>
        <v>0</v>
      </c>
      <c r="Y1522" s="333">
        <f t="shared" si="124"/>
        <v>0</v>
      </c>
    </row>
    <row r="1523" spans="1:25" s="2" customFormat="1" ht="21.95" customHeight="1">
      <c r="A1523" s="82">
        <v>17</v>
      </c>
      <c r="B1523" s="91" t="str">
        <f t="shared" si="125"/>
        <v>2B.T</v>
      </c>
      <c r="C1523" s="83" t="s">
        <v>362</v>
      </c>
      <c r="D1523" s="81" t="s">
        <v>520</v>
      </c>
      <c r="E1523" s="48">
        <v>101515</v>
      </c>
      <c r="F1523" s="30" t="s">
        <v>2080</v>
      </c>
      <c r="G1523" s="29" t="s">
        <v>173</v>
      </c>
      <c r="H1523" s="30" t="s">
        <v>475</v>
      </c>
      <c r="I1523" s="78"/>
      <c r="J1523" s="20"/>
      <c r="K1523" s="20"/>
      <c r="L1523" s="20"/>
      <c r="M1523" s="20"/>
      <c r="N1523" s="179" t="s">
        <v>502</v>
      </c>
      <c r="O1523" s="70">
        <v>0</v>
      </c>
      <c r="P1523" s="70">
        <v>0</v>
      </c>
      <c r="Q1523" s="70">
        <v>0</v>
      </c>
      <c r="R1523" s="70"/>
      <c r="S1523" s="67"/>
      <c r="T1523" s="2" t="str">
        <f t="shared" si="121"/>
        <v>Hồ Thị Hằng_12AT2</v>
      </c>
      <c r="U1523" s="28">
        <f t="array" ref="U1523">IFERROR(VLOOKUP($T1523,'Nghi hoc T12'!$H$7:$I$160,2,0),0)</f>
        <v>0</v>
      </c>
      <c r="V1523" s="28"/>
      <c r="W1523" s="28">
        <f t="shared" si="122"/>
        <v>0</v>
      </c>
      <c r="X1523" s="333">
        <f t="shared" si="123"/>
        <v>0</v>
      </c>
      <c r="Y1523" s="333">
        <f t="shared" si="124"/>
        <v>0</v>
      </c>
    </row>
    <row r="1524" spans="1:25" s="2" customFormat="1" ht="21.95" customHeight="1">
      <c r="A1524" s="82">
        <v>18</v>
      </c>
      <c r="B1524" s="91" t="str">
        <f t="shared" si="125"/>
        <v>2B.T</v>
      </c>
      <c r="C1524" s="83" t="s">
        <v>362</v>
      </c>
      <c r="D1524" s="81" t="s">
        <v>520</v>
      </c>
      <c r="E1524" s="48">
        <v>101516</v>
      </c>
      <c r="F1524" s="30" t="s">
        <v>56</v>
      </c>
      <c r="G1524" s="29" t="s">
        <v>173</v>
      </c>
      <c r="H1524" s="30" t="s">
        <v>476</v>
      </c>
      <c r="I1524" s="78"/>
      <c r="J1524" s="20"/>
      <c r="K1524" s="20"/>
      <c r="L1524" s="20"/>
      <c r="M1524" s="20"/>
      <c r="N1524" s="179" t="s">
        <v>502</v>
      </c>
      <c r="O1524" s="70">
        <v>0</v>
      </c>
      <c r="P1524" s="70">
        <v>0</v>
      </c>
      <c r="Q1524" s="70">
        <v>0</v>
      </c>
      <c r="R1524" s="70"/>
      <c r="S1524" s="67"/>
      <c r="T1524" s="2" t="str">
        <f t="shared" si="121"/>
        <v>Nguyễn Thị Thu Hằng_12AT1</v>
      </c>
      <c r="U1524" s="28">
        <f t="array" ref="U1524">IFERROR(VLOOKUP($T1524,'Nghi hoc T12'!$H$7:$I$160,2,0),0)</f>
        <v>0</v>
      </c>
      <c r="V1524" s="28"/>
      <c r="W1524" s="28">
        <f t="shared" si="122"/>
        <v>0</v>
      </c>
      <c r="X1524" s="333">
        <f t="shared" si="123"/>
        <v>0</v>
      </c>
      <c r="Y1524" s="333">
        <f t="shared" si="124"/>
        <v>0</v>
      </c>
    </row>
    <row r="1525" spans="1:25" s="2" customFormat="1" ht="21.95" customHeight="1">
      <c r="A1525" s="82">
        <v>19</v>
      </c>
      <c r="B1525" s="91" t="str">
        <f t="shared" si="125"/>
        <v>2B.T</v>
      </c>
      <c r="C1525" s="83" t="s">
        <v>362</v>
      </c>
      <c r="D1525" s="81" t="s">
        <v>520</v>
      </c>
      <c r="E1525" s="48">
        <v>101517</v>
      </c>
      <c r="F1525" s="30" t="s">
        <v>2081</v>
      </c>
      <c r="G1525" s="29" t="s">
        <v>9</v>
      </c>
      <c r="H1525" s="30" t="s">
        <v>475</v>
      </c>
      <c r="I1525" s="78"/>
      <c r="J1525" s="20"/>
      <c r="K1525" s="20"/>
      <c r="L1525" s="20"/>
      <c r="M1525" s="20"/>
      <c r="N1525" s="179" t="s">
        <v>502</v>
      </c>
      <c r="O1525" s="70">
        <v>0</v>
      </c>
      <c r="P1525" s="70">
        <v>0</v>
      </c>
      <c r="Q1525" s="70">
        <v>0</v>
      </c>
      <c r="R1525" s="70"/>
      <c r="S1525" s="67"/>
      <c r="T1525" s="2" t="str">
        <f t="shared" si="121"/>
        <v>Lại Thị Minh Hiếu_12AT2</v>
      </c>
      <c r="U1525" s="28">
        <f t="array" ref="U1525">IFERROR(VLOOKUP($T1525,'Nghi hoc T12'!$H$7:$I$160,2,0),0)</f>
        <v>0</v>
      </c>
      <c r="V1525" s="28"/>
      <c r="W1525" s="28">
        <f t="shared" si="122"/>
        <v>0</v>
      </c>
      <c r="X1525" s="333">
        <f t="shared" si="123"/>
        <v>0</v>
      </c>
      <c r="Y1525" s="333">
        <f t="shared" si="124"/>
        <v>0</v>
      </c>
    </row>
    <row r="1526" spans="1:25" s="2" customFormat="1" ht="21.95" customHeight="1">
      <c r="A1526" s="82">
        <v>20</v>
      </c>
      <c r="B1526" s="91" t="str">
        <f t="shared" si="125"/>
        <v>2B.T</v>
      </c>
      <c r="C1526" s="83" t="s">
        <v>362</v>
      </c>
      <c r="D1526" s="81" t="s">
        <v>520</v>
      </c>
      <c r="E1526" s="48">
        <v>101518</v>
      </c>
      <c r="F1526" s="30" t="s">
        <v>2056</v>
      </c>
      <c r="G1526" s="29" t="s">
        <v>2057</v>
      </c>
      <c r="H1526" s="30" t="s">
        <v>476</v>
      </c>
      <c r="I1526" s="78"/>
      <c r="J1526" s="20"/>
      <c r="K1526" s="20"/>
      <c r="L1526" s="20"/>
      <c r="M1526" s="20"/>
      <c r="N1526" s="179" t="s">
        <v>502</v>
      </c>
      <c r="O1526" s="70">
        <v>0</v>
      </c>
      <c r="P1526" s="70">
        <v>0</v>
      </c>
      <c r="Q1526" s="70">
        <v>0</v>
      </c>
      <c r="R1526" s="70"/>
      <c r="S1526" s="67"/>
      <c r="T1526" s="2" t="str">
        <f t="shared" si="121"/>
        <v>Rah Lan Hin_12AT1</v>
      </c>
      <c r="U1526" s="28">
        <f t="array" ref="U1526">IFERROR(VLOOKUP($T1526,'Nghi hoc T12'!$H$7:$I$160,2,0),0)</f>
        <v>0</v>
      </c>
      <c r="V1526" s="28"/>
      <c r="W1526" s="28">
        <f t="shared" si="122"/>
        <v>0</v>
      </c>
      <c r="X1526" s="333">
        <f t="shared" si="123"/>
        <v>0</v>
      </c>
      <c r="Y1526" s="333">
        <f t="shared" si="124"/>
        <v>0</v>
      </c>
    </row>
    <row r="1527" spans="1:25" s="2" customFormat="1" ht="21.95" customHeight="1">
      <c r="A1527" s="82">
        <v>21</v>
      </c>
      <c r="B1527" s="91" t="str">
        <f t="shared" si="125"/>
        <v>2B.T</v>
      </c>
      <c r="C1527" s="83" t="s">
        <v>362</v>
      </c>
      <c r="D1527" s="81" t="s">
        <v>520</v>
      </c>
      <c r="E1527" s="48">
        <v>101519</v>
      </c>
      <c r="F1527" s="30" t="s">
        <v>294</v>
      </c>
      <c r="G1527" s="29" t="s">
        <v>1128</v>
      </c>
      <c r="H1527" s="30" t="s">
        <v>475</v>
      </c>
      <c r="I1527" s="78"/>
      <c r="J1527" s="20"/>
      <c r="K1527" s="20"/>
      <c r="L1527" s="20"/>
      <c r="M1527" s="20"/>
      <c r="N1527" s="179" t="s">
        <v>502</v>
      </c>
      <c r="O1527" s="70">
        <v>0</v>
      </c>
      <c r="P1527" s="70">
        <v>0</v>
      </c>
      <c r="Q1527" s="70">
        <v>0</v>
      </c>
      <c r="R1527" s="70"/>
      <c r="S1527" s="67"/>
      <c r="T1527" s="2" t="str">
        <f t="shared" si="121"/>
        <v>Phan Thị Hoa_12AT2</v>
      </c>
      <c r="U1527" s="28">
        <f t="array" ref="U1527">IFERROR(VLOOKUP($T1527,'Nghi hoc T12'!$H$7:$I$160,2,0),0)</f>
        <v>0</v>
      </c>
      <c r="V1527" s="28"/>
      <c r="W1527" s="28">
        <f t="shared" si="122"/>
        <v>0</v>
      </c>
      <c r="X1527" s="333">
        <f t="shared" si="123"/>
        <v>0</v>
      </c>
      <c r="Y1527" s="333">
        <f t="shared" si="124"/>
        <v>0</v>
      </c>
    </row>
    <row r="1528" spans="1:25" s="2" customFormat="1" ht="21.95" customHeight="1">
      <c r="A1528" s="82">
        <v>22</v>
      </c>
      <c r="B1528" s="91" t="str">
        <f t="shared" si="125"/>
        <v>2B.T</v>
      </c>
      <c r="C1528" s="83" t="s">
        <v>362</v>
      </c>
      <c r="D1528" s="81" t="s">
        <v>520</v>
      </c>
      <c r="E1528" s="48">
        <v>101520</v>
      </c>
      <c r="F1528" s="30" t="s">
        <v>1639</v>
      </c>
      <c r="G1528" s="29" t="s">
        <v>10</v>
      </c>
      <c r="H1528" s="30" t="s">
        <v>475</v>
      </c>
      <c r="I1528" s="78"/>
      <c r="J1528" s="20"/>
      <c r="K1528" s="20"/>
      <c r="L1528" s="20"/>
      <c r="M1528" s="20"/>
      <c r="N1528" s="179" t="s">
        <v>502</v>
      </c>
      <c r="O1528" s="70">
        <v>0</v>
      </c>
      <c r="P1528" s="70">
        <v>0</v>
      </c>
      <c r="Q1528" s="70">
        <v>0</v>
      </c>
      <c r="R1528" s="70"/>
      <c r="S1528" s="67"/>
      <c r="T1528" s="2" t="str">
        <f t="shared" si="121"/>
        <v>Bùi Quang Hoàng_12AT2</v>
      </c>
      <c r="U1528" s="28">
        <f t="array" ref="U1528">IFERROR(VLOOKUP($T1528,'Nghi hoc T12'!$H$7:$I$160,2,0),0)</f>
        <v>0</v>
      </c>
      <c r="V1528" s="28"/>
      <c r="W1528" s="28">
        <f t="shared" si="122"/>
        <v>0</v>
      </c>
      <c r="X1528" s="333">
        <f t="shared" si="123"/>
        <v>0</v>
      </c>
      <c r="Y1528" s="333">
        <f t="shared" si="124"/>
        <v>0</v>
      </c>
    </row>
    <row r="1529" spans="1:25" s="2" customFormat="1" ht="21.95" customHeight="1">
      <c r="A1529" s="82">
        <v>23</v>
      </c>
      <c r="B1529" s="91" t="str">
        <f t="shared" si="125"/>
        <v>2B.T</v>
      </c>
      <c r="C1529" s="83" t="s">
        <v>362</v>
      </c>
      <c r="D1529" s="81" t="s">
        <v>520</v>
      </c>
      <c r="E1529" s="48">
        <v>101521</v>
      </c>
      <c r="F1529" s="30" t="s">
        <v>2058</v>
      </c>
      <c r="G1529" s="29" t="s">
        <v>10</v>
      </c>
      <c r="H1529" s="30" t="s">
        <v>476</v>
      </c>
      <c r="I1529" s="78"/>
      <c r="J1529" s="20"/>
      <c r="K1529" s="20"/>
      <c r="L1529" s="20"/>
      <c r="M1529" s="20"/>
      <c r="N1529" s="179" t="s">
        <v>502</v>
      </c>
      <c r="O1529" s="70">
        <v>0</v>
      </c>
      <c r="P1529" s="70">
        <v>0</v>
      </c>
      <c r="Q1529" s="70">
        <v>0</v>
      </c>
      <c r="R1529" s="70"/>
      <c r="S1529" s="67"/>
      <c r="T1529" s="2" t="str">
        <f t="shared" si="121"/>
        <v>Hồ Tiến Hoàng_12AT1</v>
      </c>
      <c r="U1529" s="28">
        <f t="array" ref="U1529">IFERROR(VLOOKUP($T1529,'Nghi hoc T12'!$H$7:$I$160,2,0),0)</f>
        <v>0</v>
      </c>
      <c r="V1529" s="28"/>
      <c r="W1529" s="28">
        <f t="shared" si="122"/>
        <v>0</v>
      </c>
      <c r="X1529" s="333">
        <f t="shared" si="123"/>
        <v>0</v>
      </c>
      <c r="Y1529" s="333">
        <f t="shared" si="124"/>
        <v>0</v>
      </c>
    </row>
    <row r="1530" spans="1:25" s="2" customFormat="1" ht="21.95" customHeight="1">
      <c r="A1530" s="82">
        <v>24</v>
      </c>
      <c r="B1530" s="91" t="str">
        <f t="shared" si="125"/>
        <v>2B.T</v>
      </c>
      <c r="C1530" s="83" t="s">
        <v>362</v>
      </c>
      <c r="D1530" s="81" t="s">
        <v>520</v>
      </c>
      <c r="E1530" s="48">
        <v>101522</v>
      </c>
      <c r="F1530" s="30" t="s">
        <v>227</v>
      </c>
      <c r="G1530" s="29" t="s">
        <v>54</v>
      </c>
      <c r="H1530" s="30" t="s">
        <v>476</v>
      </c>
      <c r="I1530" s="78" t="s">
        <v>529</v>
      </c>
      <c r="J1530" s="20"/>
      <c r="K1530" s="20"/>
      <c r="L1530" s="20"/>
      <c r="M1530" s="20"/>
      <c r="N1530" s="179" t="s">
        <v>502</v>
      </c>
      <c r="O1530" s="70">
        <v>0</v>
      </c>
      <c r="P1530" s="70">
        <v>0</v>
      </c>
      <c r="Q1530" s="70" t="s">
        <v>3334</v>
      </c>
      <c r="R1530" s="70"/>
      <c r="S1530" s="67"/>
      <c r="T1530" s="2" t="str">
        <f t="shared" si="121"/>
        <v>Nguyễn Thị Hương_12AT1</v>
      </c>
      <c r="U1530" s="28">
        <f t="array" ref="U1530">IFERROR(VLOOKUP($T1530,'Nghi hoc T12'!$H$7:$I$160,2,0),0)</f>
        <v>0</v>
      </c>
      <c r="V1530" s="28"/>
      <c r="W1530" s="28" t="str">
        <f t="shared" si="122"/>
        <v>Nghỉ học</v>
      </c>
      <c r="X1530" s="333">
        <f t="shared" si="123"/>
        <v>0</v>
      </c>
      <c r="Y1530" s="333">
        <f t="shared" si="124"/>
        <v>0</v>
      </c>
    </row>
    <row r="1531" spans="1:25" s="2" customFormat="1" ht="21.95" customHeight="1">
      <c r="A1531" s="82">
        <v>25</v>
      </c>
      <c r="B1531" s="91" t="str">
        <f t="shared" si="125"/>
        <v>2B.T</v>
      </c>
      <c r="C1531" s="83" t="s">
        <v>362</v>
      </c>
      <c r="D1531" s="81" t="s">
        <v>520</v>
      </c>
      <c r="E1531" s="48">
        <v>101523</v>
      </c>
      <c r="F1531" s="30" t="s">
        <v>1461</v>
      </c>
      <c r="G1531" s="29" t="s">
        <v>54</v>
      </c>
      <c r="H1531" s="30" t="s">
        <v>476</v>
      </c>
      <c r="I1531" s="78"/>
      <c r="J1531" s="20"/>
      <c r="K1531" s="20"/>
      <c r="L1531" s="20"/>
      <c r="M1531" s="20"/>
      <c r="N1531" s="179" t="s">
        <v>502</v>
      </c>
      <c r="O1531" s="70">
        <v>0</v>
      </c>
      <c r="P1531" s="70">
        <v>0</v>
      </c>
      <c r="Q1531" s="70">
        <v>0</v>
      </c>
      <c r="R1531" s="70"/>
      <c r="S1531" s="67"/>
      <c r="T1531" s="2" t="str">
        <f t="shared" si="121"/>
        <v>Phạm Quỳnh Hương_12AT1</v>
      </c>
      <c r="U1531" s="28">
        <f t="array" ref="U1531">IFERROR(VLOOKUP($T1531,'Nghi hoc T12'!$H$7:$I$160,2,0),0)</f>
        <v>0</v>
      </c>
      <c r="V1531" s="28"/>
      <c r="W1531" s="28">
        <f t="shared" si="122"/>
        <v>0</v>
      </c>
      <c r="X1531" s="333">
        <f t="shared" si="123"/>
        <v>0</v>
      </c>
      <c r="Y1531" s="333">
        <f t="shared" si="124"/>
        <v>0</v>
      </c>
    </row>
    <row r="1532" spans="1:25" s="2" customFormat="1" ht="21.95" customHeight="1">
      <c r="A1532" s="82">
        <v>26</v>
      </c>
      <c r="B1532" s="91" t="str">
        <f t="shared" si="125"/>
        <v>2B.T</v>
      </c>
      <c r="C1532" s="83" t="s">
        <v>362</v>
      </c>
      <c r="D1532" s="81" t="s">
        <v>520</v>
      </c>
      <c r="E1532" s="48">
        <v>101524</v>
      </c>
      <c r="F1532" s="30" t="s">
        <v>2082</v>
      </c>
      <c r="G1532" s="29" t="s">
        <v>1132</v>
      </c>
      <c r="H1532" s="30" t="s">
        <v>475</v>
      </c>
      <c r="I1532" s="78"/>
      <c r="J1532" s="20"/>
      <c r="K1532" s="20"/>
      <c r="L1532" s="20"/>
      <c r="M1532" s="20"/>
      <c r="N1532" s="179" t="s">
        <v>502</v>
      </c>
      <c r="O1532" s="70">
        <v>0</v>
      </c>
      <c r="P1532" s="70">
        <v>0</v>
      </c>
      <c r="Q1532" s="70">
        <v>0</v>
      </c>
      <c r="R1532" s="70"/>
      <c r="S1532" s="67"/>
      <c r="T1532" s="2" t="str">
        <f t="shared" si="121"/>
        <v>Tống Trung Kiên_12AT2</v>
      </c>
      <c r="U1532" s="28">
        <f t="array" ref="U1532">IFERROR(VLOOKUP($T1532,'Nghi hoc T12'!$H$7:$I$160,2,0),0)</f>
        <v>0</v>
      </c>
      <c r="V1532" s="28"/>
      <c r="W1532" s="28">
        <f t="shared" si="122"/>
        <v>0</v>
      </c>
      <c r="X1532" s="333">
        <f t="shared" si="123"/>
        <v>0</v>
      </c>
      <c r="Y1532" s="333">
        <f t="shared" si="124"/>
        <v>0</v>
      </c>
    </row>
    <row r="1533" spans="1:25" s="2" customFormat="1" ht="21.95" customHeight="1">
      <c r="A1533" s="82">
        <v>27</v>
      </c>
      <c r="B1533" s="91" t="str">
        <f t="shared" si="125"/>
        <v>2B.T</v>
      </c>
      <c r="C1533" s="83" t="s">
        <v>362</v>
      </c>
      <c r="D1533" s="81" t="s">
        <v>520</v>
      </c>
      <c r="E1533" s="48">
        <v>101525</v>
      </c>
      <c r="F1533" s="30" t="s">
        <v>2083</v>
      </c>
      <c r="G1533" s="29" t="s">
        <v>68</v>
      </c>
      <c r="H1533" s="30" t="s">
        <v>475</v>
      </c>
      <c r="I1533" s="78"/>
      <c r="J1533" s="20"/>
      <c r="K1533" s="20"/>
      <c r="L1533" s="20"/>
      <c r="M1533" s="20"/>
      <c r="N1533" s="179" t="s">
        <v>502</v>
      </c>
      <c r="O1533" s="70">
        <v>0</v>
      </c>
      <c r="P1533" s="70">
        <v>0</v>
      </c>
      <c r="Q1533" s="70">
        <v>0</v>
      </c>
      <c r="R1533" s="70"/>
      <c r="S1533" s="67"/>
      <c r="T1533" s="2" t="str">
        <f t="shared" si="121"/>
        <v>Nguyễn Tống Anh Kiệt_12AT2</v>
      </c>
      <c r="U1533" s="28">
        <f t="array" ref="U1533">IFERROR(VLOOKUP($T1533,'Nghi hoc T12'!$H$7:$I$160,2,0),0)</f>
        <v>0</v>
      </c>
      <c r="V1533" s="28"/>
      <c r="W1533" s="28">
        <f t="shared" si="122"/>
        <v>0</v>
      </c>
      <c r="X1533" s="333">
        <f t="shared" si="123"/>
        <v>0</v>
      </c>
      <c r="Y1533" s="333">
        <f t="shared" si="124"/>
        <v>0</v>
      </c>
    </row>
    <row r="1534" spans="1:25" s="2" customFormat="1" ht="21.95" customHeight="1">
      <c r="A1534" s="82">
        <v>28</v>
      </c>
      <c r="B1534" s="91" t="str">
        <f t="shared" si="125"/>
        <v>2B.T</v>
      </c>
      <c r="C1534" s="83" t="s">
        <v>362</v>
      </c>
      <c r="D1534" s="81" t="s">
        <v>520</v>
      </c>
      <c r="E1534" s="48">
        <v>101526</v>
      </c>
      <c r="F1534" s="30" t="s">
        <v>2059</v>
      </c>
      <c r="G1534" s="29" t="s">
        <v>86</v>
      </c>
      <c r="H1534" s="30" t="s">
        <v>476</v>
      </c>
      <c r="I1534" s="78"/>
      <c r="J1534" s="20"/>
      <c r="K1534" s="20"/>
      <c r="L1534" s="20"/>
      <c r="M1534" s="20"/>
      <c r="N1534" s="179" t="s">
        <v>502</v>
      </c>
      <c r="O1534" s="70">
        <v>0</v>
      </c>
      <c r="P1534" s="70">
        <v>0</v>
      </c>
      <c r="Q1534" s="70">
        <v>0</v>
      </c>
      <c r="R1534" s="70"/>
      <c r="S1534" s="67"/>
      <c r="T1534" s="2" t="str">
        <f t="shared" si="121"/>
        <v>Phan Đặng Thiên Kim_12AT1</v>
      </c>
      <c r="U1534" s="28">
        <f t="array" ref="U1534">IFERROR(VLOOKUP($T1534,'Nghi hoc T12'!$H$7:$I$160,2,0),0)</f>
        <v>0</v>
      </c>
      <c r="V1534" s="28"/>
      <c r="W1534" s="28">
        <f t="shared" si="122"/>
        <v>0</v>
      </c>
      <c r="X1534" s="333">
        <f t="shared" si="123"/>
        <v>0</v>
      </c>
      <c r="Y1534" s="333">
        <f t="shared" si="124"/>
        <v>0</v>
      </c>
    </row>
    <row r="1535" spans="1:25" s="2" customFormat="1" ht="21.95" customHeight="1">
      <c r="A1535" s="82">
        <v>29</v>
      </c>
      <c r="B1535" s="91" t="str">
        <f t="shared" si="125"/>
        <v>2B.T</v>
      </c>
      <c r="C1535" s="83" t="s">
        <v>362</v>
      </c>
      <c r="D1535" s="81" t="s">
        <v>520</v>
      </c>
      <c r="E1535" s="48">
        <v>101527</v>
      </c>
      <c r="F1535" s="30" t="s">
        <v>2084</v>
      </c>
      <c r="G1535" s="29" t="s">
        <v>2085</v>
      </c>
      <c r="H1535" s="30" t="s">
        <v>475</v>
      </c>
      <c r="I1535" s="78"/>
      <c r="J1535" s="20"/>
      <c r="K1535" s="20"/>
      <c r="L1535" s="20"/>
      <c r="M1535" s="20"/>
      <c r="N1535" s="179" t="s">
        <v>502</v>
      </c>
      <c r="O1535" s="70">
        <v>0</v>
      </c>
      <c r="P1535" s="70">
        <v>0</v>
      </c>
      <c r="Q1535" s="70">
        <v>0</v>
      </c>
      <c r="R1535" s="70"/>
      <c r="S1535" s="67"/>
      <c r="T1535" s="2" t="str">
        <f t="shared" si="121"/>
        <v>Nguyễn Hương Li Li_12AT2</v>
      </c>
      <c r="U1535" s="28">
        <f t="array" ref="U1535">IFERROR(VLOOKUP($T1535,'Nghi hoc T12'!$H$7:$I$160,2,0),0)</f>
        <v>0</v>
      </c>
      <c r="V1535" s="28"/>
      <c r="W1535" s="28">
        <f t="shared" si="122"/>
        <v>0</v>
      </c>
      <c r="X1535" s="333">
        <f t="shared" si="123"/>
        <v>0</v>
      </c>
      <c r="Y1535" s="333">
        <f t="shared" si="124"/>
        <v>0</v>
      </c>
    </row>
    <row r="1536" spans="1:25" s="2" customFormat="1" ht="21.95" customHeight="1">
      <c r="A1536" s="82">
        <v>30</v>
      </c>
      <c r="B1536" s="91" t="str">
        <f t="shared" si="125"/>
        <v>2B.T</v>
      </c>
      <c r="C1536" s="83" t="s">
        <v>362</v>
      </c>
      <c r="D1536" s="81" t="s">
        <v>520</v>
      </c>
      <c r="E1536" s="48">
        <v>101528</v>
      </c>
      <c r="F1536" s="30" t="s">
        <v>1865</v>
      </c>
      <c r="G1536" s="29" t="s">
        <v>38</v>
      </c>
      <c r="H1536" s="30" t="s">
        <v>476</v>
      </c>
      <c r="I1536" s="78"/>
      <c r="J1536" s="20"/>
      <c r="K1536" s="20"/>
      <c r="L1536" s="20"/>
      <c r="M1536" s="20"/>
      <c r="N1536" s="179" t="s">
        <v>502</v>
      </c>
      <c r="O1536" s="70">
        <v>0</v>
      </c>
      <c r="P1536" s="70">
        <v>0</v>
      </c>
      <c r="Q1536" s="70">
        <v>0</v>
      </c>
      <c r="R1536" s="70"/>
      <c r="S1536" s="67"/>
      <c r="T1536" s="2" t="str">
        <f t="shared" si="121"/>
        <v>Nguyễn Hoàng Khánh Linh_12AT1</v>
      </c>
      <c r="U1536" s="28">
        <f t="array" ref="U1536">IFERROR(VLOOKUP($T1536,'Nghi hoc T12'!$H$7:$I$160,2,0),0)</f>
        <v>0</v>
      </c>
      <c r="V1536" s="28"/>
      <c r="W1536" s="28">
        <f t="shared" si="122"/>
        <v>0</v>
      </c>
      <c r="X1536" s="333">
        <f t="shared" si="123"/>
        <v>0</v>
      </c>
      <c r="Y1536" s="333">
        <f t="shared" si="124"/>
        <v>0</v>
      </c>
    </row>
    <row r="1537" spans="1:25" s="2" customFormat="1" ht="21.95" customHeight="1">
      <c r="A1537" s="82">
        <v>31</v>
      </c>
      <c r="B1537" s="91" t="str">
        <f t="shared" si="125"/>
        <v>2B.T</v>
      </c>
      <c r="C1537" s="83" t="s">
        <v>362</v>
      </c>
      <c r="D1537" s="81" t="s">
        <v>520</v>
      </c>
      <c r="E1537" s="48">
        <v>101529</v>
      </c>
      <c r="F1537" s="30" t="s">
        <v>2086</v>
      </c>
      <c r="G1537" s="29" t="s">
        <v>38</v>
      </c>
      <c r="H1537" s="30" t="s">
        <v>475</v>
      </c>
      <c r="I1537" s="78"/>
      <c r="J1537" s="20"/>
      <c r="K1537" s="20"/>
      <c r="L1537" s="20"/>
      <c r="M1537" s="20"/>
      <c r="N1537" s="179" t="s">
        <v>502</v>
      </c>
      <c r="O1537" s="70">
        <v>0</v>
      </c>
      <c r="P1537" s="70">
        <v>0</v>
      </c>
      <c r="Q1537" s="70">
        <v>0</v>
      </c>
      <c r="R1537" s="70"/>
      <c r="S1537" s="67"/>
      <c r="T1537" s="2" t="str">
        <f t="shared" si="121"/>
        <v>Nguyễn Thái Thùy Linh_12AT2</v>
      </c>
      <c r="U1537" s="28">
        <f t="array" ref="U1537">IFERROR(VLOOKUP($T1537,'Nghi hoc T12'!$H$7:$I$160,2,0),0)</f>
        <v>0</v>
      </c>
      <c r="V1537" s="28"/>
      <c r="W1537" s="28">
        <f t="shared" si="122"/>
        <v>0</v>
      </c>
      <c r="X1537" s="333">
        <f t="shared" si="123"/>
        <v>0</v>
      </c>
      <c r="Y1537" s="333">
        <f t="shared" si="124"/>
        <v>0</v>
      </c>
    </row>
    <row r="1538" spans="1:25" s="2" customFormat="1" ht="21.95" customHeight="1">
      <c r="A1538" s="200">
        <v>1</v>
      </c>
      <c r="B1538" s="91" t="str">
        <f t="shared" si="125"/>
        <v>3B.T</v>
      </c>
      <c r="C1538" s="185" t="s">
        <v>362</v>
      </c>
      <c r="D1538" s="186" t="s">
        <v>521</v>
      </c>
      <c r="E1538" s="187">
        <v>101530</v>
      </c>
      <c r="F1538" s="188" t="s">
        <v>297</v>
      </c>
      <c r="G1538" s="189" t="s">
        <v>14</v>
      </c>
      <c r="H1538" s="188" t="s">
        <v>476</v>
      </c>
      <c r="I1538" s="190"/>
      <c r="J1538" s="191"/>
      <c r="K1538" s="191"/>
      <c r="L1538" s="191"/>
      <c r="M1538" s="191"/>
      <c r="N1538" s="179" t="s">
        <v>502</v>
      </c>
      <c r="O1538" s="70">
        <v>0</v>
      </c>
      <c r="P1538" s="70">
        <v>0</v>
      </c>
      <c r="Q1538" s="70">
        <v>0</v>
      </c>
      <c r="R1538" s="70"/>
      <c r="S1538" s="67"/>
      <c r="T1538" s="2" t="str">
        <f t="shared" si="121"/>
        <v>Nguyễn Huỳnh Long_12AT1</v>
      </c>
      <c r="U1538" s="28">
        <f t="array" ref="U1538">IFERROR(VLOOKUP($T1538,'Nghi hoc T12'!$H$7:$I$160,2,0),0)</f>
        <v>0</v>
      </c>
      <c r="V1538" s="28"/>
      <c r="W1538" s="28">
        <f t="shared" si="122"/>
        <v>0</v>
      </c>
      <c r="X1538" s="333">
        <f t="shared" si="123"/>
        <v>0</v>
      </c>
      <c r="Y1538" s="333">
        <f t="shared" si="124"/>
        <v>0</v>
      </c>
    </row>
    <row r="1539" spans="1:25" s="2" customFormat="1" ht="21.95" customHeight="1">
      <c r="A1539" s="82">
        <v>2</v>
      </c>
      <c r="B1539" s="91" t="str">
        <f t="shared" si="125"/>
        <v>3B.T</v>
      </c>
      <c r="C1539" s="83" t="s">
        <v>362</v>
      </c>
      <c r="D1539" s="81" t="s">
        <v>521</v>
      </c>
      <c r="E1539" s="48">
        <v>101531</v>
      </c>
      <c r="F1539" s="30" t="s">
        <v>151</v>
      </c>
      <c r="G1539" s="29" t="s">
        <v>152</v>
      </c>
      <c r="H1539" s="30" t="s">
        <v>476</v>
      </c>
      <c r="I1539" s="78"/>
      <c r="J1539" s="20"/>
      <c r="K1539" s="20"/>
      <c r="L1539" s="20"/>
      <c r="M1539" s="20"/>
      <c r="N1539" s="179" t="s">
        <v>502</v>
      </c>
      <c r="O1539" s="70">
        <v>0</v>
      </c>
      <c r="P1539" s="70">
        <v>0</v>
      </c>
      <c r="Q1539" s="70">
        <v>0</v>
      </c>
      <c r="R1539" s="70"/>
      <c r="S1539" s="67"/>
      <c r="T1539" s="2" t="str">
        <f t="shared" si="121"/>
        <v>Nguyễn Hoàng Lộc_12AT1</v>
      </c>
      <c r="U1539" s="28">
        <f t="array" ref="U1539">IFERROR(VLOOKUP($T1539,'Nghi hoc T12'!$H$7:$I$160,2,0),0)</f>
        <v>0</v>
      </c>
      <c r="V1539" s="28"/>
      <c r="W1539" s="28">
        <f t="shared" si="122"/>
        <v>0</v>
      </c>
      <c r="X1539" s="333">
        <f t="shared" si="123"/>
        <v>0</v>
      </c>
      <c r="Y1539" s="333">
        <f t="shared" si="124"/>
        <v>0</v>
      </c>
    </row>
    <row r="1540" spans="1:25" s="2" customFormat="1" ht="21.95" customHeight="1">
      <c r="A1540" s="82">
        <v>3</v>
      </c>
      <c r="B1540" s="91" t="str">
        <f t="shared" si="125"/>
        <v>3B.T</v>
      </c>
      <c r="C1540" s="83" t="s">
        <v>362</v>
      </c>
      <c r="D1540" s="81" t="s">
        <v>521</v>
      </c>
      <c r="E1540" s="48">
        <v>101532</v>
      </c>
      <c r="F1540" s="30" t="s">
        <v>2049</v>
      </c>
      <c r="G1540" s="29" t="s">
        <v>39</v>
      </c>
      <c r="H1540" s="30" t="s">
        <v>476</v>
      </c>
      <c r="I1540" s="78"/>
      <c r="J1540" s="20"/>
      <c r="K1540" s="20"/>
      <c r="L1540" s="20"/>
      <c r="M1540" s="20"/>
      <c r="N1540" s="179" t="s">
        <v>502</v>
      </c>
      <c r="O1540" s="70">
        <v>0</v>
      </c>
      <c r="P1540" s="70">
        <v>0</v>
      </c>
      <c r="Q1540" s="70">
        <v>0</v>
      </c>
      <c r="R1540" s="70"/>
      <c r="S1540" s="67"/>
      <c r="T1540" s="2" t="str">
        <f t="shared" si="121"/>
        <v>Đỗ Đức Lợi_12AT1</v>
      </c>
      <c r="U1540" s="28">
        <f t="array" ref="U1540">IFERROR(VLOOKUP($T1540,'Nghi hoc T12'!$H$7:$I$160,2,0),0)</f>
        <v>0</v>
      </c>
      <c r="V1540" s="28"/>
      <c r="W1540" s="28">
        <f t="shared" si="122"/>
        <v>0</v>
      </c>
      <c r="X1540" s="333">
        <f t="shared" si="123"/>
        <v>0</v>
      </c>
      <c r="Y1540" s="333">
        <f t="shared" si="124"/>
        <v>0</v>
      </c>
    </row>
    <row r="1541" spans="1:25" s="2" customFormat="1" ht="21.95" customHeight="1">
      <c r="A1541" s="82">
        <v>4</v>
      </c>
      <c r="B1541" s="91" t="str">
        <f t="shared" si="125"/>
        <v>3B.T</v>
      </c>
      <c r="C1541" s="83" t="s">
        <v>362</v>
      </c>
      <c r="D1541" s="81" t="s">
        <v>521</v>
      </c>
      <c r="E1541" s="48">
        <v>101533</v>
      </c>
      <c r="F1541" s="30" t="s">
        <v>268</v>
      </c>
      <c r="G1541" s="29" t="s">
        <v>39</v>
      </c>
      <c r="H1541" s="30" t="s">
        <v>475</v>
      </c>
      <c r="I1541" s="78"/>
      <c r="J1541" s="20"/>
      <c r="K1541" s="20"/>
      <c r="L1541" s="20"/>
      <c r="M1541" s="20"/>
      <c r="N1541" s="179" t="s">
        <v>502</v>
      </c>
      <c r="O1541" s="70">
        <v>0</v>
      </c>
      <c r="P1541" s="70">
        <v>0</v>
      </c>
      <c r="Q1541" s="70">
        <v>0</v>
      </c>
      <c r="R1541" s="70"/>
      <c r="S1541" s="67"/>
      <c r="T1541" s="2" t="str">
        <f t="shared" si="121"/>
        <v>Nguyễn Văn Lợi_12AT2</v>
      </c>
      <c r="U1541" s="28">
        <f t="array" ref="U1541">IFERROR(VLOOKUP($T1541,'Nghi hoc T12'!$H$7:$I$160,2,0),0)</f>
        <v>0</v>
      </c>
      <c r="V1541" s="28"/>
      <c r="W1541" s="28">
        <f t="shared" si="122"/>
        <v>0</v>
      </c>
      <c r="X1541" s="333">
        <f t="shared" si="123"/>
        <v>0</v>
      </c>
      <c r="Y1541" s="333">
        <f t="shared" si="124"/>
        <v>0</v>
      </c>
    </row>
    <row r="1542" spans="1:25" s="2" customFormat="1" ht="21.95" customHeight="1">
      <c r="A1542" s="82">
        <v>5</v>
      </c>
      <c r="B1542" s="91" t="str">
        <f t="shared" si="125"/>
        <v>3B.T</v>
      </c>
      <c r="C1542" s="83" t="s">
        <v>362</v>
      </c>
      <c r="D1542" s="81" t="s">
        <v>521</v>
      </c>
      <c r="E1542" s="48">
        <v>101534</v>
      </c>
      <c r="F1542" s="30" t="s">
        <v>2087</v>
      </c>
      <c r="G1542" s="29" t="s">
        <v>69</v>
      </c>
      <c r="H1542" s="30" t="s">
        <v>475</v>
      </c>
      <c r="I1542" s="78"/>
      <c r="J1542" s="20"/>
      <c r="K1542" s="20"/>
      <c r="L1542" s="20"/>
      <c r="M1542" s="20"/>
      <c r="N1542" s="179" t="s">
        <v>502</v>
      </c>
      <c r="O1542" s="70">
        <v>0</v>
      </c>
      <c r="P1542" s="70">
        <v>0</v>
      </c>
      <c r="Q1542" s="70">
        <v>0</v>
      </c>
      <c r="R1542" s="70"/>
      <c r="S1542" s="67"/>
      <c r="T1542" s="2" t="str">
        <f t="shared" si="121"/>
        <v>Hoàng Hải Ly_12AT2</v>
      </c>
      <c r="U1542" s="28">
        <f t="array" ref="U1542">IFERROR(VLOOKUP($T1542,'Nghi hoc T12'!$H$7:$I$160,2,0),0)</f>
        <v>0</v>
      </c>
      <c r="V1542" s="28"/>
      <c r="W1542" s="28">
        <f t="shared" si="122"/>
        <v>0</v>
      </c>
      <c r="X1542" s="333">
        <f t="shared" si="123"/>
        <v>0</v>
      </c>
      <c r="Y1542" s="333">
        <f t="shared" si="124"/>
        <v>0</v>
      </c>
    </row>
    <row r="1543" spans="1:25" s="2" customFormat="1" ht="21.95" customHeight="1">
      <c r="A1543" s="82">
        <v>6</v>
      </c>
      <c r="B1543" s="91" t="str">
        <f t="shared" si="125"/>
        <v>3B.T</v>
      </c>
      <c r="C1543" s="83" t="s">
        <v>362</v>
      </c>
      <c r="D1543" s="81" t="s">
        <v>521</v>
      </c>
      <c r="E1543" s="48">
        <v>101535</v>
      </c>
      <c r="F1543" s="30" t="s">
        <v>312</v>
      </c>
      <c r="G1543" s="29" t="s">
        <v>69</v>
      </c>
      <c r="H1543" s="30" t="s">
        <v>476</v>
      </c>
      <c r="I1543" s="78"/>
      <c r="J1543" s="20"/>
      <c r="K1543" s="20"/>
      <c r="L1543" s="20"/>
      <c r="M1543" s="20"/>
      <c r="N1543" s="179" t="s">
        <v>502</v>
      </c>
      <c r="O1543" s="70">
        <v>0</v>
      </c>
      <c r="P1543" s="70">
        <v>0</v>
      </c>
      <c r="Q1543" s="70">
        <v>0</v>
      </c>
      <c r="R1543" s="70"/>
      <c r="S1543" s="67"/>
      <c r="T1543" s="2" t="str">
        <f t="shared" si="121"/>
        <v>Nguyễn Thị Cẩm Ly_12AT1</v>
      </c>
      <c r="U1543" s="28">
        <f t="array" ref="U1543">IFERROR(VLOOKUP($T1543,'Nghi hoc T12'!$H$7:$I$160,2,0),0)</f>
        <v>0</v>
      </c>
      <c r="V1543" s="28"/>
      <c r="W1543" s="28">
        <f t="shared" si="122"/>
        <v>0</v>
      </c>
      <c r="X1543" s="333">
        <f t="shared" si="123"/>
        <v>0</v>
      </c>
      <c r="Y1543" s="333">
        <f t="shared" si="124"/>
        <v>0</v>
      </c>
    </row>
    <row r="1544" spans="1:25" s="2" customFormat="1" ht="21.95" customHeight="1">
      <c r="A1544" s="82">
        <v>7</v>
      </c>
      <c r="B1544" s="91" t="str">
        <f t="shared" si="125"/>
        <v>3B.T</v>
      </c>
      <c r="C1544" s="83" t="s">
        <v>362</v>
      </c>
      <c r="D1544" s="81" t="s">
        <v>521</v>
      </c>
      <c r="E1544" s="48">
        <v>101536</v>
      </c>
      <c r="F1544" s="30" t="s">
        <v>288</v>
      </c>
      <c r="G1544" s="29" t="s">
        <v>15</v>
      </c>
      <c r="H1544" s="30" t="s">
        <v>476</v>
      </c>
      <c r="I1544" s="78"/>
      <c r="J1544" s="20"/>
      <c r="K1544" s="20"/>
      <c r="L1544" s="20"/>
      <c r="M1544" s="20"/>
      <c r="N1544" s="179" t="s">
        <v>502</v>
      </c>
      <c r="O1544" s="70">
        <v>0</v>
      </c>
      <c r="P1544" s="70">
        <v>0</v>
      </c>
      <c r="Q1544" s="70">
        <v>0</v>
      </c>
      <c r="R1544" s="70"/>
      <c r="S1544" s="67"/>
      <c r="T1544" s="2" t="str">
        <f t="shared" si="121"/>
        <v>Trần Thị Tuyết Mai_12AT1</v>
      </c>
      <c r="U1544" s="28">
        <f t="array" ref="U1544">IFERROR(VLOOKUP($T1544,'Nghi hoc T12'!$H$7:$I$160,2,0),0)</f>
        <v>0</v>
      </c>
      <c r="V1544" s="28"/>
      <c r="W1544" s="28">
        <f t="shared" si="122"/>
        <v>0</v>
      </c>
      <c r="X1544" s="333">
        <f t="shared" si="123"/>
        <v>0</v>
      </c>
      <c r="Y1544" s="333">
        <f t="shared" si="124"/>
        <v>0</v>
      </c>
    </row>
    <row r="1545" spans="1:25" s="2" customFormat="1" ht="21.95" customHeight="1">
      <c r="A1545" s="82">
        <v>8</v>
      </c>
      <c r="B1545" s="91" t="str">
        <f t="shared" si="125"/>
        <v>3B.T</v>
      </c>
      <c r="C1545" s="83" t="s">
        <v>362</v>
      </c>
      <c r="D1545" s="81" t="s">
        <v>521</v>
      </c>
      <c r="E1545" s="48">
        <v>101537</v>
      </c>
      <c r="F1545" s="30" t="s">
        <v>289</v>
      </c>
      <c r="G1545" s="29" t="s">
        <v>233</v>
      </c>
      <c r="H1545" s="30" t="s">
        <v>475</v>
      </c>
      <c r="I1545" s="78"/>
      <c r="J1545" s="20"/>
      <c r="K1545" s="20"/>
      <c r="L1545" s="20"/>
      <c r="M1545" s="20"/>
      <c r="N1545" s="179" t="s">
        <v>502</v>
      </c>
      <c r="O1545" s="70">
        <v>0</v>
      </c>
      <c r="P1545" s="70">
        <v>0</v>
      </c>
      <c r="Q1545" s="70">
        <v>0</v>
      </c>
      <c r="R1545" s="70"/>
      <c r="S1545" s="67"/>
      <c r="T1545" s="2" t="str">
        <f t="shared" si="121"/>
        <v>Hoàng Đức Mạnh_12AT2</v>
      </c>
      <c r="U1545" s="28">
        <f t="array" ref="U1545">IFERROR(VLOOKUP($T1545,'Nghi hoc T12'!$H$7:$I$160,2,0),0)</f>
        <v>0</v>
      </c>
      <c r="V1545" s="28"/>
      <c r="W1545" s="28">
        <f t="shared" si="122"/>
        <v>0</v>
      </c>
      <c r="X1545" s="333">
        <f t="shared" si="123"/>
        <v>0</v>
      </c>
      <c r="Y1545" s="333">
        <f t="shared" si="124"/>
        <v>0</v>
      </c>
    </row>
    <row r="1546" spans="1:25" s="2" customFormat="1" ht="21.95" customHeight="1">
      <c r="A1546" s="82">
        <v>9</v>
      </c>
      <c r="B1546" s="91" t="str">
        <f t="shared" si="125"/>
        <v>3B.T</v>
      </c>
      <c r="C1546" s="83" t="s">
        <v>362</v>
      </c>
      <c r="D1546" s="81" t="s">
        <v>521</v>
      </c>
      <c r="E1546" s="48">
        <v>101538</v>
      </c>
      <c r="F1546" s="30" t="s">
        <v>1662</v>
      </c>
      <c r="G1546" s="29" t="s">
        <v>40</v>
      </c>
      <c r="H1546" s="30" t="s">
        <v>476</v>
      </c>
      <c r="I1546" s="78"/>
      <c r="J1546" s="20"/>
      <c r="K1546" s="20"/>
      <c r="L1546" s="20"/>
      <c r="M1546" s="20"/>
      <c r="N1546" s="179" t="s">
        <v>502</v>
      </c>
      <c r="O1546" s="70">
        <v>0</v>
      </c>
      <c r="P1546" s="70">
        <v>0</v>
      </c>
      <c r="Q1546" s="70">
        <v>0</v>
      </c>
      <c r="R1546" s="70"/>
      <c r="S1546" s="67"/>
      <c r="T1546" s="2" t="str">
        <f t="shared" ref="T1546:T1609" si="126">TRIM(F1546&amp;" "&amp;G1546&amp;"_"&amp;H1546)</f>
        <v>Trần Thị Thảo My_12AT1</v>
      </c>
      <c r="U1546" s="28">
        <f t="array" ref="U1546">IFERROR(VLOOKUP($T1546,'Nghi hoc T12'!$H$7:$I$160,2,0),0)</f>
        <v>0</v>
      </c>
      <c r="V1546" s="28"/>
      <c r="W1546" s="28">
        <f t="shared" ref="W1546:W1609" si="127">I1546</f>
        <v>0</v>
      </c>
      <c r="X1546" s="333">
        <f t="shared" ref="X1546:X1609" si="128">O1546</f>
        <v>0</v>
      </c>
      <c r="Y1546" s="333">
        <f t="shared" ref="Y1546:Y1609" si="129">P1546</f>
        <v>0</v>
      </c>
    </row>
    <row r="1547" spans="1:25" s="2" customFormat="1" ht="21.95" customHeight="1">
      <c r="A1547" s="82">
        <v>10</v>
      </c>
      <c r="B1547" s="91" t="str">
        <f t="shared" ref="B1547:B1610" si="130">RIGHT(D1547,LEN(D1547)-2)&amp;"."&amp;LEFT(N1547,1)</f>
        <v>3B.T</v>
      </c>
      <c r="C1547" s="83" t="s">
        <v>362</v>
      </c>
      <c r="D1547" s="81" t="s">
        <v>521</v>
      </c>
      <c r="E1547" s="48">
        <v>101539</v>
      </c>
      <c r="F1547" s="30" t="s">
        <v>2088</v>
      </c>
      <c r="G1547" s="29" t="s">
        <v>17</v>
      </c>
      <c r="H1547" s="30" t="s">
        <v>475</v>
      </c>
      <c r="I1547" s="78"/>
      <c r="J1547" s="20"/>
      <c r="K1547" s="20"/>
      <c r="L1547" s="20"/>
      <c r="M1547" s="20"/>
      <c r="N1547" s="179" t="s">
        <v>502</v>
      </c>
      <c r="O1547" s="70">
        <v>0</v>
      </c>
      <c r="P1547" s="70">
        <v>0</v>
      </c>
      <c r="Q1547" s="70">
        <v>0</v>
      </c>
      <c r="R1547" s="70"/>
      <c r="S1547" s="67"/>
      <c r="T1547" s="2" t="str">
        <f t="shared" si="126"/>
        <v>Huỳnh Nguyễn Bảo Nam_12AT2</v>
      </c>
      <c r="U1547" s="28">
        <f t="array" ref="U1547">IFERROR(VLOOKUP($T1547,'Nghi hoc T12'!$H$7:$I$160,2,0),0)</f>
        <v>0</v>
      </c>
      <c r="V1547" s="28"/>
      <c r="W1547" s="28">
        <f t="shared" si="127"/>
        <v>0</v>
      </c>
      <c r="X1547" s="333">
        <f t="shared" si="128"/>
        <v>0</v>
      </c>
      <c r="Y1547" s="333">
        <f t="shared" si="129"/>
        <v>0</v>
      </c>
    </row>
    <row r="1548" spans="1:25" s="2" customFormat="1" ht="21.95" customHeight="1">
      <c r="A1548" s="82">
        <v>11</v>
      </c>
      <c r="B1548" s="91" t="str">
        <f t="shared" si="130"/>
        <v>3B.T</v>
      </c>
      <c r="C1548" s="83" t="s">
        <v>362</v>
      </c>
      <c r="D1548" s="81" t="s">
        <v>521</v>
      </c>
      <c r="E1548" s="48">
        <v>101540</v>
      </c>
      <c r="F1548" s="30" t="s">
        <v>2089</v>
      </c>
      <c r="G1548" s="29" t="s">
        <v>290</v>
      </c>
      <c r="H1548" s="30" t="s">
        <v>475</v>
      </c>
      <c r="I1548" s="78"/>
      <c r="J1548" s="20"/>
      <c r="K1548" s="20"/>
      <c r="L1548" s="20"/>
      <c r="M1548" s="20"/>
      <c r="N1548" s="179" t="s">
        <v>502</v>
      </c>
      <c r="O1548" s="70">
        <v>0</v>
      </c>
      <c r="P1548" s="70">
        <v>0</v>
      </c>
      <c r="Q1548" s="70">
        <v>0</v>
      </c>
      <c r="R1548" s="70"/>
      <c r="S1548" s="67"/>
      <c r="T1548" s="2" t="str">
        <f t="shared" si="126"/>
        <v>Lê Thị Hằng Nga_12AT2</v>
      </c>
      <c r="U1548" s="28">
        <f t="array" ref="U1548">IFERROR(VLOOKUP($T1548,'Nghi hoc T12'!$H$7:$I$160,2,0),0)</f>
        <v>0</v>
      </c>
      <c r="V1548" s="28"/>
      <c r="W1548" s="28">
        <f t="shared" si="127"/>
        <v>0</v>
      </c>
      <c r="X1548" s="333">
        <f t="shared" si="128"/>
        <v>0</v>
      </c>
      <c r="Y1548" s="333">
        <f t="shared" si="129"/>
        <v>0</v>
      </c>
    </row>
    <row r="1549" spans="1:25" s="2" customFormat="1" ht="21.95" customHeight="1">
      <c r="A1549" s="82">
        <v>12</v>
      </c>
      <c r="B1549" s="91" t="str">
        <f t="shared" si="130"/>
        <v>3B.T</v>
      </c>
      <c r="C1549" s="83" t="s">
        <v>362</v>
      </c>
      <c r="D1549" s="81" t="s">
        <v>521</v>
      </c>
      <c r="E1549" s="48">
        <v>101541</v>
      </c>
      <c r="F1549" s="30" t="s">
        <v>191</v>
      </c>
      <c r="G1549" s="29" t="s">
        <v>290</v>
      </c>
      <c r="H1549" s="30" t="s">
        <v>476</v>
      </c>
      <c r="I1549" s="78"/>
      <c r="J1549" s="20"/>
      <c r="K1549" s="20"/>
      <c r="L1549" s="20"/>
      <c r="M1549" s="20"/>
      <c r="N1549" s="179" t="s">
        <v>502</v>
      </c>
      <c r="O1549" s="70">
        <v>0</v>
      </c>
      <c r="P1549" s="70">
        <v>0</v>
      </c>
      <c r="Q1549" s="70">
        <v>0</v>
      </c>
      <c r="R1549" s="70"/>
      <c r="S1549" s="67"/>
      <c r="T1549" s="2" t="str">
        <f t="shared" si="126"/>
        <v>Võ Kim Nga_12AT1</v>
      </c>
      <c r="U1549" s="28">
        <f t="array" ref="U1549">IFERROR(VLOOKUP($T1549,'Nghi hoc T12'!$H$7:$I$160,2,0),0)</f>
        <v>0</v>
      </c>
      <c r="V1549" s="28"/>
      <c r="W1549" s="28">
        <f t="shared" si="127"/>
        <v>0</v>
      </c>
      <c r="X1549" s="333">
        <f t="shared" si="128"/>
        <v>0</v>
      </c>
      <c r="Y1549" s="333">
        <f t="shared" si="129"/>
        <v>0</v>
      </c>
    </row>
    <row r="1550" spans="1:25" s="2" customFormat="1" ht="21.95" customHeight="1">
      <c r="A1550" s="82">
        <v>13</v>
      </c>
      <c r="B1550" s="91" t="str">
        <f t="shared" si="130"/>
        <v>3B.T</v>
      </c>
      <c r="C1550" s="83" t="s">
        <v>362</v>
      </c>
      <c r="D1550" s="81" t="s">
        <v>521</v>
      </c>
      <c r="E1550" s="48">
        <v>101542</v>
      </c>
      <c r="F1550" s="30" t="s">
        <v>2060</v>
      </c>
      <c r="G1550" s="29" t="s">
        <v>1298</v>
      </c>
      <c r="H1550" s="30" t="s">
        <v>476</v>
      </c>
      <c r="I1550" s="78"/>
      <c r="J1550" s="20"/>
      <c r="K1550" s="20"/>
      <c r="L1550" s="20"/>
      <c r="M1550" s="20"/>
      <c r="N1550" s="179" t="s">
        <v>502</v>
      </c>
      <c r="O1550" s="70">
        <v>0</v>
      </c>
      <c r="P1550" s="70">
        <v>0</v>
      </c>
      <c r="Q1550" s="70">
        <v>0</v>
      </c>
      <c r="R1550" s="70"/>
      <c r="S1550" s="67"/>
      <c r="T1550" s="2" t="str">
        <f t="shared" si="126"/>
        <v>Cao Ngọc Ngà_12AT1</v>
      </c>
      <c r="U1550" s="28">
        <f t="array" ref="U1550">IFERROR(VLOOKUP($T1550,'Nghi hoc T12'!$H$7:$I$160,2,0),0)</f>
        <v>0</v>
      </c>
      <c r="V1550" s="28"/>
      <c r="W1550" s="28">
        <f t="shared" si="127"/>
        <v>0</v>
      </c>
      <c r="X1550" s="333">
        <f t="shared" si="128"/>
        <v>0</v>
      </c>
      <c r="Y1550" s="333">
        <f t="shared" si="129"/>
        <v>0</v>
      </c>
    </row>
    <row r="1551" spans="1:25" s="2" customFormat="1" ht="21.95" customHeight="1">
      <c r="A1551" s="82">
        <v>14</v>
      </c>
      <c r="B1551" s="91" t="str">
        <f t="shared" si="130"/>
        <v>3B.T</v>
      </c>
      <c r="C1551" s="83" t="s">
        <v>362</v>
      </c>
      <c r="D1551" s="81" t="s">
        <v>521</v>
      </c>
      <c r="E1551" s="48">
        <v>101543</v>
      </c>
      <c r="F1551" s="30" t="s">
        <v>2061</v>
      </c>
      <c r="G1551" s="29" t="s">
        <v>18</v>
      </c>
      <c r="H1551" s="30" t="s">
        <v>476</v>
      </c>
      <c r="I1551" s="78"/>
      <c r="J1551" s="20"/>
      <c r="K1551" s="20"/>
      <c r="L1551" s="20"/>
      <c r="M1551" s="20"/>
      <c r="N1551" s="179" t="s">
        <v>502</v>
      </c>
      <c r="O1551" s="70">
        <v>0</v>
      </c>
      <c r="P1551" s="70">
        <v>0</v>
      </c>
      <c r="Q1551" s="70">
        <v>0</v>
      </c>
      <c r="R1551" s="70"/>
      <c r="S1551" s="67"/>
      <c r="T1551" s="2" t="str">
        <f t="shared" si="126"/>
        <v>Huỳnh Nguyễn Tuyết Ngân_12AT1</v>
      </c>
      <c r="U1551" s="28">
        <f t="array" ref="U1551">IFERROR(VLOOKUP($T1551,'Nghi hoc T12'!$H$7:$I$160,2,0),0)</f>
        <v>0</v>
      </c>
      <c r="V1551" s="28"/>
      <c r="W1551" s="28">
        <f t="shared" si="127"/>
        <v>0</v>
      </c>
      <c r="X1551" s="333">
        <f t="shared" si="128"/>
        <v>0</v>
      </c>
      <c r="Y1551" s="333">
        <f t="shared" si="129"/>
        <v>0</v>
      </c>
    </row>
    <row r="1552" spans="1:25" s="2" customFormat="1" ht="21.95" customHeight="1">
      <c r="A1552" s="82">
        <v>15</v>
      </c>
      <c r="B1552" s="91" t="str">
        <f t="shared" si="130"/>
        <v>3B.T</v>
      </c>
      <c r="C1552" s="83" t="s">
        <v>362</v>
      </c>
      <c r="D1552" s="81" t="s">
        <v>521</v>
      </c>
      <c r="E1552" s="48">
        <v>101544</v>
      </c>
      <c r="F1552" s="30" t="s">
        <v>1965</v>
      </c>
      <c r="G1552" s="29" t="s">
        <v>101</v>
      </c>
      <c r="H1552" s="30" t="s">
        <v>475</v>
      </c>
      <c r="I1552" s="78"/>
      <c r="J1552" s="20"/>
      <c r="K1552" s="20"/>
      <c r="L1552" s="20"/>
      <c r="M1552" s="20"/>
      <c r="N1552" s="179" t="s">
        <v>502</v>
      </c>
      <c r="O1552" s="70">
        <v>0</v>
      </c>
      <c r="P1552" s="70">
        <v>0</v>
      </c>
      <c r="Q1552" s="70">
        <v>0</v>
      </c>
      <c r="R1552" s="70"/>
      <c r="S1552" s="67"/>
      <c r="T1552" s="2" t="str">
        <f t="shared" si="126"/>
        <v>Trần Nguyễn Bảo Nghi_12AT2</v>
      </c>
      <c r="U1552" s="28">
        <f t="array" ref="U1552">IFERROR(VLOOKUP($T1552,'Nghi hoc T12'!$H$7:$I$160,2,0),0)</f>
        <v>0</v>
      </c>
      <c r="V1552" s="28"/>
      <c r="W1552" s="28">
        <f t="shared" si="127"/>
        <v>0</v>
      </c>
      <c r="X1552" s="333">
        <f t="shared" si="128"/>
        <v>0</v>
      </c>
      <c r="Y1552" s="333">
        <f t="shared" si="129"/>
        <v>0</v>
      </c>
    </row>
    <row r="1553" spans="1:25" s="2" customFormat="1" ht="21.95" customHeight="1">
      <c r="A1553" s="82">
        <v>16</v>
      </c>
      <c r="B1553" s="91" t="str">
        <f t="shared" si="130"/>
        <v>3B.T</v>
      </c>
      <c r="C1553" s="83" t="s">
        <v>362</v>
      </c>
      <c r="D1553" s="81" t="s">
        <v>521</v>
      </c>
      <c r="E1553" s="48">
        <v>101545</v>
      </c>
      <c r="F1553" s="30" t="s">
        <v>2090</v>
      </c>
      <c r="G1553" s="29" t="s">
        <v>19</v>
      </c>
      <c r="H1553" s="30" t="s">
        <v>475</v>
      </c>
      <c r="I1553" s="78"/>
      <c r="J1553" s="20"/>
      <c r="K1553" s="20"/>
      <c r="L1553" s="20"/>
      <c r="M1553" s="20"/>
      <c r="N1553" s="179" t="s">
        <v>502</v>
      </c>
      <c r="O1553" s="70">
        <v>0</v>
      </c>
      <c r="P1553" s="70">
        <v>0</v>
      </c>
      <c r="Q1553" s="70">
        <v>0</v>
      </c>
      <c r="R1553" s="70"/>
      <c r="S1553" s="67"/>
      <c r="T1553" s="2" t="str">
        <f t="shared" si="126"/>
        <v>Nguyễn Đặng Thảo Ngọc_12AT2</v>
      </c>
      <c r="U1553" s="28">
        <f t="array" ref="U1553">IFERROR(VLOOKUP($T1553,'Nghi hoc T12'!$H$7:$I$160,2,0),0)</f>
        <v>0</v>
      </c>
      <c r="V1553" s="28"/>
      <c r="W1553" s="28">
        <f t="shared" si="127"/>
        <v>0</v>
      </c>
      <c r="X1553" s="333">
        <f t="shared" si="128"/>
        <v>0</v>
      </c>
      <c r="Y1553" s="333">
        <f t="shared" si="129"/>
        <v>0</v>
      </c>
    </row>
    <row r="1554" spans="1:25" s="2" customFormat="1" ht="21.95" customHeight="1">
      <c r="A1554" s="82">
        <v>17</v>
      </c>
      <c r="B1554" s="91" t="str">
        <f t="shared" si="130"/>
        <v>3B.T</v>
      </c>
      <c r="C1554" s="83" t="s">
        <v>362</v>
      </c>
      <c r="D1554" s="81" t="s">
        <v>521</v>
      </c>
      <c r="E1554" s="48">
        <v>101546</v>
      </c>
      <c r="F1554" s="30" t="s">
        <v>2062</v>
      </c>
      <c r="G1554" s="29" t="s">
        <v>19</v>
      </c>
      <c r="H1554" s="30" t="s">
        <v>476</v>
      </c>
      <c r="I1554" s="78"/>
      <c r="J1554" s="20"/>
      <c r="K1554" s="20"/>
      <c r="L1554" s="20"/>
      <c r="M1554" s="20"/>
      <c r="N1554" s="179" t="s">
        <v>502</v>
      </c>
      <c r="O1554" s="70">
        <v>0</v>
      </c>
      <c r="P1554" s="70">
        <v>0</v>
      </c>
      <c r="Q1554" s="70">
        <v>0</v>
      </c>
      <c r="R1554" s="70"/>
      <c r="S1554" s="67"/>
      <c r="T1554" s="2" t="str">
        <f t="shared" si="126"/>
        <v>Võ Trần Bảo Ngọc_12AT1</v>
      </c>
      <c r="U1554" s="28">
        <f t="array" ref="U1554">IFERROR(VLOOKUP($T1554,'Nghi hoc T12'!$H$7:$I$160,2,0),0)</f>
        <v>0</v>
      </c>
      <c r="V1554" s="28"/>
      <c r="W1554" s="28">
        <f t="shared" si="127"/>
        <v>0</v>
      </c>
      <c r="X1554" s="333">
        <f t="shared" si="128"/>
        <v>0</v>
      </c>
      <c r="Y1554" s="333">
        <f t="shared" si="129"/>
        <v>0</v>
      </c>
    </row>
    <row r="1555" spans="1:25" s="2" customFormat="1" ht="21.95" customHeight="1">
      <c r="A1555" s="82">
        <v>18</v>
      </c>
      <c r="B1555" s="91" t="str">
        <f t="shared" si="130"/>
        <v>3B.T</v>
      </c>
      <c r="C1555" s="83" t="s">
        <v>362</v>
      </c>
      <c r="D1555" s="81" t="s">
        <v>521</v>
      </c>
      <c r="E1555" s="48">
        <v>101547</v>
      </c>
      <c r="F1555" s="30" t="s">
        <v>1882</v>
      </c>
      <c r="G1555" s="29" t="s">
        <v>20</v>
      </c>
      <c r="H1555" s="30" t="s">
        <v>476</v>
      </c>
      <c r="I1555" s="78"/>
      <c r="J1555" s="20"/>
      <c r="K1555" s="20"/>
      <c r="L1555" s="20"/>
      <c r="M1555" s="20"/>
      <c r="N1555" s="179" t="s">
        <v>502</v>
      </c>
      <c r="O1555" s="70">
        <v>0</v>
      </c>
      <c r="P1555" s="70">
        <v>0</v>
      </c>
      <c r="Q1555" s="70">
        <v>0</v>
      </c>
      <c r="R1555" s="70"/>
      <c r="S1555" s="67"/>
      <c r="T1555" s="2" t="str">
        <f t="shared" si="126"/>
        <v>Hồ Xuân Nhi_12AT1</v>
      </c>
      <c r="U1555" s="28">
        <f t="array" ref="U1555">IFERROR(VLOOKUP($T1555,'Nghi hoc T12'!$H$7:$I$160,2,0),0)</f>
        <v>0</v>
      </c>
      <c r="V1555" s="28"/>
      <c r="W1555" s="28">
        <f t="shared" si="127"/>
        <v>0</v>
      </c>
      <c r="X1555" s="333">
        <f t="shared" si="128"/>
        <v>0</v>
      </c>
      <c r="Y1555" s="333">
        <f t="shared" si="129"/>
        <v>0</v>
      </c>
    </row>
    <row r="1556" spans="1:25" s="2" customFormat="1" ht="21.95" customHeight="1">
      <c r="A1556" s="82">
        <v>19</v>
      </c>
      <c r="B1556" s="91" t="str">
        <f t="shared" si="130"/>
        <v>3B.T</v>
      </c>
      <c r="C1556" s="83" t="s">
        <v>362</v>
      </c>
      <c r="D1556" s="81" t="s">
        <v>521</v>
      </c>
      <c r="E1556" s="48">
        <v>101548</v>
      </c>
      <c r="F1556" s="30" t="s">
        <v>2091</v>
      </c>
      <c r="G1556" s="29" t="s">
        <v>20</v>
      </c>
      <c r="H1556" s="30" t="s">
        <v>475</v>
      </c>
      <c r="I1556" s="78"/>
      <c r="J1556" s="20"/>
      <c r="K1556" s="20"/>
      <c r="L1556" s="20"/>
      <c r="M1556" s="20"/>
      <c r="N1556" s="179" t="s">
        <v>502</v>
      </c>
      <c r="O1556" s="70">
        <v>0</v>
      </c>
      <c r="P1556" s="70">
        <v>0</v>
      </c>
      <c r="Q1556" s="70">
        <v>0</v>
      </c>
      <c r="R1556" s="70"/>
      <c r="S1556" s="67"/>
      <c r="T1556" s="2" t="str">
        <f t="shared" si="126"/>
        <v>Phạm Thị Tuyết Nhi_12AT2</v>
      </c>
      <c r="U1556" s="28">
        <f t="array" ref="U1556">IFERROR(VLOOKUP($T1556,'Nghi hoc T12'!$H$7:$I$160,2,0),0)</f>
        <v>0</v>
      </c>
      <c r="V1556" s="28"/>
      <c r="W1556" s="28">
        <f t="shared" si="127"/>
        <v>0</v>
      </c>
      <c r="X1556" s="333">
        <f t="shared" si="128"/>
        <v>0</v>
      </c>
      <c r="Y1556" s="333">
        <f t="shared" si="129"/>
        <v>0</v>
      </c>
    </row>
    <row r="1557" spans="1:25" s="2" customFormat="1" ht="21.95" customHeight="1">
      <c r="A1557" s="82">
        <v>20</v>
      </c>
      <c r="B1557" s="91" t="str">
        <f t="shared" si="130"/>
        <v>3B.T</v>
      </c>
      <c r="C1557" s="83" t="s">
        <v>362</v>
      </c>
      <c r="D1557" s="81" t="s">
        <v>521</v>
      </c>
      <c r="E1557" s="48">
        <v>101549</v>
      </c>
      <c r="F1557" s="30" t="s">
        <v>2092</v>
      </c>
      <c r="G1557" s="29" t="s">
        <v>21</v>
      </c>
      <c r="H1557" s="30" t="s">
        <v>475</v>
      </c>
      <c r="I1557" s="78"/>
      <c r="J1557" s="20"/>
      <c r="K1557" s="20"/>
      <c r="L1557" s="20"/>
      <c r="M1557" s="20"/>
      <c r="N1557" s="179" t="s">
        <v>502</v>
      </c>
      <c r="O1557" s="70">
        <v>0</v>
      </c>
      <c r="P1557" s="70">
        <v>0</v>
      </c>
      <c r="Q1557" s="70">
        <v>0</v>
      </c>
      <c r="R1557" s="70"/>
      <c r="S1557" s="67"/>
      <c r="T1557" s="2" t="str">
        <f t="shared" si="126"/>
        <v>Trầm Ngọc Bảo Như_12AT2</v>
      </c>
      <c r="U1557" s="28">
        <f t="array" ref="U1557">IFERROR(VLOOKUP($T1557,'Nghi hoc T12'!$H$7:$I$160,2,0),0)</f>
        <v>0</v>
      </c>
      <c r="V1557" s="28"/>
      <c r="W1557" s="28">
        <f t="shared" si="127"/>
        <v>0</v>
      </c>
      <c r="X1557" s="333">
        <f t="shared" si="128"/>
        <v>0</v>
      </c>
      <c r="Y1557" s="333">
        <f t="shared" si="129"/>
        <v>0</v>
      </c>
    </row>
    <row r="1558" spans="1:25" s="2" customFormat="1" ht="21.95" customHeight="1">
      <c r="A1558" s="82">
        <v>21</v>
      </c>
      <c r="B1558" s="91" t="str">
        <f t="shared" si="130"/>
        <v>3B.T</v>
      </c>
      <c r="C1558" s="83" t="s">
        <v>362</v>
      </c>
      <c r="D1558" s="81" t="s">
        <v>521</v>
      </c>
      <c r="E1558" s="48">
        <v>101550</v>
      </c>
      <c r="F1558" s="30" t="s">
        <v>186</v>
      </c>
      <c r="G1558" s="29" t="s">
        <v>155</v>
      </c>
      <c r="H1558" s="30" t="s">
        <v>475</v>
      </c>
      <c r="I1558" s="78"/>
      <c r="J1558" s="20"/>
      <c r="K1558" s="20"/>
      <c r="L1558" s="20"/>
      <c r="M1558" s="20"/>
      <c r="N1558" s="179" t="s">
        <v>502</v>
      </c>
      <c r="O1558" s="70">
        <v>0</v>
      </c>
      <c r="P1558" s="70">
        <v>0</v>
      </c>
      <c r="Q1558" s="70">
        <v>0</v>
      </c>
      <c r="R1558" s="70"/>
      <c r="S1558" s="67"/>
      <c r="T1558" s="2" t="str">
        <f t="shared" si="126"/>
        <v>Nguyễn Minh Nhựt_12AT2</v>
      </c>
      <c r="U1558" s="28">
        <f t="array" ref="U1558">IFERROR(VLOOKUP($T1558,'Nghi hoc T12'!$H$7:$I$160,2,0),0)</f>
        <v>0</v>
      </c>
      <c r="V1558" s="28"/>
      <c r="W1558" s="28">
        <f t="shared" si="127"/>
        <v>0</v>
      </c>
      <c r="X1558" s="333">
        <f t="shared" si="128"/>
        <v>0</v>
      </c>
      <c r="Y1558" s="333">
        <f t="shared" si="129"/>
        <v>0</v>
      </c>
    </row>
    <row r="1559" spans="1:25" s="2" customFormat="1" ht="21.95" customHeight="1">
      <c r="A1559" s="82">
        <v>22</v>
      </c>
      <c r="B1559" s="91" t="str">
        <f t="shared" si="130"/>
        <v>3B.T</v>
      </c>
      <c r="C1559" s="83" t="s">
        <v>362</v>
      </c>
      <c r="D1559" s="81" t="s">
        <v>521</v>
      </c>
      <c r="E1559" s="48">
        <v>101551</v>
      </c>
      <c r="F1559" s="30" t="s">
        <v>2063</v>
      </c>
      <c r="G1559" s="29" t="s">
        <v>71</v>
      </c>
      <c r="H1559" s="30" t="s">
        <v>476</v>
      </c>
      <c r="I1559" s="78"/>
      <c r="J1559" s="20"/>
      <c r="K1559" s="20"/>
      <c r="L1559" s="20"/>
      <c r="M1559" s="20"/>
      <c r="N1559" s="179" t="s">
        <v>502</v>
      </c>
      <c r="O1559" s="70">
        <v>0</v>
      </c>
      <c r="P1559" s="70">
        <v>0</v>
      </c>
      <c r="Q1559" s="70">
        <v>0</v>
      </c>
      <c r="R1559" s="70"/>
      <c r="S1559" s="67"/>
      <c r="T1559" s="2" t="str">
        <f t="shared" si="126"/>
        <v>Dư Gia Phúc_12AT1</v>
      </c>
      <c r="U1559" s="28">
        <f t="array" ref="U1559">IFERROR(VLOOKUP($T1559,'Nghi hoc T12'!$H$7:$I$160,2,0),0)</f>
        <v>0</v>
      </c>
      <c r="V1559" s="28"/>
      <c r="W1559" s="28">
        <f t="shared" si="127"/>
        <v>0</v>
      </c>
      <c r="X1559" s="333">
        <f t="shared" si="128"/>
        <v>0</v>
      </c>
      <c r="Y1559" s="333">
        <f t="shared" si="129"/>
        <v>0</v>
      </c>
    </row>
    <row r="1560" spans="1:25" s="2" customFormat="1" ht="21.95" customHeight="1">
      <c r="A1560" s="82">
        <v>23</v>
      </c>
      <c r="B1560" s="91" t="str">
        <f t="shared" si="130"/>
        <v>3B.T</v>
      </c>
      <c r="C1560" s="83" t="s">
        <v>362</v>
      </c>
      <c r="D1560" s="81" t="s">
        <v>521</v>
      </c>
      <c r="E1560" s="48">
        <v>101552</v>
      </c>
      <c r="F1560" s="30" t="s">
        <v>291</v>
      </c>
      <c r="G1560" s="29" t="s">
        <v>71</v>
      </c>
      <c r="H1560" s="30" t="s">
        <v>475</v>
      </c>
      <c r="I1560" s="78"/>
      <c r="J1560" s="20"/>
      <c r="K1560" s="20"/>
      <c r="L1560" s="20"/>
      <c r="M1560" s="20"/>
      <c r="N1560" s="179" t="s">
        <v>502</v>
      </c>
      <c r="O1560" s="70">
        <v>0</v>
      </c>
      <c r="P1560" s="70">
        <v>0</v>
      </c>
      <c r="Q1560" s="70">
        <v>0</v>
      </c>
      <c r="R1560" s="70"/>
      <c r="S1560" s="67"/>
      <c r="T1560" s="2" t="str">
        <f t="shared" si="126"/>
        <v>Trần Ngọc Thiên Phúc_12AT2</v>
      </c>
      <c r="U1560" s="28">
        <f t="array" ref="U1560">IFERROR(VLOOKUP($T1560,'Nghi hoc T12'!$H$7:$I$160,2,0),0)</f>
        <v>0</v>
      </c>
      <c r="V1560" s="28"/>
      <c r="W1560" s="28">
        <f t="shared" si="127"/>
        <v>0</v>
      </c>
      <c r="X1560" s="333">
        <f t="shared" si="128"/>
        <v>0</v>
      </c>
      <c r="Y1560" s="333">
        <f t="shared" si="129"/>
        <v>0</v>
      </c>
    </row>
    <row r="1561" spans="1:25" s="2" customFormat="1" ht="21.95" customHeight="1">
      <c r="A1561" s="82">
        <v>24</v>
      </c>
      <c r="B1561" s="91" t="str">
        <f t="shared" si="130"/>
        <v>3B.T</v>
      </c>
      <c r="C1561" s="83" t="s">
        <v>362</v>
      </c>
      <c r="D1561" s="81" t="s">
        <v>521</v>
      </c>
      <c r="E1561" s="48">
        <v>101553</v>
      </c>
      <c r="F1561" s="30" t="s">
        <v>2064</v>
      </c>
      <c r="G1561" s="29" t="s">
        <v>71</v>
      </c>
      <c r="H1561" s="30" t="s">
        <v>476</v>
      </c>
      <c r="I1561" s="78"/>
      <c r="J1561" s="20"/>
      <c r="K1561" s="20"/>
      <c r="L1561" s="20"/>
      <c r="M1561" s="20"/>
      <c r="N1561" s="179" t="s">
        <v>502</v>
      </c>
      <c r="O1561" s="70">
        <v>0</v>
      </c>
      <c r="P1561" s="70">
        <v>0</v>
      </c>
      <c r="Q1561" s="70">
        <v>0</v>
      </c>
      <c r="R1561" s="70"/>
      <c r="S1561" s="67"/>
      <c r="T1561" s="2" t="str">
        <f t="shared" si="126"/>
        <v>Trần Nguyễn Phúc_12AT1</v>
      </c>
      <c r="U1561" s="28">
        <f t="array" ref="U1561">IFERROR(VLOOKUP($T1561,'Nghi hoc T12'!$H$7:$I$160,2,0),0)</f>
        <v>0</v>
      </c>
      <c r="V1561" s="28"/>
      <c r="W1561" s="28">
        <f t="shared" si="127"/>
        <v>0</v>
      </c>
      <c r="X1561" s="333">
        <f t="shared" si="128"/>
        <v>0</v>
      </c>
      <c r="Y1561" s="333">
        <f t="shared" si="129"/>
        <v>0</v>
      </c>
    </row>
    <row r="1562" spans="1:25" s="2" customFormat="1" ht="21.95" customHeight="1">
      <c r="A1562" s="82">
        <v>25</v>
      </c>
      <c r="B1562" s="91" t="str">
        <f t="shared" si="130"/>
        <v>3B.T</v>
      </c>
      <c r="C1562" s="83" t="s">
        <v>362</v>
      </c>
      <c r="D1562" s="81" t="s">
        <v>521</v>
      </c>
      <c r="E1562" s="48">
        <v>101554</v>
      </c>
      <c r="F1562" s="30" t="s">
        <v>191</v>
      </c>
      <c r="G1562" s="29" t="s">
        <v>1537</v>
      </c>
      <c r="H1562" s="30" t="s">
        <v>475</v>
      </c>
      <c r="I1562" s="78"/>
      <c r="J1562" s="20"/>
      <c r="K1562" s="20"/>
      <c r="L1562" s="20"/>
      <c r="M1562" s="20"/>
      <c r="N1562" s="179" t="s">
        <v>502</v>
      </c>
      <c r="O1562" s="70">
        <v>0</v>
      </c>
      <c r="P1562" s="70">
        <v>0</v>
      </c>
      <c r="Q1562" s="70">
        <v>0</v>
      </c>
      <c r="R1562" s="70"/>
      <c r="S1562" s="67"/>
      <c r="T1562" s="2" t="str">
        <f t="shared" si="126"/>
        <v>Võ Kim Phụng_12AT2</v>
      </c>
      <c r="U1562" s="28">
        <f t="array" ref="U1562">IFERROR(VLOOKUP($T1562,'Nghi hoc T12'!$H$7:$I$160,2,0),0)</f>
        <v>0</v>
      </c>
      <c r="V1562" s="28"/>
      <c r="W1562" s="28">
        <f t="shared" si="127"/>
        <v>0</v>
      </c>
      <c r="X1562" s="333">
        <f t="shared" si="128"/>
        <v>0</v>
      </c>
      <c r="Y1562" s="333">
        <f t="shared" si="129"/>
        <v>0</v>
      </c>
    </row>
    <row r="1563" spans="1:25" s="2" customFormat="1" ht="21.95" customHeight="1">
      <c r="A1563" s="82">
        <v>26</v>
      </c>
      <c r="B1563" s="91" t="str">
        <f t="shared" si="130"/>
        <v>3B.T</v>
      </c>
      <c r="C1563" s="83" t="s">
        <v>362</v>
      </c>
      <c r="D1563" s="81" t="s">
        <v>521</v>
      </c>
      <c r="E1563" s="48">
        <v>101555</v>
      </c>
      <c r="F1563" s="30" t="s">
        <v>2065</v>
      </c>
      <c r="G1563" s="29" t="s">
        <v>43</v>
      </c>
      <c r="H1563" s="30" t="s">
        <v>476</v>
      </c>
      <c r="I1563" s="78"/>
      <c r="J1563" s="20"/>
      <c r="K1563" s="20"/>
      <c r="L1563" s="20"/>
      <c r="M1563" s="20"/>
      <c r="N1563" s="179" t="s">
        <v>502</v>
      </c>
      <c r="O1563" s="70">
        <v>0</v>
      </c>
      <c r="P1563" s="70">
        <v>0</v>
      </c>
      <c r="Q1563" s="70">
        <v>0</v>
      </c>
      <c r="R1563" s="70"/>
      <c r="S1563" s="67"/>
      <c r="T1563" s="2" t="str">
        <f t="shared" si="126"/>
        <v>Kpă Phương_12AT1</v>
      </c>
      <c r="U1563" s="28">
        <f t="array" ref="U1563">IFERROR(VLOOKUP($T1563,'Nghi hoc T12'!$H$7:$I$160,2,0),0)</f>
        <v>0</v>
      </c>
      <c r="V1563" s="28"/>
      <c r="W1563" s="28">
        <f t="shared" si="127"/>
        <v>0</v>
      </c>
      <c r="X1563" s="333">
        <f t="shared" si="128"/>
        <v>0</v>
      </c>
      <c r="Y1563" s="333">
        <f t="shared" si="129"/>
        <v>0</v>
      </c>
    </row>
    <row r="1564" spans="1:25" s="2" customFormat="1" ht="21.95" customHeight="1">
      <c r="A1564" s="82">
        <v>27</v>
      </c>
      <c r="B1564" s="91" t="str">
        <f t="shared" si="130"/>
        <v>3B.T</v>
      </c>
      <c r="C1564" s="83" t="s">
        <v>362</v>
      </c>
      <c r="D1564" s="81" t="s">
        <v>521</v>
      </c>
      <c r="E1564" s="48">
        <v>101556</v>
      </c>
      <c r="F1564" s="30" t="s">
        <v>2066</v>
      </c>
      <c r="G1564" s="29" t="s">
        <v>44</v>
      </c>
      <c r="H1564" s="30" t="s">
        <v>476</v>
      </c>
      <c r="I1564" s="78"/>
      <c r="J1564" s="20"/>
      <c r="K1564" s="20"/>
      <c r="L1564" s="20"/>
      <c r="M1564" s="20"/>
      <c r="N1564" s="179" t="s">
        <v>502</v>
      </c>
      <c r="O1564" s="70">
        <v>0</v>
      </c>
      <c r="P1564" s="70">
        <v>0</v>
      </c>
      <c r="Q1564" s="70">
        <v>0</v>
      </c>
      <c r="R1564" s="70"/>
      <c r="S1564" s="67"/>
      <c r="T1564" s="2" t="str">
        <f t="shared" si="126"/>
        <v>Lê Nguyễn Phú Quang_12AT1</v>
      </c>
      <c r="U1564" s="28">
        <f t="array" ref="U1564">IFERROR(VLOOKUP($T1564,'Nghi hoc T12'!$H$7:$I$160,2,0),0)</f>
        <v>0</v>
      </c>
      <c r="V1564" s="28"/>
      <c r="W1564" s="28">
        <f t="shared" si="127"/>
        <v>0</v>
      </c>
      <c r="X1564" s="333">
        <f t="shared" si="128"/>
        <v>0</v>
      </c>
      <c r="Y1564" s="333">
        <f t="shared" si="129"/>
        <v>0</v>
      </c>
    </row>
    <row r="1565" spans="1:25" s="2" customFormat="1" ht="21.95" customHeight="1">
      <c r="A1565" s="82">
        <v>28</v>
      </c>
      <c r="B1565" s="91" t="str">
        <f t="shared" si="130"/>
        <v>3B.T</v>
      </c>
      <c r="C1565" s="83" t="s">
        <v>362</v>
      </c>
      <c r="D1565" s="81" t="s">
        <v>521</v>
      </c>
      <c r="E1565" s="48">
        <v>101557</v>
      </c>
      <c r="F1565" s="30" t="s">
        <v>210</v>
      </c>
      <c r="G1565" s="29" t="s">
        <v>44</v>
      </c>
      <c r="H1565" s="30" t="s">
        <v>476</v>
      </c>
      <c r="I1565" s="78"/>
      <c r="J1565" s="20"/>
      <c r="K1565" s="20"/>
      <c r="L1565" s="20"/>
      <c r="M1565" s="20"/>
      <c r="N1565" s="179" t="s">
        <v>502</v>
      </c>
      <c r="O1565" s="70">
        <v>0</v>
      </c>
      <c r="P1565" s="70">
        <v>0</v>
      </c>
      <c r="Q1565" s="70">
        <v>0</v>
      </c>
      <c r="R1565" s="70"/>
      <c r="S1565" s="67"/>
      <c r="T1565" s="2" t="str">
        <f t="shared" si="126"/>
        <v>Võ Minh Quang_12AT1</v>
      </c>
      <c r="U1565" s="28">
        <f t="array" ref="U1565">IFERROR(VLOOKUP($T1565,'Nghi hoc T12'!$H$7:$I$160,2,0),0)</f>
        <v>0</v>
      </c>
      <c r="V1565" s="28"/>
      <c r="W1565" s="28">
        <f t="shared" si="127"/>
        <v>0</v>
      </c>
      <c r="X1565" s="333">
        <f t="shared" si="128"/>
        <v>0</v>
      </c>
      <c r="Y1565" s="333">
        <f t="shared" si="129"/>
        <v>0</v>
      </c>
    </row>
    <row r="1566" spans="1:25" s="2" customFormat="1" ht="21.95" customHeight="1">
      <c r="A1566" s="82">
        <v>29</v>
      </c>
      <c r="B1566" s="91" t="str">
        <f t="shared" si="130"/>
        <v>3B.T</v>
      </c>
      <c r="C1566" s="83" t="s">
        <v>362</v>
      </c>
      <c r="D1566" s="81" t="s">
        <v>521</v>
      </c>
      <c r="E1566" s="48">
        <v>101558</v>
      </c>
      <c r="F1566" s="30" t="s">
        <v>304</v>
      </c>
      <c r="G1566" s="29" t="s">
        <v>57</v>
      </c>
      <c r="H1566" s="30" t="s">
        <v>476</v>
      </c>
      <c r="I1566" s="78"/>
      <c r="J1566" s="20"/>
      <c r="K1566" s="20"/>
      <c r="L1566" s="20"/>
      <c r="M1566" s="20"/>
      <c r="N1566" s="179" t="s">
        <v>502</v>
      </c>
      <c r="O1566" s="70">
        <v>0</v>
      </c>
      <c r="P1566" s="70">
        <v>0</v>
      </c>
      <c r="Q1566" s="70">
        <v>0</v>
      </c>
      <c r="R1566" s="70"/>
      <c r="S1566" s="67"/>
      <c r="T1566" s="2" t="str">
        <f t="shared" si="126"/>
        <v>Nguyễn Thế Quân_12AT1</v>
      </c>
      <c r="U1566" s="28">
        <f t="array" ref="U1566">IFERROR(VLOOKUP($T1566,'Nghi hoc T12'!$H$7:$I$160,2,0),0)</f>
        <v>0</v>
      </c>
      <c r="V1566" s="28"/>
      <c r="W1566" s="28">
        <f t="shared" si="127"/>
        <v>0</v>
      </c>
      <c r="X1566" s="333">
        <f t="shared" si="128"/>
        <v>0</v>
      </c>
      <c r="Y1566" s="333">
        <f t="shared" si="129"/>
        <v>0</v>
      </c>
    </row>
    <row r="1567" spans="1:25" s="2" customFormat="1" ht="21.95" customHeight="1">
      <c r="A1567" s="82">
        <v>30</v>
      </c>
      <c r="B1567" s="91" t="str">
        <f t="shared" si="130"/>
        <v>3B.T</v>
      </c>
      <c r="C1567" s="83" t="s">
        <v>362</v>
      </c>
      <c r="D1567" s="81" t="s">
        <v>521</v>
      </c>
      <c r="E1567" s="48">
        <v>101559</v>
      </c>
      <c r="F1567" s="30" t="s">
        <v>186</v>
      </c>
      <c r="G1567" s="29" t="s">
        <v>47</v>
      </c>
      <c r="H1567" s="30" t="s">
        <v>476</v>
      </c>
      <c r="I1567" s="78"/>
      <c r="J1567" s="20"/>
      <c r="K1567" s="20"/>
      <c r="L1567" s="20"/>
      <c r="M1567" s="20"/>
      <c r="N1567" s="179" t="s">
        <v>502</v>
      </c>
      <c r="O1567" s="70">
        <v>0</v>
      </c>
      <c r="P1567" s="70">
        <v>0</v>
      </c>
      <c r="Q1567" s="70">
        <v>0</v>
      </c>
      <c r="R1567" s="70"/>
      <c r="S1567" s="67"/>
      <c r="T1567" s="2" t="str">
        <f t="shared" si="126"/>
        <v>Nguyễn Minh Sang_12AT1</v>
      </c>
      <c r="U1567" s="28">
        <f t="array" ref="U1567">IFERROR(VLOOKUP($T1567,'Nghi hoc T12'!$H$7:$I$160,2,0),0)</f>
        <v>0</v>
      </c>
      <c r="V1567" s="28"/>
      <c r="W1567" s="28">
        <f t="shared" si="127"/>
        <v>0</v>
      </c>
      <c r="X1567" s="333">
        <f t="shared" si="128"/>
        <v>0</v>
      </c>
      <c r="Y1567" s="333">
        <f t="shared" si="129"/>
        <v>0</v>
      </c>
    </row>
    <row r="1568" spans="1:25" s="2" customFormat="1" ht="21.95" customHeight="1">
      <c r="A1568" s="82">
        <v>31</v>
      </c>
      <c r="B1568" s="91" t="str">
        <f t="shared" si="130"/>
        <v>3B.T</v>
      </c>
      <c r="C1568" s="83" t="s">
        <v>362</v>
      </c>
      <c r="D1568" s="81" t="s">
        <v>521</v>
      </c>
      <c r="E1568" s="48">
        <v>101560</v>
      </c>
      <c r="F1568" s="30" t="s">
        <v>2067</v>
      </c>
      <c r="G1568" s="29" t="s">
        <v>93</v>
      </c>
      <c r="H1568" s="30" t="s">
        <v>476</v>
      </c>
      <c r="I1568" s="78"/>
      <c r="J1568" s="20"/>
      <c r="K1568" s="20"/>
      <c r="L1568" s="20"/>
      <c r="M1568" s="20"/>
      <c r="N1568" s="179" t="s">
        <v>502</v>
      </c>
      <c r="O1568" s="70">
        <v>0</v>
      </c>
      <c r="P1568" s="70">
        <v>0</v>
      </c>
      <c r="Q1568" s="70">
        <v>0</v>
      </c>
      <c r="R1568" s="70"/>
      <c r="S1568" s="67"/>
      <c r="T1568" s="2" t="str">
        <f t="shared" si="126"/>
        <v>Lâm Hữu Tài_12AT1</v>
      </c>
      <c r="U1568" s="28">
        <f t="array" ref="U1568">IFERROR(VLOOKUP($T1568,'Nghi hoc T12'!$H$7:$I$160,2,0),0)</f>
        <v>0</v>
      </c>
      <c r="V1568" s="28"/>
      <c r="W1568" s="28">
        <f t="shared" si="127"/>
        <v>0</v>
      </c>
      <c r="X1568" s="333">
        <f t="shared" si="128"/>
        <v>0</v>
      </c>
      <c r="Y1568" s="333">
        <f t="shared" si="129"/>
        <v>0</v>
      </c>
    </row>
    <row r="1569" spans="1:25" s="2" customFormat="1" ht="21.95" customHeight="1">
      <c r="A1569" s="200">
        <v>1</v>
      </c>
      <c r="B1569" s="91" t="str">
        <f t="shared" si="130"/>
        <v>4B.T</v>
      </c>
      <c r="C1569" s="185" t="s">
        <v>362</v>
      </c>
      <c r="D1569" s="186" t="s">
        <v>522</v>
      </c>
      <c r="E1569" s="187">
        <v>101561</v>
      </c>
      <c r="F1569" s="188" t="s">
        <v>2093</v>
      </c>
      <c r="G1569" s="189" t="s">
        <v>93</v>
      </c>
      <c r="H1569" s="188" t="s">
        <v>475</v>
      </c>
      <c r="I1569" s="190" t="s">
        <v>529</v>
      </c>
      <c r="J1569" s="191"/>
      <c r="K1569" s="191"/>
      <c r="L1569" s="191"/>
      <c r="M1569" s="191"/>
      <c r="N1569" s="179" t="s">
        <v>502</v>
      </c>
      <c r="O1569" s="70">
        <v>0</v>
      </c>
      <c r="P1569" s="70">
        <v>0</v>
      </c>
      <c r="Q1569" s="70" t="s">
        <v>3334</v>
      </c>
      <c r="R1569" s="70"/>
      <c r="S1569" s="67"/>
      <c r="T1569" s="2" t="str">
        <f t="shared" si="126"/>
        <v>Võ Đức Tài_12AT2</v>
      </c>
      <c r="U1569" s="28">
        <f t="array" ref="U1569">IFERROR(VLOOKUP($T1569,'Nghi hoc T12'!$H$7:$I$160,2,0),0)</f>
        <v>0</v>
      </c>
      <c r="V1569" s="28"/>
      <c r="W1569" s="28" t="str">
        <f t="shared" si="127"/>
        <v>Nghỉ học</v>
      </c>
      <c r="X1569" s="333">
        <f t="shared" si="128"/>
        <v>0</v>
      </c>
      <c r="Y1569" s="333">
        <f t="shared" si="129"/>
        <v>0</v>
      </c>
    </row>
    <row r="1570" spans="1:25" s="2" customFormat="1" ht="21.95" customHeight="1">
      <c r="A1570" s="82">
        <v>2</v>
      </c>
      <c r="B1570" s="91" t="str">
        <f t="shared" si="130"/>
        <v>4B.T</v>
      </c>
      <c r="C1570" s="83" t="s">
        <v>362</v>
      </c>
      <c r="D1570" s="81" t="s">
        <v>522</v>
      </c>
      <c r="E1570" s="48">
        <v>101562</v>
      </c>
      <c r="F1570" s="30" t="s">
        <v>227</v>
      </c>
      <c r="G1570" s="29" t="s">
        <v>24</v>
      </c>
      <c r="H1570" s="30" t="s">
        <v>475</v>
      </c>
      <c r="I1570" s="78"/>
      <c r="J1570" s="20"/>
      <c r="K1570" s="20"/>
      <c r="L1570" s="20"/>
      <c r="M1570" s="20"/>
      <c r="N1570" s="179" t="s">
        <v>502</v>
      </c>
      <c r="O1570" s="70">
        <v>0</v>
      </c>
      <c r="P1570" s="70">
        <v>0</v>
      </c>
      <c r="Q1570" s="70">
        <v>0</v>
      </c>
      <c r="R1570" s="70"/>
      <c r="S1570" s="67"/>
      <c r="T1570" s="2" t="str">
        <f t="shared" si="126"/>
        <v>Nguyễn Thị Tâm_12AT2</v>
      </c>
      <c r="U1570" s="28">
        <f t="array" ref="U1570">IFERROR(VLOOKUP($T1570,'Nghi hoc T12'!$H$7:$I$160,2,0),0)</f>
        <v>0</v>
      </c>
      <c r="V1570" s="28"/>
      <c r="W1570" s="28">
        <f t="shared" si="127"/>
        <v>0</v>
      </c>
      <c r="X1570" s="333">
        <f t="shared" si="128"/>
        <v>0</v>
      </c>
      <c r="Y1570" s="333">
        <f t="shared" si="129"/>
        <v>0</v>
      </c>
    </row>
    <row r="1571" spans="1:25" s="2" customFormat="1" ht="21.95" customHeight="1">
      <c r="A1571" s="82">
        <v>3</v>
      </c>
      <c r="B1571" s="91" t="str">
        <f t="shared" si="130"/>
        <v>4B.T</v>
      </c>
      <c r="C1571" s="83" t="s">
        <v>362</v>
      </c>
      <c r="D1571" s="81" t="s">
        <v>522</v>
      </c>
      <c r="E1571" s="48">
        <v>101563</v>
      </c>
      <c r="F1571" s="30" t="s">
        <v>2094</v>
      </c>
      <c r="G1571" s="29" t="s">
        <v>97</v>
      </c>
      <c r="H1571" s="30" t="s">
        <v>475</v>
      </c>
      <c r="I1571" s="78"/>
      <c r="J1571" s="20"/>
      <c r="K1571" s="20"/>
      <c r="L1571" s="20"/>
      <c r="M1571" s="20"/>
      <c r="N1571" s="179" t="s">
        <v>502</v>
      </c>
      <c r="O1571" s="70">
        <v>0</v>
      </c>
      <c r="P1571" s="70">
        <v>0</v>
      </c>
      <c r="Q1571" s="70">
        <v>0</v>
      </c>
      <c r="R1571" s="70"/>
      <c r="S1571" s="67"/>
      <c r="T1571" s="2" t="str">
        <f t="shared" si="126"/>
        <v>Võ Nguyễn Hoài Tân_12AT2</v>
      </c>
      <c r="U1571" s="28">
        <f t="array" ref="U1571">IFERROR(VLOOKUP($T1571,'Nghi hoc T12'!$H$7:$I$160,2,0),0)</f>
        <v>0</v>
      </c>
      <c r="V1571" s="28"/>
      <c r="W1571" s="28">
        <f t="shared" si="127"/>
        <v>0</v>
      </c>
      <c r="X1571" s="333">
        <f t="shared" si="128"/>
        <v>0</v>
      </c>
      <c r="Y1571" s="333">
        <f t="shared" si="129"/>
        <v>0</v>
      </c>
    </row>
    <row r="1572" spans="1:25" s="2" customFormat="1" ht="21.95" customHeight="1">
      <c r="A1572" s="82">
        <v>4</v>
      </c>
      <c r="B1572" s="91" t="str">
        <f t="shared" si="130"/>
        <v>4B.T</v>
      </c>
      <c r="C1572" s="83" t="s">
        <v>362</v>
      </c>
      <c r="D1572" s="81" t="s">
        <v>522</v>
      </c>
      <c r="E1572" s="48">
        <v>101564</v>
      </c>
      <c r="F1572" s="30" t="s">
        <v>183</v>
      </c>
      <c r="G1572" s="29" t="s">
        <v>49</v>
      </c>
      <c r="H1572" s="30" t="s">
        <v>476</v>
      </c>
      <c r="I1572" s="78"/>
      <c r="J1572" s="20"/>
      <c r="K1572" s="20"/>
      <c r="L1572" s="20"/>
      <c r="M1572" s="20"/>
      <c r="N1572" s="179" t="s">
        <v>502</v>
      </c>
      <c r="O1572" s="70">
        <v>0</v>
      </c>
      <c r="P1572" s="70">
        <v>0</v>
      </c>
      <c r="Q1572" s="70">
        <v>0</v>
      </c>
      <c r="R1572" s="70"/>
      <c r="S1572" s="67"/>
      <c r="T1572" s="2" t="str">
        <f t="shared" si="126"/>
        <v>Nguyễn Thanh Thảo_12AT1</v>
      </c>
      <c r="U1572" s="28">
        <f t="array" ref="U1572">IFERROR(VLOOKUP($T1572,'Nghi hoc T12'!$H$7:$I$160,2,0),0)</f>
        <v>0</v>
      </c>
      <c r="V1572" s="28"/>
      <c r="W1572" s="28">
        <f t="shared" si="127"/>
        <v>0</v>
      </c>
      <c r="X1572" s="333">
        <f t="shared" si="128"/>
        <v>0</v>
      </c>
      <c r="Y1572" s="333">
        <f t="shared" si="129"/>
        <v>0</v>
      </c>
    </row>
    <row r="1573" spans="1:25" s="2" customFormat="1" ht="21.95" customHeight="1">
      <c r="A1573" s="82">
        <v>5</v>
      </c>
      <c r="B1573" s="91" t="str">
        <f t="shared" si="130"/>
        <v>4B.T</v>
      </c>
      <c r="C1573" s="83" t="s">
        <v>362</v>
      </c>
      <c r="D1573" s="81" t="s">
        <v>522</v>
      </c>
      <c r="E1573" s="48">
        <v>101565</v>
      </c>
      <c r="F1573" s="30" t="s">
        <v>293</v>
      </c>
      <c r="G1573" s="29" t="s">
        <v>48</v>
      </c>
      <c r="H1573" s="30" t="s">
        <v>475</v>
      </c>
      <c r="I1573" s="78"/>
      <c r="J1573" s="20"/>
      <c r="K1573" s="20"/>
      <c r="L1573" s="20"/>
      <c r="M1573" s="20"/>
      <c r="N1573" s="179" t="s">
        <v>502</v>
      </c>
      <c r="O1573" s="70">
        <v>0</v>
      </c>
      <c r="P1573" s="70">
        <v>0</v>
      </c>
      <c r="Q1573" s="70">
        <v>0</v>
      </c>
      <c r="R1573" s="70"/>
      <c r="S1573" s="67"/>
      <c r="T1573" s="2" t="str">
        <f t="shared" si="126"/>
        <v>Lê Quốc Thắng_12AT2</v>
      </c>
      <c r="U1573" s="28">
        <f t="array" ref="U1573">IFERROR(VLOOKUP($T1573,'Nghi hoc T12'!$H$7:$I$160,2,0),0)</f>
        <v>0</v>
      </c>
      <c r="V1573" s="28"/>
      <c r="W1573" s="28">
        <f t="shared" si="127"/>
        <v>0</v>
      </c>
      <c r="X1573" s="333">
        <f t="shared" si="128"/>
        <v>0</v>
      </c>
      <c r="Y1573" s="333">
        <f t="shared" si="129"/>
        <v>0</v>
      </c>
    </row>
    <row r="1574" spans="1:25" s="2" customFormat="1" ht="21.95" customHeight="1">
      <c r="A1574" s="82">
        <v>6</v>
      </c>
      <c r="B1574" s="91" t="str">
        <f t="shared" si="130"/>
        <v>4B.T</v>
      </c>
      <c r="C1574" s="83" t="s">
        <v>362</v>
      </c>
      <c r="D1574" s="81" t="s">
        <v>522</v>
      </c>
      <c r="E1574" s="48">
        <v>101566</v>
      </c>
      <c r="F1574" s="30" t="s">
        <v>299</v>
      </c>
      <c r="G1574" s="29" t="s">
        <v>48</v>
      </c>
      <c r="H1574" s="30" t="s">
        <v>476</v>
      </c>
      <c r="I1574" s="78" t="s">
        <v>529</v>
      </c>
      <c r="J1574" s="20"/>
      <c r="K1574" s="20"/>
      <c r="L1574" s="20"/>
      <c r="M1574" s="20"/>
      <c r="N1574" s="179" t="s">
        <v>502</v>
      </c>
      <c r="O1574" s="70">
        <v>0</v>
      </c>
      <c r="P1574" s="70">
        <v>0</v>
      </c>
      <c r="Q1574" s="70" t="s">
        <v>3334</v>
      </c>
      <c r="R1574" s="70"/>
      <c r="S1574" s="67"/>
      <c r="T1574" s="2" t="str">
        <f t="shared" si="126"/>
        <v>Nguyễn Đình Thắng_12AT1</v>
      </c>
      <c r="U1574" s="28" t="str">
        <f t="array" ref="U1574">IFERROR(VLOOKUP($T1574,'Nghi hoc T12'!$H$7:$I$160,2,0),0)</f>
        <v>NgiH</v>
      </c>
      <c r="V1574" s="28"/>
      <c r="W1574" s="28" t="str">
        <f t="shared" si="127"/>
        <v>Nghỉ học</v>
      </c>
      <c r="X1574" s="333">
        <f t="shared" si="128"/>
        <v>0</v>
      </c>
      <c r="Y1574" s="333">
        <f t="shared" si="129"/>
        <v>0</v>
      </c>
    </row>
    <row r="1575" spans="1:25" s="2" customFormat="1" ht="21.95" customHeight="1">
      <c r="A1575" s="82">
        <v>7</v>
      </c>
      <c r="B1575" s="91" t="str">
        <f t="shared" si="130"/>
        <v>4B.T</v>
      </c>
      <c r="C1575" s="83" t="s">
        <v>362</v>
      </c>
      <c r="D1575" s="81" t="s">
        <v>522</v>
      </c>
      <c r="E1575" s="48">
        <v>101567</v>
      </c>
      <c r="F1575" s="30" t="s">
        <v>300</v>
      </c>
      <c r="G1575" s="29" t="s">
        <v>105</v>
      </c>
      <c r="H1575" s="30" t="s">
        <v>475</v>
      </c>
      <c r="I1575" s="78"/>
      <c r="J1575" s="20"/>
      <c r="K1575" s="20"/>
      <c r="L1575" s="20"/>
      <c r="M1575" s="20"/>
      <c r="N1575" s="179" t="s">
        <v>502</v>
      </c>
      <c r="O1575" s="70">
        <v>0</v>
      </c>
      <c r="P1575" s="70">
        <v>0</v>
      </c>
      <c r="Q1575" s="70">
        <v>0</v>
      </c>
      <c r="R1575" s="70"/>
      <c r="S1575" s="67"/>
      <c r="T1575" s="2" t="str">
        <f t="shared" si="126"/>
        <v>Trần Thị Bảo Thi_12AT2</v>
      </c>
      <c r="U1575" s="28">
        <f t="array" ref="U1575">IFERROR(VLOOKUP($T1575,'Nghi hoc T12'!$H$7:$I$160,2,0),0)</f>
        <v>0</v>
      </c>
      <c r="V1575" s="28"/>
      <c r="W1575" s="28">
        <f t="shared" si="127"/>
        <v>0</v>
      </c>
      <c r="X1575" s="333">
        <f t="shared" si="128"/>
        <v>0</v>
      </c>
      <c r="Y1575" s="333">
        <f t="shared" si="129"/>
        <v>0</v>
      </c>
    </row>
    <row r="1576" spans="1:25" s="2" customFormat="1" ht="21.95" customHeight="1">
      <c r="A1576" s="82">
        <v>8</v>
      </c>
      <c r="B1576" s="91" t="str">
        <f t="shared" si="130"/>
        <v>4B.T</v>
      </c>
      <c r="C1576" s="83" t="s">
        <v>362</v>
      </c>
      <c r="D1576" s="81" t="s">
        <v>522</v>
      </c>
      <c r="E1576" s="48">
        <v>101568</v>
      </c>
      <c r="F1576" s="30" t="s">
        <v>306</v>
      </c>
      <c r="G1576" s="29" t="s">
        <v>121</v>
      </c>
      <c r="H1576" s="30" t="s">
        <v>476</v>
      </c>
      <c r="I1576" s="78"/>
      <c r="J1576" s="20"/>
      <c r="K1576" s="20"/>
      <c r="L1576" s="20"/>
      <c r="M1576" s="20"/>
      <c r="N1576" s="179" t="s">
        <v>502</v>
      </c>
      <c r="O1576" s="70">
        <v>0</v>
      </c>
      <c r="P1576" s="70">
        <v>0</v>
      </c>
      <c r="Q1576" s="70">
        <v>0</v>
      </c>
      <c r="R1576" s="70"/>
      <c r="S1576" s="67"/>
      <c r="T1576" s="2" t="str">
        <f t="shared" si="126"/>
        <v>Phạm Thị Thu_12AT1</v>
      </c>
      <c r="U1576" s="28">
        <f t="array" ref="U1576">IFERROR(VLOOKUP($T1576,'Nghi hoc T12'!$H$7:$I$160,2,0),0)</f>
        <v>0</v>
      </c>
      <c r="V1576" s="28"/>
      <c r="W1576" s="28">
        <f t="shared" si="127"/>
        <v>0</v>
      </c>
      <c r="X1576" s="333">
        <f t="shared" si="128"/>
        <v>0</v>
      </c>
      <c r="Y1576" s="333">
        <f t="shared" si="129"/>
        <v>0</v>
      </c>
    </row>
    <row r="1577" spans="1:25" s="2" customFormat="1" ht="21.95" customHeight="1">
      <c r="A1577" s="82">
        <v>9</v>
      </c>
      <c r="B1577" s="91" t="str">
        <f t="shared" si="130"/>
        <v>4B.T</v>
      </c>
      <c r="C1577" s="83" t="s">
        <v>362</v>
      </c>
      <c r="D1577" s="81" t="s">
        <v>522</v>
      </c>
      <c r="E1577" s="48">
        <v>101569</v>
      </c>
      <c r="F1577" s="30" t="s">
        <v>268</v>
      </c>
      <c r="G1577" s="29" t="s">
        <v>2068</v>
      </c>
      <c r="H1577" s="30" t="s">
        <v>476</v>
      </c>
      <c r="I1577" s="78"/>
      <c r="J1577" s="20"/>
      <c r="K1577" s="20"/>
      <c r="L1577" s="20"/>
      <c r="M1577" s="20"/>
      <c r="N1577" s="179" t="s">
        <v>502</v>
      </c>
      <c r="O1577" s="70">
        <v>0</v>
      </c>
      <c r="P1577" s="70">
        <v>0</v>
      </c>
      <c r="Q1577" s="70">
        <v>0</v>
      </c>
      <c r="R1577" s="70"/>
      <c r="S1577" s="67"/>
      <c r="T1577" s="2" t="str">
        <f t="shared" si="126"/>
        <v>Nguyễn Văn Thuật_12AT1</v>
      </c>
      <c r="U1577" s="28">
        <f t="array" ref="U1577">IFERROR(VLOOKUP($T1577,'Nghi hoc T12'!$H$7:$I$160,2,0),0)</f>
        <v>0</v>
      </c>
      <c r="V1577" s="28"/>
      <c r="W1577" s="28">
        <f t="shared" si="127"/>
        <v>0</v>
      </c>
      <c r="X1577" s="333">
        <f t="shared" si="128"/>
        <v>0</v>
      </c>
      <c r="Y1577" s="333">
        <f t="shared" si="129"/>
        <v>0</v>
      </c>
    </row>
    <row r="1578" spans="1:25" s="2" customFormat="1" ht="21.95" customHeight="1">
      <c r="A1578" s="82">
        <v>10</v>
      </c>
      <c r="B1578" s="91" t="str">
        <f t="shared" si="130"/>
        <v>4B.T</v>
      </c>
      <c r="C1578" s="83" t="s">
        <v>362</v>
      </c>
      <c r="D1578" s="81" t="s">
        <v>522</v>
      </c>
      <c r="E1578" s="48">
        <v>101570</v>
      </c>
      <c r="F1578" s="30" t="s">
        <v>2069</v>
      </c>
      <c r="G1578" s="29" t="s">
        <v>1782</v>
      </c>
      <c r="H1578" s="30" t="s">
        <v>476</v>
      </c>
      <c r="I1578" s="78"/>
      <c r="J1578" s="20"/>
      <c r="K1578" s="20"/>
      <c r="L1578" s="20"/>
      <c r="M1578" s="20"/>
      <c r="N1578" s="179" t="s">
        <v>502</v>
      </c>
      <c r="O1578" s="70">
        <v>0</v>
      </c>
      <c r="P1578" s="70">
        <v>0</v>
      </c>
      <c r="Q1578" s="70">
        <v>0</v>
      </c>
      <c r="R1578" s="70"/>
      <c r="S1578" s="67"/>
      <c r="T1578" s="2" t="str">
        <f t="shared" si="126"/>
        <v>Hoàng Lệ Thúy_12AT1</v>
      </c>
      <c r="U1578" s="28">
        <f t="array" ref="U1578">IFERROR(VLOOKUP($T1578,'Nghi hoc T12'!$H$7:$I$160,2,0),0)</f>
        <v>0</v>
      </c>
      <c r="V1578" s="28"/>
      <c r="W1578" s="28">
        <f t="shared" si="127"/>
        <v>0</v>
      </c>
      <c r="X1578" s="333">
        <f t="shared" si="128"/>
        <v>0</v>
      </c>
      <c r="Y1578" s="333">
        <f t="shared" si="129"/>
        <v>0</v>
      </c>
    </row>
    <row r="1579" spans="1:25" s="2" customFormat="1" ht="21.95" customHeight="1">
      <c r="A1579" s="82">
        <v>11</v>
      </c>
      <c r="B1579" s="91" t="str">
        <f t="shared" si="130"/>
        <v>4B.T</v>
      </c>
      <c r="C1579" s="83" t="s">
        <v>362</v>
      </c>
      <c r="D1579" s="81" t="s">
        <v>522</v>
      </c>
      <c r="E1579" s="48">
        <v>101571</v>
      </c>
      <c r="F1579" s="30" t="s">
        <v>1319</v>
      </c>
      <c r="G1579" s="29" t="s">
        <v>28</v>
      </c>
      <c r="H1579" s="30" t="s">
        <v>475</v>
      </c>
      <c r="I1579" s="78"/>
      <c r="J1579" s="20"/>
      <c r="K1579" s="20"/>
      <c r="L1579" s="20"/>
      <c r="M1579" s="20"/>
      <c r="N1579" s="179" t="s">
        <v>502</v>
      </c>
      <c r="O1579" s="70">
        <v>0</v>
      </c>
      <c r="P1579" s="70">
        <v>0</v>
      </c>
      <c r="Q1579" s="70">
        <v>0</v>
      </c>
      <c r="R1579" s="70"/>
      <c r="S1579" s="67"/>
      <c r="T1579" s="2" t="str">
        <f t="shared" si="126"/>
        <v>Lê Nguyễn Minh Thư_12AT2</v>
      </c>
      <c r="U1579" s="28">
        <f t="array" ref="U1579">IFERROR(VLOOKUP($T1579,'Nghi hoc T12'!$H$7:$I$160,2,0),0)</f>
        <v>0</v>
      </c>
      <c r="V1579" s="28"/>
      <c r="W1579" s="28">
        <f t="shared" si="127"/>
        <v>0</v>
      </c>
      <c r="X1579" s="333">
        <f t="shared" si="128"/>
        <v>0</v>
      </c>
      <c r="Y1579" s="333">
        <f t="shared" si="129"/>
        <v>0</v>
      </c>
    </row>
    <row r="1580" spans="1:25" s="2" customFormat="1" ht="21.95" customHeight="1">
      <c r="A1580" s="82">
        <v>12</v>
      </c>
      <c r="B1580" s="91" t="str">
        <f t="shared" si="130"/>
        <v>4B.T</v>
      </c>
      <c r="C1580" s="83" t="s">
        <v>362</v>
      </c>
      <c r="D1580" s="81" t="s">
        <v>522</v>
      </c>
      <c r="E1580" s="48">
        <v>101572</v>
      </c>
      <c r="F1580" s="30" t="s">
        <v>156</v>
      </c>
      <c r="G1580" s="29" t="s">
        <v>28</v>
      </c>
      <c r="H1580" s="30" t="s">
        <v>476</v>
      </c>
      <c r="I1580" s="78"/>
      <c r="J1580" s="20"/>
      <c r="K1580" s="20"/>
      <c r="L1580" s="20"/>
      <c r="M1580" s="20"/>
      <c r="N1580" s="179" t="s">
        <v>502</v>
      </c>
      <c r="O1580" s="70">
        <v>0</v>
      </c>
      <c r="P1580" s="70">
        <v>0</v>
      </c>
      <c r="Q1580" s="70">
        <v>0</v>
      </c>
      <c r="R1580" s="70"/>
      <c r="S1580" s="67"/>
      <c r="T1580" s="2" t="str">
        <f t="shared" si="126"/>
        <v>Trần Minh Thư_12AT1</v>
      </c>
      <c r="U1580" s="28">
        <f t="array" ref="U1580">IFERROR(VLOOKUP($T1580,'Nghi hoc T12'!$H$7:$I$160,2,0),0)</f>
        <v>0</v>
      </c>
      <c r="V1580" s="28"/>
      <c r="W1580" s="28">
        <f t="shared" si="127"/>
        <v>0</v>
      </c>
      <c r="X1580" s="333">
        <f t="shared" si="128"/>
        <v>0</v>
      </c>
      <c r="Y1580" s="333">
        <f t="shared" si="129"/>
        <v>0</v>
      </c>
    </row>
    <row r="1581" spans="1:25" s="2" customFormat="1" ht="21.95" customHeight="1">
      <c r="A1581" s="82">
        <v>13</v>
      </c>
      <c r="B1581" s="91" t="str">
        <f t="shared" si="130"/>
        <v>4B.T</v>
      </c>
      <c r="C1581" s="83" t="s">
        <v>362</v>
      </c>
      <c r="D1581" s="81" t="s">
        <v>522</v>
      </c>
      <c r="E1581" s="48">
        <v>101573</v>
      </c>
      <c r="F1581" s="30" t="s">
        <v>225</v>
      </c>
      <c r="G1581" s="29" t="s">
        <v>28</v>
      </c>
      <c r="H1581" s="30" t="s">
        <v>475</v>
      </c>
      <c r="I1581" s="78"/>
      <c r="J1581" s="20"/>
      <c r="K1581" s="20"/>
      <c r="L1581" s="20"/>
      <c r="M1581" s="20"/>
      <c r="N1581" s="179" t="s">
        <v>502</v>
      </c>
      <c r="O1581" s="70">
        <v>0</v>
      </c>
      <c r="P1581" s="70">
        <v>0</v>
      </c>
      <c r="Q1581" s="70">
        <v>0</v>
      </c>
      <c r="R1581" s="70"/>
      <c r="S1581" s="67"/>
      <c r="T1581" s="2" t="str">
        <f t="shared" si="126"/>
        <v>Trần Ngọc Thư_12AT2</v>
      </c>
      <c r="U1581" s="28">
        <f t="array" ref="U1581">IFERROR(VLOOKUP($T1581,'Nghi hoc T12'!$H$7:$I$160,2,0),0)</f>
        <v>0</v>
      </c>
      <c r="V1581" s="28"/>
      <c r="W1581" s="28">
        <f t="shared" si="127"/>
        <v>0</v>
      </c>
      <c r="X1581" s="333">
        <f t="shared" si="128"/>
        <v>0</v>
      </c>
      <c r="Y1581" s="333">
        <f t="shared" si="129"/>
        <v>0</v>
      </c>
    </row>
    <row r="1582" spans="1:25" s="2" customFormat="1" ht="21.95" customHeight="1">
      <c r="A1582" s="82">
        <v>14</v>
      </c>
      <c r="B1582" s="91" t="str">
        <f t="shared" si="130"/>
        <v>4B.T</v>
      </c>
      <c r="C1582" s="83" t="s">
        <v>362</v>
      </c>
      <c r="D1582" s="81" t="s">
        <v>522</v>
      </c>
      <c r="E1582" s="48">
        <v>101574</v>
      </c>
      <c r="F1582" s="30" t="s">
        <v>2070</v>
      </c>
      <c r="G1582" s="29" t="s">
        <v>80</v>
      </c>
      <c r="H1582" s="30" t="s">
        <v>476</v>
      </c>
      <c r="I1582" s="78"/>
      <c r="J1582" s="20"/>
      <c r="K1582" s="20"/>
      <c r="L1582" s="20"/>
      <c r="M1582" s="20"/>
      <c r="N1582" s="179" t="s">
        <v>502</v>
      </c>
      <c r="O1582" s="70">
        <v>0</v>
      </c>
      <c r="P1582" s="70">
        <v>0</v>
      </c>
      <c r="Q1582" s="70">
        <v>0</v>
      </c>
      <c r="R1582" s="70"/>
      <c r="S1582" s="67"/>
      <c r="T1582" s="2" t="str">
        <f t="shared" si="126"/>
        <v>Ngô Thị Cẩm Tiên_12AT1</v>
      </c>
      <c r="U1582" s="28">
        <f t="array" ref="U1582">IFERROR(VLOOKUP($T1582,'Nghi hoc T12'!$H$7:$I$160,2,0),0)</f>
        <v>0</v>
      </c>
      <c r="V1582" s="28"/>
      <c r="W1582" s="28">
        <f t="shared" si="127"/>
        <v>0</v>
      </c>
      <c r="X1582" s="333">
        <f t="shared" si="128"/>
        <v>0</v>
      </c>
      <c r="Y1582" s="333">
        <f t="shared" si="129"/>
        <v>0</v>
      </c>
    </row>
    <row r="1583" spans="1:25" s="2" customFormat="1" ht="21.95" customHeight="1">
      <c r="A1583" s="82">
        <v>15</v>
      </c>
      <c r="B1583" s="91" t="str">
        <f t="shared" si="130"/>
        <v>4B.T</v>
      </c>
      <c r="C1583" s="83" t="s">
        <v>362</v>
      </c>
      <c r="D1583" s="81" t="s">
        <v>522</v>
      </c>
      <c r="E1583" s="48">
        <v>101575</v>
      </c>
      <c r="F1583" s="30" t="s">
        <v>142</v>
      </c>
      <c r="G1583" s="29" t="s">
        <v>215</v>
      </c>
      <c r="H1583" s="30" t="s">
        <v>475</v>
      </c>
      <c r="I1583" s="78"/>
      <c r="J1583" s="20"/>
      <c r="K1583" s="20"/>
      <c r="L1583" s="20"/>
      <c r="M1583" s="20"/>
      <c r="N1583" s="179" t="s">
        <v>502</v>
      </c>
      <c r="O1583" s="70">
        <v>0</v>
      </c>
      <c r="P1583" s="70">
        <v>0</v>
      </c>
      <c r="Q1583" s="70">
        <v>0</v>
      </c>
      <c r="R1583" s="70"/>
      <c r="S1583" s="67"/>
      <c r="T1583" s="2" t="str">
        <f t="shared" si="126"/>
        <v>Nguyễn Tấn Tiến_12AT2</v>
      </c>
      <c r="U1583" s="28" t="s">
        <v>3334</v>
      </c>
      <c r="V1583" s="28"/>
      <c r="W1583" s="28">
        <f t="shared" si="127"/>
        <v>0</v>
      </c>
      <c r="X1583" s="333">
        <f t="shared" si="128"/>
        <v>0</v>
      </c>
      <c r="Y1583" s="333">
        <f t="shared" si="129"/>
        <v>0</v>
      </c>
    </row>
    <row r="1584" spans="1:25" s="2" customFormat="1" ht="21.95" customHeight="1">
      <c r="A1584" s="82">
        <v>16</v>
      </c>
      <c r="B1584" s="91" t="str">
        <f t="shared" si="130"/>
        <v>4B.T</v>
      </c>
      <c r="C1584" s="83" t="s">
        <v>362</v>
      </c>
      <c r="D1584" s="81" t="s">
        <v>522</v>
      </c>
      <c r="E1584" s="48">
        <v>101576</v>
      </c>
      <c r="F1584" s="30" t="s">
        <v>1738</v>
      </c>
      <c r="G1584" s="29" t="s">
        <v>215</v>
      </c>
      <c r="H1584" s="30" t="s">
        <v>475</v>
      </c>
      <c r="I1584" s="78"/>
      <c r="J1584" s="20"/>
      <c r="K1584" s="20"/>
      <c r="L1584" s="20"/>
      <c r="M1584" s="20"/>
      <c r="N1584" s="179" t="s">
        <v>502</v>
      </c>
      <c r="O1584" s="70">
        <v>0</v>
      </c>
      <c r="P1584" s="70">
        <v>0</v>
      </c>
      <c r="Q1584" s="70">
        <v>0</v>
      </c>
      <c r="R1584" s="70"/>
      <c r="S1584" s="67"/>
      <c r="T1584" s="2" t="str">
        <f t="shared" si="126"/>
        <v>Trần Trọng Tiến_12AT2</v>
      </c>
      <c r="U1584" s="28">
        <f t="array" ref="U1584">IFERROR(VLOOKUP($T1584,'Nghi hoc T12'!$H$7:$I$160,2,0),0)</f>
        <v>0</v>
      </c>
      <c r="V1584" s="28"/>
      <c r="W1584" s="28">
        <f t="shared" si="127"/>
        <v>0</v>
      </c>
      <c r="X1584" s="333">
        <f t="shared" si="128"/>
        <v>0</v>
      </c>
      <c r="Y1584" s="333">
        <f t="shared" si="129"/>
        <v>0</v>
      </c>
    </row>
    <row r="1585" spans="1:25" s="2" customFormat="1" ht="21.95" customHeight="1">
      <c r="A1585" s="82">
        <v>17</v>
      </c>
      <c r="B1585" s="91" t="str">
        <f t="shared" si="130"/>
        <v>4B.T</v>
      </c>
      <c r="C1585" s="83" t="s">
        <v>362</v>
      </c>
      <c r="D1585" s="81" t="s">
        <v>522</v>
      </c>
      <c r="E1585" s="48">
        <v>101577</v>
      </c>
      <c r="F1585" s="30" t="s">
        <v>2071</v>
      </c>
      <c r="G1585" s="29" t="s">
        <v>106</v>
      </c>
      <c r="H1585" s="30" t="s">
        <v>476</v>
      </c>
      <c r="I1585" s="78"/>
      <c r="J1585" s="20"/>
      <c r="K1585" s="20"/>
      <c r="L1585" s="20"/>
      <c r="M1585" s="20"/>
      <c r="N1585" s="179" t="s">
        <v>502</v>
      </c>
      <c r="O1585" s="70">
        <v>0</v>
      </c>
      <c r="P1585" s="70">
        <v>0</v>
      </c>
      <c r="Q1585" s="70">
        <v>0</v>
      </c>
      <c r="R1585" s="70"/>
      <c r="S1585" s="67"/>
      <c r="T1585" s="2" t="str">
        <f t="shared" si="126"/>
        <v>Châu Bá Toàn_12AT1</v>
      </c>
      <c r="U1585" s="28">
        <f t="array" ref="U1585">IFERROR(VLOOKUP($T1585,'Nghi hoc T12'!$H$7:$I$160,2,0),0)</f>
        <v>0</v>
      </c>
      <c r="V1585" s="28"/>
      <c r="W1585" s="28">
        <f t="shared" si="127"/>
        <v>0</v>
      </c>
      <c r="X1585" s="333">
        <f t="shared" si="128"/>
        <v>0</v>
      </c>
      <c r="Y1585" s="333">
        <f t="shared" si="129"/>
        <v>0</v>
      </c>
    </row>
    <row r="1586" spans="1:25" s="2" customFormat="1" ht="21.95" customHeight="1">
      <c r="A1586" s="82">
        <v>18</v>
      </c>
      <c r="B1586" s="91" t="str">
        <f t="shared" si="130"/>
        <v>4B.T</v>
      </c>
      <c r="C1586" s="83" t="s">
        <v>362</v>
      </c>
      <c r="D1586" s="81" t="s">
        <v>522</v>
      </c>
      <c r="E1586" s="48">
        <v>101578</v>
      </c>
      <c r="F1586" s="30" t="s">
        <v>308</v>
      </c>
      <c r="G1586" s="29" t="s">
        <v>30</v>
      </c>
      <c r="H1586" s="30" t="s">
        <v>475</v>
      </c>
      <c r="I1586" s="78"/>
      <c r="J1586" s="20"/>
      <c r="K1586" s="20"/>
      <c r="L1586" s="20"/>
      <c r="M1586" s="20"/>
      <c r="N1586" s="179" t="s">
        <v>502</v>
      </c>
      <c r="O1586" s="70">
        <v>0</v>
      </c>
      <c r="P1586" s="70">
        <v>0</v>
      </c>
      <c r="Q1586" s="70">
        <v>0</v>
      </c>
      <c r="R1586" s="70"/>
      <c r="S1586" s="67"/>
      <c r="T1586" s="2" t="str">
        <f t="shared" si="126"/>
        <v>Vũ Thanh Trang_12AT2</v>
      </c>
      <c r="U1586" s="28">
        <f t="array" ref="U1586">IFERROR(VLOOKUP($T1586,'Nghi hoc T12'!$H$7:$I$160,2,0),0)</f>
        <v>0</v>
      </c>
      <c r="V1586" s="28"/>
      <c r="W1586" s="28">
        <f t="shared" si="127"/>
        <v>0</v>
      </c>
      <c r="X1586" s="333">
        <f t="shared" si="128"/>
        <v>0</v>
      </c>
      <c r="Y1586" s="333">
        <f t="shared" si="129"/>
        <v>0</v>
      </c>
    </row>
    <row r="1587" spans="1:25" s="2" customFormat="1" ht="21.95" customHeight="1">
      <c r="A1587" s="82">
        <v>19</v>
      </c>
      <c r="B1587" s="91" t="str">
        <f t="shared" si="130"/>
        <v>4B.T</v>
      </c>
      <c r="C1587" s="83" t="s">
        <v>362</v>
      </c>
      <c r="D1587" s="81" t="s">
        <v>522</v>
      </c>
      <c r="E1587" s="48">
        <v>101579</v>
      </c>
      <c r="F1587" s="30" t="s">
        <v>2072</v>
      </c>
      <c r="G1587" s="29" t="s">
        <v>81</v>
      </c>
      <c r="H1587" s="30" t="s">
        <v>476</v>
      </c>
      <c r="I1587" s="78"/>
      <c r="J1587" s="20"/>
      <c r="K1587" s="20"/>
      <c r="L1587" s="20"/>
      <c r="M1587" s="20"/>
      <c r="N1587" s="179" t="s">
        <v>502</v>
      </c>
      <c r="O1587" s="70">
        <v>0</v>
      </c>
      <c r="P1587" s="70">
        <v>0</v>
      </c>
      <c r="Q1587" s="70">
        <v>0</v>
      </c>
      <c r="R1587" s="70"/>
      <c r="S1587" s="67"/>
      <c r="T1587" s="2" t="str">
        <f t="shared" si="126"/>
        <v>Lê Yến Trân Trân_12AT1</v>
      </c>
      <c r="U1587" s="28">
        <f t="array" ref="U1587">IFERROR(VLOOKUP($T1587,'Nghi hoc T12'!$H$7:$I$160,2,0),0)</f>
        <v>0</v>
      </c>
      <c r="V1587" s="28"/>
      <c r="W1587" s="28">
        <f t="shared" si="127"/>
        <v>0</v>
      </c>
      <c r="X1587" s="333">
        <f t="shared" si="128"/>
        <v>0</v>
      </c>
      <c r="Y1587" s="333">
        <f t="shared" si="129"/>
        <v>0</v>
      </c>
    </row>
    <row r="1588" spans="1:25" s="2" customFormat="1" ht="21.95" customHeight="1">
      <c r="A1588" s="82">
        <v>20</v>
      </c>
      <c r="B1588" s="91" t="str">
        <f t="shared" si="130"/>
        <v>4B.T</v>
      </c>
      <c r="C1588" s="83" t="s">
        <v>362</v>
      </c>
      <c r="D1588" s="81" t="s">
        <v>522</v>
      </c>
      <c r="E1588" s="48">
        <v>101580</v>
      </c>
      <c r="F1588" s="30" t="s">
        <v>186</v>
      </c>
      <c r="G1588" s="29" t="s">
        <v>218</v>
      </c>
      <c r="H1588" s="30" t="s">
        <v>476</v>
      </c>
      <c r="I1588" s="78"/>
      <c r="J1588" s="20"/>
      <c r="K1588" s="20"/>
      <c r="L1588" s="20"/>
      <c r="M1588" s="20"/>
      <c r="N1588" s="179" t="s">
        <v>502</v>
      </c>
      <c r="O1588" s="70">
        <v>0</v>
      </c>
      <c r="P1588" s="70">
        <v>0</v>
      </c>
      <c r="Q1588" s="70">
        <v>0</v>
      </c>
      <c r="R1588" s="70"/>
      <c r="S1588" s="67"/>
      <c r="T1588" s="2" t="str">
        <f t="shared" si="126"/>
        <v>Nguyễn Minh Triết_12AT1</v>
      </c>
      <c r="U1588" s="28">
        <f t="array" ref="U1588">IFERROR(VLOOKUP($T1588,'Nghi hoc T12'!$H$7:$I$160,2,0),0)</f>
        <v>0</v>
      </c>
      <c r="V1588" s="28"/>
      <c r="W1588" s="28">
        <f t="shared" si="127"/>
        <v>0</v>
      </c>
      <c r="X1588" s="333">
        <f t="shared" si="128"/>
        <v>0</v>
      </c>
      <c r="Y1588" s="333">
        <f t="shared" si="129"/>
        <v>0</v>
      </c>
    </row>
    <row r="1589" spans="1:25" s="2" customFormat="1" ht="21.95" customHeight="1">
      <c r="A1589" s="82">
        <v>21</v>
      </c>
      <c r="B1589" s="91" t="str">
        <f t="shared" si="130"/>
        <v>4B.T</v>
      </c>
      <c r="C1589" s="83" t="s">
        <v>362</v>
      </c>
      <c r="D1589" s="81" t="s">
        <v>522</v>
      </c>
      <c r="E1589" s="48">
        <v>101581</v>
      </c>
      <c r="F1589" s="30" t="s">
        <v>2073</v>
      </c>
      <c r="G1589" s="29" t="s">
        <v>31</v>
      </c>
      <c r="H1589" s="30" t="s">
        <v>476</v>
      </c>
      <c r="I1589" s="78"/>
      <c r="J1589" s="20"/>
      <c r="K1589" s="20"/>
      <c r="L1589" s="20"/>
      <c r="M1589" s="20"/>
      <c r="N1589" s="179" t="s">
        <v>502</v>
      </c>
      <c r="O1589" s="70">
        <v>0</v>
      </c>
      <c r="P1589" s="70">
        <v>0</v>
      </c>
      <c r="Q1589" s="70">
        <v>0</v>
      </c>
      <c r="R1589" s="70"/>
      <c r="S1589" s="67"/>
      <c r="T1589" s="2" t="str">
        <f t="shared" si="126"/>
        <v>Võ Ngọc Thanh Trúc_12AT1</v>
      </c>
      <c r="U1589" s="28">
        <f t="array" ref="U1589">IFERROR(VLOOKUP($T1589,'Nghi hoc T12'!$H$7:$I$160,2,0),0)</f>
        <v>0</v>
      </c>
      <c r="V1589" s="28"/>
      <c r="W1589" s="28">
        <f t="shared" si="127"/>
        <v>0</v>
      </c>
      <c r="X1589" s="333">
        <f t="shared" si="128"/>
        <v>0</v>
      </c>
      <c r="Y1589" s="333">
        <f t="shared" si="129"/>
        <v>0</v>
      </c>
    </row>
    <row r="1590" spans="1:25" s="2" customFormat="1" ht="21.95" customHeight="1">
      <c r="A1590" s="82">
        <v>22</v>
      </c>
      <c r="B1590" s="91" t="str">
        <f t="shared" si="130"/>
        <v>4B.T</v>
      </c>
      <c r="C1590" s="83" t="s">
        <v>362</v>
      </c>
      <c r="D1590" s="81" t="s">
        <v>522</v>
      </c>
      <c r="E1590" s="48">
        <v>101582</v>
      </c>
      <c r="F1590" s="30" t="s">
        <v>326</v>
      </c>
      <c r="G1590" s="29" t="s">
        <v>32</v>
      </c>
      <c r="H1590" s="30" t="s">
        <v>475</v>
      </c>
      <c r="I1590" s="78"/>
      <c r="J1590" s="20"/>
      <c r="K1590" s="20"/>
      <c r="L1590" s="20"/>
      <c r="M1590" s="20"/>
      <c r="N1590" s="179" t="s">
        <v>502</v>
      </c>
      <c r="O1590" s="70">
        <v>0</v>
      </c>
      <c r="P1590" s="70">
        <v>0</v>
      </c>
      <c r="Q1590" s="70">
        <v>0</v>
      </c>
      <c r="R1590" s="70"/>
      <c r="S1590" s="67"/>
      <c r="T1590" s="2" t="str">
        <f t="shared" si="126"/>
        <v>Ngô Văn Trung_12AT2</v>
      </c>
      <c r="U1590" s="28">
        <f t="array" ref="U1590">IFERROR(VLOOKUP($T1590,'Nghi hoc T12'!$H$7:$I$160,2,0),0)</f>
        <v>0</v>
      </c>
      <c r="V1590" s="28"/>
      <c r="W1590" s="28">
        <f t="shared" si="127"/>
        <v>0</v>
      </c>
      <c r="X1590" s="333">
        <f t="shared" si="128"/>
        <v>0</v>
      </c>
      <c r="Y1590" s="333">
        <f t="shared" si="129"/>
        <v>0</v>
      </c>
    </row>
    <row r="1591" spans="1:25" s="2" customFormat="1" ht="21.95" customHeight="1">
      <c r="A1591" s="82">
        <v>23</v>
      </c>
      <c r="B1591" s="91" t="str">
        <f t="shared" si="130"/>
        <v>4B.T</v>
      </c>
      <c r="C1591" s="83" t="s">
        <v>362</v>
      </c>
      <c r="D1591" s="81" t="s">
        <v>522</v>
      </c>
      <c r="E1591" s="48">
        <v>101583</v>
      </c>
      <c r="F1591" s="30" t="s">
        <v>2095</v>
      </c>
      <c r="G1591" s="29" t="s">
        <v>52</v>
      </c>
      <c r="H1591" s="30" t="s">
        <v>475</v>
      </c>
      <c r="I1591" s="78"/>
      <c r="J1591" s="20"/>
      <c r="K1591" s="20"/>
      <c r="L1591" s="20"/>
      <c r="M1591" s="20"/>
      <c r="N1591" s="179" t="s">
        <v>502</v>
      </c>
      <c r="O1591" s="70">
        <v>0</v>
      </c>
      <c r="P1591" s="70">
        <v>0</v>
      </c>
      <c r="Q1591" s="70">
        <v>0</v>
      </c>
      <c r="R1591" s="70"/>
      <c r="S1591" s="67"/>
      <c r="T1591" s="2" t="str">
        <f t="shared" si="126"/>
        <v>Lê Đoàn Anh Tuấn_12AT2</v>
      </c>
      <c r="U1591" s="28">
        <f t="array" ref="U1591">IFERROR(VLOOKUP($T1591,'Nghi hoc T12'!$H$7:$I$160,2,0),0)</f>
        <v>0</v>
      </c>
      <c r="V1591" s="28"/>
      <c r="W1591" s="28">
        <f t="shared" si="127"/>
        <v>0</v>
      </c>
      <c r="X1591" s="333">
        <f t="shared" si="128"/>
        <v>0</v>
      </c>
      <c r="Y1591" s="333">
        <f t="shared" si="129"/>
        <v>0</v>
      </c>
    </row>
    <row r="1592" spans="1:25" s="2" customFormat="1" ht="21.95" customHeight="1">
      <c r="A1592" s="82">
        <v>24</v>
      </c>
      <c r="B1592" s="91" t="str">
        <f t="shared" si="130"/>
        <v>4B.T</v>
      </c>
      <c r="C1592" s="83" t="s">
        <v>362</v>
      </c>
      <c r="D1592" s="81" t="s">
        <v>522</v>
      </c>
      <c r="E1592" s="48">
        <v>101584</v>
      </c>
      <c r="F1592" s="30" t="s">
        <v>182</v>
      </c>
      <c r="G1592" s="29" t="s">
        <v>110</v>
      </c>
      <c r="H1592" s="30" t="s">
        <v>476</v>
      </c>
      <c r="I1592" s="78"/>
      <c r="J1592" s="20"/>
      <c r="K1592" s="20"/>
      <c r="L1592" s="20"/>
      <c r="M1592" s="20"/>
      <c r="N1592" s="179" t="s">
        <v>502</v>
      </c>
      <c r="O1592" s="70">
        <v>0</v>
      </c>
      <c r="P1592" s="70">
        <v>0</v>
      </c>
      <c r="Q1592" s="70">
        <v>0</v>
      </c>
      <c r="R1592" s="70"/>
      <c r="S1592" s="67"/>
      <c r="T1592" s="2" t="str">
        <f t="shared" si="126"/>
        <v>Lê Thanh Tùng_12AT1</v>
      </c>
      <c r="U1592" s="28">
        <f t="array" ref="U1592">IFERROR(VLOOKUP($T1592,'Nghi hoc T12'!$H$7:$I$160,2,0),0)</f>
        <v>0</v>
      </c>
      <c r="V1592" s="28"/>
      <c r="W1592" s="28">
        <f t="shared" si="127"/>
        <v>0</v>
      </c>
      <c r="X1592" s="333">
        <f t="shared" si="128"/>
        <v>0</v>
      </c>
      <c r="Y1592" s="333">
        <f t="shared" si="129"/>
        <v>0</v>
      </c>
    </row>
    <row r="1593" spans="1:25" s="2" customFormat="1" ht="21.95" customHeight="1">
      <c r="A1593" s="82">
        <v>25</v>
      </c>
      <c r="B1593" s="91" t="str">
        <f t="shared" si="130"/>
        <v>4B.T</v>
      </c>
      <c r="C1593" s="83" t="s">
        <v>362</v>
      </c>
      <c r="D1593" s="81" t="s">
        <v>522</v>
      </c>
      <c r="E1593" s="48">
        <v>101585</v>
      </c>
      <c r="F1593" s="30" t="s">
        <v>309</v>
      </c>
      <c r="G1593" s="29" t="s">
        <v>73</v>
      </c>
      <c r="H1593" s="30" t="s">
        <v>475</v>
      </c>
      <c r="I1593" s="78"/>
      <c r="J1593" s="20"/>
      <c r="K1593" s="20"/>
      <c r="L1593" s="20"/>
      <c r="M1593" s="20"/>
      <c r="N1593" s="179" t="s">
        <v>502</v>
      </c>
      <c r="O1593" s="70">
        <v>0</v>
      </c>
      <c r="P1593" s="70">
        <v>0</v>
      </c>
      <c r="Q1593" s="70">
        <v>0</v>
      </c>
      <c r="R1593" s="70"/>
      <c r="S1593" s="67"/>
      <c r="T1593" s="2" t="str">
        <f t="shared" si="126"/>
        <v>Dương Thị Tuyền_12AT2</v>
      </c>
      <c r="U1593" s="28">
        <f t="array" ref="U1593">IFERROR(VLOOKUP($T1593,'Nghi hoc T12'!$H$7:$I$160,2,0),0)</f>
        <v>0</v>
      </c>
      <c r="V1593" s="28"/>
      <c r="W1593" s="28">
        <f t="shared" si="127"/>
        <v>0</v>
      </c>
      <c r="X1593" s="333">
        <f t="shared" si="128"/>
        <v>0</v>
      </c>
      <c r="Y1593" s="333">
        <f t="shared" si="129"/>
        <v>0</v>
      </c>
    </row>
    <row r="1594" spans="1:25" s="2" customFormat="1" ht="21.95" customHeight="1">
      <c r="A1594" s="82">
        <v>26</v>
      </c>
      <c r="B1594" s="91" t="str">
        <f t="shared" si="130"/>
        <v>4B.T</v>
      </c>
      <c r="C1594" s="83" t="s">
        <v>362</v>
      </c>
      <c r="D1594" s="81" t="s">
        <v>522</v>
      </c>
      <c r="E1594" s="48">
        <v>101586</v>
      </c>
      <c r="F1594" s="30" t="s">
        <v>2096</v>
      </c>
      <c r="G1594" s="29" t="s">
        <v>2097</v>
      </c>
      <c r="H1594" s="30" t="s">
        <v>475</v>
      </c>
      <c r="I1594" s="78"/>
      <c r="J1594" s="20"/>
      <c r="K1594" s="20"/>
      <c r="L1594" s="20"/>
      <c r="M1594" s="20"/>
      <c r="N1594" s="179" t="s">
        <v>502</v>
      </c>
      <c r="O1594" s="70">
        <v>0</v>
      </c>
      <c r="P1594" s="70">
        <v>0</v>
      </c>
      <c r="Q1594" s="70">
        <v>0</v>
      </c>
      <c r="R1594" s="70"/>
      <c r="S1594" s="67"/>
      <c r="T1594" s="2" t="str">
        <f t="shared" si="126"/>
        <v>Đinh Un_12AT2</v>
      </c>
      <c r="U1594" s="28">
        <f t="array" ref="U1594">IFERROR(VLOOKUP($T1594,'Nghi hoc T12'!$H$7:$I$160,2,0),0)</f>
        <v>0</v>
      </c>
      <c r="V1594" s="28"/>
      <c r="W1594" s="28">
        <f t="shared" si="127"/>
        <v>0</v>
      </c>
      <c r="X1594" s="333">
        <f t="shared" si="128"/>
        <v>0</v>
      </c>
      <c r="Y1594" s="333">
        <f t="shared" si="129"/>
        <v>0</v>
      </c>
    </row>
    <row r="1595" spans="1:25" s="2" customFormat="1" ht="21.95" customHeight="1">
      <c r="A1595" s="82">
        <v>27</v>
      </c>
      <c r="B1595" s="91" t="str">
        <f t="shared" si="130"/>
        <v>4B.T</v>
      </c>
      <c r="C1595" s="83" t="s">
        <v>362</v>
      </c>
      <c r="D1595" s="81" t="s">
        <v>522</v>
      </c>
      <c r="E1595" s="48">
        <v>101587</v>
      </c>
      <c r="F1595" s="30" t="s">
        <v>2098</v>
      </c>
      <c r="G1595" s="29" t="s">
        <v>34</v>
      </c>
      <c r="H1595" s="30" t="s">
        <v>475</v>
      </c>
      <c r="I1595" s="78"/>
      <c r="J1595" s="20"/>
      <c r="K1595" s="20"/>
      <c r="L1595" s="20"/>
      <c r="M1595" s="20"/>
      <c r="N1595" s="179" t="s">
        <v>502</v>
      </c>
      <c r="O1595" s="70">
        <v>0</v>
      </c>
      <c r="P1595" s="70">
        <v>0</v>
      </c>
      <c r="Q1595" s="70">
        <v>0</v>
      </c>
      <c r="R1595" s="70"/>
      <c r="S1595" s="67"/>
      <c r="T1595" s="2" t="str">
        <f t="shared" si="126"/>
        <v>Lê Thanh Thúy Vy_12AT2</v>
      </c>
      <c r="U1595" s="28">
        <f t="array" ref="U1595">IFERROR(VLOOKUP($T1595,'Nghi hoc T12'!$H$7:$I$160,2,0),0)</f>
        <v>0</v>
      </c>
      <c r="V1595" s="28"/>
      <c r="W1595" s="28">
        <f t="shared" si="127"/>
        <v>0</v>
      </c>
      <c r="X1595" s="333">
        <f t="shared" si="128"/>
        <v>0</v>
      </c>
      <c r="Y1595" s="333">
        <f t="shared" si="129"/>
        <v>0</v>
      </c>
    </row>
    <row r="1596" spans="1:25" s="2" customFormat="1" ht="21.95" customHeight="1">
      <c r="A1596" s="82">
        <v>28</v>
      </c>
      <c r="B1596" s="91" t="str">
        <f t="shared" si="130"/>
        <v>4B.T</v>
      </c>
      <c r="C1596" s="83" t="s">
        <v>362</v>
      </c>
      <c r="D1596" s="81" t="s">
        <v>522</v>
      </c>
      <c r="E1596" s="48">
        <v>101588</v>
      </c>
      <c r="F1596" s="30" t="s">
        <v>2074</v>
      </c>
      <c r="G1596" s="29" t="s">
        <v>34</v>
      </c>
      <c r="H1596" s="30" t="s">
        <v>476</v>
      </c>
      <c r="I1596" s="78"/>
      <c r="J1596" s="20"/>
      <c r="K1596" s="20"/>
      <c r="L1596" s="20"/>
      <c r="M1596" s="20"/>
      <c r="N1596" s="179" t="s">
        <v>502</v>
      </c>
      <c r="O1596" s="70">
        <v>0</v>
      </c>
      <c r="P1596" s="70">
        <v>0</v>
      </c>
      <c r="Q1596" s="70">
        <v>0</v>
      </c>
      <c r="R1596" s="70"/>
      <c r="S1596" s="67"/>
      <c r="T1596" s="2" t="str">
        <f t="shared" si="126"/>
        <v>Nguyễn Võ Yến Vy_12AT1</v>
      </c>
      <c r="U1596" s="28">
        <f t="array" ref="U1596">IFERROR(VLOOKUP($T1596,'Nghi hoc T12'!$H$7:$I$160,2,0),0)</f>
        <v>0</v>
      </c>
      <c r="V1596" s="28"/>
      <c r="W1596" s="28">
        <f t="shared" si="127"/>
        <v>0</v>
      </c>
      <c r="X1596" s="333">
        <f t="shared" si="128"/>
        <v>0</v>
      </c>
      <c r="Y1596" s="333">
        <f t="shared" si="129"/>
        <v>0</v>
      </c>
    </row>
    <row r="1597" spans="1:25" s="2" customFormat="1" ht="21.95" customHeight="1">
      <c r="A1597" s="82">
        <v>29</v>
      </c>
      <c r="B1597" s="91" t="str">
        <f t="shared" si="130"/>
        <v>4B.T</v>
      </c>
      <c r="C1597" s="83" t="s">
        <v>362</v>
      </c>
      <c r="D1597" s="81" t="s">
        <v>522</v>
      </c>
      <c r="E1597" s="48">
        <v>101589</v>
      </c>
      <c r="F1597" s="30" t="s">
        <v>2087</v>
      </c>
      <c r="G1597" s="29" t="s">
        <v>62</v>
      </c>
      <c r="H1597" s="30" t="s">
        <v>475</v>
      </c>
      <c r="I1597" s="78"/>
      <c r="J1597" s="20"/>
      <c r="K1597" s="20"/>
      <c r="L1597" s="20"/>
      <c r="M1597" s="20"/>
      <c r="N1597" s="179" t="s">
        <v>502</v>
      </c>
      <c r="O1597" s="70">
        <v>0</v>
      </c>
      <c r="P1597" s="70">
        <v>0</v>
      </c>
      <c r="Q1597" s="70">
        <v>0</v>
      </c>
      <c r="R1597" s="70"/>
      <c r="S1597" s="67"/>
      <c r="T1597" s="2" t="str">
        <f t="shared" si="126"/>
        <v>Hoàng Hải Yến_12AT2</v>
      </c>
      <c r="U1597" s="28">
        <f t="array" ref="U1597">IFERROR(VLOOKUP($T1597,'Nghi hoc T12'!$H$7:$I$160,2,0),0)</f>
        <v>0</v>
      </c>
      <c r="V1597" s="28"/>
      <c r="W1597" s="28">
        <f t="shared" si="127"/>
        <v>0</v>
      </c>
      <c r="X1597" s="333">
        <f t="shared" si="128"/>
        <v>0</v>
      </c>
      <c r="Y1597" s="333">
        <f t="shared" si="129"/>
        <v>0</v>
      </c>
    </row>
    <row r="1598" spans="1:25" s="2" customFormat="1" ht="21.95" customHeight="1">
      <c r="A1598" s="82">
        <v>30</v>
      </c>
      <c r="B1598" s="91" t="str">
        <f t="shared" si="130"/>
        <v>4B.T</v>
      </c>
      <c r="C1598" s="83" t="s">
        <v>362</v>
      </c>
      <c r="D1598" s="81" t="s">
        <v>522</v>
      </c>
      <c r="E1598" s="48">
        <v>101590</v>
      </c>
      <c r="F1598" s="30" t="s">
        <v>275</v>
      </c>
      <c r="G1598" s="29" t="s">
        <v>62</v>
      </c>
      <c r="H1598" s="30" t="s">
        <v>476</v>
      </c>
      <c r="I1598" s="78"/>
      <c r="J1598" s="20"/>
      <c r="K1598" s="20"/>
      <c r="L1598" s="20"/>
      <c r="M1598" s="20"/>
      <c r="N1598" s="179" t="s">
        <v>502</v>
      </c>
      <c r="O1598" s="70">
        <v>0</v>
      </c>
      <c r="P1598" s="70">
        <v>0</v>
      </c>
      <c r="Q1598" s="70">
        <v>0</v>
      </c>
      <c r="R1598" s="70"/>
      <c r="S1598" s="67"/>
      <c r="T1598" s="2" t="str">
        <f t="shared" si="126"/>
        <v>Lê Thị Yến_12AT1</v>
      </c>
      <c r="U1598" s="28">
        <f t="array" ref="U1598">IFERROR(VLOOKUP($T1598,'Nghi hoc T12'!$H$7:$I$160,2,0),0)</f>
        <v>0</v>
      </c>
      <c r="V1598" s="28"/>
      <c r="W1598" s="28">
        <f t="shared" si="127"/>
        <v>0</v>
      </c>
      <c r="X1598" s="333">
        <f t="shared" si="128"/>
        <v>0</v>
      </c>
      <c r="Y1598" s="333">
        <f t="shared" si="129"/>
        <v>0</v>
      </c>
    </row>
    <row r="1599" spans="1:25" s="2" customFormat="1" ht="21.95" customHeight="1">
      <c r="A1599" s="200">
        <v>1</v>
      </c>
      <c r="B1599" s="91" t="str">
        <f t="shared" si="130"/>
        <v>5B.T</v>
      </c>
      <c r="C1599" s="185" t="s">
        <v>363</v>
      </c>
      <c r="D1599" s="186" t="s">
        <v>523</v>
      </c>
      <c r="E1599" s="187">
        <v>101591</v>
      </c>
      <c r="F1599" s="188" t="s">
        <v>2099</v>
      </c>
      <c r="G1599" s="189" t="s">
        <v>5</v>
      </c>
      <c r="H1599" s="188" t="s">
        <v>485</v>
      </c>
      <c r="I1599" s="190"/>
      <c r="J1599" s="191"/>
      <c r="K1599" s="191"/>
      <c r="L1599" s="191"/>
      <c r="M1599" s="191"/>
      <c r="N1599" s="179" t="s">
        <v>502</v>
      </c>
      <c r="O1599" s="70">
        <v>0</v>
      </c>
      <c r="P1599" s="70">
        <v>0</v>
      </c>
      <c r="Q1599" s="70">
        <f t="shared" ref="Q1599:Q1609" si="131">U1599</f>
        <v>0</v>
      </c>
      <c r="R1599" s="70"/>
      <c r="S1599" s="67"/>
      <c r="T1599" s="2" t="str">
        <f t="shared" si="126"/>
        <v>Hoàng Khắc Anh_12AT3</v>
      </c>
      <c r="U1599" s="28">
        <f t="array" ref="U1599">IFERROR(VLOOKUP($T1599,'Nghi hoc T12'!$H$7:$I$160,2,0),0)</f>
        <v>0</v>
      </c>
      <c r="V1599" s="28"/>
      <c r="W1599" s="28">
        <f t="shared" si="127"/>
        <v>0</v>
      </c>
      <c r="X1599" s="333">
        <f t="shared" si="128"/>
        <v>0</v>
      </c>
      <c r="Y1599" s="333">
        <f t="shared" si="129"/>
        <v>0</v>
      </c>
    </row>
    <row r="1600" spans="1:25" s="2" customFormat="1" ht="21.95" customHeight="1">
      <c r="A1600" s="82">
        <v>2</v>
      </c>
      <c r="B1600" s="91" t="str">
        <f t="shared" si="130"/>
        <v>5B.T</v>
      </c>
      <c r="C1600" s="83" t="s">
        <v>363</v>
      </c>
      <c r="D1600" s="81" t="s">
        <v>523</v>
      </c>
      <c r="E1600" s="48">
        <v>101592</v>
      </c>
      <c r="F1600" s="30" t="s">
        <v>303</v>
      </c>
      <c r="G1600" s="29" t="s">
        <v>5</v>
      </c>
      <c r="H1600" s="30" t="s">
        <v>485</v>
      </c>
      <c r="I1600" s="78"/>
      <c r="J1600" s="20"/>
      <c r="K1600" s="20"/>
      <c r="L1600" s="20"/>
      <c r="M1600" s="20"/>
      <c r="N1600" s="179" t="s">
        <v>502</v>
      </c>
      <c r="O1600" s="70">
        <v>0</v>
      </c>
      <c r="P1600" s="70">
        <v>0</v>
      </c>
      <c r="Q1600" s="70">
        <f t="shared" si="131"/>
        <v>0</v>
      </c>
      <c r="R1600" s="70"/>
      <c r="S1600" s="67"/>
      <c r="T1600" s="2" t="str">
        <f t="shared" si="126"/>
        <v>Phạm Ngọc Anh_12AT3</v>
      </c>
      <c r="U1600" s="28">
        <f t="array" ref="U1600">IFERROR(VLOOKUP($T1600,'Nghi hoc T12'!$H$7:$I$160,2,0),0)</f>
        <v>0</v>
      </c>
      <c r="V1600" s="28"/>
      <c r="W1600" s="28">
        <f t="shared" si="127"/>
        <v>0</v>
      </c>
      <c r="X1600" s="333">
        <f t="shared" si="128"/>
        <v>0</v>
      </c>
      <c r="Y1600" s="333">
        <f t="shared" si="129"/>
        <v>0</v>
      </c>
    </row>
    <row r="1601" spans="1:25" s="2" customFormat="1" ht="21.95" customHeight="1">
      <c r="A1601" s="82">
        <v>3</v>
      </c>
      <c r="B1601" s="91" t="str">
        <f t="shared" si="130"/>
        <v>5B.T</v>
      </c>
      <c r="C1601" s="83" t="s">
        <v>363</v>
      </c>
      <c r="D1601" s="81" t="s">
        <v>523</v>
      </c>
      <c r="E1601" s="48">
        <v>101593</v>
      </c>
      <c r="F1601" s="30" t="s">
        <v>168</v>
      </c>
      <c r="G1601" s="29" t="s">
        <v>5</v>
      </c>
      <c r="H1601" s="30" t="s">
        <v>485</v>
      </c>
      <c r="I1601" s="78"/>
      <c r="J1601" s="20"/>
      <c r="K1601" s="20"/>
      <c r="L1601" s="20"/>
      <c r="M1601" s="20"/>
      <c r="N1601" s="179" t="s">
        <v>502</v>
      </c>
      <c r="O1601" s="70">
        <v>0</v>
      </c>
      <c r="P1601" s="70">
        <v>0</v>
      </c>
      <c r="Q1601" s="70">
        <f t="shared" si="131"/>
        <v>0</v>
      </c>
      <c r="R1601" s="70"/>
      <c r="S1601" s="67"/>
      <c r="T1601" s="2" t="str">
        <f t="shared" si="126"/>
        <v>Trần Quang Anh_12AT3</v>
      </c>
      <c r="U1601" s="28">
        <f t="array" ref="U1601">IFERROR(VLOOKUP($T1601,'Nghi hoc T12'!$H$7:$I$160,2,0),0)</f>
        <v>0</v>
      </c>
      <c r="V1601" s="28"/>
      <c r="W1601" s="28">
        <f t="shared" si="127"/>
        <v>0</v>
      </c>
      <c r="X1601" s="333">
        <f t="shared" si="128"/>
        <v>0</v>
      </c>
      <c r="Y1601" s="333">
        <f t="shared" si="129"/>
        <v>0</v>
      </c>
    </row>
    <row r="1602" spans="1:25" s="2" customFormat="1" ht="21.95" customHeight="1">
      <c r="A1602" s="82">
        <v>4</v>
      </c>
      <c r="B1602" s="91" t="str">
        <f t="shared" si="130"/>
        <v>5B.T</v>
      </c>
      <c r="C1602" s="83" t="s">
        <v>363</v>
      </c>
      <c r="D1602" s="81" t="s">
        <v>523</v>
      </c>
      <c r="E1602" s="48">
        <v>101594</v>
      </c>
      <c r="F1602" s="30" t="s">
        <v>299</v>
      </c>
      <c r="G1602" s="29" t="s">
        <v>83</v>
      </c>
      <c r="H1602" s="30" t="s">
        <v>485</v>
      </c>
      <c r="I1602" s="78"/>
      <c r="J1602" s="20"/>
      <c r="K1602" s="20"/>
      <c r="L1602" s="20"/>
      <c r="M1602" s="20"/>
      <c r="N1602" s="179" t="s">
        <v>502</v>
      </c>
      <c r="O1602" s="70">
        <v>0</v>
      </c>
      <c r="P1602" s="70">
        <v>0</v>
      </c>
      <c r="Q1602" s="70">
        <f t="shared" si="131"/>
        <v>0</v>
      </c>
      <c r="R1602" s="70"/>
      <c r="S1602" s="67"/>
      <c r="T1602" s="2" t="str">
        <f t="shared" si="126"/>
        <v>Nguyễn Đình Bảo_12AT3</v>
      </c>
      <c r="U1602" s="28">
        <f t="array" ref="U1602">IFERROR(VLOOKUP($T1602,'Nghi hoc T12'!$H$7:$I$160,2,0),0)</f>
        <v>0</v>
      </c>
      <c r="V1602" s="28"/>
      <c r="W1602" s="28">
        <f t="shared" si="127"/>
        <v>0</v>
      </c>
      <c r="X1602" s="333">
        <f t="shared" si="128"/>
        <v>0</v>
      </c>
      <c r="Y1602" s="333">
        <f t="shared" si="129"/>
        <v>0</v>
      </c>
    </row>
    <row r="1603" spans="1:25" s="2" customFormat="1" ht="21.95" customHeight="1">
      <c r="A1603" s="82">
        <v>5</v>
      </c>
      <c r="B1603" s="91" t="str">
        <f t="shared" si="130"/>
        <v>5B.T</v>
      </c>
      <c r="C1603" s="83" t="s">
        <v>363</v>
      </c>
      <c r="D1603" s="81" t="s">
        <v>523</v>
      </c>
      <c r="E1603" s="48">
        <v>101595</v>
      </c>
      <c r="F1603" s="30" t="s">
        <v>166</v>
      </c>
      <c r="G1603" s="29" t="s">
        <v>83</v>
      </c>
      <c r="H1603" s="30" t="s">
        <v>485</v>
      </c>
      <c r="I1603" s="78"/>
      <c r="J1603" s="20"/>
      <c r="K1603" s="20"/>
      <c r="L1603" s="20"/>
      <c r="M1603" s="20"/>
      <c r="N1603" s="179" t="s">
        <v>502</v>
      </c>
      <c r="O1603" s="70">
        <v>0</v>
      </c>
      <c r="P1603" s="70">
        <v>0</v>
      </c>
      <c r="Q1603" s="70">
        <f t="shared" si="131"/>
        <v>0</v>
      </c>
      <c r="R1603" s="70"/>
      <c r="S1603" s="67"/>
      <c r="T1603" s="2" t="str">
        <f t="shared" si="126"/>
        <v>Nguyễn Gia Bảo_12AT3</v>
      </c>
      <c r="U1603" s="28">
        <f t="array" ref="U1603">IFERROR(VLOOKUP($T1603,'Nghi hoc T12'!$H$7:$I$160,2,0),0)</f>
        <v>0</v>
      </c>
      <c r="V1603" s="28"/>
      <c r="W1603" s="28">
        <f t="shared" si="127"/>
        <v>0</v>
      </c>
      <c r="X1603" s="333">
        <f t="shared" si="128"/>
        <v>0</v>
      </c>
      <c r="Y1603" s="333">
        <f t="shared" si="129"/>
        <v>0</v>
      </c>
    </row>
    <row r="1604" spans="1:25" s="2" customFormat="1" ht="21.95" customHeight="1">
      <c r="A1604" s="82">
        <v>6</v>
      </c>
      <c r="B1604" s="91" t="str">
        <f t="shared" si="130"/>
        <v>5B.T</v>
      </c>
      <c r="C1604" s="83" t="s">
        <v>363</v>
      </c>
      <c r="D1604" s="81" t="s">
        <v>523</v>
      </c>
      <c r="E1604" s="48">
        <v>101596</v>
      </c>
      <c r="F1604" s="30" t="s">
        <v>1272</v>
      </c>
      <c r="G1604" s="29" t="s">
        <v>107</v>
      </c>
      <c r="H1604" s="30" t="s">
        <v>485</v>
      </c>
      <c r="I1604" s="78"/>
      <c r="J1604" s="20"/>
      <c r="K1604" s="20"/>
      <c r="L1604" s="20"/>
      <c r="M1604" s="20"/>
      <c r="N1604" s="179" t="s">
        <v>502</v>
      </c>
      <c r="O1604" s="70">
        <v>0</v>
      </c>
      <c r="P1604" s="70">
        <v>0</v>
      </c>
      <c r="Q1604" s="70">
        <f t="shared" si="131"/>
        <v>0</v>
      </c>
      <c r="R1604" s="70"/>
      <c r="S1604" s="67"/>
      <c r="T1604" s="2" t="str">
        <f t="shared" si="126"/>
        <v>Phan Bảo Châu_12AT3</v>
      </c>
      <c r="U1604" s="28">
        <f t="array" ref="U1604">IFERROR(VLOOKUP($T1604,'Nghi hoc T12'!$H$7:$I$160,2,0),0)</f>
        <v>0</v>
      </c>
      <c r="V1604" s="28"/>
      <c r="W1604" s="28">
        <f t="shared" si="127"/>
        <v>0</v>
      </c>
      <c r="X1604" s="333">
        <f t="shared" si="128"/>
        <v>0</v>
      </c>
      <c r="Y1604" s="333">
        <f t="shared" si="129"/>
        <v>0</v>
      </c>
    </row>
    <row r="1605" spans="1:25" s="2" customFormat="1" ht="21.95" customHeight="1">
      <c r="A1605" s="82">
        <v>7</v>
      </c>
      <c r="B1605" s="91" t="str">
        <f t="shared" si="130"/>
        <v>5B.T</v>
      </c>
      <c r="C1605" s="83" t="s">
        <v>363</v>
      </c>
      <c r="D1605" s="81" t="s">
        <v>523</v>
      </c>
      <c r="E1605" s="48">
        <v>101597</v>
      </c>
      <c r="F1605" s="30" t="s">
        <v>2100</v>
      </c>
      <c r="G1605" s="29" t="s">
        <v>107</v>
      </c>
      <c r="H1605" s="30" t="s">
        <v>485</v>
      </c>
      <c r="I1605" s="78"/>
      <c r="J1605" s="20"/>
      <c r="K1605" s="20"/>
      <c r="L1605" s="20"/>
      <c r="M1605" s="20"/>
      <c r="N1605" s="179" t="s">
        <v>502</v>
      </c>
      <c r="O1605" s="70">
        <v>0</v>
      </c>
      <c r="P1605" s="70">
        <v>0</v>
      </c>
      <c r="Q1605" s="70">
        <f t="shared" si="131"/>
        <v>0</v>
      </c>
      <c r="R1605" s="70"/>
      <c r="S1605" s="67"/>
      <c r="T1605" s="2" t="str">
        <f t="shared" si="126"/>
        <v>Trần Thị Trân Châu_12AT3</v>
      </c>
      <c r="U1605" s="28">
        <f t="array" ref="U1605">IFERROR(VLOOKUP($T1605,'Nghi hoc T12'!$H$7:$I$160,2,0),0)</f>
        <v>0</v>
      </c>
      <c r="V1605" s="28"/>
      <c r="W1605" s="28">
        <f t="shared" si="127"/>
        <v>0</v>
      </c>
      <c r="X1605" s="333">
        <f t="shared" si="128"/>
        <v>0</v>
      </c>
      <c r="Y1605" s="333">
        <f t="shared" si="129"/>
        <v>0</v>
      </c>
    </row>
    <row r="1606" spans="1:25" s="2" customFormat="1" ht="21.95" customHeight="1">
      <c r="A1606" s="82">
        <v>8</v>
      </c>
      <c r="B1606" s="91" t="str">
        <f t="shared" si="130"/>
        <v>5B.T</v>
      </c>
      <c r="C1606" s="83" t="s">
        <v>363</v>
      </c>
      <c r="D1606" s="81" t="s">
        <v>523</v>
      </c>
      <c r="E1606" s="48">
        <v>101598</v>
      </c>
      <c r="F1606" s="30" t="s">
        <v>157</v>
      </c>
      <c r="G1606" s="29" t="s">
        <v>313</v>
      </c>
      <c r="H1606" s="30" t="s">
        <v>485</v>
      </c>
      <c r="I1606" s="78"/>
      <c r="J1606" s="20"/>
      <c r="K1606" s="20"/>
      <c r="L1606" s="20"/>
      <c r="M1606" s="20"/>
      <c r="N1606" s="179" t="s">
        <v>502</v>
      </c>
      <c r="O1606" s="70">
        <v>0</v>
      </c>
      <c r="P1606" s="70">
        <v>0</v>
      </c>
      <c r="Q1606" s="70">
        <f t="shared" si="131"/>
        <v>0</v>
      </c>
      <c r="R1606" s="70"/>
      <c r="S1606" s="67"/>
      <c r="T1606" s="2" t="str">
        <f t="shared" si="126"/>
        <v>Lê Hoàng Chính_12AT3</v>
      </c>
      <c r="U1606" s="28">
        <f t="array" ref="U1606">IFERROR(VLOOKUP($T1606,'Nghi hoc T12'!$H$7:$I$160,2,0),0)</f>
        <v>0</v>
      </c>
      <c r="V1606" s="28"/>
      <c r="W1606" s="28">
        <f t="shared" si="127"/>
        <v>0</v>
      </c>
      <c r="X1606" s="333">
        <f t="shared" si="128"/>
        <v>0</v>
      </c>
      <c r="Y1606" s="333">
        <f t="shared" si="129"/>
        <v>0</v>
      </c>
    </row>
    <row r="1607" spans="1:25" s="2" customFormat="1" ht="21.95" customHeight="1">
      <c r="A1607" s="82">
        <v>9</v>
      </c>
      <c r="B1607" s="91" t="str">
        <f t="shared" si="130"/>
        <v>5B.T</v>
      </c>
      <c r="C1607" s="83" t="s">
        <v>363</v>
      </c>
      <c r="D1607" s="81" t="s">
        <v>523</v>
      </c>
      <c r="E1607" s="48">
        <v>101599</v>
      </c>
      <c r="F1607" s="30"/>
      <c r="G1607" s="29" t="s">
        <v>2101</v>
      </c>
      <c r="H1607" s="30" t="s">
        <v>485</v>
      </c>
      <c r="I1607" s="78"/>
      <c r="J1607" s="20"/>
      <c r="K1607" s="20"/>
      <c r="L1607" s="20"/>
      <c r="M1607" s="20"/>
      <c r="N1607" s="179" t="s">
        <v>502</v>
      </c>
      <c r="O1607" s="70">
        <v>0</v>
      </c>
      <c r="P1607" s="70">
        <v>0</v>
      </c>
      <c r="Q1607" s="70">
        <f t="shared" si="131"/>
        <v>0</v>
      </c>
      <c r="R1607" s="70"/>
      <c r="S1607" s="67"/>
      <c r="T1607" s="2" t="str">
        <f t="shared" si="126"/>
        <v>DŨM_12AT3</v>
      </c>
      <c r="U1607" s="28">
        <f t="array" ref="U1607">IFERROR(VLOOKUP($T1607,'Nghi hoc T12'!$H$7:$I$160,2,0),0)</f>
        <v>0</v>
      </c>
      <c r="V1607" s="28"/>
      <c r="W1607" s="28">
        <f t="shared" si="127"/>
        <v>0</v>
      </c>
      <c r="X1607" s="333">
        <f t="shared" si="128"/>
        <v>0</v>
      </c>
      <c r="Y1607" s="333">
        <f t="shared" si="129"/>
        <v>0</v>
      </c>
    </row>
    <row r="1608" spans="1:25" s="2" customFormat="1" ht="21.95" customHeight="1">
      <c r="A1608" s="82">
        <v>10</v>
      </c>
      <c r="B1608" s="91" t="str">
        <f t="shared" si="130"/>
        <v>5B.T</v>
      </c>
      <c r="C1608" s="83" t="s">
        <v>363</v>
      </c>
      <c r="D1608" s="81" t="s">
        <v>523</v>
      </c>
      <c r="E1608" s="48">
        <v>101600</v>
      </c>
      <c r="F1608" s="30" t="s">
        <v>1243</v>
      </c>
      <c r="G1608" s="29" t="s">
        <v>6</v>
      </c>
      <c r="H1608" s="30" t="s">
        <v>485</v>
      </c>
      <c r="I1608" s="78"/>
      <c r="J1608" s="20"/>
      <c r="K1608" s="20"/>
      <c r="L1608" s="20"/>
      <c r="M1608" s="20"/>
      <c r="N1608" s="179" t="s">
        <v>502</v>
      </c>
      <c r="O1608" s="70">
        <v>0</v>
      </c>
      <c r="P1608" s="70">
        <v>0</v>
      </c>
      <c r="Q1608" s="70">
        <f t="shared" si="131"/>
        <v>0</v>
      </c>
      <c r="R1608" s="70"/>
      <c r="S1608" s="67"/>
      <c r="T1608" s="2" t="str">
        <f t="shared" si="126"/>
        <v>Bùi Quốc Dũng_12AT3</v>
      </c>
      <c r="U1608" s="28">
        <f t="array" ref="U1608">IFERROR(VLOOKUP($T1608,'Nghi hoc T12'!$H$7:$I$160,2,0),0)</f>
        <v>0</v>
      </c>
      <c r="V1608" s="28"/>
      <c r="W1608" s="28">
        <f t="shared" si="127"/>
        <v>0</v>
      </c>
      <c r="X1608" s="333">
        <f t="shared" si="128"/>
        <v>0</v>
      </c>
      <c r="Y1608" s="333">
        <f t="shared" si="129"/>
        <v>0</v>
      </c>
    </row>
    <row r="1609" spans="1:25" s="2" customFormat="1" ht="21.95" customHeight="1">
      <c r="A1609" s="82">
        <v>11</v>
      </c>
      <c r="B1609" s="91" t="str">
        <f t="shared" si="130"/>
        <v>5B.T</v>
      </c>
      <c r="C1609" s="83" t="s">
        <v>363</v>
      </c>
      <c r="D1609" s="81" t="s">
        <v>523</v>
      </c>
      <c r="E1609" s="48">
        <v>101601</v>
      </c>
      <c r="F1609" s="30" t="s">
        <v>192</v>
      </c>
      <c r="G1609" s="29" t="s">
        <v>6</v>
      </c>
      <c r="H1609" s="30" t="s">
        <v>485</v>
      </c>
      <c r="I1609" s="78"/>
      <c r="J1609" s="20"/>
      <c r="K1609" s="20"/>
      <c r="L1609" s="20"/>
      <c r="M1609" s="20"/>
      <c r="N1609" s="179" t="s">
        <v>502</v>
      </c>
      <c r="O1609" s="70">
        <v>0</v>
      </c>
      <c r="P1609" s="70">
        <v>0</v>
      </c>
      <c r="Q1609" s="70">
        <f t="shared" si="131"/>
        <v>0</v>
      </c>
      <c r="R1609" s="70"/>
      <c r="S1609" s="67"/>
      <c r="T1609" s="2" t="str">
        <f t="shared" si="126"/>
        <v>Trần Quốc Dũng_12AT3</v>
      </c>
      <c r="U1609" s="28">
        <f t="array" ref="U1609">IFERROR(VLOOKUP($T1609,'Nghi hoc T12'!$H$7:$I$160,2,0),0)</f>
        <v>0</v>
      </c>
      <c r="V1609" s="28"/>
      <c r="W1609" s="28">
        <f t="shared" si="127"/>
        <v>0</v>
      </c>
      <c r="X1609" s="333">
        <f t="shared" si="128"/>
        <v>0</v>
      </c>
      <c r="Y1609" s="333">
        <f t="shared" si="129"/>
        <v>0</v>
      </c>
    </row>
    <row r="1610" spans="1:25" s="2" customFormat="1" ht="21.95" customHeight="1">
      <c r="A1610" s="82">
        <v>12</v>
      </c>
      <c r="B1610" s="91" t="str">
        <f t="shared" si="130"/>
        <v>5B.T</v>
      </c>
      <c r="C1610" s="83" t="s">
        <v>363</v>
      </c>
      <c r="D1610" s="81" t="s">
        <v>523</v>
      </c>
      <c r="E1610" s="48">
        <v>101602</v>
      </c>
      <c r="F1610" s="30" t="s">
        <v>1648</v>
      </c>
      <c r="G1610" s="29" t="s">
        <v>6</v>
      </c>
      <c r="H1610" s="30" t="s">
        <v>485</v>
      </c>
      <c r="I1610" s="78"/>
      <c r="J1610" s="20"/>
      <c r="K1610" s="20"/>
      <c r="L1610" s="20"/>
      <c r="M1610" s="20"/>
      <c r="N1610" s="179" t="s">
        <v>502</v>
      </c>
      <c r="O1610" s="70">
        <v>0</v>
      </c>
      <c r="P1610" s="70">
        <v>0</v>
      </c>
      <c r="Q1610" s="70">
        <f t="shared" ref="Q1610:Q1673" si="132">U1610</f>
        <v>0</v>
      </c>
      <c r="R1610" s="70"/>
      <c r="S1610" s="67"/>
      <c r="T1610" s="2" t="str">
        <f t="shared" ref="T1610:T1673" si="133">TRIM(F1610&amp;" "&amp;G1610&amp;"_"&amp;H1610)</f>
        <v>Vũ Tiến Dũng_12AT3</v>
      </c>
      <c r="U1610" s="28">
        <f t="array" ref="U1610">IFERROR(VLOOKUP($T1610,'Nghi hoc T12'!$H$7:$I$160,2,0),0)</f>
        <v>0</v>
      </c>
      <c r="V1610" s="28"/>
      <c r="W1610" s="28">
        <f t="shared" ref="W1610:W1673" si="134">I1610</f>
        <v>0</v>
      </c>
      <c r="X1610" s="333">
        <f t="shared" ref="X1610:X1673" si="135">O1610</f>
        <v>0</v>
      </c>
      <c r="Y1610" s="333">
        <f t="shared" ref="Y1610:Y1673" si="136">P1610</f>
        <v>0</v>
      </c>
    </row>
    <row r="1611" spans="1:25" s="2" customFormat="1" ht="21.95" customHeight="1">
      <c r="A1611" s="82">
        <v>13</v>
      </c>
      <c r="B1611" s="91" t="str">
        <f t="shared" ref="B1611:B1674" si="137">RIGHT(D1611,LEN(D1611)-2)&amp;"."&amp;LEFT(N1611,1)</f>
        <v>5B.T</v>
      </c>
      <c r="C1611" s="83" t="s">
        <v>363</v>
      </c>
      <c r="D1611" s="81" t="s">
        <v>523</v>
      </c>
      <c r="E1611" s="48">
        <v>101603</v>
      </c>
      <c r="F1611" s="30" t="s">
        <v>160</v>
      </c>
      <c r="G1611" s="29" t="s">
        <v>7</v>
      </c>
      <c r="H1611" s="30" t="s">
        <v>485</v>
      </c>
      <c r="I1611" s="78"/>
      <c r="J1611" s="20"/>
      <c r="K1611" s="20"/>
      <c r="L1611" s="20"/>
      <c r="M1611" s="20"/>
      <c r="N1611" s="179" t="s">
        <v>502</v>
      </c>
      <c r="O1611" s="70">
        <v>0</v>
      </c>
      <c r="P1611" s="70">
        <v>0</v>
      </c>
      <c r="Q1611" s="70">
        <f t="shared" si="132"/>
        <v>0</v>
      </c>
      <c r="R1611" s="70"/>
      <c r="S1611" s="67"/>
      <c r="T1611" s="2" t="str">
        <f t="shared" si="133"/>
        <v>Nguyễn Thành Đạt_12AT3</v>
      </c>
      <c r="U1611" s="28">
        <f t="array" ref="U1611">IFERROR(VLOOKUP($T1611,'Nghi hoc T12'!$H$7:$I$160,2,0),0)</f>
        <v>0</v>
      </c>
      <c r="V1611" s="28"/>
      <c r="W1611" s="28">
        <f t="shared" si="134"/>
        <v>0</v>
      </c>
      <c r="X1611" s="333">
        <f t="shared" si="135"/>
        <v>0</v>
      </c>
      <c r="Y1611" s="333">
        <f t="shared" si="136"/>
        <v>0</v>
      </c>
    </row>
    <row r="1612" spans="1:25" s="2" customFormat="1" ht="21.95" customHeight="1">
      <c r="A1612" s="82">
        <v>14</v>
      </c>
      <c r="B1612" s="91" t="str">
        <f t="shared" si="137"/>
        <v>5B.T</v>
      </c>
      <c r="C1612" s="83" t="s">
        <v>363</v>
      </c>
      <c r="D1612" s="81" t="s">
        <v>523</v>
      </c>
      <c r="E1612" s="48">
        <v>101604</v>
      </c>
      <c r="F1612" s="30" t="s">
        <v>268</v>
      </c>
      <c r="G1612" s="29" t="s">
        <v>36</v>
      </c>
      <c r="H1612" s="30" t="s">
        <v>485</v>
      </c>
      <c r="I1612" s="78"/>
      <c r="J1612" s="20"/>
      <c r="K1612" s="20"/>
      <c r="L1612" s="20"/>
      <c r="M1612" s="20"/>
      <c r="N1612" s="179" t="s">
        <v>502</v>
      </c>
      <c r="O1612" s="70">
        <v>0</v>
      </c>
      <c r="P1612" s="70">
        <v>0</v>
      </c>
      <c r="Q1612" s="70">
        <f t="shared" si="132"/>
        <v>0</v>
      </c>
      <c r="R1612" s="70"/>
      <c r="S1612" s="67"/>
      <c r="T1612" s="2" t="str">
        <f t="shared" si="133"/>
        <v>Nguyễn Văn Đức_12AT3</v>
      </c>
      <c r="U1612" s="28">
        <f t="array" ref="U1612">IFERROR(VLOOKUP($T1612,'Nghi hoc T12'!$H$7:$I$160,2,0),0)</f>
        <v>0</v>
      </c>
      <c r="V1612" s="28"/>
      <c r="W1612" s="28">
        <f t="shared" si="134"/>
        <v>0</v>
      </c>
      <c r="X1612" s="333">
        <f t="shared" si="135"/>
        <v>0</v>
      </c>
      <c r="Y1612" s="333">
        <f t="shared" si="136"/>
        <v>0</v>
      </c>
    </row>
    <row r="1613" spans="1:25" s="2" customFormat="1" ht="21.95" customHeight="1">
      <c r="A1613" s="82">
        <v>15</v>
      </c>
      <c r="B1613" s="91" t="str">
        <f t="shared" si="137"/>
        <v>5B.T</v>
      </c>
      <c r="C1613" s="83" t="s">
        <v>363</v>
      </c>
      <c r="D1613" s="81" t="s">
        <v>523</v>
      </c>
      <c r="E1613" s="48">
        <v>101605</v>
      </c>
      <c r="F1613" s="30" t="s">
        <v>310</v>
      </c>
      <c r="G1613" s="29" t="s">
        <v>171</v>
      </c>
      <c r="H1613" s="30" t="s">
        <v>485</v>
      </c>
      <c r="I1613" s="78"/>
      <c r="J1613" s="20"/>
      <c r="K1613" s="20"/>
      <c r="L1613" s="20"/>
      <c r="M1613" s="20"/>
      <c r="N1613" s="179" t="s">
        <v>502</v>
      </c>
      <c r="O1613" s="70">
        <v>0</v>
      </c>
      <c r="P1613" s="70">
        <v>0</v>
      </c>
      <c r="Q1613" s="70">
        <f t="shared" si="132"/>
        <v>0</v>
      </c>
      <c r="R1613" s="70"/>
      <c r="S1613" s="67"/>
      <c r="T1613" s="2" t="str">
        <f t="shared" si="133"/>
        <v>Nguyễn Long Hải_12AT3</v>
      </c>
      <c r="U1613" s="28">
        <f t="array" ref="U1613">IFERROR(VLOOKUP($T1613,'Nghi hoc T12'!$H$7:$I$160,2,0),0)</f>
        <v>0</v>
      </c>
      <c r="V1613" s="28"/>
      <c r="W1613" s="28">
        <f t="shared" si="134"/>
        <v>0</v>
      </c>
      <c r="X1613" s="333">
        <f t="shared" si="135"/>
        <v>0</v>
      </c>
      <c r="Y1613" s="333">
        <f t="shared" si="136"/>
        <v>0</v>
      </c>
    </row>
    <row r="1614" spans="1:25" s="2" customFormat="1" ht="21.95" customHeight="1">
      <c r="A1614" s="82">
        <v>16</v>
      </c>
      <c r="B1614" s="91" t="str">
        <f t="shared" si="137"/>
        <v>5B.T</v>
      </c>
      <c r="C1614" s="83" t="s">
        <v>363</v>
      </c>
      <c r="D1614" s="81" t="s">
        <v>523</v>
      </c>
      <c r="E1614" s="48">
        <v>101606</v>
      </c>
      <c r="F1614" s="30" t="s">
        <v>2102</v>
      </c>
      <c r="G1614" s="29" t="s">
        <v>173</v>
      </c>
      <c r="H1614" s="30" t="s">
        <v>485</v>
      </c>
      <c r="I1614" s="78"/>
      <c r="J1614" s="20"/>
      <c r="K1614" s="20"/>
      <c r="L1614" s="20"/>
      <c r="M1614" s="20"/>
      <c r="N1614" s="179" t="s">
        <v>502</v>
      </c>
      <c r="O1614" s="70">
        <v>0</v>
      </c>
      <c r="P1614" s="70">
        <v>0</v>
      </c>
      <c r="Q1614" s="70">
        <f t="shared" si="132"/>
        <v>0</v>
      </c>
      <c r="R1614" s="70"/>
      <c r="S1614" s="67"/>
      <c r="T1614" s="2" t="str">
        <f t="shared" si="133"/>
        <v>Lê Thu Hằng_12AT3</v>
      </c>
      <c r="U1614" s="28">
        <f t="array" ref="U1614">IFERROR(VLOOKUP($T1614,'Nghi hoc T12'!$H$7:$I$160,2,0),0)</f>
        <v>0</v>
      </c>
      <c r="V1614" s="28"/>
      <c r="W1614" s="28">
        <f t="shared" si="134"/>
        <v>0</v>
      </c>
      <c r="X1614" s="333">
        <f t="shared" si="135"/>
        <v>0</v>
      </c>
      <c r="Y1614" s="333">
        <f t="shared" si="136"/>
        <v>0</v>
      </c>
    </row>
    <row r="1615" spans="1:25" s="2" customFormat="1" ht="21.95" customHeight="1">
      <c r="A1615" s="82">
        <v>17</v>
      </c>
      <c r="B1615" s="91" t="str">
        <f t="shared" si="137"/>
        <v>5B.T</v>
      </c>
      <c r="C1615" s="83" t="s">
        <v>363</v>
      </c>
      <c r="D1615" s="81" t="s">
        <v>523</v>
      </c>
      <c r="E1615" s="48">
        <v>101607</v>
      </c>
      <c r="F1615" s="30" t="s">
        <v>2103</v>
      </c>
      <c r="G1615" s="29" t="s">
        <v>100</v>
      </c>
      <c r="H1615" s="30" t="s">
        <v>485</v>
      </c>
      <c r="I1615" s="78"/>
      <c r="J1615" s="20"/>
      <c r="K1615" s="20"/>
      <c r="L1615" s="20"/>
      <c r="M1615" s="20"/>
      <c r="N1615" s="179" t="s">
        <v>502</v>
      </c>
      <c r="O1615" s="70">
        <v>0</v>
      </c>
      <c r="P1615" s="70">
        <v>0</v>
      </c>
      <c r="Q1615" s="70">
        <f t="shared" si="132"/>
        <v>0</v>
      </c>
      <c r="R1615" s="70"/>
      <c r="S1615" s="67"/>
      <c r="T1615" s="2" t="str">
        <f t="shared" si="133"/>
        <v>Bùi Phi Hùng_12AT3</v>
      </c>
      <c r="U1615" s="28">
        <f t="array" ref="U1615">IFERROR(VLOOKUP($T1615,'Nghi hoc T12'!$H$7:$I$160,2,0),0)</f>
        <v>0</v>
      </c>
      <c r="V1615" s="28"/>
      <c r="W1615" s="28">
        <f t="shared" si="134"/>
        <v>0</v>
      </c>
      <c r="X1615" s="333">
        <f t="shared" si="135"/>
        <v>0</v>
      </c>
      <c r="Y1615" s="333">
        <f t="shared" si="136"/>
        <v>0</v>
      </c>
    </row>
    <row r="1616" spans="1:25" s="2" customFormat="1" ht="21.95" customHeight="1">
      <c r="A1616" s="82">
        <v>18</v>
      </c>
      <c r="B1616" s="91" t="str">
        <f t="shared" si="137"/>
        <v>5B.T</v>
      </c>
      <c r="C1616" s="83" t="s">
        <v>363</v>
      </c>
      <c r="D1616" s="81" t="s">
        <v>523</v>
      </c>
      <c r="E1616" s="48">
        <v>101608</v>
      </c>
      <c r="F1616" s="30" t="s">
        <v>2104</v>
      </c>
      <c r="G1616" s="29" t="s">
        <v>68</v>
      </c>
      <c r="H1616" s="30" t="s">
        <v>485</v>
      </c>
      <c r="I1616" s="78"/>
      <c r="J1616" s="20"/>
      <c r="K1616" s="20"/>
      <c r="L1616" s="20"/>
      <c r="M1616" s="20"/>
      <c r="N1616" s="179" t="s">
        <v>502</v>
      </c>
      <c r="O1616" s="70">
        <v>0</v>
      </c>
      <c r="P1616" s="70">
        <v>0</v>
      </c>
      <c r="Q1616" s="70">
        <f t="shared" si="132"/>
        <v>0</v>
      </c>
      <c r="R1616" s="70"/>
      <c r="S1616" s="67"/>
      <c r="T1616" s="2" t="str">
        <f t="shared" si="133"/>
        <v>Thạch Tuấn Kiệt_12AT3</v>
      </c>
      <c r="U1616" s="28">
        <f t="array" ref="U1616">IFERROR(VLOOKUP($T1616,'Nghi hoc T12'!$H$7:$I$160,2,0),0)</f>
        <v>0</v>
      </c>
      <c r="V1616" s="28"/>
      <c r="W1616" s="28">
        <f t="shared" si="134"/>
        <v>0</v>
      </c>
      <c r="X1616" s="333">
        <f t="shared" si="135"/>
        <v>0</v>
      </c>
      <c r="Y1616" s="333">
        <f t="shared" si="136"/>
        <v>0</v>
      </c>
    </row>
    <row r="1617" spans="1:25" s="2" customFormat="1" ht="21.95" customHeight="1">
      <c r="A1617" s="82">
        <v>19</v>
      </c>
      <c r="B1617" s="91" t="str">
        <f t="shared" si="137"/>
        <v>5B.T</v>
      </c>
      <c r="C1617" s="83" t="s">
        <v>363</v>
      </c>
      <c r="D1617" s="81" t="s">
        <v>523</v>
      </c>
      <c r="E1617" s="48">
        <v>101609</v>
      </c>
      <c r="F1617" s="30" t="s">
        <v>257</v>
      </c>
      <c r="G1617" s="29" t="s">
        <v>311</v>
      </c>
      <c r="H1617" s="30" t="s">
        <v>485</v>
      </c>
      <c r="I1617" s="78"/>
      <c r="J1617" s="20"/>
      <c r="K1617" s="20"/>
      <c r="L1617" s="20"/>
      <c r="M1617" s="20"/>
      <c r="N1617" s="179" t="s">
        <v>502</v>
      </c>
      <c r="O1617" s="70">
        <v>0</v>
      </c>
      <c r="P1617" s="70">
        <v>0</v>
      </c>
      <c r="Q1617" s="70">
        <f t="shared" si="132"/>
        <v>0</v>
      </c>
      <c r="R1617" s="70"/>
      <c r="S1617" s="67"/>
      <c r="T1617" s="2" t="str">
        <f t="shared" si="133"/>
        <v>Lê Minh Kỳ_12AT3</v>
      </c>
      <c r="U1617" s="28">
        <f t="array" ref="U1617">IFERROR(VLOOKUP($T1617,'Nghi hoc T12'!$H$7:$I$160,2,0),0)</f>
        <v>0</v>
      </c>
      <c r="V1617" s="28"/>
      <c r="W1617" s="28">
        <f t="shared" si="134"/>
        <v>0</v>
      </c>
      <c r="X1617" s="333">
        <f t="shared" si="135"/>
        <v>0</v>
      </c>
      <c r="Y1617" s="333">
        <f t="shared" si="136"/>
        <v>0</v>
      </c>
    </row>
    <row r="1618" spans="1:25" s="2" customFormat="1" ht="21.95" customHeight="1">
      <c r="A1618" s="82">
        <v>20</v>
      </c>
      <c r="B1618" s="91" t="str">
        <f t="shared" si="137"/>
        <v>5B.T</v>
      </c>
      <c r="C1618" s="83" t="s">
        <v>363</v>
      </c>
      <c r="D1618" s="81" t="s">
        <v>523</v>
      </c>
      <c r="E1618" s="48">
        <v>101610</v>
      </c>
      <c r="F1618" s="30" t="s">
        <v>2105</v>
      </c>
      <c r="G1618" s="29" t="s">
        <v>2106</v>
      </c>
      <c r="H1618" s="30" t="s">
        <v>485</v>
      </c>
      <c r="I1618" s="78"/>
      <c r="J1618" s="20"/>
      <c r="K1618" s="20"/>
      <c r="L1618" s="20"/>
      <c r="M1618" s="20"/>
      <c r="N1618" s="179" t="s">
        <v>502</v>
      </c>
      <c r="O1618" s="70">
        <v>0</v>
      </c>
      <c r="P1618" s="70">
        <v>0</v>
      </c>
      <c r="Q1618" s="70">
        <f t="shared" si="132"/>
        <v>0</v>
      </c>
      <c r="R1618" s="70"/>
      <c r="S1618" s="67"/>
      <c r="T1618" s="2" t="str">
        <f t="shared" si="133"/>
        <v>Siu Lanh_12AT3</v>
      </c>
      <c r="U1618" s="28">
        <f t="array" ref="U1618">IFERROR(VLOOKUP($T1618,'Nghi hoc T12'!$H$7:$I$160,2,0),0)</f>
        <v>0</v>
      </c>
      <c r="V1618" s="28"/>
      <c r="W1618" s="28">
        <f t="shared" si="134"/>
        <v>0</v>
      </c>
      <c r="X1618" s="333">
        <f t="shared" si="135"/>
        <v>0</v>
      </c>
      <c r="Y1618" s="333">
        <f t="shared" si="136"/>
        <v>0</v>
      </c>
    </row>
    <row r="1619" spans="1:25" s="2" customFormat="1" ht="21.95" customHeight="1">
      <c r="A1619" s="82">
        <v>21</v>
      </c>
      <c r="B1619" s="91" t="str">
        <f t="shared" si="137"/>
        <v>5B.T</v>
      </c>
      <c r="C1619" s="83" t="s">
        <v>363</v>
      </c>
      <c r="D1619" s="81" t="s">
        <v>523</v>
      </c>
      <c r="E1619" s="48">
        <v>101611</v>
      </c>
      <c r="F1619" s="30" t="s">
        <v>174</v>
      </c>
      <c r="G1619" s="29" t="s">
        <v>92</v>
      </c>
      <c r="H1619" s="30" t="s">
        <v>485</v>
      </c>
      <c r="I1619" s="78"/>
      <c r="J1619" s="20"/>
      <c r="K1619" s="20"/>
      <c r="L1619" s="20"/>
      <c r="M1619" s="20"/>
      <c r="N1619" s="179" t="s">
        <v>502</v>
      </c>
      <c r="O1619" s="70">
        <v>0</v>
      </c>
      <c r="P1619" s="70">
        <v>0</v>
      </c>
      <c r="Q1619" s="70">
        <f t="shared" si="132"/>
        <v>0</v>
      </c>
      <c r="R1619" s="70"/>
      <c r="S1619" s="67"/>
      <c r="T1619" s="2" t="str">
        <f t="shared" si="133"/>
        <v>Lê Văn Lâm_12AT3</v>
      </c>
      <c r="U1619" s="28">
        <f t="array" ref="U1619">IFERROR(VLOOKUP($T1619,'Nghi hoc T12'!$H$7:$I$160,2,0),0)</f>
        <v>0</v>
      </c>
      <c r="V1619" s="28"/>
      <c r="W1619" s="28">
        <f t="shared" si="134"/>
        <v>0</v>
      </c>
      <c r="X1619" s="333">
        <f t="shared" si="135"/>
        <v>0</v>
      </c>
      <c r="Y1619" s="333">
        <f t="shared" si="136"/>
        <v>0</v>
      </c>
    </row>
    <row r="1620" spans="1:25" s="2" customFormat="1" ht="21.95" customHeight="1">
      <c r="A1620" s="82">
        <v>22</v>
      </c>
      <c r="B1620" s="91" t="str">
        <f t="shared" si="137"/>
        <v>5B.T</v>
      </c>
      <c r="C1620" s="83" t="s">
        <v>363</v>
      </c>
      <c r="D1620" s="81" t="s">
        <v>523</v>
      </c>
      <c r="E1620" s="48">
        <v>101612</v>
      </c>
      <c r="F1620" s="30" t="s">
        <v>2107</v>
      </c>
      <c r="G1620" s="29" t="s">
        <v>38</v>
      </c>
      <c r="H1620" s="30" t="s">
        <v>485</v>
      </c>
      <c r="I1620" s="78"/>
      <c r="J1620" s="20"/>
      <c r="K1620" s="20"/>
      <c r="L1620" s="20"/>
      <c r="M1620" s="20"/>
      <c r="N1620" s="179" t="s">
        <v>502</v>
      </c>
      <c r="O1620" s="70">
        <v>0</v>
      </c>
      <c r="P1620" s="70">
        <v>0</v>
      </c>
      <c r="Q1620" s="70">
        <f t="shared" si="132"/>
        <v>0</v>
      </c>
      <c r="R1620" s="70"/>
      <c r="S1620" s="67"/>
      <c r="T1620" s="2" t="str">
        <f t="shared" si="133"/>
        <v>Nguyễn Thị Gia Linh_12AT3</v>
      </c>
      <c r="U1620" s="28">
        <f t="array" ref="U1620">IFERROR(VLOOKUP($T1620,'Nghi hoc T12'!$H$7:$I$160,2,0),0)</f>
        <v>0</v>
      </c>
      <c r="V1620" s="28"/>
      <c r="W1620" s="28">
        <f t="shared" si="134"/>
        <v>0</v>
      </c>
      <c r="X1620" s="333">
        <f t="shared" si="135"/>
        <v>0</v>
      </c>
      <c r="Y1620" s="333">
        <f t="shared" si="136"/>
        <v>0</v>
      </c>
    </row>
    <row r="1621" spans="1:25" s="2" customFormat="1" ht="21.95" customHeight="1">
      <c r="A1621" s="82">
        <v>23</v>
      </c>
      <c r="B1621" s="91" t="str">
        <f t="shared" si="137"/>
        <v>5B.T</v>
      </c>
      <c r="C1621" s="83" t="s">
        <v>363</v>
      </c>
      <c r="D1621" s="81" t="s">
        <v>523</v>
      </c>
      <c r="E1621" s="48">
        <v>101613</v>
      </c>
      <c r="F1621" s="30" t="s">
        <v>203</v>
      </c>
      <c r="G1621" s="29" t="s">
        <v>269</v>
      </c>
      <c r="H1621" s="30" t="s">
        <v>485</v>
      </c>
      <c r="I1621" s="78"/>
      <c r="J1621" s="20"/>
      <c r="K1621" s="20"/>
      <c r="L1621" s="20"/>
      <c r="M1621" s="20"/>
      <c r="N1621" s="179" t="s">
        <v>502</v>
      </c>
      <c r="O1621" s="70">
        <v>0</v>
      </c>
      <c r="P1621" s="70">
        <v>0</v>
      </c>
      <c r="Q1621" s="70">
        <f t="shared" si="132"/>
        <v>0</v>
      </c>
      <c r="R1621" s="70"/>
      <c r="S1621" s="67"/>
      <c r="T1621" s="2" t="str">
        <f t="shared" si="133"/>
        <v>Nguyễn Ngọc Phương Loan_12AT3</v>
      </c>
      <c r="U1621" s="28">
        <f t="array" ref="U1621">IFERROR(VLOOKUP($T1621,'Nghi hoc T12'!$H$7:$I$160,2,0),0)</f>
        <v>0</v>
      </c>
      <c r="V1621" s="28"/>
      <c r="W1621" s="28">
        <f t="shared" si="134"/>
        <v>0</v>
      </c>
      <c r="X1621" s="333">
        <f t="shared" si="135"/>
        <v>0</v>
      </c>
      <c r="Y1621" s="333">
        <f t="shared" si="136"/>
        <v>0</v>
      </c>
    </row>
    <row r="1622" spans="1:25" s="2" customFormat="1" ht="21.95" customHeight="1">
      <c r="A1622" s="82">
        <v>24</v>
      </c>
      <c r="B1622" s="91" t="str">
        <f t="shared" si="137"/>
        <v>5B.T</v>
      </c>
      <c r="C1622" s="83" t="s">
        <v>363</v>
      </c>
      <c r="D1622" s="81" t="s">
        <v>523</v>
      </c>
      <c r="E1622" s="48">
        <v>101614</v>
      </c>
      <c r="F1622" s="30" t="s">
        <v>315</v>
      </c>
      <c r="G1622" s="29" t="s">
        <v>152</v>
      </c>
      <c r="H1622" s="30" t="s">
        <v>485</v>
      </c>
      <c r="I1622" s="78"/>
      <c r="J1622" s="20"/>
      <c r="K1622" s="20"/>
      <c r="L1622" s="20"/>
      <c r="M1622" s="20"/>
      <c r="N1622" s="179" t="s">
        <v>502</v>
      </c>
      <c r="O1622" s="70">
        <v>0</v>
      </c>
      <c r="P1622" s="70">
        <v>0</v>
      </c>
      <c r="Q1622" s="70">
        <f t="shared" si="132"/>
        <v>0</v>
      </c>
      <c r="R1622" s="70"/>
      <c r="S1622" s="67"/>
      <c r="T1622" s="2" t="str">
        <f t="shared" si="133"/>
        <v>Nguyễn Tuấn Lộc_12AT3</v>
      </c>
      <c r="U1622" s="28">
        <f t="array" ref="U1622">IFERROR(VLOOKUP($T1622,'Nghi hoc T12'!$H$7:$I$160,2,0),0)</f>
        <v>0</v>
      </c>
      <c r="V1622" s="28"/>
      <c r="W1622" s="28">
        <f t="shared" si="134"/>
        <v>0</v>
      </c>
      <c r="X1622" s="333">
        <f t="shared" si="135"/>
        <v>0</v>
      </c>
      <c r="Y1622" s="333">
        <f t="shared" si="136"/>
        <v>0</v>
      </c>
    </row>
    <row r="1623" spans="1:25" s="2" customFormat="1" ht="21.95" customHeight="1">
      <c r="A1623" s="82">
        <v>25</v>
      </c>
      <c r="B1623" s="91" t="str">
        <f t="shared" si="137"/>
        <v>5B.T</v>
      </c>
      <c r="C1623" s="83" t="s">
        <v>363</v>
      </c>
      <c r="D1623" s="81" t="s">
        <v>523</v>
      </c>
      <c r="E1623" s="48">
        <v>101615</v>
      </c>
      <c r="F1623" s="30"/>
      <c r="G1623" s="29" t="s">
        <v>2108</v>
      </c>
      <c r="H1623" s="30" t="s">
        <v>485</v>
      </c>
      <c r="I1623" s="78"/>
      <c r="J1623" s="20"/>
      <c r="K1623" s="20"/>
      <c r="L1623" s="20"/>
      <c r="M1623" s="20"/>
      <c r="N1623" s="179" t="s">
        <v>502</v>
      </c>
      <c r="O1623" s="70">
        <v>0</v>
      </c>
      <c r="P1623" s="70">
        <v>0</v>
      </c>
      <c r="Q1623" s="70">
        <f t="shared" si="132"/>
        <v>0</v>
      </c>
      <c r="R1623" s="70"/>
      <c r="S1623" s="67"/>
      <c r="T1623" s="2" t="str">
        <f t="shared" si="133"/>
        <v>MAH_12AT3</v>
      </c>
      <c r="U1623" s="28">
        <f t="array" ref="U1623">IFERROR(VLOOKUP($T1623,'Nghi hoc T12'!$H$7:$I$160,2,0),0)</f>
        <v>0</v>
      </c>
      <c r="V1623" s="28"/>
      <c r="W1623" s="28">
        <f t="shared" si="134"/>
        <v>0</v>
      </c>
      <c r="X1623" s="333">
        <f t="shared" si="135"/>
        <v>0</v>
      </c>
      <c r="Y1623" s="333">
        <f t="shared" si="136"/>
        <v>0</v>
      </c>
    </row>
    <row r="1624" spans="1:25" s="2" customFormat="1" ht="21.95" customHeight="1">
      <c r="A1624" s="82">
        <v>26</v>
      </c>
      <c r="B1624" s="91" t="str">
        <f t="shared" si="137"/>
        <v>5B.T</v>
      </c>
      <c r="C1624" s="83" t="s">
        <v>363</v>
      </c>
      <c r="D1624" s="81" t="s">
        <v>523</v>
      </c>
      <c r="E1624" s="48">
        <v>101616</v>
      </c>
      <c r="F1624" s="30" t="s">
        <v>2109</v>
      </c>
      <c r="G1624" s="29" t="s">
        <v>15</v>
      </c>
      <c r="H1624" s="30" t="s">
        <v>485</v>
      </c>
      <c r="I1624" s="78"/>
      <c r="J1624" s="20"/>
      <c r="K1624" s="20"/>
      <c r="L1624" s="20"/>
      <c r="M1624" s="20"/>
      <c r="N1624" s="179" t="s">
        <v>502</v>
      </c>
      <c r="O1624" s="70">
        <v>0</v>
      </c>
      <c r="P1624" s="70">
        <v>0</v>
      </c>
      <c r="Q1624" s="70">
        <f t="shared" si="132"/>
        <v>0</v>
      </c>
      <c r="R1624" s="70"/>
      <c r="S1624" s="67"/>
      <c r="T1624" s="2" t="str">
        <f t="shared" si="133"/>
        <v>Ngô Vũ Trúc Mai_12AT3</v>
      </c>
      <c r="U1624" s="28">
        <f t="array" ref="U1624">IFERROR(VLOOKUP($T1624,'Nghi hoc T12'!$H$7:$I$160,2,0),0)</f>
        <v>0</v>
      </c>
      <c r="V1624" s="28"/>
      <c r="W1624" s="28">
        <f t="shared" si="134"/>
        <v>0</v>
      </c>
      <c r="X1624" s="333">
        <f t="shared" si="135"/>
        <v>0</v>
      </c>
      <c r="Y1624" s="333">
        <f t="shared" si="136"/>
        <v>0</v>
      </c>
    </row>
    <row r="1625" spans="1:25" s="2" customFormat="1" ht="21.95" customHeight="1">
      <c r="A1625" s="82">
        <v>27</v>
      </c>
      <c r="B1625" s="91" t="str">
        <f t="shared" si="137"/>
        <v>5B.T</v>
      </c>
      <c r="C1625" s="83" t="s">
        <v>363</v>
      </c>
      <c r="D1625" s="81" t="s">
        <v>523</v>
      </c>
      <c r="E1625" s="48">
        <v>101617</v>
      </c>
      <c r="F1625" s="30" t="s">
        <v>2110</v>
      </c>
      <c r="G1625" s="29" t="s">
        <v>16</v>
      </c>
      <c r="H1625" s="30" t="s">
        <v>485</v>
      </c>
      <c r="I1625" s="78"/>
      <c r="J1625" s="20"/>
      <c r="K1625" s="20"/>
      <c r="L1625" s="20"/>
      <c r="M1625" s="20"/>
      <c r="N1625" s="179" t="s">
        <v>502</v>
      </c>
      <c r="O1625" s="70">
        <v>0</v>
      </c>
      <c r="P1625" s="70">
        <v>0</v>
      </c>
      <c r="Q1625" s="70">
        <f t="shared" si="132"/>
        <v>0</v>
      </c>
      <c r="R1625" s="70"/>
      <c r="S1625" s="67"/>
      <c r="T1625" s="2" t="str">
        <f t="shared" si="133"/>
        <v>Đào Phạm Quốc Minh_12AT3</v>
      </c>
      <c r="U1625" s="28">
        <f t="array" ref="U1625">IFERROR(VLOOKUP($T1625,'Nghi hoc T12'!$H$7:$I$160,2,0),0)</f>
        <v>0</v>
      </c>
      <c r="V1625" s="28"/>
      <c r="W1625" s="28">
        <f t="shared" si="134"/>
        <v>0</v>
      </c>
      <c r="X1625" s="333">
        <f t="shared" si="135"/>
        <v>0</v>
      </c>
      <c r="Y1625" s="333">
        <f t="shared" si="136"/>
        <v>0</v>
      </c>
    </row>
    <row r="1626" spans="1:25" s="2" customFormat="1" ht="21.95" customHeight="1">
      <c r="A1626" s="82">
        <v>28</v>
      </c>
      <c r="B1626" s="91" t="str">
        <f t="shared" si="137"/>
        <v>5B.T</v>
      </c>
      <c r="C1626" s="83" t="s">
        <v>363</v>
      </c>
      <c r="D1626" s="81" t="s">
        <v>523</v>
      </c>
      <c r="E1626" s="48">
        <v>101618</v>
      </c>
      <c r="F1626" s="30" t="s">
        <v>2111</v>
      </c>
      <c r="G1626" s="29" t="s">
        <v>40</v>
      </c>
      <c r="H1626" s="30" t="s">
        <v>485</v>
      </c>
      <c r="I1626" s="78"/>
      <c r="J1626" s="20"/>
      <c r="K1626" s="20"/>
      <c r="L1626" s="20"/>
      <c r="M1626" s="20"/>
      <c r="N1626" s="179" t="s">
        <v>502</v>
      </c>
      <c r="O1626" s="70">
        <v>0</v>
      </c>
      <c r="P1626" s="70">
        <v>0</v>
      </c>
      <c r="Q1626" s="70">
        <f t="shared" si="132"/>
        <v>0</v>
      </c>
      <c r="R1626" s="70"/>
      <c r="S1626" s="67"/>
      <c r="T1626" s="2" t="str">
        <f t="shared" si="133"/>
        <v>Nguyễn Phạm Trúc My_12AT3</v>
      </c>
      <c r="U1626" s="28">
        <f t="array" ref="U1626">IFERROR(VLOOKUP($T1626,'Nghi hoc T12'!$H$7:$I$160,2,0),0)</f>
        <v>0</v>
      </c>
      <c r="V1626" s="28"/>
      <c r="W1626" s="28">
        <f t="shared" si="134"/>
        <v>0</v>
      </c>
      <c r="X1626" s="333">
        <f t="shared" si="135"/>
        <v>0</v>
      </c>
      <c r="Y1626" s="333">
        <f t="shared" si="136"/>
        <v>0</v>
      </c>
    </row>
    <row r="1627" spans="1:25" s="2" customFormat="1" ht="21.95" customHeight="1">
      <c r="A1627" s="200">
        <v>1</v>
      </c>
      <c r="B1627" s="91" t="str">
        <f t="shared" si="137"/>
        <v>6B.T</v>
      </c>
      <c r="C1627" s="185" t="s">
        <v>363</v>
      </c>
      <c r="D1627" s="186" t="s">
        <v>524</v>
      </c>
      <c r="E1627" s="187">
        <v>101619</v>
      </c>
      <c r="F1627" s="188" t="s">
        <v>2112</v>
      </c>
      <c r="G1627" s="189" t="s">
        <v>40</v>
      </c>
      <c r="H1627" s="188" t="s">
        <v>485</v>
      </c>
      <c r="I1627" s="190"/>
      <c r="J1627" s="191"/>
      <c r="K1627" s="191"/>
      <c r="L1627" s="191"/>
      <c r="M1627" s="191"/>
      <c r="N1627" s="179" t="s">
        <v>502</v>
      </c>
      <c r="O1627" s="70">
        <v>0</v>
      </c>
      <c r="P1627" s="70">
        <v>0</v>
      </c>
      <c r="Q1627" s="70">
        <f t="shared" si="132"/>
        <v>0</v>
      </c>
      <c r="R1627" s="70"/>
      <c r="S1627" s="67"/>
      <c r="T1627" s="2" t="str">
        <f t="shared" si="133"/>
        <v>Võ Phương Hoài My_12AT3</v>
      </c>
      <c r="U1627" s="28">
        <f t="array" ref="U1627">IFERROR(VLOOKUP($T1627,'Nghi hoc T12'!$H$7:$I$160,2,0),0)</f>
        <v>0</v>
      </c>
      <c r="V1627" s="28"/>
      <c r="W1627" s="28">
        <f t="shared" si="134"/>
        <v>0</v>
      </c>
      <c r="X1627" s="333">
        <f t="shared" si="135"/>
        <v>0</v>
      </c>
      <c r="Y1627" s="333">
        <f t="shared" si="136"/>
        <v>0</v>
      </c>
    </row>
    <row r="1628" spans="1:25" s="2" customFormat="1" ht="21.95" customHeight="1">
      <c r="A1628" s="82">
        <v>2</v>
      </c>
      <c r="B1628" s="91" t="str">
        <f t="shared" si="137"/>
        <v>6B.T</v>
      </c>
      <c r="C1628" s="83" t="s">
        <v>363</v>
      </c>
      <c r="D1628" s="81" t="s">
        <v>524</v>
      </c>
      <c r="E1628" s="48">
        <v>101620</v>
      </c>
      <c r="F1628" s="30" t="s">
        <v>2113</v>
      </c>
      <c r="G1628" s="29" t="s">
        <v>17</v>
      </c>
      <c r="H1628" s="30" t="s">
        <v>485</v>
      </c>
      <c r="I1628" s="78"/>
      <c r="J1628" s="20"/>
      <c r="K1628" s="20"/>
      <c r="L1628" s="20"/>
      <c r="M1628" s="20"/>
      <c r="N1628" s="179" t="s">
        <v>502</v>
      </c>
      <c r="O1628" s="70">
        <v>0</v>
      </c>
      <c r="P1628" s="70">
        <v>0</v>
      </c>
      <c r="Q1628" s="70">
        <f t="shared" si="132"/>
        <v>0</v>
      </c>
      <c r="R1628" s="70"/>
      <c r="S1628" s="67"/>
      <c r="T1628" s="2" t="str">
        <f t="shared" si="133"/>
        <v>Dương Đắc Bảo Nam_12AT3</v>
      </c>
      <c r="U1628" s="28">
        <f t="array" ref="U1628">IFERROR(VLOOKUP($T1628,'Nghi hoc T12'!$H$7:$I$160,2,0),0)</f>
        <v>0</v>
      </c>
      <c r="V1628" s="28"/>
      <c r="W1628" s="28">
        <f t="shared" si="134"/>
        <v>0</v>
      </c>
      <c r="X1628" s="333">
        <f t="shared" si="135"/>
        <v>0</v>
      </c>
      <c r="Y1628" s="333">
        <f t="shared" si="136"/>
        <v>0</v>
      </c>
    </row>
    <row r="1629" spans="1:25" s="2" customFormat="1" ht="21.95" customHeight="1">
      <c r="A1629" s="82">
        <v>3</v>
      </c>
      <c r="B1629" s="91" t="str">
        <f t="shared" si="137"/>
        <v>6B.T</v>
      </c>
      <c r="C1629" s="83" t="s">
        <v>363</v>
      </c>
      <c r="D1629" s="81" t="s">
        <v>524</v>
      </c>
      <c r="E1629" s="48">
        <v>101621</v>
      </c>
      <c r="F1629" s="30" t="s">
        <v>2114</v>
      </c>
      <c r="G1629" s="29" t="s">
        <v>18</v>
      </c>
      <c r="H1629" s="30" t="s">
        <v>485</v>
      </c>
      <c r="I1629" s="78"/>
      <c r="J1629" s="20"/>
      <c r="K1629" s="20"/>
      <c r="L1629" s="20"/>
      <c r="M1629" s="20"/>
      <c r="N1629" s="179" t="s">
        <v>502</v>
      </c>
      <c r="O1629" s="70">
        <v>0</v>
      </c>
      <c r="P1629" s="70">
        <v>0</v>
      </c>
      <c r="Q1629" s="70">
        <f t="shared" si="132"/>
        <v>0</v>
      </c>
      <c r="R1629" s="70"/>
      <c r="S1629" s="67"/>
      <c r="T1629" s="2" t="str">
        <f t="shared" si="133"/>
        <v>Nguyễn Đoàn Thu Ngân_12AT3</v>
      </c>
      <c r="U1629" s="28">
        <f t="array" ref="U1629">IFERROR(VLOOKUP($T1629,'Nghi hoc T12'!$H$7:$I$160,2,0),0)</f>
        <v>0</v>
      </c>
      <c r="V1629" s="28"/>
      <c r="W1629" s="28">
        <f t="shared" si="134"/>
        <v>0</v>
      </c>
      <c r="X1629" s="333">
        <f t="shared" si="135"/>
        <v>0</v>
      </c>
      <c r="Y1629" s="333">
        <f t="shared" si="136"/>
        <v>0</v>
      </c>
    </row>
    <row r="1630" spans="1:25" s="2" customFormat="1" ht="21.95" customHeight="1">
      <c r="A1630" s="82">
        <v>4</v>
      </c>
      <c r="B1630" s="91" t="str">
        <f t="shared" si="137"/>
        <v>6B.T</v>
      </c>
      <c r="C1630" s="83" t="s">
        <v>363</v>
      </c>
      <c r="D1630" s="81" t="s">
        <v>524</v>
      </c>
      <c r="E1630" s="48">
        <v>101622</v>
      </c>
      <c r="F1630" s="30" t="s">
        <v>258</v>
      </c>
      <c r="G1630" s="29" t="s">
        <v>18</v>
      </c>
      <c r="H1630" s="30" t="s">
        <v>485</v>
      </c>
      <c r="I1630" s="78"/>
      <c r="J1630" s="20"/>
      <c r="K1630" s="20"/>
      <c r="L1630" s="20"/>
      <c r="M1630" s="20"/>
      <c r="N1630" s="179" t="s">
        <v>502</v>
      </c>
      <c r="O1630" s="70">
        <v>0</v>
      </c>
      <c r="P1630" s="70">
        <v>0</v>
      </c>
      <c r="Q1630" s="70">
        <f t="shared" si="132"/>
        <v>0</v>
      </c>
      <c r="R1630" s="70"/>
      <c r="S1630" s="67"/>
      <c r="T1630" s="2" t="str">
        <f t="shared" si="133"/>
        <v>Nguyễn Ngọc Thanh Ngân_12AT3</v>
      </c>
      <c r="U1630" s="28">
        <f t="array" ref="U1630">IFERROR(VLOOKUP($T1630,'Nghi hoc T12'!$H$7:$I$160,2,0),0)</f>
        <v>0</v>
      </c>
      <c r="V1630" s="28"/>
      <c r="W1630" s="28">
        <f t="shared" si="134"/>
        <v>0</v>
      </c>
      <c r="X1630" s="333">
        <f t="shared" si="135"/>
        <v>0</v>
      </c>
      <c r="Y1630" s="333">
        <f t="shared" si="136"/>
        <v>0</v>
      </c>
    </row>
    <row r="1631" spans="1:25" s="2" customFormat="1" ht="21.95" customHeight="1">
      <c r="A1631" s="82">
        <v>5</v>
      </c>
      <c r="B1631" s="91" t="str">
        <f t="shared" si="137"/>
        <v>6B.T</v>
      </c>
      <c r="C1631" s="83" t="s">
        <v>363</v>
      </c>
      <c r="D1631" s="81" t="s">
        <v>524</v>
      </c>
      <c r="E1631" s="48">
        <v>101623</v>
      </c>
      <c r="F1631" s="30" t="s">
        <v>2115</v>
      </c>
      <c r="G1631" s="29" t="s">
        <v>2116</v>
      </c>
      <c r="H1631" s="30" t="s">
        <v>485</v>
      </c>
      <c r="I1631" s="78"/>
      <c r="J1631" s="20"/>
      <c r="K1631" s="20"/>
      <c r="L1631" s="20"/>
      <c r="M1631" s="20"/>
      <c r="N1631" s="179" t="s">
        <v>502</v>
      </c>
      <c r="O1631" s="70">
        <v>0</v>
      </c>
      <c r="P1631" s="70">
        <v>0</v>
      </c>
      <c r="Q1631" s="70">
        <f t="shared" si="132"/>
        <v>0</v>
      </c>
      <c r="R1631" s="70"/>
      <c r="S1631" s="67"/>
      <c r="T1631" s="2" t="str">
        <f t="shared" si="133"/>
        <v>Trần Văn Ngữ_12AT3</v>
      </c>
      <c r="U1631" s="28">
        <f t="array" ref="U1631">IFERROR(VLOOKUP($T1631,'Nghi hoc T12'!$H$7:$I$160,2,0),0)</f>
        <v>0</v>
      </c>
      <c r="V1631" s="28"/>
      <c r="W1631" s="28">
        <f t="shared" si="134"/>
        <v>0</v>
      </c>
      <c r="X1631" s="333">
        <f t="shared" si="135"/>
        <v>0</v>
      </c>
      <c r="Y1631" s="333">
        <f t="shared" si="136"/>
        <v>0</v>
      </c>
    </row>
    <row r="1632" spans="1:25" s="2" customFormat="1" ht="21.95" customHeight="1">
      <c r="A1632" s="82">
        <v>6</v>
      </c>
      <c r="B1632" s="91" t="str">
        <f t="shared" si="137"/>
        <v>6B.T</v>
      </c>
      <c r="C1632" s="83" t="s">
        <v>363</v>
      </c>
      <c r="D1632" s="81" t="s">
        <v>524</v>
      </c>
      <c r="E1632" s="48">
        <v>101624</v>
      </c>
      <c r="F1632" s="30" t="s">
        <v>316</v>
      </c>
      <c r="G1632" s="29" t="s">
        <v>20</v>
      </c>
      <c r="H1632" s="30" t="s">
        <v>485</v>
      </c>
      <c r="I1632" s="78"/>
      <c r="J1632" s="20"/>
      <c r="K1632" s="20"/>
      <c r="L1632" s="20"/>
      <c r="M1632" s="20"/>
      <c r="N1632" s="179" t="s">
        <v>502</v>
      </c>
      <c r="O1632" s="70">
        <v>0</v>
      </c>
      <c r="P1632" s="70">
        <v>0</v>
      </c>
      <c r="Q1632" s="70">
        <f t="shared" si="132"/>
        <v>0</v>
      </c>
      <c r="R1632" s="70"/>
      <c r="S1632" s="67"/>
      <c r="T1632" s="2" t="str">
        <f t="shared" si="133"/>
        <v>Ngô Thị Ngọc Nhi_12AT3</v>
      </c>
      <c r="U1632" s="28">
        <f t="array" ref="U1632">IFERROR(VLOOKUP($T1632,'Nghi hoc T12'!$H$7:$I$160,2,0),0)</f>
        <v>0</v>
      </c>
      <c r="V1632" s="28"/>
      <c r="W1632" s="28">
        <f t="shared" si="134"/>
        <v>0</v>
      </c>
      <c r="X1632" s="333">
        <f t="shared" si="135"/>
        <v>0</v>
      </c>
      <c r="Y1632" s="333">
        <f t="shared" si="136"/>
        <v>0</v>
      </c>
    </row>
    <row r="1633" spans="1:25" s="2" customFormat="1" ht="21.95" customHeight="1">
      <c r="A1633" s="82">
        <v>7</v>
      </c>
      <c r="B1633" s="91" t="str">
        <f t="shared" si="137"/>
        <v>6B.T</v>
      </c>
      <c r="C1633" s="83" t="s">
        <v>363</v>
      </c>
      <c r="D1633" s="81" t="s">
        <v>524</v>
      </c>
      <c r="E1633" s="48">
        <v>101625</v>
      </c>
      <c r="F1633" s="30" t="s">
        <v>227</v>
      </c>
      <c r="G1633" s="29" t="s">
        <v>20</v>
      </c>
      <c r="H1633" s="30" t="s">
        <v>485</v>
      </c>
      <c r="I1633" s="78"/>
      <c r="J1633" s="20"/>
      <c r="K1633" s="20"/>
      <c r="L1633" s="20"/>
      <c r="M1633" s="20"/>
      <c r="N1633" s="179" t="s">
        <v>502</v>
      </c>
      <c r="O1633" s="70">
        <v>0</v>
      </c>
      <c r="P1633" s="70">
        <v>0</v>
      </c>
      <c r="Q1633" s="70">
        <f t="shared" si="132"/>
        <v>0</v>
      </c>
      <c r="R1633" s="70"/>
      <c r="S1633" s="67"/>
      <c r="T1633" s="2" t="str">
        <f t="shared" si="133"/>
        <v>Nguyễn Thị Nhi_12AT3</v>
      </c>
      <c r="U1633" s="28">
        <f t="array" ref="U1633">IFERROR(VLOOKUP($T1633,'Nghi hoc T12'!$H$7:$I$160,2,0),0)</f>
        <v>0</v>
      </c>
      <c r="V1633" s="28"/>
      <c r="W1633" s="28">
        <f t="shared" si="134"/>
        <v>0</v>
      </c>
      <c r="X1633" s="333">
        <f t="shared" si="135"/>
        <v>0</v>
      </c>
      <c r="Y1633" s="333">
        <f t="shared" si="136"/>
        <v>0</v>
      </c>
    </row>
    <row r="1634" spans="1:25" s="2" customFormat="1" ht="21.95" customHeight="1">
      <c r="A1634" s="82">
        <v>8</v>
      </c>
      <c r="B1634" s="91" t="str">
        <f t="shared" si="137"/>
        <v>6B.T</v>
      </c>
      <c r="C1634" s="83" t="s">
        <v>363</v>
      </c>
      <c r="D1634" s="81" t="s">
        <v>524</v>
      </c>
      <c r="E1634" s="48">
        <v>101626</v>
      </c>
      <c r="F1634" s="30" t="s">
        <v>1454</v>
      </c>
      <c r="G1634" s="29" t="s">
        <v>21</v>
      </c>
      <c r="H1634" s="30" t="s">
        <v>485</v>
      </c>
      <c r="I1634" s="78"/>
      <c r="J1634" s="20"/>
      <c r="K1634" s="20"/>
      <c r="L1634" s="20"/>
      <c r="M1634" s="20"/>
      <c r="N1634" s="179" t="s">
        <v>502</v>
      </c>
      <c r="O1634" s="70">
        <v>0</v>
      </c>
      <c r="P1634" s="70">
        <v>0</v>
      </c>
      <c r="Q1634" s="70">
        <f t="shared" si="132"/>
        <v>0</v>
      </c>
      <c r="R1634" s="70"/>
      <c r="S1634" s="67"/>
      <c r="T1634" s="2" t="str">
        <f t="shared" si="133"/>
        <v>Nguyễn Ánh Như_12AT3</v>
      </c>
      <c r="U1634" s="28">
        <f t="array" ref="U1634">IFERROR(VLOOKUP($T1634,'Nghi hoc T12'!$H$7:$I$160,2,0),0)</f>
        <v>0</v>
      </c>
      <c r="V1634" s="28"/>
      <c r="W1634" s="28">
        <f t="shared" si="134"/>
        <v>0</v>
      </c>
      <c r="X1634" s="333">
        <f t="shared" si="135"/>
        <v>0</v>
      </c>
      <c r="Y1634" s="333">
        <f t="shared" si="136"/>
        <v>0</v>
      </c>
    </row>
    <row r="1635" spans="1:25" s="2" customFormat="1" ht="21.95" customHeight="1">
      <c r="A1635" s="82">
        <v>9</v>
      </c>
      <c r="B1635" s="91" t="str">
        <f t="shared" si="137"/>
        <v>6B.T</v>
      </c>
      <c r="C1635" s="83" t="s">
        <v>363</v>
      </c>
      <c r="D1635" s="81" t="s">
        <v>524</v>
      </c>
      <c r="E1635" s="48">
        <v>101627</v>
      </c>
      <c r="F1635" s="30" t="s">
        <v>156</v>
      </c>
      <c r="G1635" s="29" t="s">
        <v>155</v>
      </c>
      <c r="H1635" s="30" t="s">
        <v>485</v>
      </c>
      <c r="I1635" s="78"/>
      <c r="J1635" s="20"/>
      <c r="K1635" s="20"/>
      <c r="L1635" s="20"/>
      <c r="M1635" s="20"/>
      <c r="N1635" s="179" t="s">
        <v>502</v>
      </c>
      <c r="O1635" s="70">
        <v>0</v>
      </c>
      <c r="P1635" s="70">
        <v>0</v>
      </c>
      <c r="Q1635" s="70">
        <f t="shared" si="132"/>
        <v>0</v>
      </c>
      <c r="R1635" s="70"/>
      <c r="S1635" s="67"/>
      <c r="T1635" s="2" t="str">
        <f t="shared" si="133"/>
        <v>Trần Minh Nhựt_12AT3</v>
      </c>
      <c r="U1635" s="28">
        <f t="array" ref="U1635">IFERROR(VLOOKUP($T1635,'Nghi hoc T12'!$H$7:$I$160,2,0),0)</f>
        <v>0</v>
      </c>
      <c r="V1635" s="28"/>
      <c r="W1635" s="28">
        <f t="shared" si="134"/>
        <v>0</v>
      </c>
      <c r="X1635" s="333">
        <f t="shared" si="135"/>
        <v>0</v>
      </c>
      <c r="Y1635" s="333">
        <f t="shared" si="136"/>
        <v>0</v>
      </c>
    </row>
    <row r="1636" spans="1:25" s="2" customFormat="1" ht="21.95" customHeight="1">
      <c r="A1636" s="82">
        <v>10</v>
      </c>
      <c r="B1636" s="91" t="str">
        <f t="shared" si="137"/>
        <v>6B.T</v>
      </c>
      <c r="C1636" s="83" t="s">
        <v>363</v>
      </c>
      <c r="D1636" s="81" t="s">
        <v>524</v>
      </c>
      <c r="E1636" s="48">
        <v>101628</v>
      </c>
      <c r="F1636" s="30" t="s">
        <v>2117</v>
      </c>
      <c r="G1636" s="29" t="s">
        <v>181</v>
      </c>
      <c r="H1636" s="30" t="s">
        <v>485</v>
      </c>
      <c r="I1636" s="78"/>
      <c r="J1636" s="20"/>
      <c r="K1636" s="20"/>
      <c r="L1636" s="20"/>
      <c r="M1636" s="20"/>
      <c r="N1636" s="179" t="s">
        <v>502</v>
      </c>
      <c r="O1636" s="70">
        <v>0</v>
      </c>
      <c r="P1636" s="70">
        <v>0</v>
      </c>
      <c r="Q1636" s="70">
        <f t="shared" si="132"/>
        <v>0</v>
      </c>
      <c r="R1636" s="70"/>
      <c r="S1636" s="67"/>
      <c r="T1636" s="2" t="str">
        <f t="shared" si="133"/>
        <v>Võ Thị Kiều Oanh_12AT3</v>
      </c>
      <c r="U1636" s="28">
        <f t="array" ref="U1636">IFERROR(VLOOKUP($T1636,'Nghi hoc T12'!$H$7:$I$160,2,0),0)</f>
        <v>0</v>
      </c>
      <c r="V1636" s="28"/>
      <c r="W1636" s="28">
        <f t="shared" si="134"/>
        <v>0</v>
      </c>
      <c r="X1636" s="333">
        <f t="shared" si="135"/>
        <v>0</v>
      </c>
      <c r="Y1636" s="333">
        <f t="shared" si="136"/>
        <v>0</v>
      </c>
    </row>
    <row r="1637" spans="1:25" s="2" customFormat="1" ht="21.95" customHeight="1">
      <c r="A1637" s="82">
        <v>11</v>
      </c>
      <c r="B1637" s="91" t="str">
        <f t="shared" si="137"/>
        <v>6B.T</v>
      </c>
      <c r="C1637" s="83" t="s">
        <v>363</v>
      </c>
      <c r="D1637" s="81" t="s">
        <v>524</v>
      </c>
      <c r="E1637" s="48">
        <v>101629</v>
      </c>
      <c r="F1637" s="30" t="s">
        <v>151</v>
      </c>
      <c r="G1637" s="29" t="s">
        <v>71</v>
      </c>
      <c r="H1637" s="30" t="s">
        <v>485</v>
      </c>
      <c r="I1637" s="78"/>
      <c r="J1637" s="20"/>
      <c r="K1637" s="20"/>
      <c r="L1637" s="20"/>
      <c r="M1637" s="20"/>
      <c r="N1637" s="179" t="s">
        <v>502</v>
      </c>
      <c r="O1637" s="70">
        <v>0</v>
      </c>
      <c r="P1637" s="70">
        <v>0</v>
      </c>
      <c r="Q1637" s="70">
        <f t="shared" si="132"/>
        <v>0</v>
      </c>
      <c r="R1637" s="70"/>
      <c r="S1637" s="67"/>
      <c r="T1637" s="2" t="str">
        <f t="shared" si="133"/>
        <v>Nguyễn Hoàng Phúc_12AT3</v>
      </c>
      <c r="U1637" s="28">
        <f t="array" ref="U1637">IFERROR(VLOOKUP($T1637,'Nghi hoc T12'!$H$7:$I$160,2,0),0)</f>
        <v>0</v>
      </c>
      <c r="V1637" s="28"/>
      <c r="W1637" s="28">
        <f t="shared" si="134"/>
        <v>0</v>
      </c>
      <c r="X1637" s="333">
        <f t="shared" si="135"/>
        <v>0</v>
      </c>
      <c r="Y1637" s="333">
        <f t="shared" si="136"/>
        <v>0</v>
      </c>
    </row>
    <row r="1638" spans="1:25" s="2" customFormat="1" ht="21.95" customHeight="1">
      <c r="A1638" s="82">
        <v>12</v>
      </c>
      <c r="B1638" s="91" t="str">
        <f t="shared" si="137"/>
        <v>6B.T</v>
      </c>
      <c r="C1638" s="83" t="s">
        <v>363</v>
      </c>
      <c r="D1638" s="81" t="s">
        <v>524</v>
      </c>
      <c r="E1638" s="48">
        <v>101630</v>
      </c>
      <c r="F1638" s="30" t="s">
        <v>318</v>
      </c>
      <c r="G1638" s="29" t="s">
        <v>71</v>
      </c>
      <c r="H1638" s="30" t="s">
        <v>485</v>
      </c>
      <c r="I1638" s="78"/>
      <c r="J1638" s="20"/>
      <c r="K1638" s="20"/>
      <c r="L1638" s="20"/>
      <c r="M1638" s="20"/>
      <c r="N1638" s="179" t="s">
        <v>502</v>
      </c>
      <c r="O1638" s="70">
        <v>0</v>
      </c>
      <c r="P1638" s="70">
        <v>0</v>
      </c>
      <c r="Q1638" s="70">
        <f t="shared" si="132"/>
        <v>0</v>
      </c>
      <c r="R1638" s="70"/>
      <c r="S1638" s="67"/>
      <c r="T1638" s="2" t="str">
        <f t="shared" si="133"/>
        <v>Phan Thanh Phúc_12AT3</v>
      </c>
      <c r="U1638" s="28">
        <f t="array" ref="U1638">IFERROR(VLOOKUP($T1638,'Nghi hoc T12'!$H$7:$I$160,2,0),0)</f>
        <v>0</v>
      </c>
      <c r="V1638" s="28"/>
      <c r="W1638" s="28">
        <f t="shared" si="134"/>
        <v>0</v>
      </c>
      <c r="X1638" s="333">
        <f t="shared" si="135"/>
        <v>0</v>
      </c>
      <c r="Y1638" s="333">
        <f t="shared" si="136"/>
        <v>0</v>
      </c>
    </row>
    <row r="1639" spans="1:25" s="2" customFormat="1" ht="21.95" customHeight="1">
      <c r="A1639" s="82">
        <v>13</v>
      </c>
      <c r="B1639" s="91" t="str">
        <f t="shared" si="137"/>
        <v>6B.T</v>
      </c>
      <c r="C1639" s="83" t="s">
        <v>363</v>
      </c>
      <c r="D1639" s="81" t="s">
        <v>524</v>
      </c>
      <c r="E1639" s="48">
        <v>101631</v>
      </c>
      <c r="F1639" s="30" t="s">
        <v>186</v>
      </c>
      <c r="G1639" s="29" t="s">
        <v>47</v>
      </c>
      <c r="H1639" s="30" t="s">
        <v>485</v>
      </c>
      <c r="I1639" s="78"/>
      <c r="J1639" s="20"/>
      <c r="K1639" s="20"/>
      <c r="L1639" s="20"/>
      <c r="M1639" s="20"/>
      <c r="N1639" s="179" t="s">
        <v>502</v>
      </c>
      <c r="O1639" s="70">
        <v>0</v>
      </c>
      <c r="P1639" s="70">
        <v>0</v>
      </c>
      <c r="Q1639" s="70">
        <f t="shared" si="132"/>
        <v>0</v>
      </c>
      <c r="R1639" s="70"/>
      <c r="S1639" s="67"/>
      <c r="T1639" s="2" t="str">
        <f t="shared" si="133"/>
        <v>Nguyễn Minh Sang_12AT3</v>
      </c>
      <c r="U1639" s="28">
        <f t="array" ref="U1639">IFERROR(VLOOKUP($T1639,'Nghi hoc T12'!$H$7:$I$160,2,0),0)</f>
        <v>0</v>
      </c>
      <c r="V1639" s="28"/>
      <c r="W1639" s="28">
        <f t="shared" si="134"/>
        <v>0</v>
      </c>
      <c r="X1639" s="333">
        <f t="shared" si="135"/>
        <v>0</v>
      </c>
      <c r="Y1639" s="333">
        <f t="shared" si="136"/>
        <v>0</v>
      </c>
    </row>
    <row r="1640" spans="1:25" s="2" customFormat="1" ht="21.95" customHeight="1">
      <c r="A1640" s="82">
        <v>14</v>
      </c>
      <c r="B1640" s="91" t="str">
        <f t="shared" si="137"/>
        <v>6B.T</v>
      </c>
      <c r="C1640" s="83" t="s">
        <v>363</v>
      </c>
      <c r="D1640" s="81" t="s">
        <v>524</v>
      </c>
      <c r="E1640" s="48">
        <v>101632</v>
      </c>
      <c r="F1640" s="30" t="s">
        <v>2118</v>
      </c>
      <c r="G1640" s="29" t="s">
        <v>27</v>
      </c>
      <c r="H1640" s="30" t="s">
        <v>485</v>
      </c>
      <c r="I1640" s="78"/>
      <c r="J1640" s="20"/>
      <c r="K1640" s="20"/>
      <c r="L1640" s="20"/>
      <c r="M1640" s="20"/>
      <c r="N1640" s="179" t="s">
        <v>502</v>
      </c>
      <c r="O1640" s="70">
        <v>0</v>
      </c>
      <c r="P1640" s="70">
        <v>0</v>
      </c>
      <c r="Q1640" s="70">
        <f t="shared" si="132"/>
        <v>0</v>
      </c>
      <c r="R1640" s="70"/>
      <c r="S1640" s="67"/>
      <c r="T1640" s="2" t="str">
        <f t="shared" si="133"/>
        <v>Danh Minh Thành_12AT3</v>
      </c>
      <c r="U1640" s="28">
        <f t="array" ref="U1640">IFERROR(VLOOKUP($T1640,'Nghi hoc T12'!$H$7:$I$160,2,0),0)</f>
        <v>0</v>
      </c>
      <c r="V1640" s="28"/>
      <c r="W1640" s="28">
        <f t="shared" si="134"/>
        <v>0</v>
      </c>
      <c r="X1640" s="333">
        <f t="shared" si="135"/>
        <v>0</v>
      </c>
      <c r="Y1640" s="333">
        <f t="shared" si="136"/>
        <v>0</v>
      </c>
    </row>
    <row r="1641" spans="1:25" s="2" customFormat="1" ht="21.95" customHeight="1">
      <c r="A1641" s="82">
        <v>15</v>
      </c>
      <c r="B1641" s="91" t="str">
        <f t="shared" si="137"/>
        <v>6B.T</v>
      </c>
      <c r="C1641" s="83" t="s">
        <v>363</v>
      </c>
      <c r="D1641" s="81" t="s">
        <v>524</v>
      </c>
      <c r="E1641" s="48">
        <v>101633</v>
      </c>
      <c r="F1641" s="30" t="s">
        <v>1739</v>
      </c>
      <c r="G1641" s="29" t="s">
        <v>27</v>
      </c>
      <c r="H1641" s="30" t="s">
        <v>485</v>
      </c>
      <c r="I1641" s="78"/>
      <c r="J1641" s="20"/>
      <c r="K1641" s="20"/>
      <c r="L1641" s="20"/>
      <c r="M1641" s="20"/>
      <c r="N1641" s="179" t="s">
        <v>502</v>
      </c>
      <c r="O1641" s="70">
        <v>0</v>
      </c>
      <c r="P1641" s="70">
        <v>0</v>
      </c>
      <c r="Q1641" s="70">
        <f t="shared" si="132"/>
        <v>0</v>
      </c>
      <c r="R1641" s="70"/>
      <c r="S1641" s="67"/>
      <c r="T1641" s="2" t="str">
        <f t="shared" si="133"/>
        <v>Trần Huỳnh Thành_12AT3</v>
      </c>
      <c r="U1641" s="28">
        <f t="array" ref="U1641">IFERROR(VLOOKUP($T1641,'Nghi hoc T12'!$H$7:$I$160,2,0),0)</f>
        <v>0</v>
      </c>
      <c r="V1641" s="28"/>
      <c r="W1641" s="28">
        <f t="shared" si="134"/>
        <v>0</v>
      </c>
      <c r="X1641" s="333">
        <f t="shared" si="135"/>
        <v>0</v>
      </c>
      <c r="Y1641" s="333">
        <f t="shared" si="136"/>
        <v>0</v>
      </c>
    </row>
    <row r="1642" spans="1:25" s="2" customFormat="1" ht="21.95" customHeight="1">
      <c r="A1642" s="82">
        <v>16</v>
      </c>
      <c r="B1642" s="91" t="str">
        <f t="shared" si="137"/>
        <v>6B.T</v>
      </c>
      <c r="C1642" s="83" t="s">
        <v>363</v>
      </c>
      <c r="D1642" s="81" t="s">
        <v>524</v>
      </c>
      <c r="E1642" s="48">
        <v>101634</v>
      </c>
      <c r="F1642" s="30" t="s">
        <v>501</v>
      </c>
      <c r="G1642" s="29" t="s">
        <v>2119</v>
      </c>
      <c r="H1642" s="30" t="s">
        <v>485</v>
      </c>
      <c r="I1642" s="78"/>
      <c r="J1642" s="20"/>
      <c r="K1642" s="20"/>
      <c r="L1642" s="20"/>
      <c r="M1642" s="20"/>
      <c r="N1642" s="179" t="s">
        <v>502</v>
      </c>
      <c r="O1642" s="70">
        <v>0</v>
      </c>
      <c r="P1642" s="70">
        <v>0</v>
      </c>
      <c r="Q1642" s="70">
        <f t="shared" si="132"/>
        <v>0</v>
      </c>
      <c r="R1642" s="70"/>
      <c r="S1642" s="67"/>
      <c r="T1642" s="2" t="str">
        <f t="shared" si="133"/>
        <v>TH THIÊP_12AT3</v>
      </c>
      <c r="U1642" s="28">
        <f t="array" ref="U1642">IFERROR(VLOOKUP($T1642,'Nghi hoc T12'!$H$7:$I$160,2,0),0)</f>
        <v>0</v>
      </c>
      <c r="V1642" s="28"/>
      <c r="W1642" s="28">
        <f t="shared" si="134"/>
        <v>0</v>
      </c>
      <c r="X1642" s="333">
        <f t="shared" si="135"/>
        <v>0</v>
      </c>
      <c r="Y1642" s="333">
        <f t="shared" si="136"/>
        <v>0</v>
      </c>
    </row>
    <row r="1643" spans="1:25" s="2" customFormat="1" ht="21.95" customHeight="1">
      <c r="A1643" s="82">
        <v>17</v>
      </c>
      <c r="B1643" s="91" t="str">
        <f t="shared" si="137"/>
        <v>6B.T</v>
      </c>
      <c r="C1643" s="83" t="s">
        <v>363</v>
      </c>
      <c r="D1643" s="81" t="s">
        <v>524</v>
      </c>
      <c r="E1643" s="48">
        <v>101635</v>
      </c>
      <c r="F1643" s="30" t="s">
        <v>248</v>
      </c>
      <c r="G1643" s="29" t="s">
        <v>1666</v>
      </c>
      <c r="H1643" s="30" t="s">
        <v>485</v>
      </c>
      <c r="I1643" s="78"/>
      <c r="J1643" s="20"/>
      <c r="K1643" s="20"/>
      <c r="L1643" s="20"/>
      <c r="M1643" s="20"/>
      <c r="N1643" s="179" t="s">
        <v>502</v>
      </c>
      <c r="O1643" s="70">
        <v>0</v>
      </c>
      <c r="P1643" s="70">
        <v>0</v>
      </c>
      <c r="Q1643" s="70">
        <f t="shared" si="132"/>
        <v>0</v>
      </c>
      <c r="R1643" s="70"/>
      <c r="S1643" s="67"/>
      <c r="T1643" s="2" t="str">
        <f t="shared" si="133"/>
        <v>Trần Thị Kim Thoa_12AT3</v>
      </c>
      <c r="U1643" s="28">
        <f t="array" ref="U1643">IFERROR(VLOOKUP($T1643,'Nghi hoc T12'!$H$7:$I$160,2,0),0)</f>
        <v>0</v>
      </c>
      <c r="V1643" s="28"/>
      <c r="W1643" s="28">
        <f t="shared" si="134"/>
        <v>0</v>
      </c>
      <c r="X1643" s="333">
        <f t="shared" si="135"/>
        <v>0</v>
      </c>
      <c r="Y1643" s="333">
        <f t="shared" si="136"/>
        <v>0</v>
      </c>
    </row>
    <row r="1644" spans="1:25" s="2" customFormat="1" ht="21.95" customHeight="1">
      <c r="A1644" s="82">
        <v>18</v>
      </c>
      <c r="B1644" s="91" t="str">
        <f t="shared" si="137"/>
        <v>6B.T</v>
      </c>
      <c r="C1644" s="83" t="s">
        <v>363</v>
      </c>
      <c r="D1644" s="81" t="s">
        <v>524</v>
      </c>
      <c r="E1644" s="48">
        <v>101636</v>
      </c>
      <c r="F1644" s="30" t="s">
        <v>1952</v>
      </c>
      <c r="G1644" s="29" t="s">
        <v>80</v>
      </c>
      <c r="H1644" s="30" t="s">
        <v>485</v>
      </c>
      <c r="I1644" s="78"/>
      <c r="J1644" s="20"/>
      <c r="K1644" s="20"/>
      <c r="L1644" s="20"/>
      <c r="M1644" s="20"/>
      <c r="N1644" s="179" t="s">
        <v>502</v>
      </c>
      <c r="O1644" s="70">
        <v>0</v>
      </c>
      <c r="P1644" s="70">
        <v>0</v>
      </c>
      <c r="Q1644" s="70">
        <f t="shared" si="132"/>
        <v>0</v>
      </c>
      <c r="R1644" s="70"/>
      <c r="S1644" s="67"/>
      <c r="T1644" s="2" t="str">
        <f t="shared" si="133"/>
        <v>Lê Thị Mỹ Tiên_12AT3</v>
      </c>
      <c r="U1644" s="28">
        <f t="array" ref="U1644">IFERROR(VLOOKUP($T1644,'Nghi hoc T12'!$H$7:$I$160,2,0),0)</f>
        <v>0</v>
      </c>
      <c r="V1644" s="28"/>
      <c r="W1644" s="28">
        <f t="shared" si="134"/>
        <v>0</v>
      </c>
      <c r="X1644" s="333">
        <f t="shared" si="135"/>
        <v>0</v>
      </c>
      <c r="Y1644" s="333">
        <f t="shared" si="136"/>
        <v>0</v>
      </c>
    </row>
    <row r="1645" spans="1:25" s="2" customFormat="1" ht="21.95" customHeight="1">
      <c r="A1645" s="82">
        <v>19</v>
      </c>
      <c r="B1645" s="91" t="str">
        <f t="shared" si="137"/>
        <v>6B.T</v>
      </c>
      <c r="C1645" s="83" t="s">
        <v>363</v>
      </c>
      <c r="D1645" s="81" t="s">
        <v>524</v>
      </c>
      <c r="E1645" s="48">
        <v>101637</v>
      </c>
      <c r="F1645" s="30" t="s">
        <v>2120</v>
      </c>
      <c r="G1645" s="29" t="s">
        <v>80</v>
      </c>
      <c r="H1645" s="30" t="s">
        <v>485</v>
      </c>
      <c r="I1645" s="78"/>
      <c r="J1645" s="20"/>
      <c r="K1645" s="20"/>
      <c r="L1645" s="20"/>
      <c r="M1645" s="20"/>
      <c r="N1645" s="179" t="s">
        <v>502</v>
      </c>
      <c r="O1645" s="70">
        <v>0</v>
      </c>
      <c r="P1645" s="70">
        <v>0</v>
      </c>
      <c r="Q1645" s="70">
        <f t="shared" si="132"/>
        <v>0</v>
      </c>
      <c r="R1645" s="70"/>
      <c r="S1645" s="67"/>
      <c r="T1645" s="2" t="str">
        <f t="shared" si="133"/>
        <v>Trần Thị Thủy Tiên_12AT3</v>
      </c>
      <c r="U1645" s="28">
        <f t="array" ref="U1645">IFERROR(VLOOKUP($T1645,'Nghi hoc T12'!$H$7:$I$160,2,0),0)</f>
        <v>0</v>
      </c>
      <c r="V1645" s="28"/>
      <c r="W1645" s="28">
        <f t="shared" si="134"/>
        <v>0</v>
      </c>
      <c r="X1645" s="333">
        <f t="shared" si="135"/>
        <v>0</v>
      </c>
      <c r="Y1645" s="333">
        <f t="shared" si="136"/>
        <v>0</v>
      </c>
    </row>
    <row r="1646" spans="1:25" s="2" customFormat="1" ht="21.95" customHeight="1">
      <c r="A1646" s="82">
        <v>20</v>
      </c>
      <c r="B1646" s="91" t="str">
        <f t="shared" si="137"/>
        <v>6B.T</v>
      </c>
      <c r="C1646" s="83" t="s">
        <v>363</v>
      </c>
      <c r="D1646" s="81" t="s">
        <v>524</v>
      </c>
      <c r="E1646" s="48">
        <v>101638</v>
      </c>
      <c r="F1646" s="30" t="s">
        <v>207</v>
      </c>
      <c r="G1646" s="29" t="s">
        <v>215</v>
      </c>
      <c r="H1646" s="30" t="s">
        <v>485</v>
      </c>
      <c r="I1646" s="78"/>
      <c r="J1646" s="20"/>
      <c r="K1646" s="20"/>
      <c r="L1646" s="20"/>
      <c r="M1646" s="20"/>
      <c r="N1646" s="179" t="s">
        <v>502</v>
      </c>
      <c r="O1646" s="70">
        <v>0</v>
      </c>
      <c r="P1646" s="70">
        <v>0</v>
      </c>
      <c r="Q1646" s="70">
        <f t="shared" si="132"/>
        <v>0</v>
      </c>
      <c r="R1646" s="70"/>
      <c r="S1646" s="67"/>
      <c r="T1646" s="2" t="str">
        <f t="shared" si="133"/>
        <v>Phạm Văn Tiến_12AT3</v>
      </c>
      <c r="U1646" s="28">
        <f t="array" ref="U1646">IFERROR(VLOOKUP($T1646,'Nghi hoc T12'!$H$7:$I$160,2,0),0)</f>
        <v>0</v>
      </c>
      <c r="V1646" s="28"/>
      <c r="W1646" s="28">
        <f t="shared" si="134"/>
        <v>0</v>
      </c>
      <c r="X1646" s="333">
        <f t="shared" si="135"/>
        <v>0</v>
      </c>
      <c r="Y1646" s="333">
        <f t="shared" si="136"/>
        <v>0</v>
      </c>
    </row>
    <row r="1647" spans="1:25" s="2" customFormat="1" ht="21.95" customHeight="1">
      <c r="A1647" s="82">
        <v>21</v>
      </c>
      <c r="B1647" s="91" t="str">
        <f t="shared" si="137"/>
        <v>6B.T</v>
      </c>
      <c r="C1647" s="83" t="s">
        <v>363</v>
      </c>
      <c r="D1647" s="81" t="s">
        <v>524</v>
      </c>
      <c r="E1647" s="48">
        <v>101639</v>
      </c>
      <c r="F1647" s="30" t="s">
        <v>2121</v>
      </c>
      <c r="G1647" s="29" t="s">
        <v>29</v>
      </c>
      <c r="H1647" s="30" t="s">
        <v>485</v>
      </c>
      <c r="I1647" s="78"/>
      <c r="J1647" s="20"/>
      <c r="K1647" s="20"/>
      <c r="L1647" s="20"/>
      <c r="M1647" s="20"/>
      <c r="N1647" s="179" t="s">
        <v>502</v>
      </c>
      <c r="O1647" s="70">
        <v>0</v>
      </c>
      <c r="P1647" s="70">
        <v>0</v>
      </c>
      <c r="Q1647" s="70">
        <f t="shared" si="132"/>
        <v>0</v>
      </c>
      <c r="R1647" s="70"/>
      <c r="S1647" s="67"/>
      <c r="T1647" s="2" t="str">
        <f t="shared" si="133"/>
        <v>Lã Nguyễn Ngọc Trâm_12AT3</v>
      </c>
      <c r="U1647" s="28">
        <f t="array" ref="U1647">IFERROR(VLOOKUP($T1647,'Nghi hoc T12'!$H$7:$I$160,2,0),0)</f>
        <v>0</v>
      </c>
      <c r="V1647" s="28"/>
      <c r="W1647" s="28">
        <f t="shared" si="134"/>
        <v>0</v>
      </c>
      <c r="X1647" s="333">
        <f t="shared" si="135"/>
        <v>0</v>
      </c>
      <c r="Y1647" s="333">
        <f t="shared" si="136"/>
        <v>0</v>
      </c>
    </row>
    <row r="1648" spans="1:25" s="2" customFormat="1" ht="21.95" customHeight="1">
      <c r="A1648" s="82">
        <v>22</v>
      </c>
      <c r="B1648" s="91" t="str">
        <f t="shared" si="137"/>
        <v>6B.T</v>
      </c>
      <c r="C1648" s="83" t="s">
        <v>363</v>
      </c>
      <c r="D1648" s="81" t="s">
        <v>524</v>
      </c>
      <c r="E1648" s="48">
        <v>101640</v>
      </c>
      <c r="F1648" s="30" t="s">
        <v>2122</v>
      </c>
      <c r="G1648" s="29" t="s">
        <v>29</v>
      </c>
      <c r="H1648" s="30" t="s">
        <v>485</v>
      </c>
      <c r="I1648" s="78"/>
      <c r="J1648" s="20"/>
      <c r="K1648" s="20"/>
      <c r="L1648" s="20"/>
      <c r="M1648" s="20"/>
      <c r="N1648" s="179" t="s">
        <v>502</v>
      </c>
      <c r="O1648" s="70">
        <v>0</v>
      </c>
      <c r="P1648" s="70">
        <v>0</v>
      </c>
      <c r="Q1648" s="70">
        <f t="shared" si="132"/>
        <v>0</v>
      </c>
      <c r="R1648" s="70"/>
      <c r="S1648" s="67"/>
      <c r="T1648" s="2" t="str">
        <f t="shared" si="133"/>
        <v>Nguyễn Hoàng Ngọc Trâm_12AT3</v>
      </c>
      <c r="U1648" s="28">
        <f t="array" ref="U1648">IFERROR(VLOOKUP($T1648,'Nghi hoc T12'!$H$7:$I$160,2,0),0)</f>
        <v>0</v>
      </c>
      <c r="V1648" s="28"/>
      <c r="W1648" s="28">
        <f t="shared" si="134"/>
        <v>0</v>
      </c>
      <c r="X1648" s="333">
        <f t="shared" si="135"/>
        <v>0</v>
      </c>
      <c r="Y1648" s="333">
        <f t="shared" si="136"/>
        <v>0</v>
      </c>
    </row>
    <row r="1649" spans="1:25" s="2" customFormat="1" ht="21.95" customHeight="1">
      <c r="A1649" s="82">
        <v>23</v>
      </c>
      <c r="B1649" s="91" t="str">
        <f t="shared" si="137"/>
        <v>6B.T</v>
      </c>
      <c r="C1649" s="83" t="s">
        <v>363</v>
      </c>
      <c r="D1649" s="81" t="s">
        <v>524</v>
      </c>
      <c r="E1649" s="48">
        <v>101641</v>
      </c>
      <c r="F1649" s="30" t="s">
        <v>207</v>
      </c>
      <c r="G1649" s="29" t="s">
        <v>82</v>
      </c>
      <c r="H1649" s="30" t="s">
        <v>485</v>
      </c>
      <c r="I1649" s="78"/>
      <c r="J1649" s="20"/>
      <c r="K1649" s="20"/>
      <c r="L1649" s="20"/>
      <c r="M1649" s="20"/>
      <c r="N1649" s="179" t="s">
        <v>502</v>
      </c>
      <c r="O1649" s="70">
        <v>0</v>
      </c>
      <c r="P1649" s="70">
        <v>0</v>
      </c>
      <c r="Q1649" s="70">
        <f t="shared" si="132"/>
        <v>0</v>
      </c>
      <c r="R1649" s="70"/>
      <c r="S1649" s="67"/>
      <c r="T1649" s="2" t="str">
        <f t="shared" si="133"/>
        <v>Phạm Văn Trọng_12AT3</v>
      </c>
      <c r="U1649" s="28">
        <f t="array" ref="U1649">IFERROR(VLOOKUP($T1649,'Nghi hoc T12'!$H$7:$I$160,2,0),0)</f>
        <v>0</v>
      </c>
      <c r="V1649" s="28"/>
      <c r="W1649" s="28">
        <f t="shared" si="134"/>
        <v>0</v>
      </c>
      <c r="X1649" s="333">
        <f t="shared" si="135"/>
        <v>0</v>
      </c>
      <c r="Y1649" s="333">
        <f t="shared" si="136"/>
        <v>0</v>
      </c>
    </row>
    <row r="1650" spans="1:25" s="2" customFormat="1" ht="21.95" customHeight="1">
      <c r="A1650" s="82">
        <v>24</v>
      </c>
      <c r="B1650" s="91" t="str">
        <f t="shared" si="137"/>
        <v>6B.T</v>
      </c>
      <c r="C1650" s="83" t="s">
        <v>363</v>
      </c>
      <c r="D1650" s="81" t="s">
        <v>524</v>
      </c>
      <c r="E1650" s="48">
        <v>101642</v>
      </c>
      <c r="F1650" s="30" t="s">
        <v>292</v>
      </c>
      <c r="G1650" s="29" t="s">
        <v>31</v>
      </c>
      <c r="H1650" s="30" t="s">
        <v>485</v>
      </c>
      <c r="I1650" s="78"/>
      <c r="J1650" s="20"/>
      <c r="K1650" s="20"/>
      <c r="L1650" s="20"/>
      <c r="M1650" s="20"/>
      <c r="N1650" s="179" t="s">
        <v>502</v>
      </c>
      <c r="O1650" s="70">
        <v>0</v>
      </c>
      <c r="P1650" s="70">
        <v>0</v>
      </c>
      <c r="Q1650" s="70">
        <f t="shared" si="132"/>
        <v>0</v>
      </c>
      <c r="R1650" s="70"/>
      <c r="S1650" s="67"/>
      <c r="T1650" s="2" t="str">
        <f t="shared" si="133"/>
        <v>Phạm Thanh Trúc_12AT3</v>
      </c>
      <c r="U1650" s="28">
        <f t="array" ref="U1650">IFERROR(VLOOKUP($T1650,'Nghi hoc T12'!$H$7:$I$160,2,0),0)</f>
        <v>0</v>
      </c>
      <c r="V1650" s="28"/>
      <c r="W1650" s="28">
        <f t="shared" si="134"/>
        <v>0</v>
      </c>
      <c r="X1650" s="333">
        <f t="shared" si="135"/>
        <v>0</v>
      </c>
      <c r="Y1650" s="333">
        <f t="shared" si="136"/>
        <v>0</v>
      </c>
    </row>
    <row r="1651" spans="1:25" s="2" customFormat="1" ht="21.95" customHeight="1">
      <c r="A1651" s="82">
        <v>25</v>
      </c>
      <c r="B1651" s="91" t="str">
        <f t="shared" si="137"/>
        <v>6B.T</v>
      </c>
      <c r="C1651" s="83" t="s">
        <v>363</v>
      </c>
      <c r="D1651" s="81" t="s">
        <v>524</v>
      </c>
      <c r="E1651" s="48">
        <v>101643</v>
      </c>
      <c r="F1651" s="30" t="s">
        <v>320</v>
      </c>
      <c r="G1651" s="29" t="s">
        <v>60</v>
      </c>
      <c r="H1651" s="30" t="s">
        <v>485</v>
      </c>
      <c r="I1651" s="78" t="s">
        <v>529</v>
      </c>
      <c r="J1651" s="20"/>
      <c r="K1651" s="20"/>
      <c r="L1651" s="20"/>
      <c r="M1651" s="20"/>
      <c r="N1651" s="179" t="s">
        <v>502</v>
      </c>
      <c r="O1651" s="70">
        <v>0</v>
      </c>
      <c r="P1651" s="70">
        <v>0</v>
      </c>
      <c r="Q1651" s="70" t="str">
        <f t="shared" si="132"/>
        <v>NgiH</v>
      </c>
      <c r="R1651" s="70"/>
      <c r="S1651" s="67"/>
      <c r="T1651" s="2" t="str">
        <f t="shared" si="133"/>
        <v>Đặng Thị Cẩm Vân_12AT3</v>
      </c>
      <c r="U1651" s="28" t="s">
        <v>3334</v>
      </c>
      <c r="V1651" s="28"/>
      <c r="W1651" s="28" t="str">
        <f t="shared" si="134"/>
        <v>Nghỉ học</v>
      </c>
      <c r="X1651" s="333">
        <f t="shared" si="135"/>
        <v>0</v>
      </c>
      <c r="Y1651" s="333">
        <f t="shared" si="136"/>
        <v>0</v>
      </c>
    </row>
    <row r="1652" spans="1:25" s="2" customFormat="1" ht="21.95" customHeight="1">
      <c r="A1652" s="82">
        <v>26</v>
      </c>
      <c r="B1652" s="91" t="str">
        <f t="shared" si="137"/>
        <v>6B.T</v>
      </c>
      <c r="C1652" s="83" t="s">
        <v>363</v>
      </c>
      <c r="D1652" s="81" t="s">
        <v>524</v>
      </c>
      <c r="E1652" s="48">
        <v>101644</v>
      </c>
      <c r="F1652" s="30" t="s">
        <v>321</v>
      </c>
      <c r="G1652" s="29" t="s">
        <v>34</v>
      </c>
      <c r="H1652" s="30" t="s">
        <v>485</v>
      </c>
      <c r="I1652" s="78"/>
      <c r="J1652" s="20"/>
      <c r="K1652" s="20"/>
      <c r="L1652" s="20"/>
      <c r="M1652" s="20"/>
      <c r="N1652" s="179" t="s">
        <v>502</v>
      </c>
      <c r="O1652" s="70">
        <v>0</v>
      </c>
      <c r="P1652" s="70">
        <v>0</v>
      </c>
      <c r="Q1652" s="70">
        <f t="shared" si="132"/>
        <v>0</v>
      </c>
      <c r="R1652" s="70"/>
      <c r="S1652" s="67"/>
      <c r="T1652" s="2" t="str">
        <f t="shared" si="133"/>
        <v>Nguyễn Ngọc Thảo Vy_12AT3</v>
      </c>
      <c r="U1652" s="28">
        <f t="array" ref="U1652">IFERROR(VLOOKUP($T1652,'Nghi hoc T12'!$H$7:$I$160,2,0),0)</f>
        <v>0</v>
      </c>
      <c r="V1652" s="28"/>
      <c r="W1652" s="28">
        <f t="shared" si="134"/>
        <v>0</v>
      </c>
      <c r="X1652" s="333">
        <f t="shared" si="135"/>
        <v>0</v>
      </c>
      <c r="Y1652" s="333">
        <f t="shared" si="136"/>
        <v>0</v>
      </c>
    </row>
    <row r="1653" spans="1:25" s="2" customFormat="1" ht="21.95" customHeight="1">
      <c r="A1653" s="82">
        <v>27</v>
      </c>
      <c r="B1653" s="91" t="str">
        <f t="shared" si="137"/>
        <v>6B.T</v>
      </c>
      <c r="C1653" s="83" t="s">
        <v>363</v>
      </c>
      <c r="D1653" s="81" t="s">
        <v>524</v>
      </c>
      <c r="E1653" s="48">
        <v>101645</v>
      </c>
      <c r="F1653" s="30" t="s">
        <v>1238</v>
      </c>
      <c r="G1653" s="29" t="s">
        <v>34</v>
      </c>
      <c r="H1653" s="30" t="s">
        <v>485</v>
      </c>
      <c r="I1653" s="78"/>
      <c r="J1653" s="20"/>
      <c r="K1653" s="20"/>
      <c r="L1653" s="20"/>
      <c r="M1653" s="20"/>
      <c r="N1653" s="179" t="s">
        <v>502</v>
      </c>
      <c r="O1653" s="70">
        <v>0</v>
      </c>
      <c r="P1653" s="70">
        <v>0</v>
      </c>
      <c r="Q1653" s="70">
        <f t="shared" si="132"/>
        <v>0</v>
      </c>
      <c r="R1653" s="70"/>
      <c r="S1653" s="67"/>
      <c r="T1653" s="2" t="str">
        <f t="shared" si="133"/>
        <v>Nguyễn Tường Vy_12AT3</v>
      </c>
      <c r="U1653" s="28">
        <f t="array" ref="U1653">IFERROR(VLOOKUP($T1653,'Nghi hoc T12'!$H$7:$I$160,2,0),0)</f>
        <v>0</v>
      </c>
      <c r="V1653" s="28"/>
      <c r="W1653" s="28">
        <f t="shared" si="134"/>
        <v>0</v>
      </c>
      <c r="X1653" s="333">
        <f t="shared" si="135"/>
        <v>0</v>
      </c>
      <c r="Y1653" s="333">
        <f t="shared" si="136"/>
        <v>0</v>
      </c>
    </row>
    <row r="1654" spans="1:25" s="2" customFormat="1" ht="21.95" customHeight="1">
      <c r="A1654" s="321">
        <v>1</v>
      </c>
      <c r="B1654" s="91" t="str">
        <f t="shared" si="137"/>
        <v>202.C</v>
      </c>
      <c r="C1654" s="185" t="s">
        <v>366</v>
      </c>
      <c r="D1654" s="186" t="s">
        <v>2167</v>
      </c>
      <c r="E1654" s="187">
        <v>400001</v>
      </c>
      <c r="F1654" s="188" t="s">
        <v>2168</v>
      </c>
      <c r="G1654" s="189" t="s">
        <v>63</v>
      </c>
      <c r="H1654" s="188" t="s">
        <v>134</v>
      </c>
      <c r="I1654" s="190"/>
      <c r="J1654" s="191"/>
      <c r="K1654" s="191"/>
      <c r="L1654" s="191"/>
      <c r="M1654" s="191"/>
      <c r="N1654" s="320" t="s">
        <v>2685</v>
      </c>
      <c r="O1654" s="70">
        <v>0</v>
      </c>
      <c r="P1654" s="70">
        <v>0</v>
      </c>
      <c r="Q1654" s="70">
        <f t="shared" si="132"/>
        <v>0</v>
      </c>
      <c r="R1654" s="70"/>
      <c r="S1654" s="67"/>
      <c r="T1654" s="2" t="str">
        <f t="shared" si="133"/>
        <v>Đào Nguyễn Thúy An_10VH1</v>
      </c>
      <c r="U1654" s="28">
        <f t="array" ref="U1654">IFERROR(VLOOKUP($T1654,'Nghi hoc T12'!$H$7:$I$160,2,0),0)</f>
        <v>0</v>
      </c>
      <c r="V1654" s="28"/>
      <c r="W1654" s="28">
        <f t="shared" si="134"/>
        <v>0</v>
      </c>
      <c r="X1654" s="333">
        <f t="shared" si="135"/>
        <v>0</v>
      </c>
      <c r="Y1654" s="333">
        <f t="shared" si="136"/>
        <v>0</v>
      </c>
    </row>
    <row r="1655" spans="1:25" s="2" customFormat="1" ht="21.95" customHeight="1">
      <c r="A1655" s="82">
        <v>2</v>
      </c>
      <c r="B1655" s="91" t="str">
        <f t="shared" si="137"/>
        <v>202.C</v>
      </c>
      <c r="C1655" s="83" t="s">
        <v>366</v>
      </c>
      <c r="D1655" s="81" t="s">
        <v>2167</v>
      </c>
      <c r="E1655" s="48">
        <v>400002</v>
      </c>
      <c r="F1655" s="30" t="s">
        <v>2169</v>
      </c>
      <c r="G1655" s="29" t="s">
        <v>63</v>
      </c>
      <c r="H1655" s="30" t="s">
        <v>135</v>
      </c>
      <c r="I1655" s="78"/>
      <c r="J1655" s="20"/>
      <c r="K1655" s="20"/>
      <c r="L1655" s="20"/>
      <c r="M1655" s="20"/>
      <c r="N1655" s="320" t="s">
        <v>2685</v>
      </c>
      <c r="O1655" s="70">
        <v>0</v>
      </c>
      <c r="P1655" s="70">
        <v>0</v>
      </c>
      <c r="Q1655" s="70">
        <f t="shared" si="132"/>
        <v>0</v>
      </c>
      <c r="R1655" s="70"/>
      <c r="S1655" s="67"/>
      <c r="T1655" s="2" t="str">
        <f t="shared" si="133"/>
        <v>Nguyễn Ngọc Thúy An_10VH2</v>
      </c>
      <c r="U1655" s="28">
        <f t="array" ref="U1655">IFERROR(VLOOKUP($T1655,'Nghi hoc T12'!$H$7:$I$160,2,0),0)</f>
        <v>0</v>
      </c>
      <c r="V1655" s="28"/>
      <c r="W1655" s="28">
        <f t="shared" si="134"/>
        <v>0</v>
      </c>
      <c r="X1655" s="333">
        <f t="shared" si="135"/>
        <v>0</v>
      </c>
      <c r="Y1655" s="333">
        <f t="shared" si="136"/>
        <v>0</v>
      </c>
    </row>
    <row r="1656" spans="1:25" s="2" customFormat="1" ht="21.95" customHeight="1">
      <c r="A1656" s="82">
        <v>3</v>
      </c>
      <c r="B1656" s="91" t="str">
        <f t="shared" si="137"/>
        <v>202.C</v>
      </c>
      <c r="C1656" s="83" t="s">
        <v>366</v>
      </c>
      <c r="D1656" s="81" t="s">
        <v>2167</v>
      </c>
      <c r="E1656" s="48">
        <v>400003</v>
      </c>
      <c r="F1656" s="30" t="s">
        <v>2170</v>
      </c>
      <c r="G1656" s="29" t="s">
        <v>5</v>
      </c>
      <c r="H1656" s="30" t="s">
        <v>134</v>
      </c>
      <c r="I1656" s="78"/>
      <c r="J1656" s="20"/>
      <c r="K1656" s="20"/>
      <c r="L1656" s="20"/>
      <c r="M1656" s="20"/>
      <c r="N1656" s="320" t="s">
        <v>2685</v>
      </c>
      <c r="O1656" s="70">
        <v>0</v>
      </c>
      <c r="P1656" s="70">
        <v>0</v>
      </c>
      <c r="Q1656" s="70">
        <f t="shared" si="132"/>
        <v>0</v>
      </c>
      <c r="R1656" s="70"/>
      <c r="S1656" s="67"/>
      <c r="T1656" s="2" t="str">
        <f t="shared" si="133"/>
        <v>Bùi Trần Hồng Anh_10VH1</v>
      </c>
      <c r="U1656" s="28">
        <f t="array" ref="U1656">IFERROR(VLOOKUP($T1656,'Nghi hoc T12'!$H$7:$I$160,2,0),0)</f>
        <v>0</v>
      </c>
      <c r="V1656" s="28"/>
      <c r="W1656" s="28">
        <f t="shared" si="134"/>
        <v>0</v>
      </c>
      <c r="X1656" s="333">
        <f t="shared" si="135"/>
        <v>0</v>
      </c>
      <c r="Y1656" s="333">
        <f t="shared" si="136"/>
        <v>0</v>
      </c>
    </row>
    <row r="1657" spans="1:25" s="2" customFormat="1" ht="21.95" customHeight="1">
      <c r="A1657" s="82">
        <v>4</v>
      </c>
      <c r="B1657" s="91" t="str">
        <f t="shared" si="137"/>
        <v>202.C</v>
      </c>
      <c r="C1657" s="83" t="s">
        <v>366</v>
      </c>
      <c r="D1657" s="81" t="s">
        <v>2167</v>
      </c>
      <c r="E1657" s="48">
        <v>400004</v>
      </c>
      <c r="F1657" s="30" t="s">
        <v>2171</v>
      </c>
      <c r="G1657" s="29" t="s">
        <v>5</v>
      </c>
      <c r="H1657" s="30" t="s">
        <v>135</v>
      </c>
      <c r="I1657" s="78"/>
      <c r="J1657" s="20"/>
      <c r="K1657" s="20"/>
      <c r="L1657" s="20"/>
      <c r="M1657" s="20"/>
      <c r="N1657" s="320" t="s">
        <v>2685</v>
      </c>
      <c r="O1657" s="70">
        <v>0</v>
      </c>
      <c r="P1657" s="70">
        <v>0</v>
      </c>
      <c r="Q1657" s="70">
        <f t="shared" si="132"/>
        <v>0</v>
      </c>
      <c r="R1657" s="70"/>
      <c r="S1657" s="67"/>
      <c r="T1657" s="2" t="str">
        <f t="shared" si="133"/>
        <v>Lê Ngọc Trâm Anh_10VH2</v>
      </c>
      <c r="U1657" s="28">
        <f t="array" ref="U1657">IFERROR(VLOOKUP($T1657,'Nghi hoc T12'!$H$7:$I$160,2,0),0)</f>
        <v>0</v>
      </c>
      <c r="V1657" s="28"/>
      <c r="W1657" s="28">
        <f t="shared" si="134"/>
        <v>0</v>
      </c>
      <c r="X1657" s="333">
        <f t="shared" si="135"/>
        <v>0</v>
      </c>
      <c r="Y1657" s="333">
        <f t="shared" si="136"/>
        <v>0</v>
      </c>
    </row>
    <row r="1658" spans="1:25" s="2" customFormat="1" ht="21.95" customHeight="1">
      <c r="A1658" s="82">
        <v>5</v>
      </c>
      <c r="B1658" s="91" t="str">
        <f t="shared" si="137"/>
        <v>202.C</v>
      </c>
      <c r="C1658" s="83" t="s">
        <v>366</v>
      </c>
      <c r="D1658" s="81" t="s">
        <v>2167</v>
      </c>
      <c r="E1658" s="48">
        <v>400005</v>
      </c>
      <c r="F1658" s="30" t="s">
        <v>203</v>
      </c>
      <c r="G1658" s="29" t="s">
        <v>5</v>
      </c>
      <c r="H1658" s="30" t="s">
        <v>134</v>
      </c>
      <c r="I1658" s="78"/>
      <c r="J1658" s="20"/>
      <c r="K1658" s="20"/>
      <c r="L1658" s="20"/>
      <c r="M1658" s="20"/>
      <c r="N1658" s="320" t="s">
        <v>2685</v>
      </c>
      <c r="O1658" s="70">
        <v>0</v>
      </c>
      <c r="P1658" s="70">
        <v>0</v>
      </c>
      <c r="Q1658" s="70">
        <f t="shared" si="132"/>
        <v>0</v>
      </c>
      <c r="R1658" s="70"/>
      <c r="S1658" s="67"/>
      <c r="T1658" s="2" t="str">
        <f t="shared" si="133"/>
        <v>Nguyễn Ngọc Phương Anh_10VH1</v>
      </c>
      <c r="U1658" s="28">
        <f t="array" ref="U1658">IFERROR(VLOOKUP($T1658,'Nghi hoc T12'!$H$7:$I$160,2,0),0)</f>
        <v>0</v>
      </c>
      <c r="V1658" s="28"/>
      <c r="W1658" s="28">
        <f t="shared" si="134"/>
        <v>0</v>
      </c>
      <c r="X1658" s="333">
        <f t="shared" si="135"/>
        <v>0</v>
      </c>
      <c r="Y1658" s="333">
        <f t="shared" si="136"/>
        <v>0</v>
      </c>
    </row>
    <row r="1659" spans="1:25" s="2" customFormat="1" ht="21.95" customHeight="1">
      <c r="A1659" s="82">
        <v>6</v>
      </c>
      <c r="B1659" s="91" t="str">
        <f t="shared" si="137"/>
        <v>202.C</v>
      </c>
      <c r="C1659" s="83" t="s">
        <v>366</v>
      </c>
      <c r="D1659" s="81" t="s">
        <v>2167</v>
      </c>
      <c r="E1659" s="48">
        <v>400006</v>
      </c>
      <c r="F1659" s="30" t="s">
        <v>1114</v>
      </c>
      <c r="G1659" s="29" t="s">
        <v>5</v>
      </c>
      <c r="H1659" s="30" t="s">
        <v>135</v>
      </c>
      <c r="I1659" s="78"/>
      <c r="J1659" s="20"/>
      <c r="K1659" s="20"/>
      <c r="L1659" s="20"/>
      <c r="M1659" s="20"/>
      <c r="N1659" s="320" t="s">
        <v>2685</v>
      </c>
      <c r="O1659" s="70">
        <v>0</v>
      </c>
      <c r="P1659" s="70">
        <v>0</v>
      </c>
      <c r="Q1659" s="70">
        <f t="shared" si="132"/>
        <v>0</v>
      </c>
      <c r="R1659" s="70"/>
      <c r="S1659" s="67"/>
      <c r="T1659" s="2" t="str">
        <f t="shared" si="133"/>
        <v>Phạm Ngọc Lan Anh_10VH2</v>
      </c>
      <c r="U1659" s="28">
        <f t="array" ref="U1659">IFERROR(VLOOKUP($T1659,'Nghi hoc T12'!$H$7:$I$160,2,0),0)</f>
        <v>0</v>
      </c>
      <c r="V1659" s="28"/>
      <c r="W1659" s="28">
        <f t="shared" si="134"/>
        <v>0</v>
      </c>
      <c r="X1659" s="333">
        <f t="shared" si="135"/>
        <v>0</v>
      </c>
      <c r="Y1659" s="333">
        <f t="shared" si="136"/>
        <v>0</v>
      </c>
    </row>
    <row r="1660" spans="1:25" s="2" customFormat="1" ht="21.95" customHeight="1">
      <c r="A1660" s="82">
        <v>7</v>
      </c>
      <c r="B1660" s="91" t="str">
        <f t="shared" si="137"/>
        <v>202.C</v>
      </c>
      <c r="C1660" s="83" t="s">
        <v>366</v>
      </c>
      <c r="D1660" s="81" t="s">
        <v>2167</v>
      </c>
      <c r="E1660" s="48">
        <v>400007</v>
      </c>
      <c r="F1660" s="30" t="s">
        <v>2172</v>
      </c>
      <c r="G1660" s="29" t="s">
        <v>5</v>
      </c>
      <c r="H1660" s="30" t="s">
        <v>134</v>
      </c>
      <c r="I1660" s="78"/>
      <c r="J1660" s="20"/>
      <c r="K1660" s="20"/>
      <c r="L1660" s="20"/>
      <c r="M1660" s="20"/>
      <c r="N1660" s="320" t="s">
        <v>2685</v>
      </c>
      <c r="O1660" s="70">
        <v>0</v>
      </c>
      <c r="P1660" s="70">
        <v>0</v>
      </c>
      <c r="Q1660" s="70">
        <f t="shared" si="132"/>
        <v>0</v>
      </c>
      <c r="R1660" s="70"/>
      <c r="S1660" s="67"/>
      <c r="T1660" s="2" t="str">
        <f t="shared" si="133"/>
        <v>Trần Lê Hoàng Anh_10VH1</v>
      </c>
      <c r="U1660" s="28">
        <f t="array" ref="U1660">IFERROR(VLOOKUP($T1660,'Nghi hoc T12'!$H$7:$I$160,2,0),0)</f>
        <v>0</v>
      </c>
      <c r="V1660" s="28"/>
      <c r="W1660" s="28">
        <f t="shared" si="134"/>
        <v>0</v>
      </c>
      <c r="X1660" s="333">
        <f t="shared" si="135"/>
        <v>0</v>
      </c>
      <c r="Y1660" s="333">
        <f t="shared" si="136"/>
        <v>0</v>
      </c>
    </row>
    <row r="1661" spans="1:25" s="2" customFormat="1" ht="21.95" customHeight="1">
      <c r="A1661" s="82">
        <v>8</v>
      </c>
      <c r="B1661" s="91" t="str">
        <f t="shared" si="137"/>
        <v>202.C</v>
      </c>
      <c r="C1661" s="83" t="s">
        <v>366</v>
      </c>
      <c r="D1661" s="81" t="s">
        <v>2167</v>
      </c>
      <c r="E1661" s="48">
        <v>400008</v>
      </c>
      <c r="F1661" s="30" t="s">
        <v>2173</v>
      </c>
      <c r="G1661" s="29" t="s">
        <v>5</v>
      </c>
      <c r="H1661" s="30" t="s">
        <v>135</v>
      </c>
      <c r="I1661" s="78"/>
      <c r="J1661" s="20"/>
      <c r="K1661" s="20"/>
      <c r="L1661" s="20"/>
      <c r="M1661" s="20"/>
      <c r="N1661" s="320" t="s">
        <v>2685</v>
      </c>
      <c r="O1661" s="70">
        <v>0</v>
      </c>
      <c r="P1661" s="70">
        <v>0</v>
      </c>
      <c r="Q1661" s="70">
        <f t="shared" si="132"/>
        <v>0</v>
      </c>
      <c r="R1661" s="70"/>
      <c r="S1661" s="67"/>
      <c r="T1661" s="2" t="str">
        <f t="shared" si="133"/>
        <v>Trịnh Hoàng Nhật Anh_10VH2</v>
      </c>
      <c r="U1661" s="28">
        <f t="array" ref="U1661">IFERROR(VLOOKUP($T1661,'Nghi hoc T12'!$H$7:$I$160,2,0),0)</f>
        <v>0</v>
      </c>
      <c r="V1661" s="28"/>
      <c r="W1661" s="28">
        <f t="shared" si="134"/>
        <v>0</v>
      </c>
      <c r="X1661" s="333">
        <f t="shared" si="135"/>
        <v>0</v>
      </c>
      <c r="Y1661" s="333">
        <f t="shared" si="136"/>
        <v>0</v>
      </c>
    </row>
    <row r="1662" spans="1:25" s="2" customFormat="1" ht="21.95" customHeight="1">
      <c r="A1662" s="82">
        <v>9</v>
      </c>
      <c r="B1662" s="91" t="str">
        <f t="shared" si="137"/>
        <v>202.C</v>
      </c>
      <c r="C1662" s="83" t="s">
        <v>366</v>
      </c>
      <c r="D1662" s="81" t="s">
        <v>2167</v>
      </c>
      <c r="E1662" s="48">
        <v>400009</v>
      </c>
      <c r="F1662" s="30" t="s">
        <v>2174</v>
      </c>
      <c r="G1662" s="29" t="s">
        <v>83</v>
      </c>
      <c r="H1662" s="30" t="s">
        <v>135</v>
      </c>
      <c r="I1662" s="78"/>
      <c r="J1662" s="20"/>
      <c r="K1662" s="20"/>
      <c r="L1662" s="20"/>
      <c r="M1662" s="20"/>
      <c r="N1662" s="320" t="s">
        <v>2685</v>
      </c>
      <c r="O1662" s="70">
        <v>0</v>
      </c>
      <c r="P1662" s="70">
        <v>0</v>
      </c>
      <c r="Q1662" s="70">
        <f t="shared" si="132"/>
        <v>0</v>
      </c>
      <c r="R1662" s="70"/>
      <c r="S1662" s="67"/>
      <c r="T1662" s="2" t="str">
        <f t="shared" si="133"/>
        <v>Hà Thiên Bảo_10VH2</v>
      </c>
      <c r="U1662" s="28">
        <f t="array" ref="U1662">IFERROR(VLOOKUP($T1662,'Nghi hoc T12'!$H$7:$I$160,2,0),0)</f>
        <v>0</v>
      </c>
      <c r="V1662" s="28"/>
      <c r="W1662" s="28">
        <f t="shared" si="134"/>
        <v>0</v>
      </c>
      <c r="X1662" s="333">
        <f t="shared" si="135"/>
        <v>0</v>
      </c>
      <c r="Y1662" s="333">
        <f t="shared" si="136"/>
        <v>0</v>
      </c>
    </row>
    <row r="1663" spans="1:25" s="2" customFormat="1" ht="21.95" customHeight="1">
      <c r="A1663" s="82">
        <v>10</v>
      </c>
      <c r="B1663" s="91" t="str">
        <f t="shared" si="137"/>
        <v>202.C</v>
      </c>
      <c r="C1663" s="83" t="s">
        <v>366</v>
      </c>
      <c r="D1663" s="81" t="s">
        <v>2167</v>
      </c>
      <c r="E1663" s="48">
        <v>400010</v>
      </c>
      <c r="F1663" s="30" t="s">
        <v>1144</v>
      </c>
      <c r="G1663" s="29" t="s">
        <v>83</v>
      </c>
      <c r="H1663" s="30" t="s">
        <v>134</v>
      </c>
      <c r="I1663" s="78"/>
      <c r="J1663" s="20"/>
      <c r="K1663" s="20"/>
      <c r="L1663" s="20"/>
      <c r="M1663" s="20"/>
      <c r="N1663" s="320" t="s">
        <v>2685</v>
      </c>
      <c r="O1663" s="70">
        <v>0</v>
      </c>
      <c r="P1663" s="70">
        <v>0</v>
      </c>
      <c r="Q1663" s="70">
        <f t="shared" si="132"/>
        <v>0</v>
      </c>
      <c r="R1663" s="70"/>
      <c r="S1663" s="67"/>
      <c r="T1663" s="2" t="str">
        <f t="shared" si="133"/>
        <v>Huỳnh Gia Bảo_10VH1</v>
      </c>
      <c r="U1663" s="28">
        <f t="array" ref="U1663">IFERROR(VLOOKUP($T1663,'Nghi hoc T12'!$H$7:$I$160,2,0),0)</f>
        <v>0</v>
      </c>
      <c r="V1663" s="28"/>
      <c r="W1663" s="28">
        <f t="shared" si="134"/>
        <v>0</v>
      </c>
      <c r="X1663" s="333">
        <f t="shared" si="135"/>
        <v>0</v>
      </c>
      <c r="Y1663" s="333">
        <f t="shared" si="136"/>
        <v>0</v>
      </c>
    </row>
    <row r="1664" spans="1:25" s="2" customFormat="1" ht="21.95" customHeight="1">
      <c r="A1664" s="82">
        <v>11</v>
      </c>
      <c r="B1664" s="91" t="str">
        <f t="shared" si="137"/>
        <v>202.C</v>
      </c>
      <c r="C1664" s="83" t="s">
        <v>366</v>
      </c>
      <c r="D1664" s="81" t="s">
        <v>2167</v>
      </c>
      <c r="E1664" s="48">
        <v>400011</v>
      </c>
      <c r="F1664" s="30" t="s">
        <v>2175</v>
      </c>
      <c r="G1664" s="29" t="s">
        <v>83</v>
      </c>
      <c r="H1664" s="30" t="s">
        <v>135</v>
      </c>
      <c r="I1664" s="78"/>
      <c r="J1664" s="20"/>
      <c r="K1664" s="20"/>
      <c r="L1664" s="20"/>
      <c r="M1664" s="20"/>
      <c r="N1664" s="320" t="s">
        <v>2685</v>
      </c>
      <c r="O1664" s="70">
        <v>0</v>
      </c>
      <c r="P1664" s="70">
        <v>0</v>
      </c>
      <c r="Q1664" s="70">
        <f t="shared" si="132"/>
        <v>0</v>
      </c>
      <c r="R1664" s="70"/>
      <c r="S1664" s="67"/>
      <c r="T1664" s="2" t="str">
        <f t="shared" si="133"/>
        <v>Lưu Gia Bảo_10VH2</v>
      </c>
      <c r="U1664" s="28">
        <f t="array" ref="U1664">IFERROR(VLOOKUP($T1664,'Nghi hoc T12'!$H$7:$I$160,2,0),0)</f>
        <v>0</v>
      </c>
      <c r="V1664" s="28"/>
      <c r="W1664" s="28">
        <f t="shared" si="134"/>
        <v>0</v>
      </c>
      <c r="X1664" s="333">
        <f t="shared" si="135"/>
        <v>0</v>
      </c>
      <c r="Y1664" s="333">
        <f t="shared" si="136"/>
        <v>0</v>
      </c>
    </row>
    <row r="1665" spans="1:25" s="2" customFormat="1" ht="21.95" customHeight="1">
      <c r="A1665" s="82">
        <v>12</v>
      </c>
      <c r="B1665" s="91" t="str">
        <f t="shared" si="137"/>
        <v>202.C</v>
      </c>
      <c r="C1665" s="83" t="s">
        <v>366</v>
      </c>
      <c r="D1665" s="81" t="s">
        <v>2167</v>
      </c>
      <c r="E1665" s="48">
        <v>400012</v>
      </c>
      <c r="F1665" s="30" t="s">
        <v>186</v>
      </c>
      <c r="G1665" s="29" t="s">
        <v>83</v>
      </c>
      <c r="H1665" s="30" t="s">
        <v>135</v>
      </c>
      <c r="I1665" s="78"/>
      <c r="J1665" s="20"/>
      <c r="K1665" s="20"/>
      <c r="L1665" s="20"/>
      <c r="M1665" s="20"/>
      <c r="N1665" s="320" t="s">
        <v>2685</v>
      </c>
      <c r="O1665" s="70">
        <v>0</v>
      </c>
      <c r="P1665" s="70">
        <v>0</v>
      </c>
      <c r="Q1665" s="70">
        <f t="shared" si="132"/>
        <v>0</v>
      </c>
      <c r="R1665" s="70"/>
      <c r="S1665" s="67"/>
      <c r="T1665" s="2" t="str">
        <f t="shared" si="133"/>
        <v>Nguyễn Minh Bảo_10VH2</v>
      </c>
      <c r="U1665" s="28">
        <f t="array" ref="U1665">IFERROR(VLOOKUP($T1665,'Nghi hoc T12'!$H$7:$I$160,2,0),0)</f>
        <v>0</v>
      </c>
      <c r="V1665" s="28"/>
      <c r="W1665" s="28">
        <f t="shared" si="134"/>
        <v>0</v>
      </c>
      <c r="X1665" s="333">
        <f t="shared" si="135"/>
        <v>0</v>
      </c>
      <c r="Y1665" s="333">
        <f t="shared" si="136"/>
        <v>0</v>
      </c>
    </row>
    <row r="1666" spans="1:25" s="2" customFormat="1" ht="21.95" customHeight="1">
      <c r="A1666" s="82">
        <v>13</v>
      </c>
      <c r="B1666" s="91" t="str">
        <f t="shared" si="137"/>
        <v>202.C</v>
      </c>
      <c r="C1666" s="83" t="s">
        <v>366</v>
      </c>
      <c r="D1666" s="81" t="s">
        <v>2167</v>
      </c>
      <c r="E1666" s="48">
        <v>400013</v>
      </c>
      <c r="F1666" s="30" t="s">
        <v>354</v>
      </c>
      <c r="G1666" s="29" t="s">
        <v>107</v>
      </c>
      <c r="H1666" s="30" t="s">
        <v>134</v>
      </c>
      <c r="I1666" s="78"/>
      <c r="J1666" s="20"/>
      <c r="K1666" s="20"/>
      <c r="L1666" s="20"/>
      <c r="M1666" s="20"/>
      <c r="N1666" s="320" t="s">
        <v>2685</v>
      </c>
      <c r="O1666" s="70">
        <v>0</v>
      </c>
      <c r="P1666" s="70">
        <v>0</v>
      </c>
      <c r="Q1666" s="70">
        <f t="shared" si="132"/>
        <v>0</v>
      </c>
      <c r="R1666" s="70"/>
      <c r="S1666" s="67"/>
      <c r="T1666" s="2" t="str">
        <f t="shared" si="133"/>
        <v>Trần Hoàng Châu_10VH1</v>
      </c>
      <c r="U1666" s="28">
        <f t="array" ref="U1666">IFERROR(VLOOKUP($T1666,'Nghi hoc T12'!$H$7:$I$160,2,0),0)</f>
        <v>0</v>
      </c>
      <c r="V1666" s="28"/>
      <c r="W1666" s="28">
        <f t="shared" si="134"/>
        <v>0</v>
      </c>
      <c r="X1666" s="333">
        <f t="shared" si="135"/>
        <v>0</v>
      </c>
      <c r="Y1666" s="333">
        <f t="shared" si="136"/>
        <v>0</v>
      </c>
    </row>
    <row r="1667" spans="1:25" s="2" customFormat="1" ht="21.95" customHeight="1">
      <c r="A1667" s="82">
        <v>14</v>
      </c>
      <c r="B1667" s="91" t="str">
        <f t="shared" si="137"/>
        <v>202.C</v>
      </c>
      <c r="C1667" s="83" t="s">
        <v>366</v>
      </c>
      <c r="D1667" s="81" t="s">
        <v>2167</v>
      </c>
      <c r="E1667" s="48">
        <v>400014</v>
      </c>
      <c r="F1667" s="30" t="s">
        <v>2176</v>
      </c>
      <c r="G1667" s="29" t="s">
        <v>1687</v>
      </c>
      <c r="H1667" s="30" t="s">
        <v>135</v>
      </c>
      <c r="I1667" s="78"/>
      <c r="J1667" s="20"/>
      <c r="K1667" s="20"/>
      <c r="L1667" s="20"/>
      <c r="M1667" s="20"/>
      <c r="N1667" s="320" t="s">
        <v>2685</v>
      </c>
      <c r="O1667" s="70">
        <v>0</v>
      </c>
      <c r="P1667" s="70">
        <v>0</v>
      </c>
      <c r="Q1667" s="70">
        <f t="shared" si="132"/>
        <v>0</v>
      </c>
      <c r="R1667" s="70"/>
      <c r="S1667" s="67"/>
      <c r="T1667" s="2" t="str">
        <f t="shared" si="133"/>
        <v>Khổng Thị Chung_10VH2</v>
      </c>
      <c r="U1667" s="28">
        <f t="array" ref="U1667">IFERROR(VLOOKUP($T1667,'Nghi hoc T12'!$H$7:$I$160,2,0),0)</f>
        <v>0</v>
      </c>
      <c r="V1667" s="28"/>
      <c r="W1667" s="28">
        <f t="shared" si="134"/>
        <v>0</v>
      </c>
      <c r="X1667" s="333">
        <f t="shared" si="135"/>
        <v>0</v>
      </c>
      <c r="Y1667" s="333">
        <f t="shared" si="136"/>
        <v>0</v>
      </c>
    </row>
    <row r="1668" spans="1:25" s="2" customFormat="1" ht="21.95" customHeight="1">
      <c r="A1668" s="82">
        <v>15</v>
      </c>
      <c r="B1668" s="91" t="str">
        <f t="shared" si="137"/>
        <v>202.C</v>
      </c>
      <c r="C1668" s="83" t="s">
        <v>366</v>
      </c>
      <c r="D1668" s="81" t="s">
        <v>2167</v>
      </c>
      <c r="E1668" s="48">
        <v>400015</v>
      </c>
      <c r="F1668" s="30" t="s">
        <v>2078</v>
      </c>
      <c r="G1668" s="29" t="s">
        <v>35</v>
      </c>
      <c r="H1668" s="30" t="s">
        <v>134</v>
      </c>
      <c r="I1668" s="78" t="s">
        <v>529</v>
      </c>
      <c r="J1668" s="20"/>
      <c r="K1668" s="20"/>
      <c r="L1668" s="20"/>
      <c r="M1668" s="20"/>
      <c r="N1668" s="320" t="s">
        <v>2685</v>
      </c>
      <c r="O1668" s="70">
        <v>0</v>
      </c>
      <c r="P1668" s="70">
        <v>0</v>
      </c>
      <c r="Q1668" s="70" t="str">
        <f t="shared" si="132"/>
        <v>NgiH</v>
      </c>
      <c r="R1668" s="70"/>
      <c r="S1668" s="67"/>
      <c r="T1668" s="2" t="str">
        <f t="shared" si="133"/>
        <v>Lê Huy Cường_10VH1</v>
      </c>
      <c r="U1668" s="28" t="s">
        <v>3334</v>
      </c>
      <c r="V1668" s="28"/>
      <c r="W1668" s="28" t="str">
        <f t="shared" si="134"/>
        <v>Nghỉ học</v>
      </c>
      <c r="X1668" s="333">
        <f t="shared" si="135"/>
        <v>0</v>
      </c>
      <c r="Y1668" s="333">
        <f t="shared" si="136"/>
        <v>0</v>
      </c>
    </row>
    <row r="1669" spans="1:25" s="2" customFormat="1" ht="21.95" customHeight="1">
      <c r="A1669" s="82">
        <v>16</v>
      </c>
      <c r="B1669" s="91" t="str">
        <f t="shared" si="137"/>
        <v>202.C</v>
      </c>
      <c r="C1669" s="83" t="s">
        <v>366</v>
      </c>
      <c r="D1669" s="81" t="s">
        <v>2167</v>
      </c>
      <c r="E1669" s="48">
        <v>400016</v>
      </c>
      <c r="F1669" s="30" t="s">
        <v>268</v>
      </c>
      <c r="G1669" s="29" t="s">
        <v>2177</v>
      </c>
      <c r="H1669" s="30" t="s">
        <v>135</v>
      </c>
      <c r="I1669" s="78"/>
      <c r="J1669" s="20"/>
      <c r="K1669" s="20"/>
      <c r="L1669" s="20"/>
      <c r="M1669" s="20"/>
      <c r="N1669" s="320" t="s">
        <v>2685</v>
      </c>
      <c r="O1669" s="70">
        <v>0</v>
      </c>
      <c r="P1669" s="70">
        <v>0</v>
      </c>
      <c r="Q1669" s="70">
        <f t="shared" si="132"/>
        <v>0</v>
      </c>
      <c r="R1669" s="70"/>
      <c r="S1669" s="67"/>
      <c r="T1669" s="2" t="str">
        <f t="shared" si="133"/>
        <v>Nguyễn Văn Dân_10VH2</v>
      </c>
      <c r="U1669" s="28">
        <f t="array" ref="U1669">IFERROR(VLOOKUP($T1669,'Nghi hoc T12'!$H$7:$I$160,2,0),0)</f>
        <v>0</v>
      </c>
      <c r="V1669" s="28"/>
      <c r="W1669" s="28">
        <f t="shared" si="134"/>
        <v>0</v>
      </c>
      <c r="X1669" s="333">
        <f t="shared" si="135"/>
        <v>0</v>
      </c>
      <c r="Y1669" s="333">
        <f t="shared" si="136"/>
        <v>0</v>
      </c>
    </row>
    <row r="1670" spans="1:25" s="2" customFormat="1" ht="21.95" customHeight="1">
      <c r="A1670" s="82">
        <v>17</v>
      </c>
      <c r="B1670" s="91" t="str">
        <f t="shared" si="137"/>
        <v>202.C</v>
      </c>
      <c r="C1670" s="83" t="s">
        <v>366</v>
      </c>
      <c r="D1670" s="81" t="s">
        <v>2167</v>
      </c>
      <c r="E1670" s="48">
        <v>400017</v>
      </c>
      <c r="F1670" s="30" t="s">
        <v>2115</v>
      </c>
      <c r="G1670" s="29" t="s">
        <v>6</v>
      </c>
      <c r="H1670" s="30" t="s">
        <v>134</v>
      </c>
      <c r="I1670" s="78"/>
      <c r="J1670" s="20"/>
      <c r="K1670" s="20"/>
      <c r="L1670" s="20"/>
      <c r="M1670" s="20"/>
      <c r="N1670" s="320" t="s">
        <v>2685</v>
      </c>
      <c r="O1670" s="70">
        <v>0</v>
      </c>
      <c r="P1670" s="70">
        <v>0</v>
      </c>
      <c r="Q1670" s="70">
        <f t="shared" si="132"/>
        <v>0</v>
      </c>
      <c r="R1670" s="70"/>
      <c r="S1670" s="67"/>
      <c r="T1670" s="2" t="str">
        <f t="shared" si="133"/>
        <v>Trần Văn Dũng_10VH1</v>
      </c>
      <c r="U1670" s="28">
        <f t="array" ref="U1670">IFERROR(VLOOKUP($T1670,'Nghi hoc T12'!$H$7:$I$160,2,0),0)</f>
        <v>0</v>
      </c>
      <c r="V1670" s="28"/>
      <c r="W1670" s="28">
        <f t="shared" si="134"/>
        <v>0</v>
      </c>
      <c r="X1670" s="333">
        <f t="shared" si="135"/>
        <v>0</v>
      </c>
      <c r="Y1670" s="333">
        <f t="shared" si="136"/>
        <v>0</v>
      </c>
    </row>
    <row r="1671" spans="1:25" s="2" customFormat="1" ht="21.95" customHeight="1">
      <c r="A1671" s="82">
        <v>18</v>
      </c>
      <c r="B1671" s="91" t="str">
        <f t="shared" si="137"/>
        <v>202.C</v>
      </c>
      <c r="C1671" s="83" t="s">
        <v>366</v>
      </c>
      <c r="D1671" s="81" t="s">
        <v>2167</v>
      </c>
      <c r="E1671" s="48">
        <v>400018</v>
      </c>
      <c r="F1671" s="30" t="s">
        <v>257</v>
      </c>
      <c r="G1671" s="29" t="s">
        <v>65</v>
      </c>
      <c r="H1671" s="30" t="s">
        <v>135</v>
      </c>
      <c r="I1671" s="78"/>
      <c r="J1671" s="20"/>
      <c r="K1671" s="20"/>
      <c r="L1671" s="20"/>
      <c r="M1671" s="20"/>
      <c r="N1671" s="320" t="s">
        <v>2685</v>
      </c>
      <c r="O1671" s="70">
        <v>0</v>
      </c>
      <c r="P1671" s="70">
        <v>0</v>
      </c>
      <c r="Q1671" s="70">
        <f t="shared" si="132"/>
        <v>0</v>
      </c>
      <c r="R1671" s="70"/>
      <c r="S1671" s="67"/>
      <c r="T1671" s="2" t="str">
        <f t="shared" si="133"/>
        <v>Lê Minh Duy_10VH2</v>
      </c>
      <c r="U1671" s="28">
        <f t="array" ref="U1671">IFERROR(VLOOKUP($T1671,'Nghi hoc T12'!$H$7:$I$160,2,0),0)</f>
        <v>0</v>
      </c>
      <c r="V1671" s="28"/>
      <c r="W1671" s="28">
        <f t="shared" si="134"/>
        <v>0</v>
      </c>
      <c r="X1671" s="333">
        <f t="shared" si="135"/>
        <v>0</v>
      </c>
      <c r="Y1671" s="333">
        <f t="shared" si="136"/>
        <v>0</v>
      </c>
    </row>
    <row r="1672" spans="1:25" s="2" customFormat="1" ht="21.95" customHeight="1">
      <c r="A1672" s="82">
        <v>19</v>
      </c>
      <c r="B1672" s="91" t="str">
        <f t="shared" si="137"/>
        <v>202.C</v>
      </c>
      <c r="C1672" s="83" t="s">
        <v>366</v>
      </c>
      <c r="D1672" s="81" t="s">
        <v>2167</v>
      </c>
      <c r="E1672" s="48">
        <v>400019</v>
      </c>
      <c r="F1672" s="30" t="s">
        <v>41</v>
      </c>
      <c r="G1672" s="29" t="s">
        <v>323</v>
      </c>
      <c r="H1672" s="30" t="s">
        <v>134</v>
      </c>
      <c r="I1672" s="78"/>
      <c r="J1672" s="20"/>
      <c r="K1672" s="20"/>
      <c r="L1672" s="20"/>
      <c r="M1672" s="20"/>
      <c r="N1672" s="320" t="s">
        <v>2685</v>
      </c>
      <c r="O1672" s="70">
        <v>0</v>
      </c>
      <c r="P1672" s="70">
        <v>0</v>
      </c>
      <c r="Q1672" s="70">
        <f t="shared" si="132"/>
        <v>0</v>
      </c>
      <c r="R1672" s="70"/>
      <c r="S1672" s="67"/>
      <c r="T1672" s="2" t="str">
        <f t="shared" si="133"/>
        <v>Nguyễn Thị Hồng Đào_10VH1</v>
      </c>
      <c r="U1672" s="28">
        <f t="array" ref="U1672">IFERROR(VLOOKUP($T1672,'Nghi hoc T12'!$H$7:$I$160,2,0),0)</f>
        <v>0</v>
      </c>
      <c r="V1672" s="28"/>
      <c r="W1672" s="28">
        <f t="shared" si="134"/>
        <v>0</v>
      </c>
      <c r="X1672" s="333">
        <f t="shared" si="135"/>
        <v>0</v>
      </c>
      <c r="Y1672" s="333">
        <f t="shared" si="136"/>
        <v>0</v>
      </c>
    </row>
    <row r="1673" spans="1:25" s="2" customFormat="1" ht="21.95" customHeight="1">
      <c r="A1673" s="82">
        <v>20</v>
      </c>
      <c r="B1673" s="91" t="str">
        <f t="shared" si="137"/>
        <v>202.C</v>
      </c>
      <c r="C1673" s="83" t="s">
        <v>366</v>
      </c>
      <c r="D1673" s="81" t="s">
        <v>2167</v>
      </c>
      <c r="E1673" s="48">
        <v>400020</v>
      </c>
      <c r="F1673" s="30" t="s">
        <v>1191</v>
      </c>
      <c r="G1673" s="29" t="s">
        <v>439</v>
      </c>
      <c r="H1673" s="30" t="s">
        <v>134</v>
      </c>
      <c r="I1673" s="78"/>
      <c r="J1673" s="20"/>
      <c r="K1673" s="20"/>
      <c r="L1673" s="20"/>
      <c r="M1673" s="20"/>
      <c r="N1673" s="320" t="s">
        <v>2685</v>
      </c>
      <c r="O1673" s="70">
        <v>0</v>
      </c>
      <c r="P1673" s="70">
        <v>0</v>
      </c>
      <c r="Q1673" s="70">
        <f t="shared" si="132"/>
        <v>0</v>
      </c>
      <c r="R1673" s="70"/>
      <c r="S1673" s="67"/>
      <c r="T1673" s="2" t="str">
        <f t="shared" si="133"/>
        <v>Nguyễn Hương Giang_10VH1</v>
      </c>
      <c r="U1673" s="28">
        <f t="array" ref="U1673">IFERROR(VLOOKUP($T1673,'Nghi hoc T12'!$H$7:$I$160,2,0),0)</f>
        <v>0</v>
      </c>
      <c r="V1673" s="28"/>
      <c r="W1673" s="28">
        <f t="shared" si="134"/>
        <v>0</v>
      </c>
      <c r="X1673" s="333">
        <f t="shared" si="135"/>
        <v>0</v>
      </c>
      <c r="Y1673" s="333">
        <f t="shared" si="136"/>
        <v>0</v>
      </c>
    </row>
    <row r="1674" spans="1:25" s="2" customFormat="1" ht="21.95" customHeight="1">
      <c r="A1674" s="82">
        <v>21</v>
      </c>
      <c r="B1674" s="91" t="str">
        <f t="shared" si="137"/>
        <v>202.C</v>
      </c>
      <c r="C1674" s="83" t="s">
        <v>366</v>
      </c>
      <c r="D1674" s="81" t="s">
        <v>2167</v>
      </c>
      <c r="E1674" s="48">
        <v>400021</v>
      </c>
      <c r="F1674" s="30" t="s">
        <v>2178</v>
      </c>
      <c r="G1674" s="29" t="s">
        <v>143</v>
      </c>
      <c r="H1674" s="30" t="s">
        <v>134</v>
      </c>
      <c r="I1674" s="78"/>
      <c r="J1674" s="20"/>
      <c r="K1674" s="20"/>
      <c r="L1674" s="20"/>
      <c r="M1674" s="20"/>
      <c r="N1674" s="320" t="s">
        <v>2685</v>
      </c>
      <c r="O1674" s="70">
        <v>0</v>
      </c>
      <c r="P1674" s="70">
        <v>0</v>
      </c>
      <c r="Q1674" s="70">
        <f t="shared" ref="Q1674:Q1737" si="138">U1674</f>
        <v>0</v>
      </c>
      <c r="R1674" s="70"/>
      <c r="S1674" s="67"/>
      <c r="T1674" s="2" t="str">
        <f t="shared" ref="T1674:T1737" si="139">TRIM(F1674&amp;" "&amp;G1674&amp;"_"&amp;H1674)</f>
        <v>Lê Trúc Hà_10VH1</v>
      </c>
      <c r="U1674" s="28">
        <f t="array" ref="U1674">IFERROR(VLOOKUP($T1674,'Nghi hoc T12'!$H$7:$I$160,2,0),0)</f>
        <v>0</v>
      </c>
      <c r="V1674" s="28"/>
      <c r="W1674" s="28">
        <f t="shared" ref="W1674:W1737" si="140">I1674</f>
        <v>0</v>
      </c>
      <c r="X1674" s="333">
        <f t="shared" ref="X1674:X1737" si="141">O1674</f>
        <v>0</v>
      </c>
      <c r="Y1674" s="333">
        <f t="shared" ref="Y1674:Y1737" si="142">P1674</f>
        <v>0</v>
      </c>
    </row>
    <row r="1675" spans="1:25" s="2" customFormat="1" ht="21.95" customHeight="1">
      <c r="A1675" s="82">
        <v>22</v>
      </c>
      <c r="B1675" s="91" t="str">
        <f t="shared" ref="B1675:B1738" si="143">RIGHT(D1675,LEN(D1675)-2)&amp;"."&amp;LEFT(N1675,1)</f>
        <v>202.C</v>
      </c>
      <c r="C1675" s="83" t="s">
        <v>366</v>
      </c>
      <c r="D1675" s="81" t="s">
        <v>2167</v>
      </c>
      <c r="E1675" s="48">
        <v>400022</v>
      </c>
      <c r="F1675" s="30" t="s">
        <v>2179</v>
      </c>
      <c r="G1675" s="29" t="s">
        <v>143</v>
      </c>
      <c r="H1675" s="30" t="s">
        <v>135</v>
      </c>
      <c r="I1675" s="78"/>
      <c r="J1675" s="20"/>
      <c r="K1675" s="20"/>
      <c r="L1675" s="20"/>
      <c r="M1675" s="20"/>
      <c r="N1675" s="320" t="s">
        <v>2685</v>
      </c>
      <c r="O1675" s="70">
        <v>0</v>
      </c>
      <c r="P1675" s="70">
        <v>0</v>
      </c>
      <c r="Q1675" s="70">
        <f t="shared" si="138"/>
        <v>0</v>
      </c>
      <c r="R1675" s="70"/>
      <c r="S1675" s="67"/>
      <c r="T1675" s="2" t="str">
        <f t="shared" si="139"/>
        <v>Nguyễn Phi Nguyên Hà_10VH2</v>
      </c>
      <c r="U1675" s="28">
        <f t="array" ref="U1675">IFERROR(VLOOKUP($T1675,'Nghi hoc T12'!$H$7:$I$160,2,0),0)</f>
        <v>0</v>
      </c>
      <c r="V1675" s="28"/>
      <c r="W1675" s="28">
        <f t="shared" si="140"/>
        <v>0</v>
      </c>
      <c r="X1675" s="333">
        <f t="shared" si="141"/>
        <v>0</v>
      </c>
      <c r="Y1675" s="333">
        <f t="shared" si="142"/>
        <v>0</v>
      </c>
    </row>
    <row r="1676" spans="1:25" s="2" customFormat="1" ht="21.95" customHeight="1">
      <c r="A1676" s="82">
        <v>23</v>
      </c>
      <c r="B1676" s="91" t="str">
        <f t="shared" si="143"/>
        <v>202.C</v>
      </c>
      <c r="C1676" s="83" t="s">
        <v>366</v>
      </c>
      <c r="D1676" s="81" t="s">
        <v>2167</v>
      </c>
      <c r="E1676" s="48">
        <v>400023</v>
      </c>
      <c r="F1676" s="30" t="s">
        <v>2180</v>
      </c>
      <c r="G1676" s="29" t="s">
        <v>323</v>
      </c>
      <c r="H1676" s="30" t="s">
        <v>135</v>
      </c>
      <c r="I1676" s="78" t="s">
        <v>408</v>
      </c>
      <c r="J1676" s="20"/>
      <c r="K1676" s="20"/>
      <c r="L1676" s="20"/>
      <c r="M1676" s="20"/>
      <c r="N1676" s="320" t="s">
        <v>2685</v>
      </c>
      <c r="O1676" s="70" t="s">
        <v>404</v>
      </c>
      <c r="P1676" s="70" t="s">
        <v>401</v>
      </c>
      <c r="Q1676" s="70">
        <f t="shared" si="138"/>
        <v>0</v>
      </c>
      <c r="R1676" s="70"/>
      <c r="S1676" s="67"/>
      <c r="T1676" s="2" t="str">
        <f t="shared" si="139"/>
        <v>Khưu Anh Đào_10VH2</v>
      </c>
      <c r="U1676" s="28">
        <f t="array" ref="U1676">IFERROR(VLOOKUP($T1676,'Nghi hoc T12'!$H$7:$I$160,2,0),0)</f>
        <v>0</v>
      </c>
      <c r="V1676" s="28"/>
      <c r="W1676" s="28" t="str">
        <f t="shared" si="140"/>
        <v>HN</v>
      </c>
      <c r="X1676" s="333" t="str">
        <f t="shared" si="141"/>
        <v>Tâm thần</v>
      </c>
      <c r="Y1676" s="333" t="str">
        <f t="shared" si="142"/>
        <v>Nhẹ</v>
      </c>
    </row>
    <row r="1677" spans="1:25" s="2" customFormat="1" ht="21.95" customHeight="1">
      <c r="A1677" s="82">
        <v>24</v>
      </c>
      <c r="B1677" s="91" t="str">
        <f t="shared" si="143"/>
        <v>202.C</v>
      </c>
      <c r="C1677" s="83" t="s">
        <v>366</v>
      </c>
      <c r="D1677" s="81" t="s">
        <v>2167</v>
      </c>
      <c r="E1677" s="48">
        <v>400024</v>
      </c>
      <c r="F1677" s="30" t="s">
        <v>2181</v>
      </c>
      <c r="G1677" s="29" t="s">
        <v>2182</v>
      </c>
      <c r="H1677" s="30" t="s">
        <v>134</v>
      </c>
      <c r="I1677" s="78" t="s">
        <v>408</v>
      </c>
      <c r="J1677" s="20"/>
      <c r="K1677" s="20"/>
      <c r="L1677" s="20"/>
      <c r="M1677" s="20"/>
      <c r="N1677" s="320" t="s">
        <v>2685</v>
      </c>
      <c r="O1677" s="70" t="s">
        <v>400</v>
      </c>
      <c r="P1677" s="70" t="s">
        <v>401</v>
      </c>
      <c r="Q1677" s="70">
        <f t="shared" si="138"/>
        <v>0</v>
      </c>
      <c r="R1677" s="70"/>
      <c r="S1677" s="67"/>
      <c r="T1677" s="2" t="str">
        <f t="shared" si="139"/>
        <v>Phạm Phú Quí_10VH1</v>
      </c>
      <c r="U1677" s="28">
        <f t="array" ref="U1677">IFERROR(VLOOKUP($T1677,'Nghi hoc T12'!$H$7:$I$160,2,0),0)</f>
        <v>0</v>
      </c>
      <c r="V1677" s="28"/>
      <c r="W1677" s="28" t="str">
        <f t="shared" si="140"/>
        <v>HN</v>
      </c>
      <c r="X1677" s="333" t="str">
        <f t="shared" si="141"/>
        <v>Trí tuệ</v>
      </c>
      <c r="Y1677" s="333" t="str">
        <f t="shared" si="142"/>
        <v>Nhẹ</v>
      </c>
    </row>
    <row r="1678" spans="1:25" s="2" customFormat="1" ht="21.95" customHeight="1">
      <c r="A1678" s="321">
        <v>1</v>
      </c>
      <c r="B1678" s="91" t="str">
        <f t="shared" si="143"/>
        <v>203.C</v>
      </c>
      <c r="C1678" s="185" t="s">
        <v>366</v>
      </c>
      <c r="D1678" s="186" t="s">
        <v>2183</v>
      </c>
      <c r="E1678" s="187">
        <v>400025</v>
      </c>
      <c r="F1678" s="188" t="s">
        <v>2184</v>
      </c>
      <c r="G1678" s="189" t="s">
        <v>171</v>
      </c>
      <c r="H1678" s="188" t="s">
        <v>134</v>
      </c>
      <c r="I1678" s="190"/>
      <c r="J1678" s="191"/>
      <c r="K1678" s="191"/>
      <c r="L1678" s="191"/>
      <c r="M1678" s="191"/>
      <c r="N1678" s="320" t="s">
        <v>2685</v>
      </c>
      <c r="O1678" s="70">
        <v>0</v>
      </c>
      <c r="P1678" s="70">
        <v>0</v>
      </c>
      <c r="Q1678" s="70">
        <f t="shared" si="138"/>
        <v>0</v>
      </c>
      <c r="R1678" s="70"/>
      <c r="S1678" s="67"/>
      <c r="T1678" s="2" t="str">
        <f t="shared" si="139"/>
        <v>Lê Trần Thanh Hải_10VH1</v>
      </c>
      <c r="U1678" s="28">
        <f t="array" ref="U1678">IFERROR(VLOOKUP($T1678,'Nghi hoc T12'!$H$7:$I$160,2,0),0)</f>
        <v>0</v>
      </c>
      <c r="V1678" s="28"/>
      <c r="W1678" s="28">
        <f t="shared" si="140"/>
        <v>0</v>
      </c>
      <c r="X1678" s="333">
        <f t="shared" si="141"/>
        <v>0</v>
      </c>
      <c r="Y1678" s="333">
        <f t="shared" si="142"/>
        <v>0</v>
      </c>
    </row>
    <row r="1679" spans="1:25" s="2" customFormat="1" ht="21.95" customHeight="1">
      <c r="A1679" s="82">
        <v>2</v>
      </c>
      <c r="B1679" s="91" t="str">
        <f t="shared" si="143"/>
        <v>203.C</v>
      </c>
      <c r="C1679" s="83" t="s">
        <v>366</v>
      </c>
      <c r="D1679" s="81" t="s">
        <v>2183</v>
      </c>
      <c r="E1679" s="48">
        <v>400026</v>
      </c>
      <c r="F1679" s="30" t="s">
        <v>141</v>
      </c>
      <c r="G1679" s="29" t="s">
        <v>173</v>
      </c>
      <c r="H1679" s="30" t="s">
        <v>134</v>
      </c>
      <c r="I1679" s="78"/>
      <c r="J1679" s="20"/>
      <c r="K1679" s="20"/>
      <c r="L1679" s="20"/>
      <c r="M1679" s="20"/>
      <c r="N1679" s="320" t="s">
        <v>2685</v>
      </c>
      <c r="O1679" s="70">
        <v>0</v>
      </c>
      <c r="P1679" s="70">
        <v>0</v>
      </c>
      <c r="Q1679" s="70">
        <f t="shared" si="138"/>
        <v>0</v>
      </c>
      <c r="R1679" s="70"/>
      <c r="S1679" s="67"/>
      <c r="T1679" s="2" t="str">
        <f t="shared" si="139"/>
        <v>Nguyễn Thị Mỹ Hằng_10VH1</v>
      </c>
      <c r="U1679" s="28">
        <f t="array" ref="U1679">IFERROR(VLOOKUP($T1679,'Nghi hoc T12'!$H$7:$I$160,2,0),0)</f>
        <v>0</v>
      </c>
      <c r="V1679" s="28"/>
      <c r="W1679" s="28">
        <f t="shared" si="140"/>
        <v>0</v>
      </c>
      <c r="X1679" s="333">
        <f t="shared" si="141"/>
        <v>0</v>
      </c>
      <c r="Y1679" s="333">
        <f t="shared" si="142"/>
        <v>0</v>
      </c>
    </row>
    <row r="1680" spans="1:25" s="2" customFormat="1" ht="21.95" customHeight="1">
      <c r="A1680" s="82">
        <v>3</v>
      </c>
      <c r="B1680" s="91" t="str">
        <f t="shared" si="143"/>
        <v>203.C</v>
      </c>
      <c r="C1680" s="83" t="s">
        <v>366</v>
      </c>
      <c r="D1680" s="81" t="s">
        <v>2183</v>
      </c>
      <c r="E1680" s="48">
        <v>400027</v>
      </c>
      <c r="F1680" s="30" t="s">
        <v>441</v>
      </c>
      <c r="G1680" s="29" t="s">
        <v>8</v>
      </c>
      <c r="H1680" s="30" t="s">
        <v>135</v>
      </c>
      <c r="I1680" s="78"/>
      <c r="J1680" s="20"/>
      <c r="K1680" s="20"/>
      <c r="L1680" s="20"/>
      <c r="M1680" s="20"/>
      <c r="N1680" s="320" t="s">
        <v>2685</v>
      </c>
      <c r="O1680" s="70">
        <v>0</v>
      </c>
      <c r="P1680" s="70">
        <v>0</v>
      </c>
      <c r="Q1680" s="70">
        <f t="shared" si="138"/>
        <v>0</v>
      </c>
      <c r="R1680" s="70"/>
      <c r="S1680" s="67"/>
      <c r="T1680" s="2" t="str">
        <f t="shared" si="139"/>
        <v>Trần Thị Thu Hiền_10VH2</v>
      </c>
      <c r="U1680" s="28">
        <f t="array" ref="U1680">IFERROR(VLOOKUP($T1680,'Nghi hoc T12'!$H$7:$I$160,2,0),0)</f>
        <v>0</v>
      </c>
      <c r="V1680" s="28"/>
      <c r="W1680" s="28">
        <f t="shared" si="140"/>
        <v>0</v>
      </c>
      <c r="X1680" s="333">
        <f t="shared" si="141"/>
        <v>0</v>
      </c>
      <c r="Y1680" s="333">
        <f t="shared" si="142"/>
        <v>0</v>
      </c>
    </row>
    <row r="1681" spans="1:25" s="2" customFormat="1" ht="21.95" customHeight="1">
      <c r="A1681" s="82">
        <v>4</v>
      </c>
      <c r="B1681" s="91" t="str">
        <f t="shared" si="143"/>
        <v>203.C</v>
      </c>
      <c r="C1681" s="83" t="s">
        <v>366</v>
      </c>
      <c r="D1681" s="81" t="s">
        <v>2183</v>
      </c>
      <c r="E1681" s="48">
        <v>400028</v>
      </c>
      <c r="F1681" s="30" t="s">
        <v>2185</v>
      </c>
      <c r="G1681" s="29" t="s">
        <v>145</v>
      </c>
      <c r="H1681" s="30" t="s">
        <v>134</v>
      </c>
      <c r="I1681" s="78"/>
      <c r="J1681" s="20"/>
      <c r="K1681" s="20"/>
      <c r="L1681" s="20"/>
      <c r="M1681" s="20"/>
      <c r="N1681" s="320" t="s">
        <v>2685</v>
      </c>
      <c r="O1681" s="70">
        <v>0</v>
      </c>
      <c r="P1681" s="70">
        <v>0</v>
      </c>
      <c r="Q1681" s="70">
        <f t="shared" si="138"/>
        <v>0</v>
      </c>
      <c r="R1681" s="70"/>
      <c r="S1681" s="67"/>
      <c r="T1681" s="2" t="str">
        <f t="shared" si="139"/>
        <v>Cao Hoàng Hiệp_10VH1</v>
      </c>
      <c r="U1681" s="28">
        <f t="array" ref="U1681">IFERROR(VLOOKUP($T1681,'Nghi hoc T12'!$H$7:$I$160,2,0),0)</f>
        <v>0</v>
      </c>
      <c r="V1681" s="28"/>
      <c r="W1681" s="28">
        <f t="shared" si="140"/>
        <v>0</v>
      </c>
      <c r="X1681" s="333">
        <f t="shared" si="141"/>
        <v>0</v>
      </c>
      <c r="Y1681" s="333">
        <f t="shared" si="142"/>
        <v>0</v>
      </c>
    </row>
    <row r="1682" spans="1:25" s="2" customFormat="1" ht="21.95" customHeight="1">
      <c r="A1682" s="82">
        <v>5</v>
      </c>
      <c r="B1682" s="91" t="str">
        <f t="shared" si="143"/>
        <v>203.C</v>
      </c>
      <c r="C1682" s="83" t="s">
        <v>366</v>
      </c>
      <c r="D1682" s="81" t="s">
        <v>2183</v>
      </c>
      <c r="E1682" s="48">
        <v>400029</v>
      </c>
      <c r="F1682" s="30" t="s">
        <v>276</v>
      </c>
      <c r="G1682" s="29" t="s">
        <v>9</v>
      </c>
      <c r="H1682" s="30" t="s">
        <v>135</v>
      </c>
      <c r="I1682" s="78"/>
      <c r="J1682" s="20"/>
      <c r="K1682" s="20"/>
      <c r="L1682" s="20"/>
      <c r="M1682" s="20"/>
      <c r="N1682" s="320" t="s">
        <v>2685</v>
      </c>
      <c r="O1682" s="70">
        <v>0</v>
      </c>
      <c r="P1682" s="70">
        <v>0</v>
      </c>
      <c r="Q1682" s="70">
        <f t="shared" si="138"/>
        <v>0</v>
      </c>
      <c r="R1682" s="70"/>
      <c r="S1682" s="67"/>
      <c r="T1682" s="2" t="str">
        <f t="shared" si="139"/>
        <v>Nguyễn Trung Hiếu_10VH2</v>
      </c>
      <c r="U1682" s="28">
        <f t="array" ref="U1682">IFERROR(VLOOKUP($T1682,'Nghi hoc T12'!$H$7:$I$160,2,0),0)</f>
        <v>0</v>
      </c>
      <c r="V1682" s="28"/>
      <c r="W1682" s="28">
        <f t="shared" si="140"/>
        <v>0</v>
      </c>
      <c r="X1682" s="333">
        <f t="shared" si="141"/>
        <v>0</v>
      </c>
      <c r="Y1682" s="333">
        <f t="shared" si="142"/>
        <v>0</v>
      </c>
    </row>
    <row r="1683" spans="1:25" s="2" customFormat="1" ht="21.95" customHeight="1">
      <c r="A1683" s="82">
        <v>6</v>
      </c>
      <c r="B1683" s="91" t="str">
        <f t="shared" si="143"/>
        <v>203.C</v>
      </c>
      <c r="C1683" s="83" t="s">
        <v>366</v>
      </c>
      <c r="D1683" s="81" t="s">
        <v>2183</v>
      </c>
      <c r="E1683" s="48">
        <v>400030</v>
      </c>
      <c r="F1683" s="30" t="s">
        <v>2186</v>
      </c>
      <c r="G1683" s="29" t="s">
        <v>11</v>
      </c>
      <c r="H1683" s="30" t="s">
        <v>134</v>
      </c>
      <c r="I1683" s="78"/>
      <c r="J1683" s="20"/>
      <c r="K1683" s="20"/>
      <c r="L1683" s="20"/>
      <c r="M1683" s="20"/>
      <c r="N1683" s="320" t="s">
        <v>2685</v>
      </c>
      <c r="O1683" s="70">
        <v>0</v>
      </c>
      <c r="P1683" s="70">
        <v>0</v>
      </c>
      <c r="Q1683" s="70">
        <f t="shared" si="138"/>
        <v>0</v>
      </c>
      <c r="R1683" s="70"/>
      <c r="S1683" s="67"/>
      <c r="T1683" s="2" t="str">
        <f t="shared" si="139"/>
        <v>Khưu Nguyễn Gia Huy_10VH1</v>
      </c>
      <c r="U1683" s="28">
        <f t="array" ref="U1683">IFERROR(VLOOKUP($T1683,'Nghi hoc T12'!$H$7:$I$160,2,0),0)</f>
        <v>0</v>
      </c>
      <c r="V1683" s="28"/>
      <c r="W1683" s="28">
        <f t="shared" si="140"/>
        <v>0</v>
      </c>
      <c r="X1683" s="333">
        <f t="shared" si="141"/>
        <v>0</v>
      </c>
      <c r="Y1683" s="333">
        <f t="shared" si="142"/>
        <v>0</v>
      </c>
    </row>
    <row r="1684" spans="1:25" s="2" customFormat="1" ht="21.95" customHeight="1">
      <c r="A1684" s="82">
        <v>7</v>
      </c>
      <c r="B1684" s="91" t="str">
        <f t="shared" si="143"/>
        <v>203.C</v>
      </c>
      <c r="C1684" s="83" t="s">
        <v>366</v>
      </c>
      <c r="D1684" s="81" t="s">
        <v>2183</v>
      </c>
      <c r="E1684" s="48">
        <v>400031</v>
      </c>
      <c r="F1684" s="30" t="s">
        <v>279</v>
      </c>
      <c r="G1684" s="29" t="s">
        <v>11</v>
      </c>
      <c r="H1684" s="30" t="s">
        <v>135</v>
      </c>
      <c r="I1684" s="78"/>
      <c r="J1684" s="20"/>
      <c r="K1684" s="20"/>
      <c r="L1684" s="20"/>
      <c r="M1684" s="20"/>
      <c r="N1684" s="320" t="s">
        <v>2685</v>
      </c>
      <c r="O1684" s="70">
        <v>0</v>
      </c>
      <c r="P1684" s="70">
        <v>0</v>
      </c>
      <c r="Q1684" s="70">
        <f t="shared" si="138"/>
        <v>0</v>
      </c>
      <c r="R1684" s="70"/>
      <c r="S1684" s="67"/>
      <c r="T1684" s="2" t="str">
        <f t="shared" si="139"/>
        <v>Lê Huy_10VH2</v>
      </c>
      <c r="U1684" s="28">
        <f t="array" ref="U1684">IFERROR(VLOOKUP($T1684,'Nghi hoc T12'!$H$7:$I$160,2,0),0)</f>
        <v>0</v>
      </c>
      <c r="V1684" s="28"/>
      <c r="W1684" s="28">
        <f t="shared" si="140"/>
        <v>0</v>
      </c>
      <c r="X1684" s="333">
        <f t="shared" si="141"/>
        <v>0</v>
      </c>
      <c r="Y1684" s="333">
        <f t="shared" si="142"/>
        <v>0</v>
      </c>
    </row>
    <row r="1685" spans="1:25" s="2" customFormat="1" ht="21.95" customHeight="1">
      <c r="A1685" s="82">
        <v>8</v>
      </c>
      <c r="B1685" s="91" t="str">
        <f t="shared" si="143"/>
        <v>203.C</v>
      </c>
      <c r="C1685" s="83" t="s">
        <v>366</v>
      </c>
      <c r="D1685" s="81" t="s">
        <v>2183</v>
      </c>
      <c r="E1685" s="48">
        <v>400032</v>
      </c>
      <c r="F1685" s="30" t="s">
        <v>2187</v>
      </c>
      <c r="G1685" s="29" t="s">
        <v>79</v>
      </c>
      <c r="H1685" s="30" t="s">
        <v>134</v>
      </c>
      <c r="I1685" s="78"/>
      <c r="J1685" s="20"/>
      <c r="K1685" s="20"/>
      <c r="L1685" s="20"/>
      <c r="M1685" s="20"/>
      <c r="N1685" s="320" t="s">
        <v>2685</v>
      </c>
      <c r="O1685" s="70">
        <v>0</v>
      </c>
      <c r="P1685" s="70">
        <v>0</v>
      </c>
      <c r="Q1685" s="70">
        <f t="shared" si="138"/>
        <v>0</v>
      </c>
      <c r="R1685" s="70"/>
      <c r="S1685" s="67"/>
      <c r="T1685" s="2" t="str">
        <f t="shared" si="139"/>
        <v>Chu Tiến Khang_10VH1</v>
      </c>
      <c r="U1685" s="28">
        <f t="array" ref="U1685">IFERROR(VLOOKUP($T1685,'Nghi hoc T12'!$H$7:$I$160,2,0),0)</f>
        <v>0</v>
      </c>
      <c r="V1685" s="28"/>
      <c r="W1685" s="28">
        <f t="shared" si="140"/>
        <v>0</v>
      </c>
      <c r="X1685" s="333">
        <f t="shared" si="141"/>
        <v>0</v>
      </c>
      <c r="Y1685" s="333">
        <f t="shared" si="142"/>
        <v>0</v>
      </c>
    </row>
    <row r="1686" spans="1:25" s="2" customFormat="1" ht="21.95" customHeight="1">
      <c r="A1686" s="82">
        <v>9</v>
      </c>
      <c r="B1686" s="91" t="str">
        <f t="shared" si="143"/>
        <v>203.C</v>
      </c>
      <c r="C1686" s="83" t="s">
        <v>366</v>
      </c>
      <c r="D1686" s="81" t="s">
        <v>2183</v>
      </c>
      <c r="E1686" s="48">
        <v>400033</v>
      </c>
      <c r="F1686" s="30" t="s">
        <v>2188</v>
      </c>
      <c r="G1686" s="29" t="s">
        <v>94</v>
      </c>
      <c r="H1686" s="30" t="s">
        <v>135</v>
      </c>
      <c r="I1686" s="78"/>
      <c r="J1686" s="20"/>
      <c r="K1686" s="20"/>
      <c r="L1686" s="20"/>
      <c r="M1686" s="20"/>
      <c r="N1686" s="320" t="s">
        <v>2685</v>
      </c>
      <c r="O1686" s="70">
        <v>0</v>
      </c>
      <c r="P1686" s="70">
        <v>0</v>
      </c>
      <c r="Q1686" s="70">
        <f t="shared" si="138"/>
        <v>0</v>
      </c>
      <c r="R1686" s="70"/>
      <c r="S1686" s="67"/>
      <c r="T1686" s="2" t="str">
        <f t="shared" si="139"/>
        <v>Lê Ngọc Quốc Khánh_10VH2</v>
      </c>
      <c r="U1686" s="28">
        <f t="array" ref="U1686">IFERROR(VLOOKUP($T1686,'Nghi hoc T12'!$H$7:$I$160,2,0),0)</f>
        <v>0</v>
      </c>
      <c r="V1686" s="28"/>
      <c r="W1686" s="28">
        <f t="shared" si="140"/>
        <v>0</v>
      </c>
      <c r="X1686" s="333">
        <f t="shared" si="141"/>
        <v>0</v>
      </c>
      <c r="Y1686" s="333">
        <f t="shared" si="142"/>
        <v>0</v>
      </c>
    </row>
    <row r="1687" spans="1:25" s="2" customFormat="1" ht="21.95" customHeight="1">
      <c r="A1687" s="82">
        <v>10</v>
      </c>
      <c r="B1687" s="91" t="str">
        <f t="shared" si="143"/>
        <v>203.C</v>
      </c>
      <c r="C1687" s="83" t="s">
        <v>366</v>
      </c>
      <c r="D1687" s="81" t="s">
        <v>2183</v>
      </c>
      <c r="E1687" s="48">
        <v>400034</v>
      </c>
      <c r="F1687" s="30" t="s">
        <v>2189</v>
      </c>
      <c r="G1687" s="29" t="s">
        <v>2190</v>
      </c>
      <c r="H1687" s="30" t="s">
        <v>134</v>
      </c>
      <c r="I1687" s="78"/>
      <c r="J1687" s="20"/>
      <c r="K1687" s="20"/>
      <c r="L1687" s="20"/>
      <c r="M1687" s="20"/>
      <c r="N1687" s="320" t="s">
        <v>2685</v>
      </c>
      <c r="O1687" s="70">
        <v>0</v>
      </c>
      <c r="P1687" s="70">
        <v>0</v>
      </c>
      <c r="Q1687" s="70">
        <f t="shared" si="138"/>
        <v>0</v>
      </c>
      <c r="R1687" s="70"/>
      <c r="S1687" s="67"/>
      <c r="T1687" s="2" t="str">
        <f t="shared" si="139"/>
        <v>Hồ Duy Khiết_10VH1</v>
      </c>
      <c r="U1687" s="28">
        <f t="array" ref="U1687">IFERROR(VLOOKUP($T1687,'Nghi hoc T12'!$H$7:$I$160,2,0),0)</f>
        <v>0</v>
      </c>
      <c r="V1687" s="28"/>
      <c r="W1687" s="28">
        <f t="shared" si="140"/>
        <v>0</v>
      </c>
      <c r="X1687" s="333">
        <f t="shared" si="141"/>
        <v>0</v>
      </c>
      <c r="Y1687" s="333">
        <f t="shared" si="142"/>
        <v>0</v>
      </c>
    </row>
    <row r="1688" spans="1:25" s="2" customFormat="1" ht="21.95" customHeight="1">
      <c r="A1688" s="82">
        <v>11</v>
      </c>
      <c r="B1688" s="91" t="str">
        <f t="shared" si="143"/>
        <v>203.C</v>
      </c>
      <c r="C1688" s="83" t="s">
        <v>366</v>
      </c>
      <c r="D1688" s="81" t="s">
        <v>2183</v>
      </c>
      <c r="E1688" s="48">
        <v>400035</v>
      </c>
      <c r="F1688" s="30" t="s">
        <v>2191</v>
      </c>
      <c r="G1688" s="29" t="s">
        <v>55</v>
      </c>
      <c r="H1688" s="30" t="s">
        <v>134</v>
      </c>
      <c r="I1688" s="78" t="s">
        <v>529</v>
      </c>
      <c r="J1688" s="20"/>
      <c r="K1688" s="20"/>
      <c r="L1688" s="20"/>
      <c r="M1688" s="20"/>
      <c r="N1688" s="320" t="s">
        <v>2685</v>
      </c>
      <c r="O1688" s="70">
        <v>0</v>
      </c>
      <c r="P1688" s="70">
        <v>0</v>
      </c>
      <c r="Q1688" s="70" t="str">
        <f t="shared" si="138"/>
        <v>NgiH</v>
      </c>
      <c r="R1688" s="70"/>
      <c r="S1688" s="67"/>
      <c r="T1688" s="2" t="str">
        <f t="shared" si="139"/>
        <v>Võ Trần Anh Khoa_10VH1</v>
      </c>
      <c r="U1688" s="28" t="s">
        <v>3334</v>
      </c>
      <c r="V1688" s="28"/>
      <c r="W1688" s="28" t="str">
        <f t="shared" si="140"/>
        <v>Nghỉ học</v>
      </c>
      <c r="X1688" s="333">
        <f t="shared" si="141"/>
        <v>0</v>
      </c>
      <c r="Y1688" s="333">
        <f t="shared" si="142"/>
        <v>0</v>
      </c>
    </row>
    <row r="1689" spans="1:25" s="2" customFormat="1" ht="21.95" customHeight="1">
      <c r="A1689" s="82">
        <v>12</v>
      </c>
      <c r="B1689" s="91" t="str">
        <f t="shared" si="143"/>
        <v>203.C</v>
      </c>
      <c r="C1689" s="83" t="s">
        <v>366</v>
      </c>
      <c r="D1689" s="81" t="s">
        <v>2183</v>
      </c>
      <c r="E1689" s="48">
        <v>400036</v>
      </c>
      <c r="F1689" s="30" t="s">
        <v>1871</v>
      </c>
      <c r="G1689" s="29" t="s">
        <v>1132</v>
      </c>
      <c r="H1689" s="30" t="s">
        <v>134</v>
      </c>
      <c r="I1689" s="78"/>
      <c r="J1689" s="20"/>
      <c r="K1689" s="20"/>
      <c r="L1689" s="20"/>
      <c r="M1689" s="20"/>
      <c r="N1689" s="320" t="s">
        <v>2685</v>
      </c>
      <c r="O1689" s="70">
        <v>0</v>
      </c>
      <c r="P1689" s="70">
        <v>0</v>
      </c>
      <c r="Q1689" s="70">
        <f t="shared" si="138"/>
        <v>0</v>
      </c>
      <c r="R1689" s="70"/>
      <c r="S1689" s="67"/>
      <c r="T1689" s="2" t="str">
        <f t="shared" si="139"/>
        <v>Phan Trung Kiên_10VH1</v>
      </c>
      <c r="U1689" s="28">
        <f t="array" ref="U1689">IFERROR(VLOOKUP($T1689,'Nghi hoc T12'!$H$7:$I$160,2,0),0)</f>
        <v>0</v>
      </c>
      <c r="V1689" s="28"/>
      <c r="W1689" s="28">
        <f t="shared" si="140"/>
        <v>0</v>
      </c>
      <c r="X1689" s="333">
        <f t="shared" si="141"/>
        <v>0</v>
      </c>
      <c r="Y1689" s="333">
        <f t="shared" si="142"/>
        <v>0</v>
      </c>
    </row>
    <row r="1690" spans="1:25" s="2" customFormat="1" ht="21.95" customHeight="1">
      <c r="A1690" s="82">
        <v>13</v>
      </c>
      <c r="B1690" s="91" t="str">
        <f t="shared" si="143"/>
        <v>203.C</v>
      </c>
      <c r="C1690" s="83" t="s">
        <v>366</v>
      </c>
      <c r="D1690" s="81" t="s">
        <v>2183</v>
      </c>
      <c r="E1690" s="48">
        <v>400037</v>
      </c>
      <c r="F1690" s="30" t="s">
        <v>2192</v>
      </c>
      <c r="G1690" s="29" t="s">
        <v>92</v>
      </c>
      <c r="H1690" s="30" t="s">
        <v>135</v>
      </c>
      <c r="I1690" s="78"/>
      <c r="J1690" s="20"/>
      <c r="K1690" s="20"/>
      <c r="L1690" s="20"/>
      <c r="M1690" s="20"/>
      <c r="N1690" s="320" t="s">
        <v>2685</v>
      </c>
      <c r="O1690" s="70">
        <v>0</v>
      </c>
      <c r="P1690" s="70">
        <v>0</v>
      </c>
      <c r="Q1690" s="70">
        <f t="shared" si="138"/>
        <v>0</v>
      </c>
      <c r="R1690" s="70"/>
      <c r="S1690" s="67"/>
      <c r="T1690" s="2" t="str">
        <f t="shared" si="139"/>
        <v>Phùng Gia Lâm_10VH2</v>
      </c>
      <c r="U1690" s="28">
        <f t="array" ref="U1690">IFERROR(VLOOKUP($T1690,'Nghi hoc T12'!$H$7:$I$160,2,0),0)</f>
        <v>0</v>
      </c>
      <c r="V1690" s="28"/>
      <c r="W1690" s="28">
        <f t="shared" si="140"/>
        <v>0</v>
      </c>
      <c r="X1690" s="333">
        <f t="shared" si="141"/>
        <v>0</v>
      </c>
      <c r="Y1690" s="333">
        <f t="shared" si="142"/>
        <v>0</v>
      </c>
    </row>
    <row r="1691" spans="1:25" s="2" customFormat="1" ht="21.95" customHeight="1">
      <c r="A1691" s="82">
        <v>14</v>
      </c>
      <c r="B1691" s="91" t="str">
        <f t="shared" si="143"/>
        <v>203.C</v>
      </c>
      <c r="C1691" s="83" t="s">
        <v>366</v>
      </c>
      <c r="D1691" s="81" t="s">
        <v>2183</v>
      </c>
      <c r="E1691" s="48">
        <v>400038</v>
      </c>
      <c r="F1691" s="30" t="s">
        <v>2193</v>
      </c>
      <c r="G1691" s="29" t="s">
        <v>38</v>
      </c>
      <c r="H1691" s="30" t="s">
        <v>134</v>
      </c>
      <c r="I1691" s="78"/>
      <c r="J1691" s="20"/>
      <c r="K1691" s="20"/>
      <c r="L1691" s="20"/>
      <c r="M1691" s="20"/>
      <c r="N1691" s="320" t="s">
        <v>2685</v>
      </c>
      <c r="O1691" s="70">
        <v>0</v>
      </c>
      <c r="P1691" s="70">
        <v>0</v>
      </c>
      <c r="Q1691" s="70">
        <f t="shared" si="138"/>
        <v>0</v>
      </c>
      <c r="R1691" s="70"/>
      <c r="S1691" s="67"/>
      <c r="T1691" s="2" t="str">
        <f t="shared" si="139"/>
        <v>Lê Thị Hà Linh_10VH1</v>
      </c>
      <c r="U1691" s="28">
        <f t="array" ref="U1691">IFERROR(VLOOKUP($T1691,'Nghi hoc T12'!$H$7:$I$160,2,0),0)</f>
        <v>0</v>
      </c>
      <c r="V1691" s="28"/>
      <c r="W1691" s="28">
        <f t="shared" si="140"/>
        <v>0</v>
      </c>
      <c r="X1691" s="333">
        <f t="shared" si="141"/>
        <v>0</v>
      </c>
      <c r="Y1691" s="333">
        <f t="shared" si="142"/>
        <v>0</v>
      </c>
    </row>
    <row r="1692" spans="1:25" s="2" customFormat="1" ht="21.95" customHeight="1">
      <c r="A1692" s="82">
        <v>15</v>
      </c>
      <c r="B1692" s="91" t="str">
        <f t="shared" si="143"/>
        <v>203.C</v>
      </c>
      <c r="C1692" s="83" t="s">
        <v>366</v>
      </c>
      <c r="D1692" s="81" t="s">
        <v>2183</v>
      </c>
      <c r="E1692" s="48">
        <v>400039</v>
      </c>
      <c r="F1692" s="30" t="s">
        <v>2194</v>
      </c>
      <c r="G1692" s="29" t="s">
        <v>38</v>
      </c>
      <c r="H1692" s="30" t="s">
        <v>135</v>
      </c>
      <c r="I1692" s="78"/>
      <c r="J1692" s="20"/>
      <c r="K1692" s="20"/>
      <c r="L1692" s="20"/>
      <c r="M1692" s="20"/>
      <c r="N1692" s="320" t="s">
        <v>2685</v>
      </c>
      <c r="O1692" s="70">
        <v>0</v>
      </c>
      <c r="P1692" s="70">
        <v>0</v>
      </c>
      <c r="Q1692" s="70">
        <f t="shared" si="138"/>
        <v>0</v>
      </c>
      <c r="R1692" s="70"/>
      <c r="S1692" s="67"/>
      <c r="T1692" s="2" t="str">
        <f t="shared" si="139"/>
        <v>Trịnh Thùy Linh_10VH2</v>
      </c>
      <c r="U1692" s="28">
        <f t="array" ref="U1692">IFERROR(VLOOKUP($T1692,'Nghi hoc T12'!$H$7:$I$160,2,0),0)</f>
        <v>0</v>
      </c>
      <c r="V1692" s="28"/>
      <c r="W1692" s="28">
        <f t="shared" si="140"/>
        <v>0</v>
      </c>
      <c r="X1692" s="333">
        <f t="shared" si="141"/>
        <v>0</v>
      </c>
      <c r="Y1692" s="333">
        <f t="shared" si="142"/>
        <v>0</v>
      </c>
    </row>
    <row r="1693" spans="1:25" s="2" customFormat="1" ht="21.95" customHeight="1">
      <c r="A1693" s="82">
        <v>16</v>
      </c>
      <c r="B1693" s="91" t="str">
        <f t="shared" si="143"/>
        <v>203.C</v>
      </c>
      <c r="C1693" s="83" t="s">
        <v>366</v>
      </c>
      <c r="D1693" s="81" t="s">
        <v>2183</v>
      </c>
      <c r="E1693" s="48">
        <v>400040</v>
      </c>
      <c r="F1693" s="30" t="s">
        <v>2195</v>
      </c>
      <c r="G1693" s="29" t="s">
        <v>38</v>
      </c>
      <c r="H1693" s="30" t="s">
        <v>134</v>
      </c>
      <c r="I1693" s="78"/>
      <c r="J1693" s="20"/>
      <c r="K1693" s="20"/>
      <c r="L1693" s="20"/>
      <c r="M1693" s="20"/>
      <c r="N1693" s="320" t="s">
        <v>2685</v>
      </c>
      <c r="O1693" s="70">
        <v>0</v>
      </c>
      <c r="P1693" s="70">
        <v>0</v>
      </c>
      <c r="Q1693" s="70">
        <f t="shared" si="138"/>
        <v>0</v>
      </c>
      <c r="R1693" s="70"/>
      <c r="S1693" s="67"/>
      <c r="T1693" s="2" t="str">
        <f t="shared" si="139"/>
        <v>Võ Thị Yến Linh_10VH1</v>
      </c>
      <c r="U1693" s="28">
        <f t="array" ref="U1693">IFERROR(VLOOKUP($T1693,'Nghi hoc T12'!$H$7:$I$160,2,0),0)</f>
        <v>0</v>
      </c>
      <c r="V1693" s="28"/>
      <c r="W1693" s="28">
        <f t="shared" si="140"/>
        <v>0</v>
      </c>
      <c r="X1693" s="333">
        <f t="shared" si="141"/>
        <v>0</v>
      </c>
      <c r="Y1693" s="333">
        <f t="shared" si="142"/>
        <v>0</v>
      </c>
    </row>
    <row r="1694" spans="1:25" s="2" customFormat="1" ht="21.95" customHeight="1">
      <c r="A1694" s="82">
        <v>17</v>
      </c>
      <c r="B1694" s="91" t="str">
        <f t="shared" si="143"/>
        <v>203.C</v>
      </c>
      <c r="C1694" s="83" t="s">
        <v>366</v>
      </c>
      <c r="D1694" s="81" t="s">
        <v>2183</v>
      </c>
      <c r="E1694" s="48">
        <v>400041</v>
      </c>
      <c r="F1694" s="30" t="s">
        <v>2196</v>
      </c>
      <c r="G1694" s="29" t="s">
        <v>14</v>
      </c>
      <c r="H1694" s="30" t="s">
        <v>134</v>
      </c>
      <c r="I1694" s="78"/>
      <c r="J1694" s="20"/>
      <c r="K1694" s="20"/>
      <c r="L1694" s="20"/>
      <c r="M1694" s="20"/>
      <c r="N1694" s="320" t="s">
        <v>2685</v>
      </c>
      <c r="O1694" s="70">
        <v>0</v>
      </c>
      <c r="P1694" s="70">
        <v>0</v>
      </c>
      <c r="Q1694" s="70">
        <f t="shared" si="138"/>
        <v>0</v>
      </c>
      <c r="R1694" s="70"/>
      <c r="S1694" s="67"/>
      <c r="T1694" s="2" t="str">
        <f t="shared" si="139"/>
        <v>Nguyễn Lê Bảo Long_10VH1</v>
      </c>
      <c r="U1694" s="28">
        <f t="array" ref="U1694">IFERROR(VLOOKUP($T1694,'Nghi hoc T12'!$H$7:$I$160,2,0),0)</f>
        <v>0</v>
      </c>
      <c r="V1694" s="28"/>
      <c r="W1694" s="28">
        <f t="shared" si="140"/>
        <v>0</v>
      </c>
      <c r="X1694" s="333">
        <f t="shared" si="141"/>
        <v>0</v>
      </c>
      <c r="Y1694" s="333">
        <f t="shared" si="142"/>
        <v>0</v>
      </c>
    </row>
    <row r="1695" spans="1:25" s="2" customFormat="1" ht="21.95" customHeight="1">
      <c r="A1695" s="82">
        <v>18</v>
      </c>
      <c r="B1695" s="91" t="str">
        <f t="shared" si="143"/>
        <v>203.C</v>
      </c>
      <c r="C1695" s="83" t="s">
        <v>366</v>
      </c>
      <c r="D1695" s="81" t="s">
        <v>2183</v>
      </c>
      <c r="E1695" s="48">
        <v>400042</v>
      </c>
      <c r="F1695" s="30" t="s">
        <v>2197</v>
      </c>
      <c r="G1695" s="29" t="s">
        <v>16</v>
      </c>
      <c r="H1695" s="30" t="s">
        <v>135</v>
      </c>
      <c r="I1695" s="78"/>
      <c r="J1695" s="20"/>
      <c r="K1695" s="20"/>
      <c r="L1695" s="20"/>
      <c r="M1695" s="20"/>
      <c r="N1695" s="320" t="s">
        <v>2685</v>
      </c>
      <c r="O1695" s="70">
        <v>0</v>
      </c>
      <c r="P1695" s="70">
        <v>0</v>
      </c>
      <c r="Q1695" s="70">
        <f t="shared" si="138"/>
        <v>0</v>
      </c>
      <c r="R1695" s="70"/>
      <c r="S1695" s="67"/>
      <c r="T1695" s="2" t="str">
        <f t="shared" si="139"/>
        <v>Nguyễn Lê Nhất Minh_10VH2</v>
      </c>
      <c r="U1695" s="28">
        <f t="array" ref="U1695">IFERROR(VLOOKUP($T1695,'Nghi hoc T12'!$H$7:$I$160,2,0),0)</f>
        <v>0</v>
      </c>
      <c r="V1695" s="28"/>
      <c r="W1695" s="28">
        <f t="shared" si="140"/>
        <v>0</v>
      </c>
      <c r="X1695" s="333">
        <f t="shared" si="141"/>
        <v>0</v>
      </c>
      <c r="Y1695" s="333">
        <f t="shared" si="142"/>
        <v>0</v>
      </c>
    </row>
    <row r="1696" spans="1:25" s="2" customFormat="1" ht="21.95" customHeight="1">
      <c r="A1696" s="82">
        <v>19</v>
      </c>
      <c r="B1696" s="91" t="str">
        <f t="shared" si="143"/>
        <v>203.C</v>
      </c>
      <c r="C1696" s="83" t="s">
        <v>366</v>
      </c>
      <c r="D1696" s="81" t="s">
        <v>2183</v>
      </c>
      <c r="E1696" s="48">
        <v>400043</v>
      </c>
      <c r="F1696" s="30" t="s">
        <v>207</v>
      </c>
      <c r="G1696" s="29" t="s">
        <v>16</v>
      </c>
      <c r="H1696" s="30" t="s">
        <v>134</v>
      </c>
      <c r="I1696" s="78"/>
      <c r="J1696" s="20"/>
      <c r="K1696" s="20"/>
      <c r="L1696" s="20"/>
      <c r="M1696" s="20"/>
      <c r="N1696" s="320" t="s">
        <v>2685</v>
      </c>
      <c r="O1696" s="70">
        <v>0</v>
      </c>
      <c r="P1696" s="70">
        <v>0</v>
      </c>
      <c r="Q1696" s="70">
        <f t="shared" si="138"/>
        <v>0</v>
      </c>
      <c r="R1696" s="70"/>
      <c r="S1696" s="67"/>
      <c r="T1696" s="2" t="str">
        <f t="shared" si="139"/>
        <v>Phạm Văn Minh_10VH1</v>
      </c>
      <c r="U1696" s="28">
        <f t="array" ref="U1696">IFERROR(VLOOKUP($T1696,'Nghi hoc T12'!$H$7:$I$160,2,0),0)</f>
        <v>0</v>
      </c>
      <c r="V1696" s="28"/>
      <c r="W1696" s="28">
        <f t="shared" si="140"/>
        <v>0</v>
      </c>
      <c r="X1696" s="333">
        <f t="shared" si="141"/>
        <v>0</v>
      </c>
      <c r="Y1696" s="333">
        <f t="shared" si="142"/>
        <v>0</v>
      </c>
    </row>
    <row r="1697" spans="1:25" s="2" customFormat="1" ht="21.95" customHeight="1">
      <c r="A1697" s="82">
        <v>20</v>
      </c>
      <c r="B1697" s="91" t="str">
        <f t="shared" si="143"/>
        <v>203.C</v>
      </c>
      <c r="C1697" s="83" t="s">
        <v>366</v>
      </c>
      <c r="D1697" s="81" t="s">
        <v>2183</v>
      </c>
      <c r="E1697" s="48">
        <v>400044</v>
      </c>
      <c r="F1697" s="30" t="s">
        <v>2198</v>
      </c>
      <c r="G1697" s="29" t="s">
        <v>40</v>
      </c>
      <c r="H1697" s="30" t="s">
        <v>134</v>
      </c>
      <c r="I1697" s="78"/>
      <c r="J1697" s="20"/>
      <c r="K1697" s="20"/>
      <c r="L1697" s="20"/>
      <c r="M1697" s="20"/>
      <c r="N1697" s="320" t="s">
        <v>2685</v>
      </c>
      <c r="O1697" s="70">
        <v>0</v>
      </c>
      <c r="P1697" s="70">
        <v>0</v>
      </c>
      <c r="Q1697" s="70">
        <f t="shared" si="138"/>
        <v>0</v>
      </c>
      <c r="R1697" s="70"/>
      <c r="S1697" s="67"/>
      <c r="T1697" s="2" t="str">
        <f t="shared" si="139"/>
        <v>Lê Hoàng Thảo My_10VH1</v>
      </c>
      <c r="U1697" s="28">
        <f t="array" ref="U1697">IFERROR(VLOOKUP($T1697,'Nghi hoc T12'!$H$7:$I$160,2,0),0)</f>
        <v>0</v>
      </c>
      <c r="V1697" s="28"/>
      <c r="W1697" s="28">
        <f t="shared" si="140"/>
        <v>0</v>
      </c>
      <c r="X1697" s="333">
        <f t="shared" si="141"/>
        <v>0</v>
      </c>
      <c r="Y1697" s="333">
        <f t="shared" si="142"/>
        <v>0</v>
      </c>
    </row>
    <row r="1698" spans="1:25" s="2" customFormat="1" ht="21.95" customHeight="1">
      <c r="A1698" s="82">
        <v>21</v>
      </c>
      <c r="B1698" s="91" t="str">
        <f t="shared" si="143"/>
        <v>203.C</v>
      </c>
      <c r="C1698" s="83" t="s">
        <v>366</v>
      </c>
      <c r="D1698" s="81" t="s">
        <v>2183</v>
      </c>
      <c r="E1698" s="48">
        <v>400045</v>
      </c>
      <c r="F1698" s="30" t="s">
        <v>2199</v>
      </c>
      <c r="G1698" s="29" t="s">
        <v>40</v>
      </c>
      <c r="H1698" s="30" t="s">
        <v>135</v>
      </c>
      <c r="I1698" s="78"/>
      <c r="J1698" s="20"/>
      <c r="K1698" s="20"/>
      <c r="L1698" s="20"/>
      <c r="M1698" s="20"/>
      <c r="N1698" s="320" t="s">
        <v>2685</v>
      </c>
      <c r="O1698" s="70">
        <v>0</v>
      </c>
      <c r="P1698" s="70">
        <v>0</v>
      </c>
      <c r="Q1698" s="70">
        <f t="shared" si="138"/>
        <v>0</v>
      </c>
      <c r="R1698" s="70"/>
      <c r="S1698" s="67"/>
      <c r="T1698" s="2" t="str">
        <f t="shared" si="139"/>
        <v>Trương Hồ Diễm My_10VH2</v>
      </c>
      <c r="U1698" s="28">
        <f t="array" ref="U1698">IFERROR(VLOOKUP($T1698,'Nghi hoc T12'!$H$7:$I$160,2,0),0)</f>
        <v>0</v>
      </c>
      <c r="V1698" s="28"/>
      <c r="W1698" s="28">
        <f t="shared" si="140"/>
        <v>0</v>
      </c>
      <c r="X1698" s="333">
        <f t="shared" si="141"/>
        <v>0</v>
      </c>
      <c r="Y1698" s="333">
        <f t="shared" si="142"/>
        <v>0</v>
      </c>
    </row>
    <row r="1699" spans="1:25" s="2" customFormat="1" ht="21.95" customHeight="1">
      <c r="A1699" s="82">
        <v>22</v>
      </c>
      <c r="B1699" s="91" t="str">
        <f t="shared" si="143"/>
        <v>203.C</v>
      </c>
      <c r="C1699" s="83" t="s">
        <v>366</v>
      </c>
      <c r="D1699" s="81" t="s">
        <v>2183</v>
      </c>
      <c r="E1699" s="48">
        <v>400046</v>
      </c>
      <c r="F1699" s="30" t="s">
        <v>2200</v>
      </c>
      <c r="G1699" s="29" t="s">
        <v>17</v>
      </c>
      <c r="H1699" s="30" t="s">
        <v>135</v>
      </c>
      <c r="I1699" s="78"/>
      <c r="J1699" s="20"/>
      <c r="K1699" s="20"/>
      <c r="L1699" s="20"/>
      <c r="M1699" s="20"/>
      <c r="N1699" s="320" t="s">
        <v>2685</v>
      </c>
      <c r="O1699" s="70">
        <v>0</v>
      </c>
      <c r="P1699" s="70">
        <v>0</v>
      </c>
      <c r="Q1699" s="70">
        <f t="shared" si="138"/>
        <v>0</v>
      </c>
      <c r="R1699" s="70"/>
      <c r="S1699" s="67"/>
      <c r="T1699" s="2" t="str">
        <f t="shared" si="139"/>
        <v>Lê Phước Nam_10VH2</v>
      </c>
      <c r="U1699" s="28">
        <f t="array" ref="U1699">IFERROR(VLOOKUP($T1699,'Nghi hoc T12'!$H$7:$I$160,2,0),0)</f>
        <v>0</v>
      </c>
      <c r="V1699" s="28"/>
      <c r="W1699" s="28">
        <f t="shared" si="140"/>
        <v>0</v>
      </c>
      <c r="X1699" s="333">
        <f t="shared" si="141"/>
        <v>0</v>
      </c>
      <c r="Y1699" s="333">
        <f t="shared" si="142"/>
        <v>0</v>
      </c>
    </row>
    <row r="1700" spans="1:25" s="2" customFormat="1" ht="21.95" customHeight="1">
      <c r="A1700" s="82">
        <v>23</v>
      </c>
      <c r="B1700" s="91" t="str">
        <f t="shared" si="143"/>
        <v>203.C</v>
      </c>
      <c r="C1700" s="83" t="s">
        <v>366</v>
      </c>
      <c r="D1700" s="81" t="s">
        <v>2183</v>
      </c>
      <c r="E1700" s="48">
        <v>400047</v>
      </c>
      <c r="F1700" s="30" t="s">
        <v>2201</v>
      </c>
      <c r="G1700" s="29" t="s">
        <v>19</v>
      </c>
      <c r="H1700" s="30" t="s">
        <v>135</v>
      </c>
      <c r="I1700" s="78"/>
      <c r="J1700" s="20"/>
      <c r="K1700" s="20"/>
      <c r="L1700" s="20"/>
      <c r="M1700" s="20"/>
      <c r="N1700" s="320" t="s">
        <v>2685</v>
      </c>
      <c r="O1700" s="70">
        <v>0</v>
      </c>
      <c r="P1700" s="70">
        <v>0</v>
      </c>
      <c r="Q1700" s="70">
        <f t="shared" si="138"/>
        <v>0</v>
      </c>
      <c r="R1700" s="70"/>
      <c r="S1700" s="67"/>
      <c r="T1700" s="2" t="str">
        <f t="shared" si="139"/>
        <v>Lý Dương Thảo Ngọc_10VH2</v>
      </c>
      <c r="U1700" s="28">
        <f t="array" ref="U1700">IFERROR(VLOOKUP($T1700,'Nghi hoc T12'!$H$7:$I$160,2,0),0)</f>
        <v>0</v>
      </c>
      <c r="V1700" s="28"/>
      <c r="W1700" s="28">
        <f t="shared" si="140"/>
        <v>0</v>
      </c>
      <c r="X1700" s="333">
        <f t="shared" si="141"/>
        <v>0</v>
      </c>
      <c r="Y1700" s="333">
        <f t="shared" si="142"/>
        <v>0</v>
      </c>
    </row>
    <row r="1701" spans="1:25" s="2" customFormat="1" ht="21.95" customHeight="1">
      <c r="A1701" s="82">
        <v>24</v>
      </c>
      <c r="B1701" s="91" t="str">
        <f t="shared" si="143"/>
        <v>203.C</v>
      </c>
      <c r="C1701" s="83" t="s">
        <v>366</v>
      </c>
      <c r="D1701" s="81" t="s">
        <v>2183</v>
      </c>
      <c r="E1701" s="48">
        <v>400048</v>
      </c>
      <c r="F1701" s="30" t="s">
        <v>2202</v>
      </c>
      <c r="G1701" s="29" t="s">
        <v>19</v>
      </c>
      <c r="H1701" s="30" t="s">
        <v>134</v>
      </c>
      <c r="I1701" s="78"/>
      <c r="J1701" s="20"/>
      <c r="K1701" s="20"/>
      <c r="L1701" s="20"/>
      <c r="M1701" s="20"/>
      <c r="N1701" s="320" t="s">
        <v>2685</v>
      </c>
      <c r="O1701" s="70">
        <v>0</v>
      </c>
      <c r="P1701" s="70">
        <v>0</v>
      </c>
      <c r="Q1701" s="70">
        <f t="shared" si="138"/>
        <v>0</v>
      </c>
      <c r="R1701" s="70"/>
      <c r="S1701" s="67"/>
      <c r="T1701" s="2" t="str">
        <f t="shared" si="139"/>
        <v>Nguyễn Quỳnh Bảo Ngọc_10VH1</v>
      </c>
      <c r="U1701" s="28">
        <f t="array" ref="U1701">IFERROR(VLOOKUP($T1701,'Nghi hoc T12'!$H$7:$I$160,2,0),0)</f>
        <v>0</v>
      </c>
      <c r="V1701" s="28"/>
      <c r="W1701" s="28">
        <f t="shared" si="140"/>
        <v>0</v>
      </c>
      <c r="X1701" s="333">
        <f t="shared" si="141"/>
        <v>0</v>
      </c>
      <c r="Y1701" s="333">
        <f t="shared" si="142"/>
        <v>0</v>
      </c>
    </row>
    <row r="1702" spans="1:25" s="2" customFormat="1" ht="21.95" customHeight="1">
      <c r="A1702" s="321">
        <v>1</v>
      </c>
      <c r="B1702" s="91" t="str">
        <f t="shared" si="143"/>
        <v>204.C</v>
      </c>
      <c r="C1702" s="185" t="s">
        <v>366</v>
      </c>
      <c r="D1702" s="186" t="s">
        <v>2203</v>
      </c>
      <c r="E1702" s="187">
        <v>400049</v>
      </c>
      <c r="F1702" s="188" t="s">
        <v>200</v>
      </c>
      <c r="G1702" s="189" t="s">
        <v>102</v>
      </c>
      <c r="H1702" s="188" t="s">
        <v>135</v>
      </c>
      <c r="I1702" s="190"/>
      <c r="J1702" s="191"/>
      <c r="K1702" s="191"/>
      <c r="L1702" s="191"/>
      <c r="M1702" s="191"/>
      <c r="N1702" s="320" t="s">
        <v>2685</v>
      </c>
      <c r="O1702" s="70">
        <v>0</v>
      </c>
      <c r="P1702" s="70">
        <v>0</v>
      </c>
      <c r="Q1702" s="70">
        <f t="shared" si="138"/>
        <v>0</v>
      </c>
      <c r="R1702" s="70"/>
      <c r="S1702" s="67"/>
      <c r="T1702" s="2" t="str">
        <f t="shared" si="139"/>
        <v>Lê Trung Nhân_10VH2</v>
      </c>
      <c r="U1702" s="28">
        <f t="array" ref="U1702">IFERROR(VLOOKUP($T1702,'Nghi hoc T12'!$H$7:$I$160,2,0),0)</f>
        <v>0</v>
      </c>
      <c r="V1702" s="28"/>
      <c r="W1702" s="28">
        <f t="shared" si="140"/>
        <v>0</v>
      </c>
      <c r="X1702" s="333">
        <f t="shared" si="141"/>
        <v>0</v>
      </c>
      <c r="Y1702" s="333">
        <f t="shared" si="142"/>
        <v>0</v>
      </c>
    </row>
    <row r="1703" spans="1:25" s="2" customFormat="1" ht="21.95" customHeight="1">
      <c r="A1703" s="82">
        <v>2</v>
      </c>
      <c r="B1703" s="91" t="str">
        <f t="shared" si="143"/>
        <v>204.C</v>
      </c>
      <c r="C1703" s="83" t="s">
        <v>366</v>
      </c>
      <c r="D1703" s="81" t="s">
        <v>2203</v>
      </c>
      <c r="E1703" s="48">
        <v>400050</v>
      </c>
      <c r="F1703" s="30" t="s">
        <v>186</v>
      </c>
      <c r="G1703" s="29" t="s">
        <v>102</v>
      </c>
      <c r="H1703" s="30" t="s">
        <v>134</v>
      </c>
      <c r="I1703" s="78"/>
      <c r="J1703" s="20"/>
      <c r="K1703" s="20"/>
      <c r="L1703" s="20"/>
      <c r="M1703" s="20"/>
      <c r="N1703" s="320" t="s">
        <v>2685</v>
      </c>
      <c r="O1703" s="70">
        <v>0</v>
      </c>
      <c r="P1703" s="70">
        <v>0</v>
      </c>
      <c r="Q1703" s="70">
        <f t="shared" si="138"/>
        <v>0</v>
      </c>
      <c r="R1703" s="70"/>
      <c r="S1703" s="67"/>
      <c r="T1703" s="2" t="str">
        <f t="shared" si="139"/>
        <v>Nguyễn Minh Nhân_10VH1</v>
      </c>
      <c r="U1703" s="28">
        <f t="array" ref="U1703">IFERROR(VLOOKUP($T1703,'Nghi hoc T12'!$H$7:$I$160,2,0),0)</f>
        <v>0</v>
      </c>
      <c r="V1703" s="28"/>
      <c r="W1703" s="28">
        <f t="shared" si="140"/>
        <v>0</v>
      </c>
      <c r="X1703" s="333">
        <f t="shared" si="141"/>
        <v>0</v>
      </c>
      <c r="Y1703" s="333">
        <f t="shared" si="142"/>
        <v>0</v>
      </c>
    </row>
    <row r="1704" spans="1:25" s="2" customFormat="1" ht="21.95" customHeight="1">
      <c r="A1704" s="82">
        <v>3</v>
      </c>
      <c r="B1704" s="91" t="str">
        <f t="shared" si="143"/>
        <v>204.C</v>
      </c>
      <c r="C1704" s="83" t="s">
        <v>366</v>
      </c>
      <c r="D1704" s="81" t="s">
        <v>2203</v>
      </c>
      <c r="E1704" s="48">
        <v>400051</v>
      </c>
      <c r="F1704" s="30" t="s">
        <v>2204</v>
      </c>
      <c r="G1704" s="29" t="s">
        <v>254</v>
      </c>
      <c r="H1704" s="30" t="s">
        <v>135</v>
      </c>
      <c r="I1704" s="78"/>
      <c r="J1704" s="20"/>
      <c r="K1704" s="20"/>
      <c r="L1704" s="20"/>
      <c r="M1704" s="20"/>
      <c r="N1704" s="320" t="s">
        <v>2685</v>
      </c>
      <c r="O1704" s="70">
        <v>0</v>
      </c>
      <c r="P1704" s="70">
        <v>0</v>
      </c>
      <c r="Q1704" s="70">
        <f t="shared" si="138"/>
        <v>0</v>
      </c>
      <c r="R1704" s="70"/>
      <c r="S1704" s="67"/>
      <c r="T1704" s="2" t="str">
        <f t="shared" si="139"/>
        <v>Cao Việt Nhật_10VH2</v>
      </c>
      <c r="U1704" s="28">
        <f t="array" ref="U1704">IFERROR(VLOOKUP($T1704,'Nghi hoc T12'!$H$7:$I$160,2,0),0)</f>
        <v>0</v>
      </c>
      <c r="V1704" s="28"/>
      <c r="W1704" s="28">
        <f t="shared" si="140"/>
        <v>0</v>
      </c>
      <c r="X1704" s="333">
        <f t="shared" si="141"/>
        <v>0</v>
      </c>
      <c r="Y1704" s="333">
        <f t="shared" si="142"/>
        <v>0</v>
      </c>
    </row>
    <row r="1705" spans="1:25" s="2" customFormat="1" ht="21.95" customHeight="1">
      <c r="A1705" s="82">
        <v>4</v>
      </c>
      <c r="B1705" s="91" t="str">
        <f t="shared" si="143"/>
        <v>204.C</v>
      </c>
      <c r="C1705" s="83" t="s">
        <v>366</v>
      </c>
      <c r="D1705" s="81" t="s">
        <v>2203</v>
      </c>
      <c r="E1705" s="48">
        <v>400052</v>
      </c>
      <c r="F1705" s="30" t="s">
        <v>64</v>
      </c>
      <c r="G1705" s="29" t="s">
        <v>42</v>
      </c>
      <c r="H1705" s="30" t="s">
        <v>134</v>
      </c>
      <c r="I1705" s="78"/>
      <c r="J1705" s="20"/>
      <c r="K1705" s="20"/>
      <c r="L1705" s="20"/>
      <c r="M1705" s="20"/>
      <c r="N1705" s="320" t="s">
        <v>2685</v>
      </c>
      <c r="O1705" s="70">
        <v>0</v>
      </c>
      <c r="P1705" s="70">
        <v>0</v>
      </c>
      <c r="Q1705" s="70">
        <f t="shared" si="138"/>
        <v>0</v>
      </c>
      <c r="R1705" s="70"/>
      <c r="S1705" s="67"/>
      <c r="T1705" s="2" t="str">
        <f t="shared" si="139"/>
        <v>Nguyễn Xuân Phát_10VH1</v>
      </c>
      <c r="U1705" s="28">
        <f t="array" ref="U1705">IFERROR(VLOOKUP($T1705,'Nghi hoc T12'!$H$7:$I$160,2,0),0)</f>
        <v>0</v>
      </c>
      <c r="V1705" s="28"/>
      <c r="W1705" s="28">
        <f t="shared" si="140"/>
        <v>0</v>
      </c>
      <c r="X1705" s="333">
        <f t="shared" si="141"/>
        <v>0</v>
      </c>
      <c r="Y1705" s="333">
        <f t="shared" si="142"/>
        <v>0</v>
      </c>
    </row>
    <row r="1706" spans="1:25" s="2" customFormat="1" ht="21.95" customHeight="1">
      <c r="A1706" s="82">
        <v>5</v>
      </c>
      <c r="B1706" s="91" t="str">
        <f t="shared" si="143"/>
        <v>204.C</v>
      </c>
      <c r="C1706" s="83" t="s">
        <v>366</v>
      </c>
      <c r="D1706" s="81" t="s">
        <v>2203</v>
      </c>
      <c r="E1706" s="48">
        <v>400053</v>
      </c>
      <c r="F1706" s="30" t="s">
        <v>2205</v>
      </c>
      <c r="G1706" s="29" t="s">
        <v>42</v>
      </c>
      <c r="H1706" s="30" t="s">
        <v>135</v>
      </c>
      <c r="I1706" s="78"/>
      <c r="J1706" s="20"/>
      <c r="K1706" s="20"/>
      <c r="L1706" s="20"/>
      <c r="M1706" s="20"/>
      <c r="N1706" s="320" t="s">
        <v>2685</v>
      </c>
      <c r="O1706" s="70">
        <v>0</v>
      </c>
      <c r="P1706" s="70">
        <v>0</v>
      </c>
      <c r="Q1706" s="70">
        <f t="shared" si="138"/>
        <v>0</v>
      </c>
      <c r="R1706" s="70"/>
      <c r="S1706" s="67"/>
      <c r="T1706" s="2" t="str">
        <f t="shared" si="139"/>
        <v>Võ Nhựt Phát_10VH2</v>
      </c>
      <c r="U1706" s="28">
        <f t="array" ref="U1706">IFERROR(VLOOKUP($T1706,'Nghi hoc T12'!$H$7:$I$160,2,0),0)</f>
        <v>0</v>
      </c>
      <c r="V1706" s="28"/>
      <c r="W1706" s="28">
        <f t="shared" si="140"/>
        <v>0</v>
      </c>
      <c r="X1706" s="333">
        <f t="shared" si="141"/>
        <v>0</v>
      </c>
      <c r="Y1706" s="333">
        <f t="shared" si="142"/>
        <v>0</v>
      </c>
    </row>
    <row r="1707" spans="1:25" s="2" customFormat="1" ht="21.95" customHeight="1">
      <c r="A1707" s="82">
        <v>6</v>
      </c>
      <c r="B1707" s="91" t="str">
        <f t="shared" si="143"/>
        <v>204.C</v>
      </c>
      <c r="C1707" s="83" t="s">
        <v>366</v>
      </c>
      <c r="D1707" s="81" t="s">
        <v>2203</v>
      </c>
      <c r="E1707" s="48">
        <v>400054</v>
      </c>
      <c r="F1707" s="30" t="s">
        <v>2206</v>
      </c>
      <c r="G1707" s="29" t="s">
        <v>70</v>
      </c>
      <c r="H1707" s="30" t="s">
        <v>134</v>
      </c>
      <c r="I1707" s="78"/>
      <c r="J1707" s="20"/>
      <c r="K1707" s="20"/>
      <c r="L1707" s="20"/>
      <c r="M1707" s="20"/>
      <c r="N1707" s="320" t="s">
        <v>2685</v>
      </c>
      <c r="O1707" s="70">
        <v>0</v>
      </c>
      <c r="P1707" s="70">
        <v>0</v>
      </c>
      <c r="Q1707" s="70">
        <f t="shared" si="138"/>
        <v>0</v>
      </c>
      <c r="R1707" s="70"/>
      <c r="S1707" s="67"/>
      <c r="T1707" s="2" t="str">
        <f t="shared" si="139"/>
        <v>Cao Thế Phong_10VH1</v>
      </c>
      <c r="U1707" s="28">
        <f t="array" ref="U1707">IFERROR(VLOOKUP($T1707,'Nghi hoc T12'!$H$7:$I$160,2,0),0)</f>
        <v>0</v>
      </c>
      <c r="V1707" s="28"/>
      <c r="W1707" s="28">
        <f t="shared" si="140"/>
        <v>0</v>
      </c>
      <c r="X1707" s="333">
        <f t="shared" si="141"/>
        <v>0</v>
      </c>
      <c r="Y1707" s="333">
        <f t="shared" si="142"/>
        <v>0</v>
      </c>
    </row>
    <row r="1708" spans="1:25" s="2" customFormat="1" ht="21.95" customHeight="1">
      <c r="A1708" s="82">
        <v>7</v>
      </c>
      <c r="B1708" s="91" t="str">
        <f t="shared" si="143"/>
        <v>204.C</v>
      </c>
      <c r="C1708" s="83" t="s">
        <v>366</v>
      </c>
      <c r="D1708" s="81" t="s">
        <v>2203</v>
      </c>
      <c r="E1708" s="48">
        <v>400055</v>
      </c>
      <c r="F1708" s="30" t="s">
        <v>2207</v>
      </c>
      <c r="G1708" s="29" t="s">
        <v>70</v>
      </c>
      <c r="H1708" s="30" t="s">
        <v>135</v>
      </c>
      <c r="I1708" s="78"/>
      <c r="J1708" s="20"/>
      <c r="K1708" s="20"/>
      <c r="L1708" s="20"/>
      <c r="M1708" s="20"/>
      <c r="N1708" s="320" t="s">
        <v>2685</v>
      </c>
      <c r="O1708" s="70">
        <v>0</v>
      </c>
      <c r="P1708" s="70">
        <v>0</v>
      </c>
      <c r="Q1708" s="70">
        <f t="shared" si="138"/>
        <v>0</v>
      </c>
      <c r="R1708" s="70"/>
      <c r="S1708" s="67"/>
      <c r="T1708" s="2" t="str">
        <f t="shared" si="139"/>
        <v>Nguyễn Văn Vũ Phong_10VH2</v>
      </c>
      <c r="U1708" s="28">
        <f t="array" ref="U1708">IFERROR(VLOOKUP($T1708,'Nghi hoc T12'!$H$7:$I$160,2,0),0)</f>
        <v>0</v>
      </c>
      <c r="V1708" s="28"/>
      <c r="W1708" s="28">
        <f t="shared" si="140"/>
        <v>0</v>
      </c>
      <c r="X1708" s="333">
        <f t="shared" si="141"/>
        <v>0</v>
      </c>
      <c r="Y1708" s="333">
        <f t="shared" si="142"/>
        <v>0</v>
      </c>
    </row>
    <row r="1709" spans="1:25" s="2" customFormat="1" ht="21.95" customHeight="1">
      <c r="A1709" s="82">
        <v>8</v>
      </c>
      <c r="B1709" s="91" t="str">
        <f t="shared" si="143"/>
        <v>204.C</v>
      </c>
      <c r="C1709" s="83" t="s">
        <v>366</v>
      </c>
      <c r="D1709" s="81" t="s">
        <v>2203</v>
      </c>
      <c r="E1709" s="48">
        <v>400056</v>
      </c>
      <c r="F1709" s="30" t="s">
        <v>2208</v>
      </c>
      <c r="G1709" s="29" t="s">
        <v>103</v>
      </c>
      <c r="H1709" s="30" t="s">
        <v>134</v>
      </c>
      <c r="I1709" s="78"/>
      <c r="J1709" s="20"/>
      <c r="K1709" s="20"/>
      <c r="L1709" s="20"/>
      <c r="M1709" s="20"/>
      <c r="N1709" s="320" t="s">
        <v>2685</v>
      </c>
      <c r="O1709" s="70">
        <v>0</v>
      </c>
      <c r="P1709" s="70">
        <v>0</v>
      </c>
      <c r="Q1709" s="70">
        <f t="shared" si="138"/>
        <v>0</v>
      </c>
      <c r="R1709" s="70"/>
      <c r="S1709" s="67"/>
      <c r="T1709" s="2" t="str">
        <f t="shared" si="139"/>
        <v>Trần Đình Phú_10VH1</v>
      </c>
      <c r="U1709" s="28">
        <f t="array" ref="U1709">IFERROR(VLOOKUP($T1709,'Nghi hoc T12'!$H$7:$I$160,2,0),0)</f>
        <v>0</v>
      </c>
      <c r="V1709" s="28"/>
      <c r="W1709" s="28">
        <f t="shared" si="140"/>
        <v>0</v>
      </c>
      <c r="X1709" s="333">
        <f t="shared" si="141"/>
        <v>0</v>
      </c>
      <c r="Y1709" s="333">
        <f t="shared" si="142"/>
        <v>0</v>
      </c>
    </row>
    <row r="1710" spans="1:25" s="2" customFormat="1" ht="21.95" customHeight="1">
      <c r="A1710" s="82">
        <v>9</v>
      </c>
      <c r="B1710" s="91" t="str">
        <f t="shared" si="143"/>
        <v>204.C</v>
      </c>
      <c r="C1710" s="83" t="s">
        <v>366</v>
      </c>
      <c r="D1710" s="81" t="s">
        <v>2203</v>
      </c>
      <c r="E1710" s="48">
        <v>400057</v>
      </c>
      <c r="F1710" s="30" t="s">
        <v>157</v>
      </c>
      <c r="G1710" s="29" t="s">
        <v>71</v>
      </c>
      <c r="H1710" s="30" t="s">
        <v>134</v>
      </c>
      <c r="I1710" s="78"/>
      <c r="J1710" s="20"/>
      <c r="K1710" s="20"/>
      <c r="L1710" s="20"/>
      <c r="M1710" s="20"/>
      <c r="N1710" s="320" t="s">
        <v>2685</v>
      </c>
      <c r="O1710" s="70">
        <v>0</v>
      </c>
      <c r="P1710" s="70">
        <v>0</v>
      </c>
      <c r="Q1710" s="70">
        <f t="shared" si="138"/>
        <v>0</v>
      </c>
      <c r="R1710" s="70"/>
      <c r="S1710" s="67"/>
      <c r="T1710" s="2" t="str">
        <f t="shared" si="139"/>
        <v>Lê Hoàng Phúc_10VH1</v>
      </c>
      <c r="U1710" s="28">
        <f t="array" ref="U1710">IFERROR(VLOOKUP($T1710,'Nghi hoc T12'!$H$7:$I$160,2,0),0)</f>
        <v>0</v>
      </c>
      <c r="V1710" s="28"/>
      <c r="W1710" s="28">
        <f t="shared" si="140"/>
        <v>0</v>
      </c>
      <c r="X1710" s="333">
        <f t="shared" si="141"/>
        <v>0</v>
      </c>
      <c r="Y1710" s="333">
        <f t="shared" si="142"/>
        <v>0</v>
      </c>
    </row>
    <row r="1711" spans="1:25" s="2" customFormat="1" ht="21.95" customHeight="1">
      <c r="A1711" s="82">
        <v>10</v>
      </c>
      <c r="B1711" s="91" t="str">
        <f t="shared" si="143"/>
        <v>204.C</v>
      </c>
      <c r="C1711" s="83" t="s">
        <v>366</v>
      </c>
      <c r="D1711" s="81" t="s">
        <v>2203</v>
      </c>
      <c r="E1711" s="48">
        <v>400058</v>
      </c>
      <c r="F1711" s="30" t="s">
        <v>314</v>
      </c>
      <c r="G1711" s="29" t="s">
        <v>71</v>
      </c>
      <c r="H1711" s="30" t="s">
        <v>135</v>
      </c>
      <c r="I1711" s="78"/>
      <c r="J1711" s="20"/>
      <c r="K1711" s="20"/>
      <c r="L1711" s="20"/>
      <c r="M1711" s="20"/>
      <c r="N1711" s="320" t="s">
        <v>2685</v>
      </c>
      <c r="O1711" s="70">
        <v>0</v>
      </c>
      <c r="P1711" s="70">
        <v>0</v>
      </c>
      <c r="Q1711" s="70">
        <f t="shared" si="138"/>
        <v>0</v>
      </c>
      <c r="R1711" s="70"/>
      <c r="S1711" s="67"/>
      <c r="T1711" s="2" t="str">
        <f t="shared" si="139"/>
        <v>Phạm Minh Phúc_10VH2</v>
      </c>
      <c r="U1711" s="28">
        <f t="array" ref="U1711">IFERROR(VLOOKUP($T1711,'Nghi hoc T12'!$H$7:$I$160,2,0),0)</f>
        <v>0</v>
      </c>
      <c r="V1711" s="28"/>
      <c r="W1711" s="28">
        <f t="shared" si="140"/>
        <v>0</v>
      </c>
      <c r="X1711" s="333">
        <f t="shared" si="141"/>
        <v>0</v>
      </c>
      <c r="Y1711" s="333">
        <f t="shared" si="142"/>
        <v>0</v>
      </c>
    </row>
    <row r="1712" spans="1:25" s="2" customFormat="1" ht="21.95" customHeight="1">
      <c r="A1712" s="82">
        <v>11</v>
      </c>
      <c r="B1712" s="91" t="str">
        <f t="shared" si="143"/>
        <v>204.C</v>
      </c>
      <c r="C1712" s="83" t="s">
        <v>366</v>
      </c>
      <c r="D1712" s="81" t="s">
        <v>2203</v>
      </c>
      <c r="E1712" s="48">
        <v>400059</v>
      </c>
      <c r="F1712" s="30" t="s">
        <v>2209</v>
      </c>
      <c r="G1712" s="29" t="s">
        <v>284</v>
      </c>
      <c r="H1712" s="30" t="s">
        <v>135</v>
      </c>
      <c r="I1712" s="78"/>
      <c r="J1712" s="20"/>
      <c r="K1712" s="20"/>
      <c r="L1712" s="20"/>
      <c r="M1712" s="20"/>
      <c r="N1712" s="320" t="s">
        <v>2685</v>
      </c>
      <c r="O1712" s="70">
        <v>0</v>
      </c>
      <c r="P1712" s="70">
        <v>0</v>
      </c>
      <c r="Q1712" s="70">
        <f t="shared" si="138"/>
        <v>0</v>
      </c>
      <c r="R1712" s="70"/>
      <c r="S1712" s="67"/>
      <c r="T1712" s="2" t="str">
        <f t="shared" si="139"/>
        <v>Nguyễn Lê Hiền Phước_10VH2</v>
      </c>
      <c r="U1712" s="28">
        <f t="array" ref="U1712">IFERROR(VLOOKUP($T1712,'Nghi hoc T12'!$H$7:$I$160,2,0),0)</f>
        <v>0</v>
      </c>
      <c r="V1712" s="28"/>
      <c r="W1712" s="28">
        <f t="shared" si="140"/>
        <v>0</v>
      </c>
      <c r="X1712" s="333">
        <f t="shared" si="141"/>
        <v>0</v>
      </c>
      <c r="Y1712" s="333">
        <f t="shared" si="142"/>
        <v>0</v>
      </c>
    </row>
    <row r="1713" spans="1:25" s="2" customFormat="1" ht="21.95" customHeight="1">
      <c r="A1713" s="82">
        <v>12</v>
      </c>
      <c r="B1713" s="91" t="str">
        <f t="shared" si="143"/>
        <v>204.C</v>
      </c>
      <c r="C1713" s="83" t="s">
        <v>366</v>
      </c>
      <c r="D1713" s="81" t="s">
        <v>2203</v>
      </c>
      <c r="E1713" s="48">
        <v>400060</v>
      </c>
      <c r="F1713" s="30" t="s">
        <v>2210</v>
      </c>
      <c r="G1713" s="29" t="s">
        <v>43</v>
      </c>
      <c r="H1713" s="30" t="s">
        <v>134</v>
      </c>
      <c r="I1713" s="78"/>
      <c r="J1713" s="20"/>
      <c r="K1713" s="20"/>
      <c r="L1713" s="20"/>
      <c r="M1713" s="20"/>
      <c r="N1713" s="320" t="s">
        <v>2685</v>
      </c>
      <c r="O1713" s="70">
        <v>0</v>
      </c>
      <c r="P1713" s="70">
        <v>0</v>
      </c>
      <c r="Q1713" s="70">
        <f t="shared" si="138"/>
        <v>0</v>
      </c>
      <c r="R1713" s="70"/>
      <c r="S1713" s="67"/>
      <c r="T1713" s="2" t="str">
        <f t="shared" si="139"/>
        <v>Nguyễn Đào Thanh Phương_10VH1</v>
      </c>
      <c r="U1713" s="28">
        <f t="array" ref="U1713">IFERROR(VLOOKUP($T1713,'Nghi hoc T12'!$H$7:$I$160,2,0),0)</f>
        <v>0</v>
      </c>
      <c r="V1713" s="28"/>
      <c r="W1713" s="28">
        <f t="shared" si="140"/>
        <v>0</v>
      </c>
      <c r="X1713" s="333">
        <f t="shared" si="141"/>
        <v>0</v>
      </c>
      <c r="Y1713" s="333">
        <f t="shared" si="142"/>
        <v>0</v>
      </c>
    </row>
    <row r="1714" spans="1:25" s="2" customFormat="1" ht="21.95" customHeight="1">
      <c r="A1714" s="82">
        <v>13</v>
      </c>
      <c r="B1714" s="91" t="str">
        <f t="shared" si="143"/>
        <v>204.C</v>
      </c>
      <c r="C1714" s="83" t="s">
        <v>366</v>
      </c>
      <c r="D1714" s="81" t="s">
        <v>2203</v>
      </c>
      <c r="E1714" s="48">
        <v>400061</v>
      </c>
      <c r="F1714" s="30" t="s">
        <v>2211</v>
      </c>
      <c r="G1714" s="29" t="s">
        <v>43</v>
      </c>
      <c r="H1714" s="30" t="s">
        <v>135</v>
      </c>
      <c r="I1714" s="78"/>
      <c r="J1714" s="20"/>
      <c r="K1714" s="20"/>
      <c r="L1714" s="20"/>
      <c r="M1714" s="20"/>
      <c r="N1714" s="320" t="s">
        <v>2685</v>
      </c>
      <c r="O1714" s="70">
        <v>0</v>
      </c>
      <c r="P1714" s="70">
        <v>0</v>
      </c>
      <c r="Q1714" s="70">
        <f t="shared" si="138"/>
        <v>0</v>
      </c>
      <c r="R1714" s="70"/>
      <c r="S1714" s="67"/>
      <c r="T1714" s="2" t="str">
        <f t="shared" si="139"/>
        <v>Trần Đức Thanh Phương_10VH2</v>
      </c>
      <c r="U1714" s="28">
        <f t="array" ref="U1714">IFERROR(VLOOKUP($T1714,'Nghi hoc T12'!$H$7:$I$160,2,0),0)</f>
        <v>0</v>
      </c>
      <c r="V1714" s="28"/>
      <c r="W1714" s="28">
        <f t="shared" si="140"/>
        <v>0</v>
      </c>
      <c r="X1714" s="333">
        <f t="shared" si="141"/>
        <v>0</v>
      </c>
      <c r="Y1714" s="333">
        <f t="shared" si="142"/>
        <v>0</v>
      </c>
    </row>
    <row r="1715" spans="1:25" s="2" customFormat="1" ht="21.95" customHeight="1">
      <c r="A1715" s="82">
        <v>14</v>
      </c>
      <c r="B1715" s="91" t="str">
        <f t="shared" si="143"/>
        <v>204.C</v>
      </c>
      <c r="C1715" s="83" t="s">
        <v>366</v>
      </c>
      <c r="D1715" s="81" t="s">
        <v>2203</v>
      </c>
      <c r="E1715" s="48">
        <v>400062</v>
      </c>
      <c r="F1715" s="30" t="s">
        <v>2212</v>
      </c>
      <c r="G1715" s="29" t="s">
        <v>44</v>
      </c>
      <c r="H1715" s="30" t="s">
        <v>134</v>
      </c>
      <c r="I1715" s="78"/>
      <c r="J1715" s="20"/>
      <c r="K1715" s="20"/>
      <c r="L1715" s="20"/>
      <c r="M1715" s="20"/>
      <c r="N1715" s="320" t="s">
        <v>2685</v>
      </c>
      <c r="O1715" s="70">
        <v>0</v>
      </c>
      <c r="P1715" s="70">
        <v>0</v>
      </c>
      <c r="Q1715" s="70">
        <f t="shared" si="138"/>
        <v>0</v>
      </c>
      <c r="R1715" s="70"/>
      <c r="S1715" s="67"/>
      <c r="T1715" s="2" t="str">
        <f t="shared" si="139"/>
        <v>Trần Đăng Quang_10VH1</v>
      </c>
      <c r="U1715" s="28">
        <f t="array" ref="U1715">IFERROR(VLOOKUP($T1715,'Nghi hoc T12'!$H$7:$I$160,2,0),0)</f>
        <v>0</v>
      </c>
      <c r="V1715" s="28"/>
      <c r="W1715" s="28">
        <f t="shared" si="140"/>
        <v>0</v>
      </c>
      <c r="X1715" s="333">
        <f t="shared" si="141"/>
        <v>0</v>
      </c>
      <c r="Y1715" s="333">
        <f t="shared" si="142"/>
        <v>0</v>
      </c>
    </row>
    <row r="1716" spans="1:25" s="2" customFormat="1" ht="21.95" customHeight="1">
      <c r="A1716" s="82">
        <v>15</v>
      </c>
      <c r="B1716" s="91" t="str">
        <f t="shared" si="143"/>
        <v>204.C</v>
      </c>
      <c r="C1716" s="83" t="s">
        <v>366</v>
      </c>
      <c r="D1716" s="81" t="s">
        <v>2203</v>
      </c>
      <c r="E1716" s="48">
        <v>400063</v>
      </c>
      <c r="F1716" s="30" t="s">
        <v>2213</v>
      </c>
      <c r="G1716" s="29" t="s">
        <v>46</v>
      </c>
      <c r="H1716" s="30" t="s">
        <v>135</v>
      </c>
      <c r="I1716" s="78"/>
      <c r="J1716" s="20"/>
      <c r="K1716" s="20"/>
      <c r="L1716" s="20"/>
      <c r="M1716" s="20"/>
      <c r="N1716" s="320" t="s">
        <v>2685</v>
      </c>
      <c r="O1716" s="70">
        <v>0</v>
      </c>
      <c r="P1716" s="70">
        <v>0</v>
      </c>
      <c r="Q1716" s="70">
        <f t="shared" si="138"/>
        <v>0</v>
      </c>
      <c r="R1716" s="70"/>
      <c r="S1716" s="67"/>
      <c r="T1716" s="2" t="str">
        <f t="shared" si="139"/>
        <v>La Dư Quý_10VH2</v>
      </c>
      <c r="U1716" s="28">
        <f t="array" ref="U1716">IFERROR(VLOOKUP($T1716,'Nghi hoc T12'!$H$7:$I$160,2,0),0)</f>
        <v>0</v>
      </c>
      <c r="V1716" s="28"/>
      <c r="W1716" s="28">
        <f t="shared" si="140"/>
        <v>0</v>
      </c>
      <c r="X1716" s="333">
        <f t="shared" si="141"/>
        <v>0</v>
      </c>
      <c r="Y1716" s="333">
        <f t="shared" si="142"/>
        <v>0</v>
      </c>
    </row>
    <row r="1717" spans="1:25" s="2" customFormat="1" ht="21.95" customHeight="1">
      <c r="A1717" s="82">
        <v>16</v>
      </c>
      <c r="B1717" s="91" t="str">
        <f t="shared" si="143"/>
        <v>204.C</v>
      </c>
      <c r="C1717" s="83" t="s">
        <v>366</v>
      </c>
      <c r="D1717" s="81" t="s">
        <v>2203</v>
      </c>
      <c r="E1717" s="48">
        <v>400064</v>
      </c>
      <c r="F1717" s="30" t="s">
        <v>2214</v>
      </c>
      <c r="G1717" s="29" t="s">
        <v>2215</v>
      </c>
      <c r="H1717" s="30" t="s">
        <v>135</v>
      </c>
      <c r="I1717" s="78"/>
      <c r="J1717" s="20"/>
      <c r="K1717" s="20"/>
      <c r="L1717" s="20"/>
      <c r="M1717" s="20"/>
      <c r="N1717" s="320" t="s">
        <v>2685</v>
      </c>
      <c r="O1717" s="70">
        <v>0</v>
      </c>
      <c r="P1717" s="70">
        <v>0</v>
      </c>
      <c r="Q1717" s="70">
        <f t="shared" si="138"/>
        <v>0</v>
      </c>
      <c r="R1717" s="70"/>
      <c r="S1717" s="67"/>
      <c r="T1717" s="2" t="str">
        <f t="shared" si="139"/>
        <v>Trịnh Thị Kim Sương_10VH2</v>
      </c>
      <c r="U1717" s="28">
        <f t="array" ref="U1717">IFERROR(VLOOKUP($T1717,'Nghi hoc T12'!$H$7:$I$160,2,0),0)</f>
        <v>0</v>
      </c>
      <c r="V1717" s="28"/>
      <c r="W1717" s="28">
        <f t="shared" si="140"/>
        <v>0</v>
      </c>
      <c r="X1717" s="333">
        <f t="shared" si="141"/>
        <v>0</v>
      </c>
      <c r="Y1717" s="333">
        <f t="shared" si="142"/>
        <v>0</v>
      </c>
    </row>
    <row r="1718" spans="1:25" s="2" customFormat="1" ht="21.95" customHeight="1">
      <c r="A1718" s="82">
        <v>17</v>
      </c>
      <c r="B1718" s="91" t="str">
        <f t="shared" si="143"/>
        <v>204.C</v>
      </c>
      <c r="C1718" s="83" t="s">
        <v>366</v>
      </c>
      <c r="D1718" s="81" t="s">
        <v>2203</v>
      </c>
      <c r="E1718" s="48">
        <v>400065</v>
      </c>
      <c r="F1718" s="30" t="s">
        <v>2200</v>
      </c>
      <c r="G1718" s="29" t="s">
        <v>93</v>
      </c>
      <c r="H1718" s="30" t="s">
        <v>134</v>
      </c>
      <c r="I1718" s="78"/>
      <c r="J1718" s="20"/>
      <c r="K1718" s="20"/>
      <c r="L1718" s="20"/>
      <c r="M1718" s="20"/>
      <c r="N1718" s="320" t="s">
        <v>2685</v>
      </c>
      <c r="O1718" s="70">
        <v>0</v>
      </c>
      <c r="P1718" s="70">
        <v>0</v>
      </c>
      <c r="Q1718" s="70">
        <f t="shared" si="138"/>
        <v>0</v>
      </c>
      <c r="R1718" s="70"/>
      <c r="S1718" s="67"/>
      <c r="T1718" s="2" t="str">
        <f t="shared" si="139"/>
        <v>Lê Phước Tài_10VH1</v>
      </c>
      <c r="U1718" s="28">
        <f t="array" ref="U1718">IFERROR(VLOOKUP($T1718,'Nghi hoc T12'!$H$7:$I$160,2,0),0)</f>
        <v>0</v>
      </c>
      <c r="V1718" s="28"/>
      <c r="W1718" s="28">
        <f t="shared" si="140"/>
        <v>0</v>
      </c>
      <c r="X1718" s="333">
        <f t="shared" si="141"/>
        <v>0</v>
      </c>
      <c r="Y1718" s="333">
        <f t="shared" si="142"/>
        <v>0</v>
      </c>
    </row>
    <row r="1719" spans="1:25" s="2" customFormat="1" ht="21.95" customHeight="1">
      <c r="A1719" s="82">
        <v>18</v>
      </c>
      <c r="B1719" s="91" t="str">
        <f t="shared" si="143"/>
        <v>204.C</v>
      </c>
      <c r="C1719" s="83" t="s">
        <v>366</v>
      </c>
      <c r="D1719" s="81" t="s">
        <v>2203</v>
      </c>
      <c r="E1719" s="48">
        <v>400066</v>
      </c>
      <c r="F1719" s="30" t="s">
        <v>160</v>
      </c>
      <c r="G1719" s="29" t="s">
        <v>93</v>
      </c>
      <c r="H1719" s="30" t="s">
        <v>135</v>
      </c>
      <c r="I1719" s="78"/>
      <c r="J1719" s="20"/>
      <c r="K1719" s="20"/>
      <c r="L1719" s="20"/>
      <c r="M1719" s="20"/>
      <c r="N1719" s="320" t="s">
        <v>2685</v>
      </c>
      <c r="O1719" s="70">
        <v>0</v>
      </c>
      <c r="P1719" s="70">
        <v>0</v>
      </c>
      <c r="Q1719" s="70">
        <f t="shared" si="138"/>
        <v>0</v>
      </c>
      <c r="R1719" s="70"/>
      <c r="S1719" s="67"/>
      <c r="T1719" s="2" t="str">
        <f t="shared" si="139"/>
        <v>Nguyễn Thành Tài_10VH2</v>
      </c>
      <c r="U1719" s="28">
        <f t="array" ref="U1719">IFERROR(VLOOKUP($T1719,'Nghi hoc T12'!$H$7:$I$160,2,0),0)</f>
        <v>0</v>
      </c>
      <c r="V1719" s="28"/>
      <c r="W1719" s="28">
        <f t="shared" si="140"/>
        <v>0</v>
      </c>
      <c r="X1719" s="333">
        <f t="shared" si="141"/>
        <v>0</v>
      </c>
      <c r="Y1719" s="333">
        <f t="shared" si="142"/>
        <v>0</v>
      </c>
    </row>
    <row r="1720" spans="1:25" s="2" customFormat="1" ht="21.95" customHeight="1">
      <c r="A1720" s="82">
        <v>19</v>
      </c>
      <c r="B1720" s="91" t="str">
        <f t="shared" si="143"/>
        <v>204.C</v>
      </c>
      <c r="C1720" s="83" t="s">
        <v>366</v>
      </c>
      <c r="D1720" s="81" t="s">
        <v>2203</v>
      </c>
      <c r="E1720" s="48">
        <v>400067</v>
      </c>
      <c r="F1720" s="30" t="s">
        <v>2216</v>
      </c>
      <c r="G1720" s="29" t="s">
        <v>24</v>
      </c>
      <c r="H1720" s="30" t="s">
        <v>134</v>
      </c>
      <c r="I1720" s="78"/>
      <c r="J1720" s="20"/>
      <c r="K1720" s="20"/>
      <c r="L1720" s="20"/>
      <c r="M1720" s="20"/>
      <c r="N1720" s="320" t="s">
        <v>2685</v>
      </c>
      <c r="O1720" s="70">
        <v>0</v>
      </c>
      <c r="P1720" s="70">
        <v>0</v>
      </c>
      <c r="Q1720" s="70">
        <f t="shared" si="138"/>
        <v>0</v>
      </c>
      <c r="R1720" s="70"/>
      <c r="S1720" s="67"/>
      <c r="T1720" s="2" t="str">
        <f t="shared" si="139"/>
        <v>Đặng Trần Chí Tâm_10VH1</v>
      </c>
      <c r="U1720" s="28">
        <f t="array" ref="U1720">IFERROR(VLOOKUP($T1720,'Nghi hoc T12'!$H$7:$I$160,2,0),0)</f>
        <v>0</v>
      </c>
      <c r="V1720" s="28"/>
      <c r="W1720" s="28">
        <f t="shared" si="140"/>
        <v>0</v>
      </c>
      <c r="X1720" s="333">
        <f t="shared" si="141"/>
        <v>0</v>
      </c>
      <c r="Y1720" s="333">
        <f t="shared" si="142"/>
        <v>0</v>
      </c>
    </row>
    <row r="1721" spans="1:25" s="2" customFormat="1" ht="21.95" customHeight="1">
      <c r="A1721" s="82">
        <v>20</v>
      </c>
      <c r="B1721" s="91" t="str">
        <f t="shared" si="143"/>
        <v>204.C</v>
      </c>
      <c r="C1721" s="83" t="s">
        <v>366</v>
      </c>
      <c r="D1721" s="81" t="s">
        <v>2203</v>
      </c>
      <c r="E1721" s="48">
        <v>400068</v>
      </c>
      <c r="F1721" s="30" t="s">
        <v>186</v>
      </c>
      <c r="G1721" s="29" t="s">
        <v>24</v>
      </c>
      <c r="H1721" s="30" t="s">
        <v>135</v>
      </c>
      <c r="I1721" s="78"/>
      <c r="J1721" s="20"/>
      <c r="K1721" s="20"/>
      <c r="L1721" s="20"/>
      <c r="M1721" s="20"/>
      <c r="N1721" s="320" t="s">
        <v>2685</v>
      </c>
      <c r="O1721" s="70">
        <v>0</v>
      </c>
      <c r="P1721" s="70">
        <v>0</v>
      </c>
      <c r="Q1721" s="70">
        <f t="shared" si="138"/>
        <v>0</v>
      </c>
      <c r="R1721" s="70"/>
      <c r="S1721" s="67"/>
      <c r="T1721" s="2" t="str">
        <f t="shared" si="139"/>
        <v>Nguyễn Minh Tâm_10VH2</v>
      </c>
      <c r="U1721" s="28">
        <f t="array" ref="U1721">IFERROR(VLOOKUP($T1721,'Nghi hoc T12'!$H$7:$I$160,2,0),0)</f>
        <v>0</v>
      </c>
      <c r="V1721" s="28"/>
      <c r="W1721" s="28">
        <f t="shared" si="140"/>
        <v>0</v>
      </c>
      <c r="X1721" s="333">
        <f t="shared" si="141"/>
        <v>0</v>
      </c>
      <c r="Y1721" s="333">
        <f t="shared" si="142"/>
        <v>0</v>
      </c>
    </row>
    <row r="1722" spans="1:25" s="2" customFormat="1" ht="21.95" customHeight="1">
      <c r="A1722" s="82">
        <v>21</v>
      </c>
      <c r="B1722" s="91" t="str">
        <f t="shared" si="143"/>
        <v>204.C</v>
      </c>
      <c r="C1722" s="83" t="s">
        <v>366</v>
      </c>
      <c r="D1722" s="81" t="s">
        <v>2203</v>
      </c>
      <c r="E1722" s="48">
        <v>400069</v>
      </c>
      <c r="F1722" s="30" t="s">
        <v>183</v>
      </c>
      <c r="G1722" s="29" t="s">
        <v>24</v>
      </c>
      <c r="H1722" s="30" t="s">
        <v>134</v>
      </c>
      <c r="I1722" s="78"/>
      <c r="J1722" s="20"/>
      <c r="K1722" s="20"/>
      <c r="L1722" s="20"/>
      <c r="M1722" s="20"/>
      <c r="N1722" s="320" t="s">
        <v>2685</v>
      </c>
      <c r="O1722" s="70">
        <v>0</v>
      </c>
      <c r="P1722" s="70">
        <v>0</v>
      </c>
      <c r="Q1722" s="70">
        <f t="shared" si="138"/>
        <v>0</v>
      </c>
      <c r="R1722" s="70"/>
      <c r="S1722" s="67"/>
      <c r="T1722" s="2" t="str">
        <f t="shared" si="139"/>
        <v>Nguyễn Thanh Tâm_10VH1</v>
      </c>
      <c r="U1722" s="28">
        <f t="array" ref="U1722">IFERROR(VLOOKUP($T1722,'Nghi hoc T12'!$H$7:$I$160,2,0),0)</f>
        <v>0</v>
      </c>
      <c r="V1722" s="28"/>
      <c r="W1722" s="28">
        <f t="shared" si="140"/>
        <v>0</v>
      </c>
      <c r="X1722" s="333">
        <f t="shared" si="141"/>
        <v>0</v>
      </c>
      <c r="Y1722" s="333">
        <f t="shared" si="142"/>
        <v>0</v>
      </c>
    </row>
    <row r="1723" spans="1:25" s="2" customFormat="1" ht="21.95" customHeight="1">
      <c r="A1723" s="82">
        <v>22</v>
      </c>
      <c r="B1723" s="91" t="str">
        <f t="shared" si="143"/>
        <v>204.C</v>
      </c>
      <c r="C1723" s="83" t="s">
        <v>366</v>
      </c>
      <c r="D1723" s="81" t="s">
        <v>2203</v>
      </c>
      <c r="E1723" s="48">
        <v>400070</v>
      </c>
      <c r="F1723" s="30" t="s">
        <v>257</v>
      </c>
      <c r="G1723" s="29" t="s">
        <v>2217</v>
      </c>
      <c r="H1723" s="30" t="s">
        <v>134</v>
      </c>
      <c r="I1723" s="78"/>
      <c r="J1723" s="20"/>
      <c r="K1723" s="20"/>
      <c r="L1723" s="20"/>
      <c r="M1723" s="20"/>
      <c r="N1723" s="320" t="s">
        <v>2685</v>
      </c>
      <c r="O1723" s="70">
        <v>0</v>
      </c>
      <c r="P1723" s="70">
        <v>0</v>
      </c>
      <c r="Q1723" s="70">
        <f t="shared" si="138"/>
        <v>0</v>
      </c>
      <c r="R1723" s="70"/>
      <c r="S1723" s="67"/>
      <c r="T1723" s="2" t="str">
        <f t="shared" si="139"/>
        <v>Lê Minh Tấn_10VH1</v>
      </c>
      <c r="U1723" s="28">
        <f t="array" ref="U1723">IFERROR(VLOOKUP($T1723,'Nghi hoc T12'!$H$7:$I$160,2,0),0)</f>
        <v>0</v>
      </c>
      <c r="V1723" s="28"/>
      <c r="W1723" s="28">
        <f t="shared" si="140"/>
        <v>0</v>
      </c>
      <c r="X1723" s="333">
        <f t="shared" si="141"/>
        <v>0</v>
      </c>
      <c r="Y1723" s="333">
        <f t="shared" si="142"/>
        <v>0</v>
      </c>
    </row>
    <row r="1724" spans="1:25" s="2" customFormat="1" ht="21.95" customHeight="1">
      <c r="A1724" s="82">
        <v>23</v>
      </c>
      <c r="B1724" s="91" t="str">
        <f t="shared" si="143"/>
        <v>204.C</v>
      </c>
      <c r="C1724" s="83" t="s">
        <v>366</v>
      </c>
      <c r="D1724" s="81" t="s">
        <v>2203</v>
      </c>
      <c r="E1724" s="48">
        <v>400071</v>
      </c>
      <c r="F1724" s="30" t="s">
        <v>249</v>
      </c>
      <c r="G1724" s="29" t="s">
        <v>2217</v>
      </c>
      <c r="H1724" s="30" t="s">
        <v>134</v>
      </c>
      <c r="I1724" s="78"/>
      <c r="J1724" s="20"/>
      <c r="K1724" s="20"/>
      <c r="L1724" s="20"/>
      <c r="M1724" s="20"/>
      <c r="N1724" s="320" t="s">
        <v>2685</v>
      </c>
      <c r="O1724" s="70">
        <v>0</v>
      </c>
      <c r="P1724" s="70">
        <v>0</v>
      </c>
      <c r="Q1724" s="70">
        <f t="shared" si="138"/>
        <v>0</v>
      </c>
      <c r="R1724" s="70"/>
      <c r="S1724" s="67"/>
      <c r="T1724" s="2" t="str">
        <f t="shared" si="139"/>
        <v>Nguyễn Thiên Tấn_10VH1</v>
      </c>
      <c r="U1724" s="28">
        <f t="array" ref="U1724">IFERROR(VLOOKUP($T1724,'Nghi hoc T12'!$H$7:$I$160,2,0),0)</f>
        <v>0</v>
      </c>
      <c r="V1724" s="28"/>
      <c r="W1724" s="28">
        <f t="shared" si="140"/>
        <v>0</v>
      </c>
      <c r="X1724" s="333">
        <f t="shared" si="141"/>
        <v>0</v>
      </c>
      <c r="Y1724" s="333">
        <f t="shared" si="142"/>
        <v>0</v>
      </c>
    </row>
    <row r="1725" spans="1:25" s="2" customFormat="1" ht="21.95" customHeight="1">
      <c r="A1725" s="321">
        <v>1</v>
      </c>
      <c r="B1725" s="91" t="str">
        <f t="shared" si="143"/>
        <v>205.C</v>
      </c>
      <c r="C1725" s="185" t="s">
        <v>366</v>
      </c>
      <c r="D1725" s="186" t="s">
        <v>2218</v>
      </c>
      <c r="E1725" s="187">
        <v>400072</v>
      </c>
      <c r="F1725" s="188" t="s">
        <v>2219</v>
      </c>
      <c r="G1725" s="189" t="s">
        <v>2217</v>
      </c>
      <c r="H1725" s="188" t="s">
        <v>135</v>
      </c>
      <c r="I1725" s="190"/>
      <c r="J1725" s="191"/>
      <c r="K1725" s="191"/>
      <c r="L1725" s="191"/>
      <c r="M1725" s="191"/>
      <c r="N1725" s="320" t="s">
        <v>2685</v>
      </c>
      <c r="O1725" s="70">
        <v>0</v>
      </c>
      <c r="P1725" s="70">
        <v>0</v>
      </c>
      <c r="Q1725" s="70">
        <f t="shared" si="138"/>
        <v>0</v>
      </c>
      <c r="R1725" s="70"/>
      <c r="S1725" s="67"/>
      <c r="T1725" s="2" t="str">
        <f t="shared" si="139"/>
        <v>Trương Minh Anh Tấn_10VH2</v>
      </c>
      <c r="U1725" s="28">
        <f t="array" ref="U1725">IFERROR(VLOOKUP($T1725,'Nghi hoc T12'!$H$7:$I$160,2,0),0)</f>
        <v>0</v>
      </c>
      <c r="V1725" s="28"/>
      <c r="W1725" s="28">
        <f t="shared" si="140"/>
        <v>0</v>
      </c>
      <c r="X1725" s="333">
        <f t="shared" si="141"/>
        <v>0</v>
      </c>
      <c r="Y1725" s="333">
        <f t="shared" si="142"/>
        <v>0</v>
      </c>
    </row>
    <row r="1726" spans="1:25" s="2" customFormat="1" ht="21.95" customHeight="1">
      <c r="A1726" s="82">
        <v>2</v>
      </c>
      <c r="B1726" s="91" t="str">
        <f t="shared" si="143"/>
        <v>205.C</v>
      </c>
      <c r="C1726" s="83" t="s">
        <v>366</v>
      </c>
      <c r="D1726" s="81" t="s">
        <v>2218</v>
      </c>
      <c r="E1726" s="48">
        <v>400073</v>
      </c>
      <c r="F1726" s="30" t="s">
        <v>2220</v>
      </c>
      <c r="G1726" s="29" t="s">
        <v>25</v>
      </c>
      <c r="H1726" s="30" t="s">
        <v>134</v>
      </c>
      <c r="I1726" s="78"/>
      <c r="J1726" s="20"/>
      <c r="K1726" s="20"/>
      <c r="L1726" s="20"/>
      <c r="M1726" s="20"/>
      <c r="N1726" s="320" t="s">
        <v>2685</v>
      </c>
      <c r="O1726" s="70">
        <v>0</v>
      </c>
      <c r="P1726" s="70">
        <v>0</v>
      </c>
      <c r="Q1726" s="70">
        <f t="shared" si="138"/>
        <v>0</v>
      </c>
      <c r="R1726" s="70"/>
      <c r="S1726" s="67"/>
      <c r="T1726" s="2" t="str">
        <f t="shared" si="139"/>
        <v>Đinh Gia Thái_10VH1</v>
      </c>
      <c r="U1726" s="28">
        <f t="array" ref="U1726">IFERROR(VLOOKUP($T1726,'Nghi hoc T12'!$H$7:$I$160,2,0),0)</f>
        <v>0</v>
      </c>
      <c r="V1726" s="28"/>
      <c r="W1726" s="28">
        <f t="shared" si="140"/>
        <v>0</v>
      </c>
      <c r="X1726" s="333">
        <f t="shared" si="141"/>
        <v>0</v>
      </c>
      <c r="Y1726" s="333">
        <f t="shared" si="142"/>
        <v>0</v>
      </c>
    </row>
    <row r="1727" spans="1:25" s="2" customFormat="1" ht="21.95" customHeight="1">
      <c r="A1727" s="82">
        <v>3</v>
      </c>
      <c r="B1727" s="91" t="str">
        <f t="shared" si="143"/>
        <v>205.C</v>
      </c>
      <c r="C1727" s="83" t="s">
        <v>366</v>
      </c>
      <c r="D1727" s="81" t="s">
        <v>2218</v>
      </c>
      <c r="E1727" s="48">
        <v>400074</v>
      </c>
      <c r="F1727" s="30" t="s">
        <v>276</v>
      </c>
      <c r="G1727" s="29" t="s">
        <v>26</v>
      </c>
      <c r="H1727" s="30" t="s">
        <v>135</v>
      </c>
      <c r="I1727" s="78"/>
      <c r="J1727" s="20"/>
      <c r="K1727" s="20"/>
      <c r="L1727" s="20"/>
      <c r="M1727" s="20"/>
      <c r="N1727" s="320" t="s">
        <v>2685</v>
      </c>
      <c r="O1727" s="70">
        <v>0</v>
      </c>
      <c r="P1727" s="70">
        <v>0</v>
      </c>
      <c r="Q1727" s="70">
        <f t="shared" si="138"/>
        <v>0</v>
      </c>
      <c r="R1727" s="70"/>
      <c r="S1727" s="67"/>
      <c r="T1727" s="2" t="str">
        <f t="shared" si="139"/>
        <v>Nguyễn Trung Thanh_10VH2</v>
      </c>
      <c r="U1727" s="28">
        <f t="array" ref="U1727">IFERROR(VLOOKUP($T1727,'Nghi hoc T12'!$H$7:$I$160,2,0),0)</f>
        <v>0</v>
      </c>
      <c r="V1727" s="28"/>
      <c r="W1727" s="28">
        <f t="shared" si="140"/>
        <v>0</v>
      </c>
      <c r="X1727" s="333">
        <f t="shared" si="141"/>
        <v>0</v>
      </c>
      <c r="Y1727" s="333">
        <f t="shared" si="142"/>
        <v>0</v>
      </c>
    </row>
    <row r="1728" spans="1:25" s="2" customFormat="1" ht="21.95" customHeight="1">
      <c r="A1728" s="82">
        <v>4</v>
      </c>
      <c r="B1728" s="91" t="str">
        <f t="shared" si="143"/>
        <v>205.C</v>
      </c>
      <c r="C1728" s="83" t="s">
        <v>366</v>
      </c>
      <c r="D1728" s="81" t="s">
        <v>2218</v>
      </c>
      <c r="E1728" s="48">
        <v>400075</v>
      </c>
      <c r="F1728" s="30" t="s">
        <v>2221</v>
      </c>
      <c r="G1728" s="29" t="s">
        <v>49</v>
      </c>
      <c r="H1728" s="30" t="s">
        <v>135</v>
      </c>
      <c r="I1728" s="78"/>
      <c r="J1728" s="20"/>
      <c r="K1728" s="20"/>
      <c r="L1728" s="20"/>
      <c r="M1728" s="20"/>
      <c r="N1728" s="320" t="s">
        <v>2685</v>
      </c>
      <c r="O1728" s="70">
        <v>0</v>
      </c>
      <c r="P1728" s="70">
        <v>0</v>
      </c>
      <c r="Q1728" s="70">
        <f t="shared" si="138"/>
        <v>0</v>
      </c>
      <c r="R1728" s="70"/>
      <c r="S1728" s="67"/>
      <c r="T1728" s="2" t="str">
        <f t="shared" si="139"/>
        <v>Hoàng Trần Phương Thảo_10VH2</v>
      </c>
      <c r="U1728" s="28">
        <f t="array" ref="U1728">IFERROR(VLOOKUP($T1728,'Nghi hoc T12'!$H$7:$I$160,2,0),0)</f>
        <v>0</v>
      </c>
      <c r="V1728" s="28"/>
      <c r="W1728" s="28">
        <f t="shared" si="140"/>
        <v>0</v>
      </c>
      <c r="X1728" s="333">
        <f t="shared" si="141"/>
        <v>0</v>
      </c>
      <c r="Y1728" s="333">
        <f t="shared" si="142"/>
        <v>0</v>
      </c>
    </row>
    <row r="1729" spans="1:25" s="2" customFormat="1" ht="21.95" customHeight="1">
      <c r="A1729" s="82">
        <v>5</v>
      </c>
      <c r="B1729" s="91" t="str">
        <f t="shared" si="143"/>
        <v>205.C</v>
      </c>
      <c r="C1729" s="83" t="s">
        <v>366</v>
      </c>
      <c r="D1729" s="81" t="s">
        <v>2218</v>
      </c>
      <c r="E1729" s="48">
        <v>400076</v>
      </c>
      <c r="F1729" s="30" t="s">
        <v>2222</v>
      </c>
      <c r="G1729" s="29" t="s">
        <v>49</v>
      </c>
      <c r="H1729" s="30" t="s">
        <v>134</v>
      </c>
      <c r="I1729" s="78"/>
      <c r="J1729" s="20"/>
      <c r="K1729" s="20"/>
      <c r="L1729" s="20"/>
      <c r="M1729" s="20"/>
      <c r="N1729" s="320" t="s">
        <v>2685</v>
      </c>
      <c r="O1729" s="70">
        <v>0</v>
      </c>
      <c r="P1729" s="70">
        <v>0</v>
      </c>
      <c r="Q1729" s="70">
        <f t="shared" si="138"/>
        <v>0</v>
      </c>
      <c r="R1729" s="70"/>
      <c r="S1729" s="67"/>
      <c r="T1729" s="2" t="str">
        <f t="shared" si="139"/>
        <v>Lữ Trần Nhật Thảo_10VH1</v>
      </c>
      <c r="U1729" s="28">
        <f t="array" ref="U1729">IFERROR(VLOOKUP($T1729,'Nghi hoc T12'!$H$7:$I$160,2,0),0)</f>
        <v>0</v>
      </c>
      <c r="V1729" s="28"/>
      <c r="W1729" s="28">
        <f t="shared" si="140"/>
        <v>0</v>
      </c>
      <c r="X1729" s="333">
        <f t="shared" si="141"/>
        <v>0</v>
      </c>
      <c r="Y1729" s="333">
        <f t="shared" si="142"/>
        <v>0</v>
      </c>
    </row>
    <row r="1730" spans="1:25" s="2" customFormat="1" ht="21.95" customHeight="1">
      <c r="A1730" s="82">
        <v>6</v>
      </c>
      <c r="B1730" s="91" t="str">
        <f t="shared" si="143"/>
        <v>205.C</v>
      </c>
      <c r="C1730" s="83" t="s">
        <v>366</v>
      </c>
      <c r="D1730" s="81" t="s">
        <v>2218</v>
      </c>
      <c r="E1730" s="48">
        <v>400077</v>
      </c>
      <c r="F1730" s="30" t="s">
        <v>2223</v>
      </c>
      <c r="G1730" s="29" t="s">
        <v>48</v>
      </c>
      <c r="H1730" s="30" t="s">
        <v>135</v>
      </c>
      <c r="I1730" s="78"/>
      <c r="J1730" s="20"/>
      <c r="K1730" s="20"/>
      <c r="L1730" s="20"/>
      <c r="M1730" s="20"/>
      <c r="N1730" s="320" t="s">
        <v>2685</v>
      </c>
      <c r="O1730" s="70">
        <v>0</v>
      </c>
      <c r="P1730" s="70">
        <v>0</v>
      </c>
      <c r="Q1730" s="70">
        <f t="shared" si="138"/>
        <v>0</v>
      </c>
      <c r="R1730" s="70"/>
      <c r="S1730" s="67"/>
      <c r="T1730" s="2" t="str">
        <f t="shared" si="139"/>
        <v>Đào Quốc Thắng_10VH2</v>
      </c>
      <c r="U1730" s="28">
        <f t="array" ref="U1730">IFERROR(VLOOKUP($T1730,'Nghi hoc T12'!$H$7:$I$160,2,0),0)</f>
        <v>0</v>
      </c>
      <c r="V1730" s="28"/>
      <c r="W1730" s="28">
        <f t="shared" si="140"/>
        <v>0</v>
      </c>
      <c r="X1730" s="333">
        <f t="shared" si="141"/>
        <v>0</v>
      </c>
      <c r="Y1730" s="333">
        <f t="shared" si="142"/>
        <v>0</v>
      </c>
    </row>
    <row r="1731" spans="1:25" s="2" customFormat="1" ht="21.95" customHeight="1">
      <c r="A1731" s="82">
        <v>7</v>
      </c>
      <c r="B1731" s="91" t="str">
        <f t="shared" si="143"/>
        <v>205.C</v>
      </c>
      <c r="C1731" s="83" t="s">
        <v>366</v>
      </c>
      <c r="D1731" s="81" t="s">
        <v>2218</v>
      </c>
      <c r="E1731" s="48">
        <v>400078</v>
      </c>
      <c r="F1731" s="30" t="s">
        <v>329</v>
      </c>
      <c r="G1731" s="29" t="s">
        <v>2224</v>
      </c>
      <c r="H1731" s="30" t="s">
        <v>134</v>
      </c>
      <c r="I1731" s="78"/>
      <c r="J1731" s="20"/>
      <c r="K1731" s="20"/>
      <c r="L1731" s="20"/>
      <c r="M1731" s="20"/>
      <c r="N1731" s="320" t="s">
        <v>2685</v>
      </c>
      <c r="O1731" s="70">
        <v>0</v>
      </c>
      <c r="P1731" s="70">
        <v>0</v>
      </c>
      <c r="Q1731" s="70">
        <f t="shared" si="138"/>
        <v>0</v>
      </c>
      <c r="R1731" s="70"/>
      <c r="S1731" s="67"/>
      <c r="T1731" s="2" t="str">
        <f t="shared" si="139"/>
        <v>Lê Tấn Thiết_10VH1</v>
      </c>
      <c r="U1731" s="28">
        <f t="array" ref="U1731">IFERROR(VLOOKUP($T1731,'Nghi hoc T12'!$H$7:$I$160,2,0),0)</f>
        <v>0</v>
      </c>
      <c r="V1731" s="28"/>
      <c r="W1731" s="28">
        <f t="shared" si="140"/>
        <v>0</v>
      </c>
      <c r="X1731" s="333">
        <f t="shared" si="141"/>
        <v>0</v>
      </c>
      <c r="Y1731" s="333">
        <f t="shared" si="142"/>
        <v>0</v>
      </c>
    </row>
    <row r="1732" spans="1:25" s="2" customFormat="1" ht="21.95" customHeight="1">
      <c r="A1732" s="82">
        <v>8</v>
      </c>
      <c r="B1732" s="91" t="str">
        <f t="shared" si="143"/>
        <v>205.C</v>
      </c>
      <c r="C1732" s="83" t="s">
        <v>366</v>
      </c>
      <c r="D1732" s="81" t="s">
        <v>2218</v>
      </c>
      <c r="E1732" s="48">
        <v>400079</v>
      </c>
      <c r="F1732" s="30" t="s">
        <v>222</v>
      </c>
      <c r="G1732" s="29" t="s">
        <v>59</v>
      </c>
      <c r="H1732" s="30" t="s">
        <v>134</v>
      </c>
      <c r="I1732" s="78"/>
      <c r="J1732" s="20"/>
      <c r="K1732" s="20"/>
      <c r="L1732" s="20"/>
      <c r="M1732" s="20"/>
      <c r="N1732" s="320" t="s">
        <v>2685</v>
      </c>
      <c r="O1732" s="70">
        <v>0</v>
      </c>
      <c r="P1732" s="70">
        <v>0</v>
      </c>
      <c r="Q1732" s="70">
        <f t="shared" si="138"/>
        <v>0</v>
      </c>
      <c r="R1732" s="70"/>
      <c r="S1732" s="67"/>
      <c r="T1732" s="2" t="str">
        <f t="shared" si="139"/>
        <v>Nguyễn Ngọc Thuận_10VH1</v>
      </c>
      <c r="U1732" s="28">
        <f t="array" ref="U1732">IFERROR(VLOOKUP($T1732,'Nghi hoc T12'!$H$7:$I$160,2,0),0)</f>
        <v>0</v>
      </c>
      <c r="V1732" s="28"/>
      <c r="W1732" s="28">
        <f t="shared" si="140"/>
        <v>0</v>
      </c>
      <c r="X1732" s="333">
        <f t="shared" si="141"/>
        <v>0</v>
      </c>
      <c r="Y1732" s="333">
        <f t="shared" si="142"/>
        <v>0</v>
      </c>
    </row>
    <row r="1733" spans="1:25" s="2" customFormat="1" ht="21.95" customHeight="1">
      <c r="A1733" s="82">
        <v>9</v>
      </c>
      <c r="B1733" s="91" t="str">
        <f t="shared" si="143"/>
        <v>205.C</v>
      </c>
      <c r="C1733" s="83" t="s">
        <v>366</v>
      </c>
      <c r="D1733" s="81" t="s">
        <v>2218</v>
      </c>
      <c r="E1733" s="48">
        <v>400080</v>
      </c>
      <c r="F1733" s="30" t="s">
        <v>2225</v>
      </c>
      <c r="G1733" s="29" t="s">
        <v>28</v>
      </c>
      <c r="H1733" s="30" t="s">
        <v>135</v>
      </c>
      <c r="I1733" s="78"/>
      <c r="J1733" s="20"/>
      <c r="K1733" s="20"/>
      <c r="L1733" s="20"/>
      <c r="M1733" s="20"/>
      <c r="N1733" s="320" t="s">
        <v>2685</v>
      </c>
      <c r="O1733" s="70">
        <v>0</v>
      </c>
      <c r="P1733" s="70">
        <v>0</v>
      </c>
      <c r="Q1733" s="70">
        <f t="shared" si="138"/>
        <v>0</v>
      </c>
      <c r="R1733" s="70"/>
      <c r="S1733" s="67"/>
      <c r="T1733" s="2" t="str">
        <f t="shared" si="139"/>
        <v>Huỳnh Nguyễn Anh Thư_10VH2</v>
      </c>
      <c r="U1733" s="28">
        <f t="array" ref="U1733">IFERROR(VLOOKUP($T1733,'Nghi hoc T12'!$H$7:$I$160,2,0),0)</f>
        <v>0</v>
      </c>
      <c r="V1733" s="28"/>
      <c r="W1733" s="28">
        <f t="shared" si="140"/>
        <v>0</v>
      </c>
      <c r="X1733" s="333">
        <f t="shared" si="141"/>
        <v>0</v>
      </c>
      <c r="Y1733" s="333">
        <f t="shared" si="142"/>
        <v>0</v>
      </c>
    </row>
    <row r="1734" spans="1:25" s="2" customFormat="1" ht="21.95" customHeight="1">
      <c r="A1734" s="82">
        <v>10</v>
      </c>
      <c r="B1734" s="91" t="str">
        <f t="shared" si="143"/>
        <v>205.C</v>
      </c>
      <c r="C1734" s="83" t="s">
        <v>366</v>
      </c>
      <c r="D1734" s="81" t="s">
        <v>2218</v>
      </c>
      <c r="E1734" s="48">
        <v>400081</v>
      </c>
      <c r="F1734" s="30" t="s">
        <v>2226</v>
      </c>
      <c r="G1734" s="29" t="s">
        <v>28</v>
      </c>
      <c r="H1734" s="30" t="s">
        <v>135</v>
      </c>
      <c r="I1734" s="78"/>
      <c r="J1734" s="20"/>
      <c r="K1734" s="20"/>
      <c r="L1734" s="20"/>
      <c r="M1734" s="20"/>
      <c r="N1734" s="320" t="s">
        <v>2685</v>
      </c>
      <c r="O1734" s="70">
        <v>0</v>
      </c>
      <c r="P1734" s="70">
        <v>0</v>
      </c>
      <c r="Q1734" s="70">
        <f t="shared" si="138"/>
        <v>0</v>
      </c>
      <c r="R1734" s="70"/>
      <c r="S1734" s="67"/>
      <c r="T1734" s="2" t="str">
        <f t="shared" si="139"/>
        <v>Huỳnh Nguyễn Ngọc Thư_10VH2</v>
      </c>
      <c r="U1734" s="28">
        <f t="array" ref="U1734">IFERROR(VLOOKUP($T1734,'Nghi hoc T12'!$H$7:$I$160,2,0),0)</f>
        <v>0</v>
      </c>
      <c r="V1734" s="28"/>
      <c r="W1734" s="28">
        <f t="shared" si="140"/>
        <v>0</v>
      </c>
      <c r="X1734" s="333">
        <f t="shared" si="141"/>
        <v>0</v>
      </c>
      <c r="Y1734" s="333">
        <f t="shared" si="142"/>
        <v>0</v>
      </c>
    </row>
    <row r="1735" spans="1:25" s="2" customFormat="1" ht="21.95" customHeight="1">
      <c r="A1735" s="82">
        <v>11</v>
      </c>
      <c r="B1735" s="91" t="str">
        <f t="shared" si="143"/>
        <v>205.C</v>
      </c>
      <c r="C1735" s="83" t="s">
        <v>366</v>
      </c>
      <c r="D1735" s="81" t="s">
        <v>2218</v>
      </c>
      <c r="E1735" s="48">
        <v>400082</v>
      </c>
      <c r="F1735" s="30" t="s">
        <v>2227</v>
      </c>
      <c r="G1735" s="29" t="s">
        <v>28</v>
      </c>
      <c r="H1735" s="30" t="s">
        <v>134</v>
      </c>
      <c r="I1735" s="78"/>
      <c r="J1735" s="20"/>
      <c r="K1735" s="20"/>
      <c r="L1735" s="20"/>
      <c r="M1735" s="20"/>
      <c r="N1735" s="320" t="s">
        <v>2685</v>
      </c>
      <c r="O1735" s="70">
        <v>0</v>
      </c>
      <c r="P1735" s="70">
        <v>0</v>
      </c>
      <c r="Q1735" s="70">
        <f t="shared" si="138"/>
        <v>0</v>
      </c>
      <c r="R1735" s="70"/>
      <c r="S1735" s="67"/>
      <c r="T1735" s="2" t="str">
        <f t="shared" si="139"/>
        <v>Huỳnh Võ Minh Thư_10VH1</v>
      </c>
      <c r="U1735" s="28">
        <f t="array" ref="U1735">IFERROR(VLOOKUP($T1735,'Nghi hoc T12'!$H$7:$I$160,2,0),0)</f>
        <v>0</v>
      </c>
      <c r="V1735" s="28"/>
      <c r="W1735" s="28">
        <f t="shared" si="140"/>
        <v>0</v>
      </c>
      <c r="X1735" s="333">
        <f t="shared" si="141"/>
        <v>0</v>
      </c>
      <c r="Y1735" s="333">
        <f t="shared" si="142"/>
        <v>0</v>
      </c>
    </row>
    <row r="1736" spans="1:25" s="2" customFormat="1" ht="21.95" customHeight="1">
      <c r="A1736" s="82">
        <v>12</v>
      </c>
      <c r="B1736" s="91" t="str">
        <f t="shared" si="143"/>
        <v>205.C</v>
      </c>
      <c r="C1736" s="83" t="s">
        <v>366</v>
      </c>
      <c r="D1736" s="81" t="s">
        <v>2218</v>
      </c>
      <c r="E1736" s="48">
        <v>400083</v>
      </c>
      <c r="F1736" s="30" t="s">
        <v>2228</v>
      </c>
      <c r="G1736" s="29" t="s">
        <v>1322</v>
      </c>
      <c r="H1736" s="30" t="s">
        <v>134</v>
      </c>
      <c r="I1736" s="78"/>
      <c r="J1736" s="20"/>
      <c r="K1736" s="20"/>
      <c r="L1736" s="20"/>
      <c r="M1736" s="20"/>
      <c r="N1736" s="320" t="s">
        <v>2685</v>
      </c>
      <c r="O1736" s="70">
        <v>0</v>
      </c>
      <c r="P1736" s="70">
        <v>0</v>
      </c>
      <c r="Q1736" s="70">
        <f t="shared" si="138"/>
        <v>0</v>
      </c>
      <c r="R1736" s="70"/>
      <c r="S1736" s="67"/>
      <c r="T1736" s="2" t="str">
        <f t="shared" si="139"/>
        <v>Văn Tấn Hoàng Thức_10VH1</v>
      </c>
      <c r="U1736" s="28">
        <f t="array" ref="U1736">IFERROR(VLOOKUP($T1736,'Nghi hoc T12'!$H$7:$I$160,2,0),0)</f>
        <v>0</v>
      </c>
      <c r="V1736" s="28"/>
      <c r="W1736" s="28">
        <f t="shared" si="140"/>
        <v>0</v>
      </c>
      <c r="X1736" s="333">
        <f t="shared" si="141"/>
        <v>0</v>
      </c>
      <c r="Y1736" s="333">
        <f t="shared" si="142"/>
        <v>0</v>
      </c>
    </row>
    <row r="1737" spans="1:25" s="2" customFormat="1" ht="21.95" customHeight="1">
      <c r="A1737" s="82">
        <v>13</v>
      </c>
      <c r="B1737" s="91" t="str">
        <f t="shared" si="143"/>
        <v>205.C</v>
      </c>
      <c r="C1737" s="83" t="s">
        <v>366</v>
      </c>
      <c r="D1737" s="81" t="s">
        <v>2218</v>
      </c>
      <c r="E1737" s="48">
        <v>400084</v>
      </c>
      <c r="F1737" s="30" t="s">
        <v>151</v>
      </c>
      <c r="G1737" s="29" t="s">
        <v>72</v>
      </c>
      <c r="H1737" s="30" t="s">
        <v>135</v>
      </c>
      <c r="I1737" s="78"/>
      <c r="J1737" s="20"/>
      <c r="K1737" s="20"/>
      <c r="L1737" s="20"/>
      <c r="M1737" s="20"/>
      <c r="N1737" s="320" t="s">
        <v>2685</v>
      </c>
      <c r="O1737" s="70">
        <v>0</v>
      </c>
      <c r="P1737" s="70">
        <v>0</v>
      </c>
      <c r="Q1737" s="70">
        <f t="shared" si="138"/>
        <v>0</v>
      </c>
      <c r="R1737" s="70"/>
      <c r="S1737" s="67"/>
      <c r="T1737" s="2" t="str">
        <f t="shared" si="139"/>
        <v>Nguyễn Hoàng Tín_10VH2</v>
      </c>
      <c r="U1737" s="28">
        <f t="array" ref="U1737">IFERROR(VLOOKUP($T1737,'Nghi hoc T12'!$H$7:$I$160,2,0),0)</f>
        <v>0</v>
      </c>
      <c r="V1737" s="28"/>
      <c r="W1737" s="28">
        <f t="shared" si="140"/>
        <v>0</v>
      </c>
      <c r="X1737" s="333">
        <f t="shared" si="141"/>
        <v>0</v>
      </c>
      <c r="Y1737" s="333">
        <f t="shared" si="142"/>
        <v>0</v>
      </c>
    </row>
    <row r="1738" spans="1:25" s="2" customFormat="1" ht="21.95" customHeight="1">
      <c r="A1738" s="82">
        <v>14</v>
      </c>
      <c r="B1738" s="91" t="str">
        <f t="shared" si="143"/>
        <v>205.C</v>
      </c>
      <c r="C1738" s="83" t="s">
        <v>366</v>
      </c>
      <c r="D1738" s="81" t="s">
        <v>2218</v>
      </c>
      <c r="E1738" s="48">
        <v>400085</v>
      </c>
      <c r="F1738" s="30" t="s">
        <v>2229</v>
      </c>
      <c r="G1738" s="29" t="s">
        <v>30</v>
      </c>
      <c r="H1738" s="30" t="s">
        <v>135</v>
      </c>
      <c r="I1738" s="78"/>
      <c r="J1738" s="20"/>
      <c r="K1738" s="20"/>
      <c r="L1738" s="20"/>
      <c r="M1738" s="20"/>
      <c r="N1738" s="320" t="s">
        <v>2685</v>
      </c>
      <c r="O1738" s="70">
        <v>0</v>
      </c>
      <c r="P1738" s="70">
        <v>0</v>
      </c>
      <c r="Q1738" s="70">
        <f t="shared" ref="Q1738:Q1801" si="144">U1738</f>
        <v>0</v>
      </c>
      <c r="R1738" s="70"/>
      <c r="S1738" s="67"/>
      <c r="T1738" s="2" t="str">
        <f t="shared" ref="T1738:T1801" si="145">TRIM(F1738&amp;" "&amp;G1738&amp;"_"&amp;H1738)</f>
        <v>Võ Thị Thiên Trang_10VH2</v>
      </c>
      <c r="U1738" s="28">
        <f t="array" ref="U1738">IFERROR(VLOOKUP($T1738,'Nghi hoc T12'!$H$7:$I$160,2,0),0)</f>
        <v>0</v>
      </c>
      <c r="V1738" s="28"/>
      <c r="W1738" s="28">
        <f t="shared" ref="W1738:W1801" si="146">I1738</f>
        <v>0</v>
      </c>
      <c r="X1738" s="333">
        <f t="shared" ref="X1738:X1801" si="147">O1738</f>
        <v>0</v>
      </c>
      <c r="Y1738" s="333">
        <f t="shared" ref="Y1738:Y1801" si="148">P1738</f>
        <v>0</v>
      </c>
    </row>
    <row r="1739" spans="1:25" s="2" customFormat="1" ht="21.95" customHeight="1">
      <c r="A1739" s="82">
        <v>15</v>
      </c>
      <c r="B1739" s="91" t="str">
        <f t="shared" ref="B1739:B1802" si="149">RIGHT(D1739,LEN(D1739)-2)&amp;"."&amp;LEFT(N1739,1)</f>
        <v>205.C</v>
      </c>
      <c r="C1739" s="83" t="s">
        <v>366</v>
      </c>
      <c r="D1739" s="81" t="s">
        <v>2218</v>
      </c>
      <c r="E1739" s="48">
        <v>400086</v>
      </c>
      <c r="F1739" s="30" t="s">
        <v>2230</v>
      </c>
      <c r="G1739" s="29" t="s">
        <v>29</v>
      </c>
      <c r="H1739" s="30" t="s">
        <v>134</v>
      </c>
      <c r="I1739" s="78"/>
      <c r="J1739" s="20"/>
      <c r="K1739" s="20"/>
      <c r="L1739" s="20"/>
      <c r="M1739" s="20"/>
      <c r="N1739" s="320" t="s">
        <v>2685</v>
      </c>
      <c r="O1739" s="70">
        <v>0</v>
      </c>
      <c r="P1739" s="70">
        <v>0</v>
      </c>
      <c r="Q1739" s="70">
        <f t="shared" si="144"/>
        <v>0</v>
      </c>
      <c r="R1739" s="70"/>
      <c r="S1739" s="67"/>
      <c r="T1739" s="2" t="str">
        <f t="shared" si="145"/>
        <v>Lương Thị Bích Trâm_10VH1</v>
      </c>
      <c r="U1739" s="28">
        <f t="array" ref="U1739">IFERROR(VLOOKUP($T1739,'Nghi hoc T12'!$H$7:$I$160,2,0),0)</f>
        <v>0</v>
      </c>
      <c r="V1739" s="28"/>
      <c r="W1739" s="28">
        <f t="shared" si="146"/>
        <v>0</v>
      </c>
      <c r="X1739" s="333">
        <f t="shared" si="147"/>
        <v>0</v>
      </c>
      <c r="Y1739" s="333">
        <f t="shared" si="148"/>
        <v>0</v>
      </c>
    </row>
    <row r="1740" spans="1:25" s="2" customFormat="1" ht="21.95" customHeight="1">
      <c r="A1740" s="82">
        <v>16</v>
      </c>
      <c r="B1740" s="91" t="str">
        <f t="shared" si="149"/>
        <v>205.C</v>
      </c>
      <c r="C1740" s="83" t="s">
        <v>366</v>
      </c>
      <c r="D1740" s="81" t="s">
        <v>2218</v>
      </c>
      <c r="E1740" s="48">
        <v>400087</v>
      </c>
      <c r="F1740" s="30" t="s">
        <v>2231</v>
      </c>
      <c r="G1740" s="29" t="s">
        <v>81</v>
      </c>
      <c r="H1740" s="30" t="s">
        <v>135</v>
      </c>
      <c r="I1740" s="78"/>
      <c r="J1740" s="20"/>
      <c r="K1740" s="20"/>
      <c r="L1740" s="20"/>
      <c r="M1740" s="20"/>
      <c r="N1740" s="320" t="s">
        <v>2685</v>
      </c>
      <c r="O1740" s="70">
        <v>0</v>
      </c>
      <c r="P1740" s="70">
        <v>0</v>
      </c>
      <c r="Q1740" s="70">
        <f t="shared" si="144"/>
        <v>0</v>
      </c>
      <c r="R1740" s="70"/>
      <c r="S1740" s="67"/>
      <c r="T1740" s="2" t="str">
        <f t="shared" si="145"/>
        <v>Bùi Thái Trân_10VH2</v>
      </c>
      <c r="U1740" s="28">
        <f t="array" ref="U1740">IFERROR(VLOOKUP($T1740,'Nghi hoc T12'!$H$7:$I$160,2,0),0)</f>
        <v>0</v>
      </c>
      <c r="V1740" s="28"/>
      <c r="W1740" s="28">
        <f t="shared" si="146"/>
        <v>0</v>
      </c>
      <c r="X1740" s="333">
        <f t="shared" si="147"/>
        <v>0</v>
      </c>
      <c r="Y1740" s="333">
        <f t="shared" si="148"/>
        <v>0</v>
      </c>
    </row>
    <row r="1741" spans="1:25" s="2" customFormat="1" ht="21.95" customHeight="1">
      <c r="A1741" s="82">
        <v>17</v>
      </c>
      <c r="B1741" s="91" t="str">
        <f t="shared" si="149"/>
        <v>205.C</v>
      </c>
      <c r="C1741" s="83" t="s">
        <v>366</v>
      </c>
      <c r="D1741" s="81" t="s">
        <v>2218</v>
      </c>
      <c r="E1741" s="48">
        <v>400088</v>
      </c>
      <c r="F1741" s="30" t="s">
        <v>2232</v>
      </c>
      <c r="G1741" s="29" t="s">
        <v>273</v>
      </c>
      <c r="H1741" s="30" t="s">
        <v>135</v>
      </c>
      <c r="I1741" s="78"/>
      <c r="J1741" s="20"/>
      <c r="K1741" s="20"/>
      <c r="L1741" s="20"/>
      <c r="M1741" s="20"/>
      <c r="N1741" s="320" t="s">
        <v>2685</v>
      </c>
      <c r="O1741" s="70">
        <v>0</v>
      </c>
      <c r="P1741" s="70">
        <v>0</v>
      </c>
      <c r="Q1741" s="70">
        <f t="shared" si="144"/>
        <v>0</v>
      </c>
      <c r="R1741" s="70"/>
      <c r="S1741" s="67"/>
      <c r="T1741" s="2" t="str">
        <f t="shared" si="145"/>
        <v>Trương Hải Triều_10VH2</v>
      </c>
      <c r="U1741" s="28">
        <f t="array" ref="U1741">IFERROR(VLOOKUP($T1741,'Nghi hoc T12'!$H$7:$I$160,2,0),0)</f>
        <v>0</v>
      </c>
      <c r="V1741" s="28"/>
      <c r="W1741" s="28">
        <f t="shared" si="146"/>
        <v>0</v>
      </c>
      <c r="X1741" s="333">
        <f t="shared" si="147"/>
        <v>0</v>
      </c>
      <c r="Y1741" s="333">
        <f t="shared" si="148"/>
        <v>0</v>
      </c>
    </row>
    <row r="1742" spans="1:25" s="2" customFormat="1" ht="21.95" customHeight="1">
      <c r="A1742" s="82">
        <v>18</v>
      </c>
      <c r="B1742" s="91" t="str">
        <f t="shared" si="149"/>
        <v>205.C</v>
      </c>
      <c r="C1742" s="83" t="s">
        <v>366</v>
      </c>
      <c r="D1742" s="81" t="s">
        <v>2218</v>
      </c>
      <c r="E1742" s="48">
        <v>400089</v>
      </c>
      <c r="F1742" s="30" t="s">
        <v>2233</v>
      </c>
      <c r="G1742" s="29" t="s">
        <v>31</v>
      </c>
      <c r="H1742" s="30" t="s">
        <v>134</v>
      </c>
      <c r="I1742" s="78"/>
      <c r="J1742" s="20"/>
      <c r="K1742" s="20"/>
      <c r="L1742" s="20"/>
      <c r="M1742" s="20"/>
      <c r="N1742" s="320" t="s">
        <v>2685</v>
      </c>
      <c r="O1742" s="70">
        <v>0</v>
      </c>
      <c r="P1742" s="70">
        <v>0</v>
      </c>
      <c r="Q1742" s="70">
        <f t="shared" si="144"/>
        <v>0</v>
      </c>
      <c r="R1742" s="70"/>
      <c r="S1742" s="67"/>
      <c r="T1742" s="2" t="str">
        <f t="shared" si="145"/>
        <v>Danh Thị Thùy Trúc_10VH1</v>
      </c>
      <c r="U1742" s="28">
        <f t="array" ref="U1742">IFERROR(VLOOKUP($T1742,'Nghi hoc T12'!$H$7:$I$160,2,0),0)</f>
        <v>0</v>
      </c>
      <c r="V1742" s="28"/>
      <c r="W1742" s="28">
        <f t="shared" si="146"/>
        <v>0</v>
      </c>
      <c r="X1742" s="333">
        <f t="shared" si="147"/>
        <v>0</v>
      </c>
      <c r="Y1742" s="333">
        <f t="shared" si="148"/>
        <v>0</v>
      </c>
    </row>
    <row r="1743" spans="1:25" s="2" customFormat="1" ht="21.95" customHeight="1">
      <c r="A1743" s="82">
        <v>19</v>
      </c>
      <c r="B1743" s="91" t="str">
        <f t="shared" si="149"/>
        <v>205.C</v>
      </c>
      <c r="C1743" s="83" t="s">
        <v>366</v>
      </c>
      <c r="D1743" s="81" t="s">
        <v>2218</v>
      </c>
      <c r="E1743" s="48">
        <v>400090</v>
      </c>
      <c r="F1743" s="30" t="s">
        <v>64</v>
      </c>
      <c r="G1743" s="29" t="s">
        <v>164</v>
      </c>
      <c r="H1743" s="30" t="s">
        <v>134</v>
      </c>
      <c r="I1743" s="78"/>
      <c r="J1743" s="20"/>
      <c r="K1743" s="20"/>
      <c r="L1743" s="20"/>
      <c r="M1743" s="20"/>
      <c r="N1743" s="320" t="s">
        <v>2685</v>
      </c>
      <c r="O1743" s="70">
        <v>0</v>
      </c>
      <c r="P1743" s="70">
        <v>0</v>
      </c>
      <c r="Q1743" s="70">
        <f t="shared" si="144"/>
        <v>0</v>
      </c>
      <c r="R1743" s="70"/>
      <c r="S1743" s="67"/>
      <c r="T1743" s="2" t="str">
        <f t="shared" si="145"/>
        <v>Nguyễn Xuân Trường_10VH1</v>
      </c>
      <c r="U1743" s="28">
        <f t="array" ref="U1743">IFERROR(VLOOKUP($T1743,'Nghi hoc T12'!$H$7:$I$160,2,0),0)</f>
        <v>0</v>
      </c>
      <c r="V1743" s="28"/>
      <c r="W1743" s="28">
        <f t="shared" si="146"/>
        <v>0</v>
      </c>
      <c r="X1743" s="333">
        <f t="shared" si="147"/>
        <v>0</v>
      </c>
      <c r="Y1743" s="333">
        <f t="shared" si="148"/>
        <v>0</v>
      </c>
    </row>
    <row r="1744" spans="1:25" s="2" customFormat="1" ht="21.95" customHeight="1">
      <c r="A1744" s="82">
        <v>20</v>
      </c>
      <c r="B1744" s="91" t="str">
        <f t="shared" si="149"/>
        <v>205.C</v>
      </c>
      <c r="C1744" s="83" t="s">
        <v>366</v>
      </c>
      <c r="D1744" s="81" t="s">
        <v>2218</v>
      </c>
      <c r="E1744" s="48">
        <v>400091</v>
      </c>
      <c r="F1744" s="30" t="s">
        <v>2234</v>
      </c>
      <c r="G1744" s="29" t="s">
        <v>51</v>
      </c>
      <c r="H1744" s="30" t="s">
        <v>135</v>
      </c>
      <c r="I1744" s="78"/>
      <c r="J1744" s="20"/>
      <c r="K1744" s="20"/>
      <c r="L1744" s="20"/>
      <c r="M1744" s="20"/>
      <c r="N1744" s="320" t="s">
        <v>2685</v>
      </c>
      <c r="O1744" s="70">
        <v>0</v>
      </c>
      <c r="P1744" s="70">
        <v>0</v>
      </c>
      <c r="Q1744" s="70">
        <f t="shared" si="144"/>
        <v>0</v>
      </c>
      <c r="R1744" s="70"/>
      <c r="S1744" s="67"/>
      <c r="T1744" s="2" t="str">
        <f t="shared" si="145"/>
        <v>Nguyễn Hoàng Hoa Tú_10VH2</v>
      </c>
      <c r="U1744" s="28">
        <f t="array" ref="U1744">IFERROR(VLOOKUP($T1744,'Nghi hoc T12'!$H$7:$I$160,2,0),0)</f>
        <v>0</v>
      </c>
      <c r="V1744" s="28"/>
      <c r="W1744" s="28">
        <f t="shared" si="146"/>
        <v>0</v>
      </c>
      <c r="X1744" s="333">
        <f t="shared" si="147"/>
        <v>0</v>
      </c>
      <c r="Y1744" s="333">
        <f t="shared" si="148"/>
        <v>0</v>
      </c>
    </row>
    <row r="1745" spans="1:25" s="2" customFormat="1" ht="21.95" customHeight="1">
      <c r="A1745" s="82">
        <v>21</v>
      </c>
      <c r="B1745" s="91" t="str">
        <f t="shared" si="149"/>
        <v>205.C</v>
      </c>
      <c r="C1745" s="83" t="s">
        <v>366</v>
      </c>
      <c r="D1745" s="81" t="s">
        <v>2218</v>
      </c>
      <c r="E1745" s="48">
        <v>400092</v>
      </c>
      <c r="F1745" s="30" t="s">
        <v>2235</v>
      </c>
      <c r="G1745" s="29" t="s">
        <v>52</v>
      </c>
      <c r="H1745" s="30" t="s">
        <v>135</v>
      </c>
      <c r="I1745" s="78"/>
      <c r="J1745" s="20"/>
      <c r="K1745" s="20"/>
      <c r="L1745" s="20"/>
      <c r="M1745" s="20"/>
      <c r="N1745" s="320" t="s">
        <v>2685</v>
      </c>
      <c r="O1745" s="70">
        <v>0</v>
      </c>
      <c r="P1745" s="70">
        <v>0</v>
      </c>
      <c r="Q1745" s="70">
        <f t="shared" si="144"/>
        <v>0</v>
      </c>
      <c r="R1745" s="70"/>
      <c r="S1745" s="67"/>
      <c r="T1745" s="2" t="str">
        <f t="shared" si="145"/>
        <v>Thạch Phương Tuấn_10VH2</v>
      </c>
      <c r="U1745" s="28">
        <f t="array" ref="U1745">IFERROR(VLOOKUP($T1745,'Nghi hoc T12'!$H$7:$I$160,2,0),0)</f>
        <v>0</v>
      </c>
      <c r="V1745" s="28"/>
      <c r="W1745" s="28">
        <f t="shared" si="146"/>
        <v>0</v>
      </c>
      <c r="X1745" s="333">
        <f t="shared" si="147"/>
        <v>0</v>
      </c>
      <c r="Y1745" s="333">
        <f t="shared" si="148"/>
        <v>0</v>
      </c>
    </row>
    <row r="1746" spans="1:25" s="2" customFormat="1" ht="21.95" customHeight="1">
      <c r="A1746" s="82">
        <v>22</v>
      </c>
      <c r="B1746" s="91" t="str">
        <f t="shared" si="149"/>
        <v>205.C</v>
      </c>
      <c r="C1746" s="83" t="s">
        <v>366</v>
      </c>
      <c r="D1746" s="81" t="s">
        <v>2218</v>
      </c>
      <c r="E1746" s="48">
        <v>400093</v>
      </c>
      <c r="F1746" s="30" t="s">
        <v>2236</v>
      </c>
      <c r="G1746" s="29" t="s">
        <v>188</v>
      </c>
      <c r="H1746" s="30" t="s">
        <v>134</v>
      </c>
      <c r="I1746" s="78"/>
      <c r="J1746" s="20"/>
      <c r="K1746" s="20"/>
      <c r="L1746" s="20"/>
      <c r="M1746" s="20"/>
      <c r="N1746" s="320" t="s">
        <v>2685</v>
      </c>
      <c r="O1746" s="70">
        <v>0</v>
      </c>
      <c r="P1746" s="70">
        <v>0</v>
      </c>
      <c r="Q1746" s="70">
        <f t="shared" si="144"/>
        <v>0</v>
      </c>
      <c r="R1746" s="70"/>
      <c r="S1746" s="67"/>
      <c r="T1746" s="2" t="str">
        <f t="shared" si="145"/>
        <v>Đỗ Ngọc Phương Uyên_10VH1</v>
      </c>
      <c r="U1746" s="28">
        <f t="array" ref="U1746">IFERROR(VLOOKUP($T1746,'Nghi hoc T12'!$H$7:$I$160,2,0),0)</f>
        <v>0</v>
      </c>
      <c r="V1746" s="28"/>
      <c r="W1746" s="28">
        <f t="shared" si="146"/>
        <v>0</v>
      </c>
      <c r="X1746" s="333">
        <f t="shared" si="147"/>
        <v>0</v>
      </c>
      <c r="Y1746" s="333">
        <f t="shared" si="148"/>
        <v>0</v>
      </c>
    </row>
    <row r="1747" spans="1:25" s="2" customFormat="1" ht="21.95" customHeight="1">
      <c r="A1747" s="82">
        <v>23</v>
      </c>
      <c r="B1747" s="91" t="str">
        <f t="shared" si="149"/>
        <v>205.C</v>
      </c>
      <c r="C1747" s="83" t="s">
        <v>366</v>
      </c>
      <c r="D1747" s="81" t="s">
        <v>2218</v>
      </c>
      <c r="E1747" s="48">
        <v>400094</v>
      </c>
      <c r="F1747" s="30" t="s">
        <v>2237</v>
      </c>
      <c r="G1747" s="29" t="s">
        <v>75</v>
      </c>
      <c r="H1747" s="30" t="s">
        <v>134</v>
      </c>
      <c r="I1747" s="78"/>
      <c r="J1747" s="20"/>
      <c r="K1747" s="20"/>
      <c r="L1747" s="20"/>
      <c r="M1747" s="20"/>
      <c r="N1747" s="320" t="s">
        <v>2685</v>
      </c>
      <c r="O1747" s="70">
        <v>0</v>
      </c>
      <c r="P1747" s="70">
        <v>0</v>
      </c>
      <c r="Q1747" s="70">
        <f t="shared" si="144"/>
        <v>0</v>
      </c>
      <c r="R1747" s="70"/>
      <c r="S1747" s="67"/>
      <c r="T1747" s="2" t="str">
        <f t="shared" si="145"/>
        <v>Huỳnh Thị Ngọc Ý_10VH1</v>
      </c>
      <c r="U1747" s="28">
        <f t="array" ref="U1747">IFERROR(VLOOKUP($T1747,'Nghi hoc T12'!$H$7:$I$160,2,0),0)</f>
        <v>0</v>
      </c>
      <c r="V1747" s="28"/>
      <c r="W1747" s="28">
        <f t="shared" si="146"/>
        <v>0</v>
      </c>
      <c r="X1747" s="333">
        <f t="shared" si="147"/>
        <v>0</v>
      </c>
      <c r="Y1747" s="333">
        <f t="shared" si="148"/>
        <v>0</v>
      </c>
    </row>
    <row r="1748" spans="1:25" s="2" customFormat="1" ht="21.95" customHeight="1">
      <c r="A1748" s="321">
        <v>1</v>
      </c>
      <c r="B1748" s="91" t="str">
        <f t="shared" si="149"/>
        <v>206.C</v>
      </c>
      <c r="C1748" s="185" t="s">
        <v>365</v>
      </c>
      <c r="D1748" s="186" t="s">
        <v>2238</v>
      </c>
      <c r="E1748" s="187">
        <v>400095</v>
      </c>
      <c r="F1748" s="188" t="s">
        <v>2239</v>
      </c>
      <c r="G1748" s="189" t="s">
        <v>63</v>
      </c>
      <c r="H1748" s="188" t="s">
        <v>137</v>
      </c>
      <c r="I1748" s="190"/>
      <c r="J1748" s="191"/>
      <c r="K1748" s="191"/>
      <c r="L1748" s="191"/>
      <c r="M1748" s="191"/>
      <c r="N1748" s="320" t="s">
        <v>2685</v>
      </c>
      <c r="O1748" s="70">
        <v>0</v>
      </c>
      <c r="P1748" s="70">
        <v>0</v>
      </c>
      <c r="Q1748" s="70">
        <f t="shared" si="144"/>
        <v>0</v>
      </c>
      <c r="R1748" s="70"/>
      <c r="S1748" s="67"/>
      <c r="T1748" s="2" t="str">
        <f t="shared" si="145"/>
        <v>Bùi Thúy An_10VH4</v>
      </c>
      <c r="U1748" s="28">
        <f t="array" ref="U1748">IFERROR(VLOOKUP($T1748,'Nghi hoc T12'!$H$7:$I$160,2,0),0)</f>
        <v>0</v>
      </c>
      <c r="V1748" s="28"/>
      <c r="W1748" s="28">
        <f t="shared" si="146"/>
        <v>0</v>
      </c>
      <c r="X1748" s="333">
        <f t="shared" si="147"/>
        <v>0</v>
      </c>
      <c r="Y1748" s="333">
        <f t="shared" si="148"/>
        <v>0</v>
      </c>
    </row>
    <row r="1749" spans="1:25" s="2" customFormat="1" ht="21.95" customHeight="1">
      <c r="A1749" s="82">
        <v>2</v>
      </c>
      <c r="B1749" s="91" t="str">
        <f t="shared" si="149"/>
        <v>206.C</v>
      </c>
      <c r="C1749" s="83" t="s">
        <v>365</v>
      </c>
      <c r="D1749" s="81" t="s">
        <v>2238</v>
      </c>
      <c r="E1749" s="48">
        <v>400096</v>
      </c>
      <c r="F1749" s="30" t="s">
        <v>2240</v>
      </c>
      <c r="G1749" s="29" t="s">
        <v>63</v>
      </c>
      <c r="H1749" s="30" t="s">
        <v>2241</v>
      </c>
      <c r="I1749" s="78"/>
      <c r="J1749" s="20"/>
      <c r="K1749" s="20"/>
      <c r="L1749" s="20"/>
      <c r="M1749" s="20"/>
      <c r="N1749" s="320" t="s">
        <v>2685</v>
      </c>
      <c r="O1749" s="70">
        <v>0</v>
      </c>
      <c r="P1749" s="70">
        <v>0</v>
      </c>
      <c r="Q1749" s="70">
        <f t="shared" si="144"/>
        <v>0</v>
      </c>
      <c r="R1749" s="70"/>
      <c r="S1749" s="67"/>
      <c r="T1749" s="2" t="str">
        <f t="shared" si="145"/>
        <v>Đặng La Hòa An_10VH5</v>
      </c>
      <c r="U1749" s="28">
        <f t="array" ref="U1749">IFERROR(VLOOKUP($T1749,'Nghi hoc T12'!$H$7:$I$160,2,0),0)</f>
        <v>0</v>
      </c>
      <c r="V1749" s="28"/>
      <c r="W1749" s="28">
        <f t="shared" si="146"/>
        <v>0</v>
      </c>
      <c r="X1749" s="333">
        <f t="shared" si="147"/>
        <v>0</v>
      </c>
      <c r="Y1749" s="333">
        <f t="shared" si="148"/>
        <v>0</v>
      </c>
    </row>
    <row r="1750" spans="1:25" s="2" customFormat="1" ht="21.95" customHeight="1">
      <c r="A1750" s="82">
        <v>3</v>
      </c>
      <c r="B1750" s="91" t="str">
        <f t="shared" si="149"/>
        <v>206.C</v>
      </c>
      <c r="C1750" s="83" t="s">
        <v>365</v>
      </c>
      <c r="D1750" s="81" t="s">
        <v>2238</v>
      </c>
      <c r="E1750" s="48">
        <v>400097</v>
      </c>
      <c r="F1750" s="30" t="s">
        <v>228</v>
      </c>
      <c r="G1750" s="29" t="s">
        <v>63</v>
      </c>
      <c r="H1750" s="30" t="s">
        <v>2242</v>
      </c>
      <c r="I1750" s="78"/>
      <c r="J1750" s="20"/>
      <c r="K1750" s="20"/>
      <c r="L1750" s="20"/>
      <c r="M1750" s="20"/>
      <c r="N1750" s="320" t="s">
        <v>2685</v>
      </c>
      <c r="O1750" s="70">
        <v>0</v>
      </c>
      <c r="P1750" s="70">
        <v>0</v>
      </c>
      <c r="Q1750" s="70">
        <f t="shared" si="144"/>
        <v>0</v>
      </c>
      <c r="R1750" s="70"/>
      <c r="S1750" s="67"/>
      <c r="T1750" s="2" t="str">
        <f t="shared" si="145"/>
        <v>Nguyễn Trần Bảo An_10VH3</v>
      </c>
      <c r="U1750" s="28">
        <f t="array" ref="U1750">IFERROR(VLOOKUP($T1750,'Nghi hoc T12'!$H$7:$I$160,2,0),0)</f>
        <v>0</v>
      </c>
      <c r="V1750" s="28"/>
      <c r="W1750" s="28">
        <f t="shared" si="146"/>
        <v>0</v>
      </c>
      <c r="X1750" s="333">
        <f t="shared" si="147"/>
        <v>0</v>
      </c>
      <c r="Y1750" s="333">
        <f t="shared" si="148"/>
        <v>0</v>
      </c>
    </row>
    <row r="1751" spans="1:25" s="2" customFormat="1" ht="21.95" customHeight="1">
      <c r="A1751" s="82">
        <v>4</v>
      </c>
      <c r="B1751" s="91" t="str">
        <f t="shared" si="149"/>
        <v>206.C</v>
      </c>
      <c r="C1751" s="83" t="s">
        <v>365</v>
      </c>
      <c r="D1751" s="81" t="s">
        <v>2238</v>
      </c>
      <c r="E1751" s="48">
        <v>400098</v>
      </c>
      <c r="F1751" s="30" t="s">
        <v>1475</v>
      </c>
      <c r="G1751" s="29" t="s">
        <v>5</v>
      </c>
      <c r="H1751" s="30" t="s">
        <v>137</v>
      </c>
      <c r="I1751" s="78"/>
      <c r="J1751" s="20"/>
      <c r="K1751" s="20"/>
      <c r="L1751" s="20"/>
      <c r="M1751" s="20"/>
      <c r="N1751" s="320" t="s">
        <v>2685</v>
      </c>
      <c r="O1751" s="70">
        <v>0</v>
      </c>
      <c r="P1751" s="70">
        <v>0</v>
      </c>
      <c r="Q1751" s="70">
        <f t="shared" si="144"/>
        <v>0</v>
      </c>
      <c r="R1751" s="70"/>
      <c r="S1751" s="67"/>
      <c r="T1751" s="2" t="str">
        <f t="shared" si="145"/>
        <v>Dương Hoài Anh_10VH4</v>
      </c>
      <c r="U1751" s="28">
        <f t="array" ref="U1751">IFERROR(VLOOKUP($T1751,'Nghi hoc T12'!$H$7:$I$160,2,0),0)</f>
        <v>0</v>
      </c>
      <c r="V1751" s="28"/>
      <c r="W1751" s="28">
        <f t="shared" si="146"/>
        <v>0</v>
      </c>
      <c r="X1751" s="333">
        <f t="shared" si="147"/>
        <v>0</v>
      </c>
      <c r="Y1751" s="333">
        <f t="shared" si="148"/>
        <v>0</v>
      </c>
    </row>
    <row r="1752" spans="1:25" s="2" customFormat="1" ht="21.95" customHeight="1">
      <c r="A1752" s="82">
        <v>5</v>
      </c>
      <c r="B1752" s="91" t="str">
        <f t="shared" si="149"/>
        <v>206.C</v>
      </c>
      <c r="C1752" s="83" t="s">
        <v>365</v>
      </c>
      <c r="D1752" s="81" t="s">
        <v>2238</v>
      </c>
      <c r="E1752" s="48">
        <v>400099</v>
      </c>
      <c r="F1752" s="30" t="s">
        <v>2243</v>
      </c>
      <c r="G1752" s="29" t="s">
        <v>5</v>
      </c>
      <c r="H1752" s="30" t="s">
        <v>2241</v>
      </c>
      <c r="I1752" s="78"/>
      <c r="J1752" s="20"/>
      <c r="K1752" s="20"/>
      <c r="L1752" s="20"/>
      <c r="M1752" s="20"/>
      <c r="N1752" s="320" t="s">
        <v>2685</v>
      </c>
      <c r="O1752" s="70">
        <v>0</v>
      </c>
      <c r="P1752" s="70">
        <v>0</v>
      </c>
      <c r="Q1752" s="70">
        <f t="shared" si="144"/>
        <v>0</v>
      </c>
      <c r="R1752" s="70"/>
      <c r="S1752" s="67"/>
      <c r="T1752" s="2" t="str">
        <f t="shared" si="145"/>
        <v>Hoàng Quỳnh Anh_10VH5</v>
      </c>
      <c r="U1752" s="28">
        <f t="array" ref="U1752">IFERROR(VLOOKUP($T1752,'Nghi hoc T12'!$H$7:$I$160,2,0),0)</f>
        <v>0</v>
      </c>
      <c r="V1752" s="28"/>
      <c r="W1752" s="28">
        <f t="shared" si="146"/>
        <v>0</v>
      </c>
      <c r="X1752" s="333">
        <f t="shared" si="147"/>
        <v>0</v>
      </c>
      <c r="Y1752" s="333">
        <f t="shared" si="148"/>
        <v>0</v>
      </c>
    </row>
    <row r="1753" spans="1:25" s="2" customFormat="1" ht="21.95" customHeight="1">
      <c r="A1753" s="82">
        <v>6</v>
      </c>
      <c r="B1753" s="91" t="str">
        <f t="shared" si="149"/>
        <v>206.C</v>
      </c>
      <c r="C1753" s="83" t="s">
        <v>365</v>
      </c>
      <c r="D1753" s="81" t="s">
        <v>2238</v>
      </c>
      <c r="E1753" s="48">
        <v>400100</v>
      </c>
      <c r="F1753" s="30" t="s">
        <v>2244</v>
      </c>
      <c r="G1753" s="29" t="s">
        <v>5</v>
      </c>
      <c r="H1753" s="30" t="s">
        <v>2242</v>
      </c>
      <c r="I1753" s="78"/>
      <c r="J1753" s="20"/>
      <c r="K1753" s="20"/>
      <c r="L1753" s="20"/>
      <c r="M1753" s="20"/>
      <c r="N1753" s="320" t="s">
        <v>2685</v>
      </c>
      <c r="O1753" s="70">
        <v>0</v>
      </c>
      <c r="P1753" s="70">
        <v>0</v>
      </c>
      <c r="Q1753" s="70">
        <f t="shared" si="144"/>
        <v>0</v>
      </c>
      <c r="R1753" s="70"/>
      <c r="S1753" s="67"/>
      <c r="T1753" s="2" t="str">
        <f t="shared" si="145"/>
        <v>Khổng Kiều Anh_10VH3</v>
      </c>
      <c r="U1753" s="28">
        <f t="array" ref="U1753">IFERROR(VLOOKUP($T1753,'Nghi hoc T12'!$H$7:$I$160,2,0),0)</f>
        <v>0</v>
      </c>
      <c r="V1753" s="28"/>
      <c r="W1753" s="28">
        <f t="shared" si="146"/>
        <v>0</v>
      </c>
      <c r="X1753" s="333">
        <f t="shared" si="147"/>
        <v>0</v>
      </c>
      <c r="Y1753" s="333">
        <f t="shared" si="148"/>
        <v>0</v>
      </c>
    </row>
    <row r="1754" spans="1:25" s="2" customFormat="1" ht="21.95" customHeight="1">
      <c r="A1754" s="82">
        <v>7</v>
      </c>
      <c r="B1754" s="91" t="str">
        <f t="shared" si="149"/>
        <v>206.C</v>
      </c>
      <c r="C1754" s="83" t="s">
        <v>365</v>
      </c>
      <c r="D1754" s="81" t="s">
        <v>2238</v>
      </c>
      <c r="E1754" s="48">
        <v>400101</v>
      </c>
      <c r="F1754" s="30" t="s">
        <v>237</v>
      </c>
      <c r="G1754" s="29" t="s">
        <v>5</v>
      </c>
      <c r="H1754" s="30" t="s">
        <v>137</v>
      </c>
      <c r="I1754" s="78"/>
      <c r="J1754" s="20"/>
      <c r="K1754" s="20"/>
      <c r="L1754" s="20"/>
      <c r="M1754" s="20"/>
      <c r="N1754" s="320" t="s">
        <v>2685</v>
      </c>
      <c r="O1754" s="70">
        <v>0</v>
      </c>
      <c r="P1754" s="70">
        <v>0</v>
      </c>
      <c r="Q1754" s="70">
        <f t="shared" si="144"/>
        <v>0</v>
      </c>
      <c r="R1754" s="70"/>
      <c r="S1754" s="67"/>
      <c r="T1754" s="2" t="str">
        <f t="shared" si="145"/>
        <v>Lê Bảo Anh_10VH4</v>
      </c>
      <c r="U1754" s="28">
        <f t="array" ref="U1754">IFERROR(VLOOKUP($T1754,'Nghi hoc T12'!$H$7:$I$160,2,0),0)</f>
        <v>0</v>
      </c>
      <c r="V1754" s="28"/>
      <c r="W1754" s="28">
        <f t="shared" si="146"/>
        <v>0</v>
      </c>
      <c r="X1754" s="333">
        <f t="shared" si="147"/>
        <v>0</v>
      </c>
      <c r="Y1754" s="333">
        <f t="shared" si="148"/>
        <v>0</v>
      </c>
    </row>
    <row r="1755" spans="1:25" s="2" customFormat="1" ht="21.95" customHeight="1">
      <c r="A1755" s="82">
        <v>8</v>
      </c>
      <c r="B1755" s="91" t="str">
        <f t="shared" si="149"/>
        <v>206.C</v>
      </c>
      <c r="C1755" s="83" t="s">
        <v>365</v>
      </c>
      <c r="D1755" s="81" t="s">
        <v>2238</v>
      </c>
      <c r="E1755" s="48">
        <v>400102</v>
      </c>
      <c r="F1755" s="30" t="s">
        <v>331</v>
      </c>
      <c r="G1755" s="29" t="s">
        <v>5</v>
      </c>
      <c r="H1755" s="30" t="s">
        <v>2241</v>
      </c>
      <c r="I1755" s="78"/>
      <c r="J1755" s="20"/>
      <c r="K1755" s="20"/>
      <c r="L1755" s="20"/>
      <c r="M1755" s="20"/>
      <c r="N1755" s="320" t="s">
        <v>2685</v>
      </c>
      <c r="O1755" s="70">
        <v>0</v>
      </c>
      <c r="P1755" s="70">
        <v>0</v>
      </c>
      <c r="Q1755" s="70">
        <f t="shared" si="144"/>
        <v>0</v>
      </c>
      <c r="R1755" s="70"/>
      <c r="S1755" s="67"/>
      <c r="T1755" s="2" t="str">
        <f t="shared" si="145"/>
        <v>Lê Đức Anh_10VH5</v>
      </c>
      <c r="U1755" s="28">
        <f t="array" ref="U1755">IFERROR(VLOOKUP($T1755,'Nghi hoc T12'!$H$7:$I$160,2,0),0)</f>
        <v>0</v>
      </c>
      <c r="V1755" s="28"/>
      <c r="W1755" s="28">
        <f t="shared" si="146"/>
        <v>0</v>
      </c>
      <c r="X1755" s="333">
        <f t="shared" si="147"/>
        <v>0</v>
      </c>
      <c r="Y1755" s="333">
        <f t="shared" si="148"/>
        <v>0</v>
      </c>
    </row>
    <row r="1756" spans="1:25" s="2" customFormat="1" ht="21.95" customHeight="1">
      <c r="A1756" s="82">
        <v>9</v>
      </c>
      <c r="B1756" s="91" t="str">
        <f t="shared" si="149"/>
        <v>206.C</v>
      </c>
      <c r="C1756" s="83" t="s">
        <v>365</v>
      </c>
      <c r="D1756" s="81" t="s">
        <v>2238</v>
      </c>
      <c r="E1756" s="48">
        <v>400103</v>
      </c>
      <c r="F1756" s="30" t="s">
        <v>315</v>
      </c>
      <c r="G1756" s="29" t="s">
        <v>5</v>
      </c>
      <c r="H1756" s="30" t="s">
        <v>2241</v>
      </c>
      <c r="I1756" s="78"/>
      <c r="J1756" s="20"/>
      <c r="K1756" s="20"/>
      <c r="L1756" s="20"/>
      <c r="M1756" s="20"/>
      <c r="N1756" s="320" t="s">
        <v>2685</v>
      </c>
      <c r="O1756" s="70">
        <v>0</v>
      </c>
      <c r="P1756" s="70">
        <v>0</v>
      </c>
      <c r="Q1756" s="70">
        <f t="shared" si="144"/>
        <v>0</v>
      </c>
      <c r="R1756" s="70"/>
      <c r="S1756" s="67"/>
      <c r="T1756" s="2" t="str">
        <f t="shared" si="145"/>
        <v>Nguyễn Tuấn Anh_10VH5</v>
      </c>
      <c r="U1756" s="28">
        <f t="array" ref="U1756">IFERROR(VLOOKUP($T1756,'Nghi hoc T12'!$H$7:$I$160,2,0),0)</f>
        <v>0</v>
      </c>
      <c r="V1756" s="28"/>
      <c r="W1756" s="28">
        <f t="shared" si="146"/>
        <v>0</v>
      </c>
      <c r="X1756" s="333">
        <f t="shared" si="147"/>
        <v>0</v>
      </c>
      <c r="Y1756" s="333">
        <f t="shared" si="148"/>
        <v>0</v>
      </c>
    </row>
    <row r="1757" spans="1:25" s="2" customFormat="1" ht="21.95" customHeight="1">
      <c r="A1757" s="82">
        <v>10</v>
      </c>
      <c r="B1757" s="91" t="str">
        <f t="shared" si="149"/>
        <v>206.C</v>
      </c>
      <c r="C1757" s="83" t="s">
        <v>365</v>
      </c>
      <c r="D1757" s="81" t="s">
        <v>2238</v>
      </c>
      <c r="E1757" s="48">
        <v>400104</v>
      </c>
      <c r="F1757" s="30" t="s">
        <v>2245</v>
      </c>
      <c r="G1757" s="29" t="s">
        <v>5</v>
      </c>
      <c r="H1757" s="30" t="s">
        <v>2242</v>
      </c>
      <c r="I1757" s="78"/>
      <c r="J1757" s="20"/>
      <c r="K1757" s="20"/>
      <c r="L1757" s="20"/>
      <c r="M1757" s="20"/>
      <c r="N1757" s="320" t="s">
        <v>2685</v>
      </c>
      <c r="O1757" s="70">
        <v>0</v>
      </c>
      <c r="P1757" s="70">
        <v>0</v>
      </c>
      <c r="Q1757" s="70">
        <f t="shared" si="144"/>
        <v>0</v>
      </c>
      <c r="R1757" s="70"/>
      <c r="S1757" s="67"/>
      <c r="T1757" s="2" t="str">
        <f t="shared" si="145"/>
        <v>Nguyễn Văn Đức Anh_10VH3</v>
      </c>
      <c r="U1757" s="28">
        <f t="array" ref="U1757">IFERROR(VLOOKUP($T1757,'Nghi hoc T12'!$H$7:$I$160,2,0),0)</f>
        <v>0</v>
      </c>
      <c r="V1757" s="28"/>
      <c r="W1757" s="28">
        <f t="shared" si="146"/>
        <v>0</v>
      </c>
      <c r="X1757" s="333">
        <f t="shared" si="147"/>
        <v>0</v>
      </c>
      <c r="Y1757" s="333">
        <f t="shared" si="148"/>
        <v>0</v>
      </c>
    </row>
    <row r="1758" spans="1:25" s="2" customFormat="1" ht="21.95" customHeight="1">
      <c r="A1758" s="82">
        <v>11</v>
      </c>
      <c r="B1758" s="91" t="str">
        <f t="shared" si="149"/>
        <v>206.C</v>
      </c>
      <c r="C1758" s="83" t="s">
        <v>365</v>
      </c>
      <c r="D1758" s="81" t="s">
        <v>2238</v>
      </c>
      <c r="E1758" s="48">
        <v>400105</v>
      </c>
      <c r="F1758" s="30" t="s">
        <v>249</v>
      </c>
      <c r="G1758" s="29" t="s">
        <v>108</v>
      </c>
      <c r="H1758" s="30" t="s">
        <v>137</v>
      </c>
      <c r="I1758" s="78"/>
      <c r="J1758" s="20"/>
      <c r="K1758" s="20"/>
      <c r="L1758" s="20"/>
      <c r="M1758" s="20"/>
      <c r="N1758" s="320" t="s">
        <v>2685</v>
      </c>
      <c r="O1758" s="70">
        <v>0</v>
      </c>
      <c r="P1758" s="70">
        <v>0</v>
      </c>
      <c r="Q1758" s="70">
        <f t="shared" si="144"/>
        <v>0</v>
      </c>
      <c r="R1758" s="70"/>
      <c r="S1758" s="67"/>
      <c r="T1758" s="2" t="str">
        <f t="shared" si="145"/>
        <v>Nguyễn Thiên Ân_10VH4</v>
      </c>
      <c r="U1758" s="28">
        <f t="array" ref="U1758">IFERROR(VLOOKUP($T1758,'Nghi hoc T12'!$H$7:$I$160,2,0),0)</f>
        <v>0</v>
      </c>
      <c r="V1758" s="28"/>
      <c r="W1758" s="28">
        <f t="shared" si="146"/>
        <v>0</v>
      </c>
      <c r="X1758" s="333">
        <f t="shared" si="147"/>
        <v>0</v>
      </c>
      <c r="Y1758" s="333">
        <f t="shared" si="148"/>
        <v>0</v>
      </c>
    </row>
    <row r="1759" spans="1:25" s="2" customFormat="1" ht="21.95" customHeight="1">
      <c r="A1759" s="82">
        <v>12</v>
      </c>
      <c r="B1759" s="91" t="str">
        <f t="shared" si="149"/>
        <v>206.C</v>
      </c>
      <c r="C1759" s="83" t="s">
        <v>365</v>
      </c>
      <c r="D1759" s="81" t="s">
        <v>2238</v>
      </c>
      <c r="E1759" s="48">
        <v>400106</v>
      </c>
      <c r="F1759" s="30" t="s">
        <v>291</v>
      </c>
      <c r="G1759" s="29" t="s">
        <v>108</v>
      </c>
      <c r="H1759" s="30" t="s">
        <v>2242</v>
      </c>
      <c r="I1759" s="78" t="s">
        <v>529</v>
      </c>
      <c r="J1759" s="20"/>
      <c r="K1759" s="20"/>
      <c r="L1759" s="20"/>
      <c r="M1759" s="20"/>
      <c r="N1759" s="320" t="s">
        <v>2685</v>
      </c>
      <c r="O1759" s="70">
        <v>0</v>
      </c>
      <c r="P1759" s="70">
        <v>0</v>
      </c>
      <c r="Q1759" s="70" t="str">
        <f t="shared" si="144"/>
        <v>NgiH</v>
      </c>
      <c r="R1759" s="70"/>
      <c r="S1759" s="67"/>
      <c r="T1759" s="2" t="str">
        <f t="shared" si="145"/>
        <v>Trần Ngọc Thiên Ân_10VH3</v>
      </c>
      <c r="U1759" s="28" t="s">
        <v>3334</v>
      </c>
      <c r="V1759" s="28"/>
      <c r="W1759" s="28" t="str">
        <f t="shared" si="146"/>
        <v>Nghỉ học</v>
      </c>
      <c r="X1759" s="333">
        <f t="shared" si="147"/>
        <v>0</v>
      </c>
      <c r="Y1759" s="333">
        <f t="shared" si="148"/>
        <v>0</v>
      </c>
    </row>
    <row r="1760" spans="1:25" s="2" customFormat="1" ht="21.95" customHeight="1">
      <c r="A1760" s="82">
        <v>13</v>
      </c>
      <c r="B1760" s="91" t="str">
        <f t="shared" si="149"/>
        <v>206.C</v>
      </c>
      <c r="C1760" s="83" t="s">
        <v>365</v>
      </c>
      <c r="D1760" s="81" t="s">
        <v>2238</v>
      </c>
      <c r="E1760" s="48">
        <v>400107</v>
      </c>
      <c r="F1760" s="30" t="s">
        <v>465</v>
      </c>
      <c r="G1760" s="29" t="s">
        <v>108</v>
      </c>
      <c r="H1760" s="30" t="s">
        <v>2241</v>
      </c>
      <c r="I1760" s="78"/>
      <c r="J1760" s="20"/>
      <c r="K1760" s="20"/>
      <c r="L1760" s="20"/>
      <c r="M1760" s="20"/>
      <c r="N1760" s="320" t="s">
        <v>2685</v>
      </c>
      <c r="O1760" s="70">
        <v>0</v>
      </c>
      <c r="P1760" s="70">
        <v>0</v>
      </c>
      <c r="Q1760" s="70">
        <f t="shared" si="144"/>
        <v>0</v>
      </c>
      <c r="R1760" s="70"/>
      <c r="S1760" s="67"/>
      <c r="T1760" s="2" t="str">
        <f t="shared" si="145"/>
        <v>Vũ Thiên Ân_10VH5</v>
      </c>
      <c r="U1760" s="28">
        <f t="array" ref="U1760">IFERROR(VLOOKUP($T1760,'Nghi hoc T12'!$H$7:$I$160,2,0),0)</f>
        <v>0</v>
      </c>
      <c r="V1760" s="28"/>
      <c r="W1760" s="28">
        <f t="shared" si="146"/>
        <v>0</v>
      </c>
      <c r="X1760" s="333">
        <f t="shared" si="147"/>
        <v>0</v>
      </c>
      <c r="Y1760" s="333">
        <f t="shared" si="148"/>
        <v>0</v>
      </c>
    </row>
    <row r="1761" spans="1:25" s="2" customFormat="1" ht="21.95" customHeight="1">
      <c r="A1761" s="82">
        <v>14</v>
      </c>
      <c r="B1761" s="91" t="str">
        <f t="shared" si="149"/>
        <v>206.C</v>
      </c>
      <c r="C1761" s="83" t="s">
        <v>365</v>
      </c>
      <c r="D1761" s="81" t="s">
        <v>2238</v>
      </c>
      <c r="E1761" s="48">
        <v>400108</v>
      </c>
      <c r="F1761" s="30" t="s">
        <v>2246</v>
      </c>
      <c r="G1761" s="29" t="s">
        <v>83</v>
      </c>
      <c r="H1761" s="30" t="s">
        <v>2242</v>
      </c>
      <c r="I1761" s="78"/>
      <c r="J1761" s="20"/>
      <c r="K1761" s="20"/>
      <c r="L1761" s="20"/>
      <c r="M1761" s="20"/>
      <c r="N1761" s="320" t="s">
        <v>2685</v>
      </c>
      <c r="O1761" s="70">
        <v>0</v>
      </c>
      <c r="P1761" s="70">
        <v>0</v>
      </c>
      <c r="Q1761" s="70">
        <f t="shared" si="144"/>
        <v>0</v>
      </c>
      <c r="R1761" s="70"/>
      <c r="S1761" s="67"/>
      <c r="T1761" s="2" t="str">
        <f t="shared" si="145"/>
        <v>Lê Ngọc Gia Bảo_10VH3</v>
      </c>
      <c r="U1761" s="28">
        <f t="array" ref="U1761">IFERROR(VLOOKUP($T1761,'Nghi hoc T12'!$H$7:$I$160,2,0),0)</f>
        <v>0</v>
      </c>
      <c r="V1761" s="28"/>
      <c r="W1761" s="28">
        <f t="shared" si="146"/>
        <v>0</v>
      </c>
      <c r="X1761" s="333">
        <f t="shared" si="147"/>
        <v>0</v>
      </c>
      <c r="Y1761" s="333">
        <f t="shared" si="148"/>
        <v>0</v>
      </c>
    </row>
    <row r="1762" spans="1:25" s="2" customFormat="1" ht="21.95" customHeight="1">
      <c r="A1762" s="82">
        <v>15</v>
      </c>
      <c r="B1762" s="91" t="str">
        <f t="shared" si="149"/>
        <v>206.C</v>
      </c>
      <c r="C1762" s="83" t="s">
        <v>365</v>
      </c>
      <c r="D1762" s="81" t="s">
        <v>2238</v>
      </c>
      <c r="E1762" s="48">
        <v>400109</v>
      </c>
      <c r="F1762" s="30" t="s">
        <v>166</v>
      </c>
      <c r="G1762" s="29" t="s">
        <v>83</v>
      </c>
      <c r="H1762" s="30" t="s">
        <v>2241</v>
      </c>
      <c r="I1762" s="78"/>
      <c r="J1762" s="20"/>
      <c r="K1762" s="20"/>
      <c r="L1762" s="20"/>
      <c r="M1762" s="20"/>
      <c r="N1762" s="320" t="s">
        <v>2685</v>
      </c>
      <c r="O1762" s="70">
        <v>0</v>
      </c>
      <c r="P1762" s="70">
        <v>0</v>
      </c>
      <c r="Q1762" s="70">
        <f t="shared" si="144"/>
        <v>0</v>
      </c>
      <c r="R1762" s="70"/>
      <c r="S1762" s="67"/>
      <c r="T1762" s="2" t="str">
        <f t="shared" si="145"/>
        <v>Nguyễn Gia Bảo_10VH5</v>
      </c>
      <c r="U1762" s="28">
        <f t="array" ref="U1762">IFERROR(VLOOKUP($T1762,'Nghi hoc T12'!$H$7:$I$160,2,0),0)</f>
        <v>0</v>
      </c>
      <c r="V1762" s="28"/>
      <c r="W1762" s="28">
        <f t="shared" si="146"/>
        <v>0</v>
      </c>
      <c r="X1762" s="333">
        <f t="shared" si="147"/>
        <v>0</v>
      </c>
      <c r="Y1762" s="333">
        <f t="shared" si="148"/>
        <v>0</v>
      </c>
    </row>
    <row r="1763" spans="1:25" s="2" customFormat="1" ht="21.95" customHeight="1">
      <c r="A1763" s="82">
        <v>16</v>
      </c>
      <c r="B1763" s="91" t="str">
        <f t="shared" si="149"/>
        <v>206.C</v>
      </c>
      <c r="C1763" s="83" t="s">
        <v>365</v>
      </c>
      <c r="D1763" s="81" t="s">
        <v>2238</v>
      </c>
      <c r="E1763" s="48">
        <v>400110</v>
      </c>
      <c r="F1763" s="30" t="s">
        <v>2247</v>
      </c>
      <c r="G1763" s="29" t="s">
        <v>83</v>
      </c>
      <c r="H1763" s="30" t="s">
        <v>137</v>
      </c>
      <c r="I1763" s="78"/>
      <c r="J1763" s="20"/>
      <c r="K1763" s="20"/>
      <c r="L1763" s="20"/>
      <c r="M1763" s="20"/>
      <c r="N1763" s="320" t="s">
        <v>2685</v>
      </c>
      <c r="O1763" s="70">
        <v>0</v>
      </c>
      <c r="P1763" s="70">
        <v>0</v>
      </c>
      <c r="Q1763" s="70">
        <f t="shared" si="144"/>
        <v>0</v>
      </c>
      <c r="R1763" s="70"/>
      <c r="S1763" s="67"/>
      <c r="T1763" s="2" t="str">
        <f t="shared" si="145"/>
        <v>Phạm Gia Bảo_10VH4</v>
      </c>
      <c r="U1763" s="28">
        <f t="array" ref="U1763">IFERROR(VLOOKUP($T1763,'Nghi hoc T12'!$H$7:$I$160,2,0),0)</f>
        <v>0</v>
      </c>
      <c r="V1763" s="28"/>
      <c r="W1763" s="28">
        <f t="shared" si="146"/>
        <v>0</v>
      </c>
      <c r="X1763" s="333">
        <f t="shared" si="147"/>
        <v>0</v>
      </c>
      <c r="Y1763" s="333">
        <f t="shared" si="148"/>
        <v>0</v>
      </c>
    </row>
    <row r="1764" spans="1:25" s="2" customFormat="1" ht="21.95" customHeight="1">
      <c r="A1764" s="82">
        <v>17</v>
      </c>
      <c r="B1764" s="91" t="str">
        <f t="shared" si="149"/>
        <v>206.C</v>
      </c>
      <c r="C1764" s="83" t="s">
        <v>365</v>
      </c>
      <c r="D1764" s="81" t="s">
        <v>2238</v>
      </c>
      <c r="E1764" s="48">
        <v>400111</v>
      </c>
      <c r="F1764" s="30" t="s">
        <v>2196</v>
      </c>
      <c r="G1764" s="29" t="s">
        <v>107</v>
      </c>
      <c r="H1764" s="30" t="s">
        <v>137</v>
      </c>
      <c r="I1764" s="78"/>
      <c r="J1764" s="20"/>
      <c r="K1764" s="20"/>
      <c r="L1764" s="20"/>
      <c r="M1764" s="20"/>
      <c r="N1764" s="320" t="s">
        <v>2685</v>
      </c>
      <c r="O1764" s="70">
        <v>0</v>
      </c>
      <c r="P1764" s="70">
        <v>0</v>
      </c>
      <c r="Q1764" s="70">
        <f t="shared" si="144"/>
        <v>0</v>
      </c>
      <c r="R1764" s="70"/>
      <c r="S1764" s="67"/>
      <c r="T1764" s="2" t="str">
        <f t="shared" si="145"/>
        <v>Nguyễn Lê Bảo Châu_10VH4</v>
      </c>
      <c r="U1764" s="28">
        <f t="array" ref="U1764">IFERROR(VLOOKUP($T1764,'Nghi hoc T12'!$H$7:$I$160,2,0),0)</f>
        <v>0</v>
      </c>
      <c r="V1764" s="28"/>
      <c r="W1764" s="28">
        <f t="shared" si="146"/>
        <v>0</v>
      </c>
      <c r="X1764" s="333">
        <f t="shared" si="147"/>
        <v>0</v>
      </c>
      <c r="Y1764" s="333">
        <f t="shared" si="148"/>
        <v>0</v>
      </c>
    </row>
    <row r="1765" spans="1:25" s="2" customFormat="1" ht="21.95" customHeight="1">
      <c r="A1765" s="82">
        <v>18</v>
      </c>
      <c r="B1765" s="91" t="str">
        <f t="shared" si="149"/>
        <v>206.C</v>
      </c>
      <c r="C1765" s="83" t="s">
        <v>365</v>
      </c>
      <c r="D1765" s="81" t="s">
        <v>2238</v>
      </c>
      <c r="E1765" s="48">
        <v>400112</v>
      </c>
      <c r="F1765" s="30" t="s">
        <v>186</v>
      </c>
      <c r="G1765" s="29" t="s">
        <v>2248</v>
      </c>
      <c r="H1765" s="30" t="s">
        <v>2241</v>
      </c>
      <c r="I1765" s="78"/>
      <c r="J1765" s="20"/>
      <c r="K1765" s="20"/>
      <c r="L1765" s="20"/>
      <c r="M1765" s="20"/>
      <c r="N1765" s="320" t="s">
        <v>2685</v>
      </c>
      <c r="O1765" s="70">
        <v>0</v>
      </c>
      <c r="P1765" s="70">
        <v>0</v>
      </c>
      <c r="Q1765" s="70">
        <f t="shared" si="144"/>
        <v>0</v>
      </c>
      <c r="R1765" s="70"/>
      <c r="S1765" s="67"/>
      <c r="T1765" s="2" t="str">
        <f t="shared" si="145"/>
        <v>Nguyễn Minh Chí_10VH5</v>
      </c>
      <c r="U1765" s="28">
        <f t="array" ref="U1765">IFERROR(VLOOKUP($T1765,'Nghi hoc T12'!$H$7:$I$160,2,0),0)</f>
        <v>0</v>
      </c>
      <c r="V1765" s="28"/>
      <c r="W1765" s="28">
        <f t="shared" si="146"/>
        <v>0</v>
      </c>
      <c r="X1765" s="333">
        <f t="shared" si="147"/>
        <v>0</v>
      </c>
      <c r="Y1765" s="333">
        <f t="shared" si="148"/>
        <v>0</v>
      </c>
    </row>
    <row r="1766" spans="1:25" s="2" customFormat="1" ht="21.95" customHeight="1">
      <c r="A1766" s="82">
        <v>19</v>
      </c>
      <c r="B1766" s="91" t="str">
        <f t="shared" si="149"/>
        <v>206.C</v>
      </c>
      <c r="C1766" s="83" t="s">
        <v>365</v>
      </c>
      <c r="D1766" s="81" t="s">
        <v>2238</v>
      </c>
      <c r="E1766" s="48">
        <v>400113</v>
      </c>
      <c r="F1766" s="30" t="s">
        <v>2249</v>
      </c>
      <c r="G1766" s="29" t="s">
        <v>1251</v>
      </c>
      <c r="H1766" s="30" t="s">
        <v>2242</v>
      </c>
      <c r="I1766" s="78"/>
      <c r="J1766" s="20"/>
      <c r="K1766" s="20"/>
      <c r="L1766" s="20"/>
      <c r="M1766" s="20"/>
      <c r="N1766" s="320" t="s">
        <v>2685</v>
      </c>
      <c r="O1766" s="70">
        <v>0</v>
      </c>
      <c r="P1766" s="70">
        <v>0</v>
      </c>
      <c r="Q1766" s="70">
        <f t="shared" si="144"/>
        <v>0</v>
      </c>
      <c r="R1766" s="70"/>
      <c r="S1766" s="67"/>
      <c r="T1766" s="2" t="str">
        <f t="shared" si="145"/>
        <v>Lê Thiện Chiến_10VH3</v>
      </c>
      <c r="U1766" s="28">
        <f t="array" ref="U1766">IFERROR(VLOOKUP($T1766,'Nghi hoc T12'!$H$7:$I$160,2,0),0)</f>
        <v>0</v>
      </c>
      <c r="V1766" s="28"/>
      <c r="W1766" s="28">
        <f t="shared" si="146"/>
        <v>0</v>
      </c>
      <c r="X1766" s="333">
        <f t="shared" si="147"/>
        <v>0</v>
      </c>
      <c r="Y1766" s="333">
        <f t="shared" si="148"/>
        <v>0</v>
      </c>
    </row>
    <row r="1767" spans="1:25" s="2" customFormat="1" ht="21.95" customHeight="1">
      <c r="A1767" s="82">
        <v>20</v>
      </c>
      <c r="B1767" s="91" t="str">
        <f t="shared" si="149"/>
        <v>206.C</v>
      </c>
      <c r="C1767" s="83" t="s">
        <v>365</v>
      </c>
      <c r="D1767" s="81" t="s">
        <v>2238</v>
      </c>
      <c r="E1767" s="48">
        <v>400114</v>
      </c>
      <c r="F1767" s="30" t="s">
        <v>1135</v>
      </c>
      <c r="G1767" s="29" t="s">
        <v>6</v>
      </c>
      <c r="H1767" s="30" t="s">
        <v>2242</v>
      </c>
      <c r="I1767" s="78"/>
      <c r="J1767" s="20"/>
      <c r="K1767" s="20"/>
      <c r="L1767" s="20"/>
      <c r="M1767" s="20"/>
      <c r="N1767" s="320" t="s">
        <v>2685</v>
      </c>
      <c r="O1767" s="70">
        <v>0</v>
      </c>
      <c r="P1767" s="70">
        <v>0</v>
      </c>
      <c r="Q1767" s="70">
        <f t="shared" si="144"/>
        <v>0</v>
      </c>
      <c r="R1767" s="70"/>
      <c r="S1767" s="67"/>
      <c r="T1767" s="2" t="str">
        <f t="shared" si="145"/>
        <v>Bùi Xuân Dũng_10VH3</v>
      </c>
      <c r="U1767" s="28">
        <f t="array" ref="U1767">IFERROR(VLOOKUP($T1767,'Nghi hoc T12'!$H$7:$I$160,2,0),0)</f>
        <v>0</v>
      </c>
      <c r="V1767" s="28"/>
      <c r="W1767" s="28">
        <f t="shared" si="146"/>
        <v>0</v>
      </c>
      <c r="X1767" s="333">
        <f t="shared" si="147"/>
        <v>0</v>
      </c>
      <c r="Y1767" s="333">
        <f t="shared" si="148"/>
        <v>0</v>
      </c>
    </row>
    <row r="1768" spans="1:25" s="2" customFormat="1" ht="21.95" customHeight="1">
      <c r="A1768" s="82">
        <v>21</v>
      </c>
      <c r="B1768" s="91" t="str">
        <f t="shared" si="149"/>
        <v>206.C</v>
      </c>
      <c r="C1768" s="83" t="s">
        <v>365</v>
      </c>
      <c r="D1768" s="81" t="s">
        <v>2238</v>
      </c>
      <c r="E1768" s="48">
        <v>400115</v>
      </c>
      <c r="F1768" s="30" t="s">
        <v>2250</v>
      </c>
      <c r="G1768" s="29" t="s">
        <v>65</v>
      </c>
      <c r="H1768" s="30" t="s">
        <v>137</v>
      </c>
      <c r="I1768" s="78"/>
      <c r="J1768" s="20"/>
      <c r="K1768" s="20"/>
      <c r="L1768" s="20"/>
      <c r="M1768" s="20"/>
      <c r="N1768" s="320" t="s">
        <v>2685</v>
      </c>
      <c r="O1768" s="70">
        <v>0</v>
      </c>
      <c r="P1768" s="70">
        <v>0</v>
      </c>
      <c r="Q1768" s="70">
        <f t="shared" si="144"/>
        <v>0</v>
      </c>
      <c r="R1768" s="70"/>
      <c r="S1768" s="67"/>
      <c r="T1768" s="2" t="str">
        <f t="shared" si="145"/>
        <v>Đinh Nhật Duy_10VH4</v>
      </c>
      <c r="U1768" s="28">
        <f t="array" ref="U1768">IFERROR(VLOOKUP($T1768,'Nghi hoc T12'!$H$7:$I$160,2,0),0)</f>
        <v>0</v>
      </c>
      <c r="V1768" s="28"/>
      <c r="W1768" s="28">
        <f t="shared" si="146"/>
        <v>0</v>
      </c>
      <c r="X1768" s="333">
        <f t="shared" si="147"/>
        <v>0</v>
      </c>
      <c r="Y1768" s="333">
        <f t="shared" si="148"/>
        <v>0</v>
      </c>
    </row>
    <row r="1769" spans="1:25" s="2" customFormat="1" ht="21.95" customHeight="1">
      <c r="A1769" s="82">
        <v>22</v>
      </c>
      <c r="B1769" s="91" t="str">
        <f t="shared" si="149"/>
        <v>206.C</v>
      </c>
      <c r="C1769" s="83" t="s">
        <v>365</v>
      </c>
      <c r="D1769" s="81" t="s">
        <v>2238</v>
      </c>
      <c r="E1769" s="48">
        <v>400116</v>
      </c>
      <c r="F1769" s="30" t="s">
        <v>2251</v>
      </c>
      <c r="G1769" s="29" t="s">
        <v>65</v>
      </c>
      <c r="H1769" s="30" t="s">
        <v>2241</v>
      </c>
      <c r="I1769" s="78"/>
      <c r="J1769" s="20"/>
      <c r="K1769" s="20"/>
      <c r="L1769" s="20"/>
      <c r="M1769" s="20"/>
      <c r="N1769" s="320" t="s">
        <v>2685</v>
      </c>
      <c r="O1769" s="70">
        <v>0</v>
      </c>
      <c r="P1769" s="70">
        <v>0</v>
      </c>
      <c r="Q1769" s="70">
        <f t="shared" si="144"/>
        <v>0</v>
      </c>
      <c r="R1769" s="70"/>
      <c r="S1769" s="67"/>
      <c r="T1769" s="2" t="str">
        <f t="shared" si="145"/>
        <v>Hồ Thanh Duy_10VH5</v>
      </c>
      <c r="U1769" s="28">
        <f t="array" ref="U1769">IFERROR(VLOOKUP($T1769,'Nghi hoc T12'!$H$7:$I$160,2,0),0)</f>
        <v>0</v>
      </c>
      <c r="V1769" s="28"/>
      <c r="W1769" s="28">
        <f t="shared" si="146"/>
        <v>0</v>
      </c>
      <c r="X1769" s="333">
        <f t="shared" si="147"/>
        <v>0</v>
      </c>
      <c r="Y1769" s="333">
        <f t="shared" si="148"/>
        <v>0</v>
      </c>
    </row>
    <row r="1770" spans="1:25" s="2" customFormat="1" ht="21.95" customHeight="1">
      <c r="A1770" s="82">
        <v>23</v>
      </c>
      <c r="B1770" s="91" t="str">
        <f t="shared" si="149"/>
        <v>206.C</v>
      </c>
      <c r="C1770" s="83" t="s">
        <v>365</v>
      </c>
      <c r="D1770" s="81" t="s">
        <v>2238</v>
      </c>
      <c r="E1770" s="48">
        <v>400117</v>
      </c>
      <c r="F1770" s="30" t="s">
        <v>165</v>
      </c>
      <c r="G1770" s="29" t="s">
        <v>65</v>
      </c>
      <c r="H1770" s="30" t="s">
        <v>2242</v>
      </c>
      <c r="I1770" s="78"/>
      <c r="J1770" s="20"/>
      <c r="K1770" s="20"/>
      <c r="L1770" s="20"/>
      <c r="M1770" s="20"/>
      <c r="N1770" s="320" t="s">
        <v>2685</v>
      </c>
      <c r="O1770" s="70">
        <v>0</v>
      </c>
      <c r="P1770" s="70">
        <v>0</v>
      </c>
      <c r="Q1770" s="70">
        <f t="shared" si="144"/>
        <v>0</v>
      </c>
      <c r="R1770" s="70"/>
      <c r="S1770" s="67"/>
      <c r="T1770" s="2" t="str">
        <f t="shared" si="145"/>
        <v>Nguyễn Đức Duy_10VH3</v>
      </c>
      <c r="U1770" s="28">
        <f t="array" ref="U1770">IFERROR(VLOOKUP($T1770,'Nghi hoc T12'!$H$7:$I$160,2,0),0)</f>
        <v>0</v>
      </c>
      <c r="V1770" s="28"/>
      <c r="W1770" s="28">
        <f t="shared" si="146"/>
        <v>0</v>
      </c>
      <c r="X1770" s="333">
        <f t="shared" si="147"/>
        <v>0</v>
      </c>
      <c r="Y1770" s="333">
        <f t="shared" si="148"/>
        <v>0</v>
      </c>
    </row>
    <row r="1771" spans="1:25" s="2" customFormat="1" ht="21.95" customHeight="1">
      <c r="A1771" s="82">
        <v>24</v>
      </c>
      <c r="B1771" s="91" t="str">
        <f t="shared" si="149"/>
        <v>206.C</v>
      </c>
      <c r="C1771" s="83" t="s">
        <v>365</v>
      </c>
      <c r="D1771" s="81" t="s">
        <v>2238</v>
      </c>
      <c r="E1771" s="48">
        <v>400118</v>
      </c>
      <c r="F1771" s="30" t="s">
        <v>208</v>
      </c>
      <c r="G1771" s="29" t="s">
        <v>79</v>
      </c>
      <c r="H1771" s="30" t="s">
        <v>2241</v>
      </c>
      <c r="I1771" s="78" t="s">
        <v>408</v>
      </c>
      <c r="J1771" s="20"/>
      <c r="K1771" s="20"/>
      <c r="L1771" s="20"/>
      <c r="M1771" s="20"/>
      <c r="N1771" s="320" t="s">
        <v>2685</v>
      </c>
      <c r="O1771" s="70" t="s">
        <v>400</v>
      </c>
      <c r="P1771" s="70" t="s">
        <v>401</v>
      </c>
      <c r="Q1771" s="70">
        <f t="shared" si="144"/>
        <v>0</v>
      </c>
      <c r="R1771" s="70"/>
      <c r="S1771" s="67"/>
      <c r="T1771" s="2" t="str">
        <f t="shared" si="145"/>
        <v>Nguyễn Đăng Khang_10VH5</v>
      </c>
      <c r="U1771" s="28">
        <f t="array" ref="U1771">IFERROR(VLOOKUP($T1771,'Nghi hoc T12'!$H$7:$I$160,2,0),0)</f>
        <v>0</v>
      </c>
      <c r="V1771" s="28"/>
      <c r="W1771" s="28" t="str">
        <f t="shared" si="146"/>
        <v>HN</v>
      </c>
      <c r="X1771" s="333" t="str">
        <f t="shared" si="147"/>
        <v>Trí tuệ</v>
      </c>
      <c r="Y1771" s="333" t="str">
        <f t="shared" si="148"/>
        <v>Nhẹ</v>
      </c>
    </row>
    <row r="1772" spans="1:25" s="2" customFormat="1" ht="21.95" customHeight="1">
      <c r="A1772" s="321">
        <v>1</v>
      </c>
      <c r="B1772" s="91" t="str">
        <f t="shared" si="149"/>
        <v>302.C</v>
      </c>
      <c r="C1772" s="185" t="s">
        <v>365</v>
      </c>
      <c r="D1772" s="186" t="s">
        <v>2252</v>
      </c>
      <c r="E1772" s="187">
        <v>400119</v>
      </c>
      <c r="F1772" s="188" t="s">
        <v>1170</v>
      </c>
      <c r="G1772" s="189" t="s">
        <v>65</v>
      </c>
      <c r="H1772" s="188" t="s">
        <v>2241</v>
      </c>
      <c r="I1772" s="190"/>
      <c r="J1772" s="191"/>
      <c r="K1772" s="191"/>
      <c r="L1772" s="191"/>
      <c r="M1772" s="191"/>
      <c r="N1772" s="320" t="s">
        <v>2685</v>
      </c>
      <c r="O1772" s="70">
        <v>0</v>
      </c>
      <c r="P1772" s="70">
        <v>0</v>
      </c>
      <c r="Q1772" s="70">
        <f t="shared" si="144"/>
        <v>0</v>
      </c>
      <c r="R1772" s="70"/>
      <c r="S1772" s="67"/>
      <c r="T1772" s="2" t="str">
        <f t="shared" si="145"/>
        <v>Phạm Quốc Duy_10VH5</v>
      </c>
      <c r="U1772" s="28">
        <f t="array" ref="U1772">IFERROR(VLOOKUP($T1772,'Nghi hoc T12'!$H$7:$I$160,2,0),0)</f>
        <v>0</v>
      </c>
      <c r="V1772" s="28"/>
      <c r="W1772" s="28">
        <f t="shared" si="146"/>
        <v>0</v>
      </c>
      <c r="X1772" s="333">
        <f t="shared" si="147"/>
        <v>0</v>
      </c>
      <c r="Y1772" s="333">
        <f t="shared" si="148"/>
        <v>0</v>
      </c>
    </row>
    <row r="1773" spans="1:25" s="2" customFormat="1" ht="21.95" customHeight="1">
      <c r="A1773" s="82">
        <v>2</v>
      </c>
      <c r="B1773" s="91" t="str">
        <f t="shared" si="149"/>
        <v>302.C</v>
      </c>
      <c r="C1773" s="83" t="s">
        <v>365</v>
      </c>
      <c r="D1773" s="81" t="s">
        <v>2252</v>
      </c>
      <c r="E1773" s="48">
        <v>400120</v>
      </c>
      <c r="F1773" s="30" t="s">
        <v>2237</v>
      </c>
      <c r="G1773" s="29" t="s">
        <v>66</v>
      </c>
      <c r="H1773" s="30" t="s">
        <v>137</v>
      </c>
      <c r="I1773" s="78"/>
      <c r="J1773" s="20"/>
      <c r="K1773" s="20"/>
      <c r="L1773" s="20"/>
      <c r="M1773" s="20"/>
      <c r="N1773" s="320" t="s">
        <v>2685</v>
      </c>
      <c r="O1773" s="70">
        <v>0</v>
      </c>
      <c r="P1773" s="70">
        <v>0</v>
      </c>
      <c r="Q1773" s="70">
        <f t="shared" si="144"/>
        <v>0</v>
      </c>
      <c r="R1773" s="70"/>
      <c r="S1773" s="67"/>
      <c r="T1773" s="2" t="str">
        <f t="shared" si="145"/>
        <v>Huỳnh Thị Ngọc Duyên_10VH4</v>
      </c>
      <c r="U1773" s="28">
        <f t="array" ref="U1773">IFERROR(VLOOKUP($T1773,'Nghi hoc T12'!$H$7:$I$160,2,0),0)</f>
        <v>0</v>
      </c>
      <c r="V1773" s="28"/>
      <c r="W1773" s="28">
        <f t="shared" si="146"/>
        <v>0</v>
      </c>
      <c r="X1773" s="333">
        <f t="shared" si="147"/>
        <v>0</v>
      </c>
      <c r="Y1773" s="333">
        <f t="shared" si="148"/>
        <v>0</v>
      </c>
    </row>
    <row r="1774" spans="1:25" s="2" customFormat="1" ht="21.95" customHeight="1">
      <c r="A1774" s="82">
        <v>3</v>
      </c>
      <c r="B1774" s="91" t="str">
        <f t="shared" si="149"/>
        <v>302.C</v>
      </c>
      <c r="C1774" s="83" t="s">
        <v>365</v>
      </c>
      <c r="D1774" s="81" t="s">
        <v>2252</v>
      </c>
      <c r="E1774" s="48">
        <v>400121</v>
      </c>
      <c r="F1774" s="30" t="s">
        <v>2253</v>
      </c>
      <c r="G1774" s="29" t="s">
        <v>53</v>
      </c>
      <c r="H1774" s="30" t="s">
        <v>2241</v>
      </c>
      <c r="I1774" s="78"/>
      <c r="J1774" s="20"/>
      <c r="K1774" s="20"/>
      <c r="L1774" s="20"/>
      <c r="M1774" s="20"/>
      <c r="N1774" s="320" t="s">
        <v>2685</v>
      </c>
      <c r="O1774" s="70">
        <v>0</v>
      </c>
      <c r="P1774" s="70">
        <v>0</v>
      </c>
      <c r="Q1774" s="70">
        <f t="shared" si="144"/>
        <v>0</v>
      </c>
      <c r="R1774" s="70"/>
      <c r="S1774" s="67"/>
      <c r="T1774" s="2" t="str">
        <f t="shared" si="145"/>
        <v>Bùi Đại Dương_10VH5</v>
      </c>
      <c r="U1774" s="28">
        <f t="array" ref="U1774">IFERROR(VLOOKUP($T1774,'Nghi hoc T12'!$H$7:$I$160,2,0),0)</f>
        <v>0</v>
      </c>
      <c r="V1774" s="28"/>
      <c r="W1774" s="28">
        <f t="shared" si="146"/>
        <v>0</v>
      </c>
      <c r="X1774" s="333">
        <f t="shared" si="147"/>
        <v>0</v>
      </c>
      <c r="Y1774" s="333">
        <f t="shared" si="148"/>
        <v>0</v>
      </c>
    </row>
    <row r="1775" spans="1:25" s="2" customFormat="1" ht="21.95" customHeight="1">
      <c r="A1775" s="82">
        <v>4</v>
      </c>
      <c r="B1775" s="91" t="str">
        <f t="shared" si="149"/>
        <v>302.C</v>
      </c>
      <c r="C1775" s="83" t="s">
        <v>365</v>
      </c>
      <c r="D1775" s="81" t="s">
        <v>2252</v>
      </c>
      <c r="E1775" s="48">
        <v>400122</v>
      </c>
      <c r="F1775" s="30" t="s">
        <v>2254</v>
      </c>
      <c r="G1775" s="29" t="s">
        <v>7</v>
      </c>
      <c r="H1775" s="30" t="s">
        <v>2242</v>
      </c>
      <c r="I1775" s="78"/>
      <c r="J1775" s="20"/>
      <c r="K1775" s="20"/>
      <c r="L1775" s="20"/>
      <c r="M1775" s="20"/>
      <c r="N1775" s="320" t="s">
        <v>2685</v>
      </c>
      <c r="O1775" s="70">
        <v>0</v>
      </c>
      <c r="P1775" s="70">
        <v>0</v>
      </c>
      <c r="Q1775" s="70">
        <f t="shared" si="144"/>
        <v>0</v>
      </c>
      <c r="R1775" s="70"/>
      <c r="S1775" s="67"/>
      <c r="T1775" s="2" t="str">
        <f t="shared" si="145"/>
        <v>Bùi Tấn Đạt_10VH3</v>
      </c>
      <c r="U1775" s="28">
        <f t="array" ref="U1775">IFERROR(VLOOKUP($T1775,'Nghi hoc T12'!$H$7:$I$160,2,0),0)</f>
        <v>0</v>
      </c>
      <c r="V1775" s="28"/>
      <c r="W1775" s="28">
        <f t="shared" si="146"/>
        <v>0</v>
      </c>
      <c r="X1775" s="333">
        <f t="shared" si="147"/>
        <v>0</v>
      </c>
      <c r="Y1775" s="333">
        <f t="shared" si="148"/>
        <v>0</v>
      </c>
    </row>
    <row r="1776" spans="1:25" s="2" customFormat="1" ht="21.95" customHeight="1">
      <c r="A1776" s="82">
        <v>5</v>
      </c>
      <c r="B1776" s="91" t="str">
        <f t="shared" si="149"/>
        <v>302.C</v>
      </c>
      <c r="C1776" s="83" t="s">
        <v>365</v>
      </c>
      <c r="D1776" s="81" t="s">
        <v>2252</v>
      </c>
      <c r="E1776" s="48">
        <v>400123</v>
      </c>
      <c r="F1776" s="30" t="s">
        <v>207</v>
      </c>
      <c r="G1776" s="29" t="s">
        <v>7</v>
      </c>
      <c r="H1776" s="30" t="s">
        <v>2241</v>
      </c>
      <c r="I1776" s="78"/>
      <c r="J1776" s="20"/>
      <c r="K1776" s="20"/>
      <c r="L1776" s="20"/>
      <c r="M1776" s="20"/>
      <c r="N1776" s="320" t="s">
        <v>2685</v>
      </c>
      <c r="O1776" s="70">
        <v>0</v>
      </c>
      <c r="P1776" s="70">
        <v>0</v>
      </c>
      <c r="Q1776" s="70">
        <f t="shared" si="144"/>
        <v>0</v>
      </c>
      <c r="R1776" s="70"/>
      <c r="S1776" s="67"/>
      <c r="T1776" s="2" t="str">
        <f t="shared" si="145"/>
        <v>Phạm Văn Đạt_10VH5</v>
      </c>
      <c r="U1776" s="28">
        <f t="array" ref="U1776">IFERROR(VLOOKUP($T1776,'Nghi hoc T12'!$H$7:$I$160,2,0),0)</f>
        <v>0</v>
      </c>
      <c r="V1776" s="28"/>
      <c r="W1776" s="28">
        <f t="shared" si="146"/>
        <v>0</v>
      </c>
      <c r="X1776" s="333">
        <f t="shared" si="147"/>
        <v>0</v>
      </c>
      <c r="Y1776" s="333">
        <f t="shared" si="148"/>
        <v>0</v>
      </c>
    </row>
    <row r="1777" spans="1:25" s="2" customFormat="1" ht="21.95" customHeight="1">
      <c r="A1777" s="82">
        <v>6</v>
      </c>
      <c r="B1777" s="91" t="str">
        <f t="shared" si="149"/>
        <v>302.C</v>
      </c>
      <c r="C1777" s="83" t="s">
        <v>365</v>
      </c>
      <c r="D1777" s="81" t="s">
        <v>2252</v>
      </c>
      <c r="E1777" s="48">
        <v>400124</v>
      </c>
      <c r="F1777" s="30" t="s">
        <v>2255</v>
      </c>
      <c r="G1777" s="29" t="s">
        <v>7</v>
      </c>
      <c r="H1777" s="30" t="s">
        <v>2242</v>
      </c>
      <c r="I1777" s="78"/>
      <c r="J1777" s="20"/>
      <c r="K1777" s="20"/>
      <c r="L1777" s="20"/>
      <c r="M1777" s="20"/>
      <c r="N1777" s="320" t="s">
        <v>2685</v>
      </c>
      <c r="O1777" s="70">
        <v>0</v>
      </c>
      <c r="P1777" s="70">
        <v>0</v>
      </c>
      <c r="Q1777" s="70">
        <f t="shared" si="144"/>
        <v>0</v>
      </c>
      <c r="R1777" s="70"/>
      <c r="S1777" s="67"/>
      <c r="T1777" s="2" t="str">
        <f t="shared" si="145"/>
        <v>Phạm Văn Thành Đạt_10VH3</v>
      </c>
      <c r="U1777" s="28">
        <f t="array" ref="U1777">IFERROR(VLOOKUP($T1777,'Nghi hoc T12'!$H$7:$I$160,2,0),0)</f>
        <v>0</v>
      </c>
      <c r="V1777" s="28"/>
      <c r="W1777" s="28">
        <f t="shared" si="146"/>
        <v>0</v>
      </c>
      <c r="X1777" s="333">
        <f t="shared" si="147"/>
        <v>0</v>
      </c>
      <c r="Y1777" s="333">
        <f t="shared" si="148"/>
        <v>0</v>
      </c>
    </row>
    <row r="1778" spans="1:25" s="2" customFormat="1" ht="21.95" customHeight="1">
      <c r="A1778" s="82">
        <v>7</v>
      </c>
      <c r="B1778" s="91" t="str">
        <f t="shared" si="149"/>
        <v>302.C</v>
      </c>
      <c r="C1778" s="83" t="s">
        <v>365</v>
      </c>
      <c r="D1778" s="81" t="s">
        <v>2252</v>
      </c>
      <c r="E1778" s="48">
        <v>400125</v>
      </c>
      <c r="F1778" s="30" t="s">
        <v>163</v>
      </c>
      <c r="G1778" s="29" t="s">
        <v>119</v>
      </c>
      <c r="H1778" s="30" t="s">
        <v>137</v>
      </c>
      <c r="I1778" s="78"/>
      <c r="J1778" s="20"/>
      <c r="K1778" s="20"/>
      <c r="L1778" s="20"/>
      <c r="M1778" s="20"/>
      <c r="N1778" s="320" t="s">
        <v>2685</v>
      </c>
      <c r="O1778" s="70">
        <v>0</v>
      </c>
      <c r="P1778" s="70">
        <v>0</v>
      </c>
      <c r="Q1778" s="70">
        <f t="shared" si="144"/>
        <v>0</v>
      </c>
      <c r="R1778" s="70"/>
      <c r="S1778" s="67"/>
      <c r="T1778" s="2" t="str">
        <f t="shared" si="145"/>
        <v>Nguyễn Lê Minh Đăng_10VH4</v>
      </c>
      <c r="U1778" s="28">
        <f t="array" ref="U1778">IFERROR(VLOOKUP($T1778,'Nghi hoc T12'!$H$7:$I$160,2,0),0)</f>
        <v>0</v>
      </c>
      <c r="V1778" s="28"/>
      <c r="W1778" s="28">
        <f t="shared" si="146"/>
        <v>0</v>
      </c>
      <c r="X1778" s="333">
        <f t="shared" si="147"/>
        <v>0</v>
      </c>
      <c r="Y1778" s="333">
        <f t="shared" si="148"/>
        <v>0</v>
      </c>
    </row>
    <row r="1779" spans="1:25" s="2" customFormat="1" ht="21.95" customHeight="1">
      <c r="A1779" s="82">
        <v>8</v>
      </c>
      <c r="B1779" s="91" t="str">
        <f t="shared" si="149"/>
        <v>302.C</v>
      </c>
      <c r="C1779" s="83" t="s">
        <v>365</v>
      </c>
      <c r="D1779" s="81" t="s">
        <v>2252</v>
      </c>
      <c r="E1779" s="48">
        <v>400126</v>
      </c>
      <c r="F1779" s="30" t="s">
        <v>160</v>
      </c>
      <c r="G1779" s="29" t="s">
        <v>36</v>
      </c>
      <c r="H1779" s="30" t="s">
        <v>2241</v>
      </c>
      <c r="I1779" s="78"/>
      <c r="J1779" s="20"/>
      <c r="K1779" s="20"/>
      <c r="L1779" s="20"/>
      <c r="M1779" s="20"/>
      <c r="N1779" s="320" t="s">
        <v>2685</v>
      </c>
      <c r="O1779" s="70">
        <v>0</v>
      </c>
      <c r="P1779" s="70">
        <v>0</v>
      </c>
      <c r="Q1779" s="70">
        <f t="shared" si="144"/>
        <v>0</v>
      </c>
      <c r="R1779" s="70"/>
      <c r="S1779" s="67"/>
      <c r="T1779" s="2" t="str">
        <f t="shared" si="145"/>
        <v>Nguyễn Thành Đức_10VH5</v>
      </c>
      <c r="U1779" s="28">
        <f t="array" ref="U1779">IFERROR(VLOOKUP($T1779,'Nghi hoc T12'!$H$7:$I$160,2,0),0)</f>
        <v>0</v>
      </c>
      <c r="V1779" s="28"/>
      <c r="W1779" s="28">
        <f t="shared" si="146"/>
        <v>0</v>
      </c>
      <c r="X1779" s="333">
        <f t="shared" si="147"/>
        <v>0</v>
      </c>
      <c r="Y1779" s="333">
        <f t="shared" si="148"/>
        <v>0</v>
      </c>
    </row>
    <row r="1780" spans="1:25" s="2" customFormat="1" ht="21.95" customHeight="1">
      <c r="A1780" s="82">
        <v>9</v>
      </c>
      <c r="B1780" s="91" t="str">
        <f t="shared" si="149"/>
        <v>302.C</v>
      </c>
      <c r="C1780" s="83" t="s">
        <v>365</v>
      </c>
      <c r="D1780" s="81" t="s">
        <v>2252</v>
      </c>
      <c r="E1780" s="48">
        <v>400127</v>
      </c>
      <c r="F1780" s="30" t="s">
        <v>2256</v>
      </c>
      <c r="G1780" s="29" t="s">
        <v>2257</v>
      </c>
      <c r="H1780" s="30" t="s">
        <v>2241</v>
      </c>
      <c r="I1780" s="78"/>
      <c r="J1780" s="20"/>
      <c r="K1780" s="20"/>
      <c r="L1780" s="20"/>
      <c r="M1780" s="20"/>
      <c r="N1780" s="320" t="s">
        <v>2685</v>
      </c>
      <c r="O1780" s="70">
        <v>0</v>
      </c>
      <c r="P1780" s="70">
        <v>0</v>
      </c>
      <c r="Q1780" s="70">
        <f t="shared" si="144"/>
        <v>0</v>
      </c>
      <c r="R1780" s="70"/>
      <c r="S1780" s="67"/>
      <c r="T1780" s="2" t="str">
        <f t="shared" si="145"/>
        <v>Đào Xuân Giáp_10VH5</v>
      </c>
      <c r="U1780" s="28">
        <f t="array" ref="U1780">IFERROR(VLOOKUP($T1780,'Nghi hoc T12'!$H$7:$I$160,2,0),0)</f>
        <v>0</v>
      </c>
      <c r="V1780" s="28"/>
      <c r="W1780" s="28">
        <f t="shared" si="146"/>
        <v>0</v>
      </c>
      <c r="X1780" s="333">
        <f t="shared" si="147"/>
        <v>0</v>
      </c>
      <c r="Y1780" s="333">
        <f t="shared" si="148"/>
        <v>0</v>
      </c>
    </row>
    <row r="1781" spans="1:25" s="2" customFormat="1" ht="21.95" customHeight="1">
      <c r="A1781" s="82">
        <v>10</v>
      </c>
      <c r="B1781" s="91" t="str">
        <f t="shared" si="149"/>
        <v>302.C</v>
      </c>
      <c r="C1781" s="83" t="s">
        <v>365</v>
      </c>
      <c r="D1781" s="81" t="s">
        <v>2252</v>
      </c>
      <c r="E1781" s="48">
        <v>400128</v>
      </c>
      <c r="F1781" s="30" t="s">
        <v>2258</v>
      </c>
      <c r="G1781" s="29" t="s">
        <v>1691</v>
      </c>
      <c r="H1781" s="30" t="s">
        <v>2241</v>
      </c>
      <c r="I1781" s="78"/>
      <c r="J1781" s="20"/>
      <c r="K1781" s="20"/>
      <c r="L1781" s="20"/>
      <c r="M1781" s="20"/>
      <c r="N1781" s="320" t="s">
        <v>2685</v>
      </c>
      <c r="O1781" s="70">
        <v>0</v>
      </c>
      <c r="P1781" s="70">
        <v>0</v>
      </c>
      <c r="Q1781" s="70">
        <f t="shared" si="144"/>
        <v>0</v>
      </c>
      <c r="R1781" s="70"/>
      <c r="S1781" s="67"/>
      <c r="T1781" s="2" t="str">
        <f t="shared" si="145"/>
        <v>Lê Ngọc Giàu_10VH5</v>
      </c>
      <c r="U1781" s="28">
        <f t="array" ref="U1781">IFERROR(VLOOKUP($T1781,'Nghi hoc T12'!$H$7:$I$160,2,0),0)</f>
        <v>0</v>
      </c>
      <c r="V1781" s="28"/>
      <c r="W1781" s="28">
        <f t="shared" si="146"/>
        <v>0</v>
      </c>
      <c r="X1781" s="333">
        <f t="shared" si="147"/>
        <v>0</v>
      </c>
      <c r="Y1781" s="333">
        <f t="shared" si="148"/>
        <v>0</v>
      </c>
    </row>
    <row r="1782" spans="1:25" s="2" customFormat="1" ht="21.95" customHeight="1">
      <c r="A1782" s="82">
        <v>11</v>
      </c>
      <c r="B1782" s="91" t="str">
        <f t="shared" si="149"/>
        <v>302.C</v>
      </c>
      <c r="C1782" s="83" t="s">
        <v>365</v>
      </c>
      <c r="D1782" s="81" t="s">
        <v>2252</v>
      </c>
      <c r="E1782" s="48">
        <v>400129</v>
      </c>
      <c r="F1782" s="30" t="s">
        <v>2259</v>
      </c>
      <c r="G1782" s="29" t="s">
        <v>143</v>
      </c>
      <c r="H1782" s="30" t="s">
        <v>2241</v>
      </c>
      <c r="I1782" s="78"/>
      <c r="J1782" s="20"/>
      <c r="K1782" s="20"/>
      <c r="L1782" s="20"/>
      <c r="M1782" s="20"/>
      <c r="N1782" s="320" t="s">
        <v>2685</v>
      </c>
      <c r="O1782" s="70">
        <v>0</v>
      </c>
      <c r="P1782" s="70">
        <v>0</v>
      </c>
      <c r="Q1782" s="70">
        <f t="shared" si="144"/>
        <v>0</v>
      </c>
      <c r="R1782" s="70"/>
      <c r="S1782" s="67"/>
      <c r="T1782" s="2" t="str">
        <f t="shared" si="145"/>
        <v>Trần Vũ Ngân Hà_10VH5</v>
      </c>
      <c r="U1782" s="28">
        <f t="array" ref="U1782">IFERROR(VLOOKUP($T1782,'Nghi hoc T12'!$H$7:$I$160,2,0),0)</f>
        <v>0</v>
      </c>
      <c r="V1782" s="28"/>
      <c r="W1782" s="28">
        <f t="shared" si="146"/>
        <v>0</v>
      </c>
      <c r="X1782" s="333">
        <f t="shared" si="147"/>
        <v>0</v>
      </c>
      <c r="Y1782" s="333">
        <f t="shared" si="148"/>
        <v>0</v>
      </c>
    </row>
    <row r="1783" spans="1:25" s="2" customFormat="1" ht="21.95" customHeight="1">
      <c r="A1783" s="82">
        <v>12</v>
      </c>
      <c r="B1783" s="91" t="str">
        <f t="shared" si="149"/>
        <v>302.C</v>
      </c>
      <c r="C1783" s="83" t="s">
        <v>365</v>
      </c>
      <c r="D1783" s="81" t="s">
        <v>2252</v>
      </c>
      <c r="E1783" s="48">
        <v>400130</v>
      </c>
      <c r="F1783" s="30" t="s">
        <v>2260</v>
      </c>
      <c r="G1783" s="29" t="s">
        <v>171</v>
      </c>
      <c r="H1783" s="30" t="s">
        <v>2242</v>
      </c>
      <c r="I1783" s="78"/>
      <c r="J1783" s="20"/>
      <c r="K1783" s="20"/>
      <c r="L1783" s="20"/>
      <c r="M1783" s="20"/>
      <c r="N1783" s="320" t="s">
        <v>2685</v>
      </c>
      <c r="O1783" s="70">
        <v>0</v>
      </c>
      <c r="P1783" s="70">
        <v>0</v>
      </c>
      <c r="Q1783" s="70">
        <f t="shared" si="144"/>
        <v>0</v>
      </c>
      <c r="R1783" s="70"/>
      <c r="S1783" s="67"/>
      <c r="T1783" s="2" t="str">
        <f t="shared" si="145"/>
        <v>Trần Đinh Mạnh Hải_10VH3</v>
      </c>
      <c r="U1783" s="28">
        <f t="array" ref="U1783">IFERROR(VLOOKUP($T1783,'Nghi hoc T12'!$H$7:$I$160,2,0),0)</f>
        <v>0</v>
      </c>
      <c r="V1783" s="28"/>
      <c r="W1783" s="28">
        <f t="shared" si="146"/>
        <v>0</v>
      </c>
      <c r="X1783" s="333">
        <f t="shared" si="147"/>
        <v>0</v>
      </c>
      <c r="Y1783" s="333">
        <f t="shared" si="148"/>
        <v>0</v>
      </c>
    </row>
    <row r="1784" spans="1:25" s="2" customFormat="1" ht="21.95" customHeight="1">
      <c r="A1784" s="82">
        <v>13</v>
      </c>
      <c r="B1784" s="91" t="str">
        <f t="shared" si="149"/>
        <v>302.C</v>
      </c>
      <c r="C1784" s="83" t="s">
        <v>365</v>
      </c>
      <c r="D1784" s="81" t="s">
        <v>2252</v>
      </c>
      <c r="E1784" s="48">
        <v>400131</v>
      </c>
      <c r="F1784" s="30" t="s">
        <v>231</v>
      </c>
      <c r="G1784" s="29" t="s">
        <v>1736</v>
      </c>
      <c r="H1784" s="30" t="s">
        <v>2242</v>
      </c>
      <c r="I1784" s="78"/>
      <c r="J1784" s="20"/>
      <c r="K1784" s="20"/>
      <c r="L1784" s="20"/>
      <c r="M1784" s="20"/>
      <c r="N1784" s="320" t="s">
        <v>2685</v>
      </c>
      <c r="O1784" s="70">
        <v>0</v>
      </c>
      <c r="P1784" s="70">
        <v>0</v>
      </c>
      <c r="Q1784" s="70">
        <f t="shared" si="144"/>
        <v>0</v>
      </c>
      <c r="R1784" s="70"/>
      <c r="S1784" s="67"/>
      <c r="T1784" s="2" t="str">
        <f t="shared" si="145"/>
        <v>Nguyễn Thị Phương Hạnh_10VH3</v>
      </c>
      <c r="U1784" s="28">
        <f t="array" ref="U1784">IFERROR(VLOOKUP($T1784,'Nghi hoc T12'!$H$7:$I$160,2,0),0)</f>
        <v>0</v>
      </c>
      <c r="V1784" s="28"/>
      <c r="W1784" s="28">
        <f t="shared" si="146"/>
        <v>0</v>
      </c>
      <c r="X1784" s="333">
        <f t="shared" si="147"/>
        <v>0</v>
      </c>
      <c r="Y1784" s="333">
        <f t="shared" si="148"/>
        <v>0</v>
      </c>
    </row>
    <row r="1785" spans="1:25" s="2" customFormat="1" ht="21.95" customHeight="1">
      <c r="A1785" s="82">
        <v>14</v>
      </c>
      <c r="B1785" s="91" t="str">
        <f t="shared" si="149"/>
        <v>302.C</v>
      </c>
      <c r="C1785" s="83" t="s">
        <v>365</v>
      </c>
      <c r="D1785" s="81" t="s">
        <v>2252</v>
      </c>
      <c r="E1785" s="48">
        <v>400132</v>
      </c>
      <c r="F1785" s="30" t="s">
        <v>2261</v>
      </c>
      <c r="G1785" s="29" t="s">
        <v>1736</v>
      </c>
      <c r="H1785" s="30" t="s">
        <v>137</v>
      </c>
      <c r="I1785" s="78"/>
      <c r="J1785" s="20"/>
      <c r="K1785" s="20"/>
      <c r="L1785" s="20"/>
      <c r="M1785" s="20"/>
      <c r="N1785" s="320" t="s">
        <v>2685</v>
      </c>
      <c r="O1785" s="70">
        <v>0</v>
      </c>
      <c r="P1785" s="70">
        <v>0</v>
      </c>
      <c r="Q1785" s="70">
        <f t="shared" si="144"/>
        <v>0</v>
      </c>
      <c r="R1785" s="70"/>
      <c r="S1785" s="67"/>
      <c r="T1785" s="2" t="str">
        <f t="shared" si="145"/>
        <v>Thạch Thị Hồng Hạnh_10VH4</v>
      </c>
      <c r="U1785" s="28">
        <f t="array" ref="U1785">IFERROR(VLOOKUP($T1785,'Nghi hoc T12'!$H$7:$I$160,2,0),0)</f>
        <v>0</v>
      </c>
      <c r="V1785" s="28"/>
      <c r="W1785" s="28">
        <f t="shared" si="146"/>
        <v>0</v>
      </c>
      <c r="X1785" s="333">
        <f t="shared" si="147"/>
        <v>0</v>
      </c>
      <c r="Y1785" s="333">
        <f t="shared" si="148"/>
        <v>0</v>
      </c>
    </row>
    <row r="1786" spans="1:25" s="2" customFormat="1" ht="21.95" customHeight="1">
      <c r="A1786" s="82">
        <v>15</v>
      </c>
      <c r="B1786" s="91" t="str">
        <f t="shared" si="149"/>
        <v>302.C</v>
      </c>
      <c r="C1786" s="83" t="s">
        <v>365</v>
      </c>
      <c r="D1786" s="81" t="s">
        <v>2252</v>
      </c>
      <c r="E1786" s="48">
        <v>400133</v>
      </c>
      <c r="F1786" s="30" t="s">
        <v>337</v>
      </c>
      <c r="G1786" s="29" t="s">
        <v>78</v>
      </c>
      <c r="H1786" s="30" t="s">
        <v>2241</v>
      </c>
      <c r="I1786" s="78"/>
      <c r="J1786" s="20"/>
      <c r="K1786" s="20"/>
      <c r="L1786" s="20"/>
      <c r="M1786" s="20"/>
      <c r="N1786" s="320" t="s">
        <v>2685</v>
      </c>
      <c r="O1786" s="70">
        <v>0</v>
      </c>
      <c r="P1786" s="70">
        <v>0</v>
      </c>
      <c r="Q1786" s="70">
        <f t="shared" si="144"/>
        <v>0</v>
      </c>
      <c r="R1786" s="70"/>
      <c r="S1786" s="67"/>
      <c r="T1786" s="2" t="str">
        <f t="shared" si="145"/>
        <v>Trần Anh Hào_10VH5</v>
      </c>
      <c r="U1786" s="28">
        <f t="array" ref="U1786">IFERROR(VLOOKUP($T1786,'Nghi hoc T12'!$H$7:$I$160,2,0),0)</f>
        <v>0</v>
      </c>
      <c r="V1786" s="28"/>
      <c r="W1786" s="28">
        <f t="shared" si="146"/>
        <v>0</v>
      </c>
      <c r="X1786" s="333">
        <f t="shared" si="147"/>
        <v>0</v>
      </c>
      <c r="Y1786" s="333">
        <f t="shared" si="148"/>
        <v>0</v>
      </c>
    </row>
    <row r="1787" spans="1:25" s="2" customFormat="1" ht="21.95" customHeight="1">
      <c r="A1787" s="82">
        <v>16</v>
      </c>
      <c r="B1787" s="91" t="str">
        <f t="shared" si="149"/>
        <v>302.C</v>
      </c>
      <c r="C1787" s="83" t="s">
        <v>365</v>
      </c>
      <c r="D1787" s="81" t="s">
        <v>2252</v>
      </c>
      <c r="E1787" s="48">
        <v>400134</v>
      </c>
      <c r="F1787" s="30" t="s">
        <v>2262</v>
      </c>
      <c r="G1787" s="29" t="s">
        <v>84</v>
      </c>
      <c r="H1787" s="30" t="s">
        <v>2242</v>
      </c>
      <c r="I1787" s="78"/>
      <c r="J1787" s="20"/>
      <c r="K1787" s="20"/>
      <c r="L1787" s="20"/>
      <c r="M1787" s="20"/>
      <c r="N1787" s="320" t="s">
        <v>2685</v>
      </c>
      <c r="O1787" s="70">
        <v>0</v>
      </c>
      <c r="P1787" s="70">
        <v>0</v>
      </c>
      <c r="Q1787" s="70">
        <f t="shared" si="144"/>
        <v>0</v>
      </c>
      <c r="R1787" s="70"/>
      <c r="S1787" s="67"/>
      <c r="T1787" s="2" t="str">
        <f t="shared" si="145"/>
        <v>Ngô Ngọc Bảo Hân_10VH3</v>
      </c>
      <c r="U1787" s="28">
        <f t="array" ref="U1787">IFERROR(VLOOKUP($T1787,'Nghi hoc T12'!$H$7:$I$160,2,0),0)</f>
        <v>0</v>
      </c>
      <c r="V1787" s="28"/>
      <c r="W1787" s="28">
        <f t="shared" si="146"/>
        <v>0</v>
      </c>
      <c r="X1787" s="333">
        <f t="shared" si="147"/>
        <v>0</v>
      </c>
      <c r="Y1787" s="333">
        <f t="shared" si="148"/>
        <v>0</v>
      </c>
    </row>
    <row r="1788" spans="1:25" s="2" customFormat="1" ht="21.95" customHeight="1">
      <c r="A1788" s="82">
        <v>17</v>
      </c>
      <c r="B1788" s="91" t="str">
        <f t="shared" si="149"/>
        <v>302.C</v>
      </c>
      <c r="C1788" s="83" t="s">
        <v>365</v>
      </c>
      <c r="D1788" s="81" t="s">
        <v>2252</v>
      </c>
      <c r="E1788" s="48">
        <v>400135</v>
      </c>
      <c r="F1788" s="30" t="s">
        <v>183</v>
      </c>
      <c r="G1788" s="29" t="s">
        <v>104</v>
      </c>
      <c r="H1788" s="30" t="s">
        <v>137</v>
      </c>
      <c r="I1788" s="78"/>
      <c r="J1788" s="20"/>
      <c r="K1788" s="20"/>
      <c r="L1788" s="20"/>
      <c r="M1788" s="20"/>
      <c r="N1788" s="320" t="s">
        <v>2685</v>
      </c>
      <c r="O1788" s="70">
        <v>0</v>
      </c>
      <c r="P1788" s="70">
        <v>0</v>
      </c>
      <c r="Q1788" s="70">
        <f t="shared" si="144"/>
        <v>0</v>
      </c>
      <c r="R1788" s="70"/>
      <c r="S1788" s="67"/>
      <c r="T1788" s="2" t="str">
        <f t="shared" si="145"/>
        <v>Nguyễn Thanh Hậu_10VH4</v>
      </c>
      <c r="U1788" s="28">
        <f t="array" ref="U1788">IFERROR(VLOOKUP($T1788,'Nghi hoc T12'!$H$7:$I$160,2,0),0)</f>
        <v>0</v>
      </c>
      <c r="V1788" s="28"/>
      <c r="W1788" s="28">
        <f t="shared" si="146"/>
        <v>0</v>
      </c>
      <c r="X1788" s="333">
        <f t="shared" si="147"/>
        <v>0</v>
      </c>
      <c r="Y1788" s="333">
        <f t="shared" si="148"/>
        <v>0</v>
      </c>
    </row>
    <row r="1789" spans="1:25" s="2" customFormat="1" ht="21.95" customHeight="1">
      <c r="A1789" s="82">
        <v>18</v>
      </c>
      <c r="B1789" s="91" t="str">
        <f t="shared" si="149"/>
        <v>302.C</v>
      </c>
      <c r="C1789" s="83" t="s">
        <v>365</v>
      </c>
      <c r="D1789" s="81" t="s">
        <v>2252</v>
      </c>
      <c r="E1789" s="48">
        <v>400136</v>
      </c>
      <c r="F1789" s="30" t="s">
        <v>2263</v>
      </c>
      <c r="G1789" s="29" t="s">
        <v>8</v>
      </c>
      <c r="H1789" s="30" t="s">
        <v>2242</v>
      </c>
      <c r="I1789" s="78"/>
      <c r="J1789" s="20"/>
      <c r="K1789" s="20"/>
      <c r="L1789" s="20"/>
      <c r="M1789" s="20"/>
      <c r="N1789" s="320" t="s">
        <v>2685</v>
      </c>
      <c r="O1789" s="70">
        <v>0</v>
      </c>
      <c r="P1789" s="70">
        <v>0</v>
      </c>
      <c r="Q1789" s="70">
        <f t="shared" si="144"/>
        <v>0</v>
      </c>
      <c r="R1789" s="70"/>
      <c r="S1789" s="67"/>
      <c r="T1789" s="2" t="str">
        <f t="shared" si="145"/>
        <v>Đào Thị Thảo Hiền_10VH3</v>
      </c>
      <c r="U1789" s="28">
        <f t="array" ref="U1789">IFERROR(VLOOKUP($T1789,'Nghi hoc T12'!$H$7:$I$160,2,0),0)</f>
        <v>0</v>
      </c>
      <c r="V1789" s="28"/>
      <c r="W1789" s="28">
        <f t="shared" si="146"/>
        <v>0</v>
      </c>
      <c r="X1789" s="333">
        <f t="shared" si="147"/>
        <v>0</v>
      </c>
      <c r="Y1789" s="333">
        <f t="shared" si="148"/>
        <v>0</v>
      </c>
    </row>
    <row r="1790" spans="1:25" s="2" customFormat="1" ht="21.95" customHeight="1">
      <c r="A1790" s="82">
        <v>19</v>
      </c>
      <c r="B1790" s="91" t="str">
        <f t="shared" si="149"/>
        <v>302.C</v>
      </c>
      <c r="C1790" s="83" t="s">
        <v>365</v>
      </c>
      <c r="D1790" s="81" t="s">
        <v>2252</v>
      </c>
      <c r="E1790" s="48">
        <v>400137</v>
      </c>
      <c r="F1790" s="30" t="s">
        <v>444</v>
      </c>
      <c r="G1790" s="29" t="s">
        <v>9</v>
      </c>
      <c r="H1790" s="30" t="s">
        <v>137</v>
      </c>
      <c r="I1790" s="78"/>
      <c r="J1790" s="20"/>
      <c r="K1790" s="20"/>
      <c r="L1790" s="20"/>
      <c r="M1790" s="20"/>
      <c r="N1790" s="320" t="s">
        <v>2685</v>
      </c>
      <c r="O1790" s="70">
        <v>0</v>
      </c>
      <c r="P1790" s="70">
        <v>0</v>
      </c>
      <c r="Q1790" s="70">
        <f t="shared" si="144"/>
        <v>0</v>
      </c>
      <c r="R1790" s="70"/>
      <c r="S1790" s="67"/>
      <c r="T1790" s="2" t="str">
        <f t="shared" si="145"/>
        <v>Trần Thị Ngọc Hiếu_10VH4</v>
      </c>
      <c r="U1790" s="28">
        <f t="array" ref="U1790">IFERROR(VLOOKUP($T1790,'Nghi hoc T12'!$H$7:$I$160,2,0),0)</f>
        <v>0</v>
      </c>
      <c r="V1790" s="28"/>
      <c r="W1790" s="28">
        <f t="shared" si="146"/>
        <v>0</v>
      </c>
      <c r="X1790" s="333">
        <f t="shared" si="147"/>
        <v>0</v>
      </c>
      <c r="Y1790" s="333">
        <f t="shared" si="148"/>
        <v>0</v>
      </c>
    </row>
    <row r="1791" spans="1:25" s="2" customFormat="1" ht="21.95" customHeight="1">
      <c r="A1791" s="82">
        <v>20</v>
      </c>
      <c r="B1791" s="91" t="str">
        <f t="shared" si="149"/>
        <v>302.C</v>
      </c>
      <c r="C1791" s="83" t="s">
        <v>365</v>
      </c>
      <c r="D1791" s="81" t="s">
        <v>2252</v>
      </c>
      <c r="E1791" s="48">
        <v>400138</v>
      </c>
      <c r="F1791" s="30" t="s">
        <v>2264</v>
      </c>
      <c r="G1791" s="29" t="s">
        <v>10</v>
      </c>
      <c r="H1791" s="30" t="s">
        <v>137</v>
      </c>
      <c r="I1791" s="78"/>
      <c r="J1791" s="20"/>
      <c r="K1791" s="20"/>
      <c r="L1791" s="20"/>
      <c r="M1791" s="20"/>
      <c r="N1791" s="320" t="s">
        <v>2685</v>
      </c>
      <c r="O1791" s="70">
        <v>0</v>
      </c>
      <c r="P1791" s="70">
        <v>0</v>
      </c>
      <c r="Q1791" s="70">
        <f t="shared" si="144"/>
        <v>0</v>
      </c>
      <c r="R1791" s="70"/>
      <c r="S1791" s="67"/>
      <c r="T1791" s="2" t="str">
        <f t="shared" si="145"/>
        <v>Phan Huy Hoàng_10VH4</v>
      </c>
      <c r="U1791" s="28">
        <f t="array" ref="U1791">IFERROR(VLOOKUP($T1791,'Nghi hoc T12'!$H$7:$I$160,2,0),0)</f>
        <v>0</v>
      </c>
      <c r="V1791" s="28"/>
      <c r="W1791" s="28">
        <f t="shared" si="146"/>
        <v>0</v>
      </c>
      <c r="X1791" s="333">
        <f t="shared" si="147"/>
        <v>0</v>
      </c>
      <c r="Y1791" s="333">
        <f t="shared" si="148"/>
        <v>0</v>
      </c>
    </row>
    <row r="1792" spans="1:25" s="2" customFormat="1" ht="21.95" customHeight="1">
      <c r="A1792" s="82">
        <v>21</v>
      </c>
      <c r="B1792" s="91" t="str">
        <f t="shared" si="149"/>
        <v>302.C</v>
      </c>
      <c r="C1792" s="83" t="s">
        <v>365</v>
      </c>
      <c r="D1792" s="81" t="s">
        <v>2252</v>
      </c>
      <c r="E1792" s="48">
        <v>400139</v>
      </c>
      <c r="F1792" s="30" t="s">
        <v>2265</v>
      </c>
      <c r="G1792" s="29" t="s">
        <v>478</v>
      </c>
      <c r="H1792" s="30" t="s">
        <v>137</v>
      </c>
      <c r="I1792" s="78"/>
      <c r="J1792" s="20"/>
      <c r="K1792" s="20"/>
      <c r="L1792" s="20"/>
      <c r="M1792" s="20"/>
      <c r="N1792" s="320" t="s">
        <v>2685</v>
      </c>
      <c r="O1792" s="70">
        <v>0</v>
      </c>
      <c r="P1792" s="70">
        <v>0</v>
      </c>
      <c r="Q1792" s="70">
        <f t="shared" si="144"/>
        <v>0</v>
      </c>
      <c r="R1792" s="70"/>
      <c r="S1792" s="67"/>
      <c r="T1792" s="2" t="str">
        <f t="shared" si="145"/>
        <v>Võ Ngọc Tuyết Hồng_10VH4</v>
      </c>
      <c r="U1792" s="28">
        <f t="array" ref="U1792">IFERROR(VLOOKUP($T1792,'Nghi hoc T12'!$H$7:$I$160,2,0),0)</f>
        <v>0</v>
      </c>
      <c r="V1792" s="28"/>
      <c r="W1792" s="28">
        <f t="shared" si="146"/>
        <v>0</v>
      </c>
      <c r="X1792" s="333">
        <f t="shared" si="147"/>
        <v>0</v>
      </c>
      <c r="Y1792" s="333">
        <f t="shared" si="148"/>
        <v>0</v>
      </c>
    </row>
    <row r="1793" spans="1:25" s="2" customFormat="1" ht="21.95" customHeight="1">
      <c r="A1793" s="82">
        <v>22</v>
      </c>
      <c r="B1793" s="91" t="str">
        <f t="shared" si="149"/>
        <v>302.C</v>
      </c>
      <c r="C1793" s="83" t="s">
        <v>365</v>
      </c>
      <c r="D1793" s="81" t="s">
        <v>2252</v>
      </c>
      <c r="E1793" s="48">
        <v>400140</v>
      </c>
      <c r="F1793" s="30" t="s">
        <v>2266</v>
      </c>
      <c r="G1793" s="29" t="s">
        <v>11</v>
      </c>
      <c r="H1793" s="30" t="s">
        <v>2241</v>
      </c>
      <c r="I1793" s="78"/>
      <c r="J1793" s="20"/>
      <c r="K1793" s="20"/>
      <c r="L1793" s="20"/>
      <c r="M1793" s="20"/>
      <c r="N1793" s="320" t="s">
        <v>2685</v>
      </c>
      <c r="O1793" s="70">
        <v>0</v>
      </c>
      <c r="P1793" s="70">
        <v>0</v>
      </c>
      <c r="Q1793" s="70">
        <f t="shared" si="144"/>
        <v>0</v>
      </c>
      <c r="R1793" s="70"/>
      <c r="S1793" s="67"/>
      <c r="T1793" s="2" t="str">
        <f t="shared" si="145"/>
        <v>Lê Khang Huy_10VH5</v>
      </c>
      <c r="U1793" s="28">
        <f t="array" ref="U1793">IFERROR(VLOOKUP($T1793,'Nghi hoc T12'!$H$7:$I$160,2,0),0)</f>
        <v>0</v>
      </c>
      <c r="V1793" s="28"/>
      <c r="W1793" s="28">
        <f t="shared" si="146"/>
        <v>0</v>
      </c>
      <c r="X1793" s="333">
        <f t="shared" si="147"/>
        <v>0</v>
      </c>
      <c r="Y1793" s="333">
        <f t="shared" si="148"/>
        <v>0</v>
      </c>
    </row>
    <row r="1794" spans="1:25" s="2" customFormat="1" ht="21.95" customHeight="1">
      <c r="A1794" s="82">
        <v>23</v>
      </c>
      <c r="B1794" s="91" t="str">
        <f t="shared" si="149"/>
        <v>302.C</v>
      </c>
      <c r="C1794" s="83" t="s">
        <v>365</v>
      </c>
      <c r="D1794" s="81" t="s">
        <v>2252</v>
      </c>
      <c r="E1794" s="48">
        <v>400141</v>
      </c>
      <c r="F1794" s="30" t="s">
        <v>2267</v>
      </c>
      <c r="G1794" s="29" t="s">
        <v>11</v>
      </c>
      <c r="H1794" s="30" t="s">
        <v>2241</v>
      </c>
      <c r="I1794" s="78" t="s">
        <v>529</v>
      </c>
      <c r="J1794" s="20"/>
      <c r="K1794" s="20"/>
      <c r="L1794" s="20"/>
      <c r="M1794" s="20"/>
      <c r="N1794" s="320" t="s">
        <v>2685</v>
      </c>
      <c r="O1794" s="70">
        <v>0</v>
      </c>
      <c r="P1794" s="70">
        <v>0</v>
      </c>
      <c r="Q1794" s="70" t="str">
        <f t="shared" si="144"/>
        <v>NgiH</v>
      </c>
      <c r="R1794" s="70"/>
      <c r="S1794" s="67"/>
      <c r="T1794" s="2" t="str">
        <f t="shared" si="145"/>
        <v>Lưu Đức Huy_10VH5</v>
      </c>
      <c r="U1794" s="28" t="str">
        <f t="array" ref="U1794">IFERROR(VLOOKUP($T1794,'Nghi hoc T12'!$H$7:$I$160,2,0),0)</f>
        <v>NgiH</v>
      </c>
      <c r="V1794" s="28"/>
      <c r="W1794" s="28" t="str">
        <f t="shared" si="146"/>
        <v>Nghỉ học</v>
      </c>
      <c r="X1794" s="333">
        <f t="shared" si="147"/>
        <v>0</v>
      </c>
      <c r="Y1794" s="333">
        <f t="shared" si="148"/>
        <v>0</v>
      </c>
    </row>
    <row r="1795" spans="1:25" s="2" customFormat="1" ht="21.95" customHeight="1">
      <c r="A1795" s="82">
        <v>24</v>
      </c>
      <c r="B1795" s="91" t="str">
        <f t="shared" si="149"/>
        <v>302.C</v>
      </c>
      <c r="C1795" s="83" t="s">
        <v>365</v>
      </c>
      <c r="D1795" s="81" t="s">
        <v>2252</v>
      </c>
      <c r="E1795" s="48">
        <v>400142</v>
      </c>
      <c r="F1795" s="30" t="s">
        <v>2268</v>
      </c>
      <c r="G1795" s="29" t="s">
        <v>11</v>
      </c>
      <c r="H1795" s="30" t="s">
        <v>137</v>
      </c>
      <c r="I1795" s="78"/>
      <c r="J1795" s="20"/>
      <c r="K1795" s="20"/>
      <c r="L1795" s="20"/>
      <c r="M1795" s="20"/>
      <c r="N1795" s="320" t="s">
        <v>2685</v>
      </c>
      <c r="O1795" s="70">
        <v>0</v>
      </c>
      <c r="P1795" s="70">
        <v>0</v>
      </c>
      <c r="Q1795" s="70">
        <f t="shared" si="144"/>
        <v>0</v>
      </c>
      <c r="R1795" s="70"/>
      <c r="S1795" s="67"/>
      <c r="T1795" s="2" t="str">
        <f t="shared" si="145"/>
        <v>Phạm Đoàn Ngọc Huy_10VH4</v>
      </c>
      <c r="U1795" s="28">
        <f t="array" ref="U1795">IFERROR(VLOOKUP($T1795,'Nghi hoc T12'!$H$7:$I$160,2,0),0)</f>
        <v>0</v>
      </c>
      <c r="V1795" s="28"/>
      <c r="W1795" s="28">
        <f t="shared" si="146"/>
        <v>0</v>
      </c>
      <c r="X1795" s="333">
        <f t="shared" si="147"/>
        <v>0</v>
      </c>
      <c r="Y1795" s="333">
        <f t="shared" si="148"/>
        <v>0</v>
      </c>
    </row>
    <row r="1796" spans="1:25" s="2" customFormat="1" ht="21.95" customHeight="1">
      <c r="A1796" s="321">
        <v>1</v>
      </c>
      <c r="B1796" s="91" t="str">
        <f t="shared" si="149"/>
        <v>303.C</v>
      </c>
      <c r="C1796" s="185" t="s">
        <v>365</v>
      </c>
      <c r="D1796" s="186" t="s">
        <v>2269</v>
      </c>
      <c r="E1796" s="187">
        <v>400143</v>
      </c>
      <c r="F1796" s="188" t="s">
        <v>216</v>
      </c>
      <c r="G1796" s="189" t="s">
        <v>91</v>
      </c>
      <c r="H1796" s="188" t="s">
        <v>2241</v>
      </c>
      <c r="I1796" s="190"/>
      <c r="J1796" s="191"/>
      <c r="K1796" s="191"/>
      <c r="L1796" s="191"/>
      <c r="M1796" s="191"/>
      <c r="N1796" s="320" t="s">
        <v>2685</v>
      </c>
      <c r="O1796" s="70">
        <v>0</v>
      </c>
      <c r="P1796" s="70">
        <v>0</v>
      </c>
      <c r="Q1796" s="70">
        <f t="shared" si="144"/>
        <v>0</v>
      </c>
      <c r="R1796" s="70"/>
      <c r="S1796" s="67"/>
      <c r="T1796" s="2" t="str">
        <f t="shared" si="145"/>
        <v>Nguyễn Nhật Hưng_10VH5</v>
      </c>
      <c r="U1796" s="28">
        <f t="array" ref="U1796">IFERROR(VLOOKUP($T1796,'Nghi hoc T12'!$H$7:$I$160,2,0),0)</f>
        <v>0</v>
      </c>
      <c r="V1796" s="28"/>
      <c r="W1796" s="28">
        <f t="shared" si="146"/>
        <v>0</v>
      </c>
      <c r="X1796" s="333">
        <f t="shared" si="147"/>
        <v>0</v>
      </c>
      <c r="Y1796" s="333">
        <f t="shared" si="148"/>
        <v>0</v>
      </c>
    </row>
    <row r="1797" spans="1:25" s="2" customFormat="1" ht="21.95" customHeight="1">
      <c r="A1797" s="82">
        <v>2</v>
      </c>
      <c r="B1797" s="91" t="str">
        <f t="shared" si="149"/>
        <v>303.C</v>
      </c>
      <c r="C1797" s="83" t="s">
        <v>365</v>
      </c>
      <c r="D1797" s="81" t="s">
        <v>2269</v>
      </c>
      <c r="E1797" s="48">
        <v>400144</v>
      </c>
      <c r="F1797" s="30" t="s">
        <v>2270</v>
      </c>
      <c r="G1797" s="29" t="s">
        <v>79</v>
      </c>
      <c r="H1797" s="30" t="s">
        <v>2242</v>
      </c>
      <c r="I1797" s="78"/>
      <c r="J1797" s="20"/>
      <c r="K1797" s="20"/>
      <c r="L1797" s="20"/>
      <c r="M1797" s="20"/>
      <c r="N1797" s="320" t="s">
        <v>2685</v>
      </c>
      <c r="O1797" s="70">
        <v>0</v>
      </c>
      <c r="P1797" s="70">
        <v>0</v>
      </c>
      <c r="Q1797" s="70">
        <f t="shared" si="144"/>
        <v>0</v>
      </c>
      <c r="R1797" s="70"/>
      <c r="S1797" s="67"/>
      <c r="T1797" s="2" t="str">
        <f t="shared" si="145"/>
        <v>Diệp Hữu Khang_10VH3</v>
      </c>
      <c r="U1797" s="28">
        <f t="array" ref="U1797">IFERROR(VLOOKUP($T1797,'Nghi hoc T12'!$H$7:$I$160,2,0),0)</f>
        <v>0</v>
      </c>
      <c r="V1797" s="28"/>
      <c r="W1797" s="28">
        <f t="shared" si="146"/>
        <v>0</v>
      </c>
      <c r="X1797" s="333">
        <f t="shared" si="147"/>
        <v>0</v>
      </c>
      <c r="Y1797" s="333">
        <f t="shared" si="148"/>
        <v>0</v>
      </c>
    </row>
    <row r="1798" spans="1:25" s="2" customFormat="1" ht="21.95" customHeight="1">
      <c r="A1798" s="82">
        <v>3</v>
      </c>
      <c r="B1798" s="91" t="str">
        <f t="shared" si="149"/>
        <v>303.C</v>
      </c>
      <c r="C1798" s="83" t="s">
        <v>365</v>
      </c>
      <c r="D1798" s="81" t="s">
        <v>2269</v>
      </c>
      <c r="E1798" s="48">
        <v>400145</v>
      </c>
      <c r="F1798" s="30" t="s">
        <v>2271</v>
      </c>
      <c r="G1798" s="29" t="s">
        <v>79</v>
      </c>
      <c r="H1798" s="30" t="s">
        <v>137</v>
      </c>
      <c r="I1798" s="78"/>
      <c r="J1798" s="20"/>
      <c r="K1798" s="20"/>
      <c r="L1798" s="20"/>
      <c r="M1798" s="20"/>
      <c r="N1798" s="320" t="s">
        <v>2685</v>
      </c>
      <c r="O1798" s="70">
        <v>0</v>
      </c>
      <c r="P1798" s="70">
        <v>0</v>
      </c>
      <c r="Q1798" s="70">
        <f t="shared" si="144"/>
        <v>0</v>
      </c>
      <c r="R1798" s="70"/>
      <c r="S1798" s="67"/>
      <c r="T1798" s="2" t="str">
        <f t="shared" si="145"/>
        <v>Lâm Thái Khang_10VH4</v>
      </c>
      <c r="U1798" s="28">
        <f t="array" ref="U1798">IFERROR(VLOOKUP($T1798,'Nghi hoc T12'!$H$7:$I$160,2,0),0)</f>
        <v>0</v>
      </c>
      <c r="V1798" s="28"/>
      <c r="W1798" s="28">
        <f t="shared" si="146"/>
        <v>0</v>
      </c>
      <c r="X1798" s="333">
        <f t="shared" si="147"/>
        <v>0</v>
      </c>
      <c r="Y1798" s="333">
        <f t="shared" si="148"/>
        <v>0</v>
      </c>
    </row>
    <row r="1799" spans="1:25" s="2" customFormat="1" ht="21.95" customHeight="1">
      <c r="A1799" s="82">
        <v>4</v>
      </c>
      <c r="B1799" s="91" t="str">
        <f t="shared" si="149"/>
        <v>303.C</v>
      </c>
      <c r="C1799" s="83" t="s">
        <v>365</v>
      </c>
      <c r="D1799" s="81" t="s">
        <v>2269</v>
      </c>
      <c r="E1799" s="48">
        <v>400146</v>
      </c>
      <c r="F1799" s="30" t="s">
        <v>186</v>
      </c>
      <c r="G1799" s="29" t="s">
        <v>79</v>
      </c>
      <c r="H1799" s="30" t="s">
        <v>2241</v>
      </c>
      <c r="I1799" s="78"/>
      <c r="J1799" s="20"/>
      <c r="K1799" s="20"/>
      <c r="L1799" s="20"/>
      <c r="M1799" s="20"/>
      <c r="N1799" s="320" t="s">
        <v>2685</v>
      </c>
      <c r="O1799" s="70">
        <v>0</v>
      </c>
      <c r="P1799" s="70">
        <v>0</v>
      </c>
      <c r="Q1799" s="70">
        <f t="shared" si="144"/>
        <v>0</v>
      </c>
      <c r="R1799" s="70"/>
      <c r="S1799" s="67"/>
      <c r="T1799" s="2" t="str">
        <f t="shared" si="145"/>
        <v>Nguyễn Minh Khang_10VH5</v>
      </c>
      <c r="U1799" s="28">
        <f t="array" ref="U1799">IFERROR(VLOOKUP($T1799,'Nghi hoc T12'!$H$7:$I$160,2,0),0)</f>
        <v>0</v>
      </c>
      <c r="V1799" s="28"/>
      <c r="W1799" s="28">
        <f t="shared" si="146"/>
        <v>0</v>
      </c>
      <c r="X1799" s="333">
        <f t="shared" si="147"/>
        <v>0</v>
      </c>
      <c r="Y1799" s="333">
        <f t="shared" si="148"/>
        <v>0</v>
      </c>
    </row>
    <row r="1800" spans="1:25" s="2" customFormat="1" ht="21.95" customHeight="1">
      <c r="A1800" s="82">
        <v>5</v>
      </c>
      <c r="B1800" s="91" t="str">
        <f t="shared" si="149"/>
        <v>303.C</v>
      </c>
      <c r="C1800" s="83" t="s">
        <v>365</v>
      </c>
      <c r="D1800" s="81" t="s">
        <v>2269</v>
      </c>
      <c r="E1800" s="48">
        <v>400147</v>
      </c>
      <c r="F1800" s="30" t="s">
        <v>453</v>
      </c>
      <c r="G1800" s="29" t="s">
        <v>79</v>
      </c>
      <c r="H1800" s="30" t="s">
        <v>2242</v>
      </c>
      <c r="I1800" s="78"/>
      <c r="J1800" s="20"/>
      <c r="K1800" s="20"/>
      <c r="L1800" s="20"/>
      <c r="M1800" s="20"/>
      <c r="N1800" s="320" t="s">
        <v>2685</v>
      </c>
      <c r="O1800" s="70">
        <v>0</v>
      </c>
      <c r="P1800" s="70">
        <v>0</v>
      </c>
      <c r="Q1800" s="70">
        <f t="shared" si="144"/>
        <v>0</v>
      </c>
      <c r="R1800" s="70"/>
      <c r="S1800" s="67"/>
      <c r="T1800" s="2" t="str">
        <f t="shared" si="145"/>
        <v>Phan Minh Khang_10VH3</v>
      </c>
      <c r="U1800" s="28">
        <f t="array" ref="U1800">IFERROR(VLOOKUP($T1800,'Nghi hoc T12'!$H$7:$I$160,2,0),0)</f>
        <v>0</v>
      </c>
      <c r="V1800" s="28"/>
      <c r="W1800" s="28">
        <f t="shared" si="146"/>
        <v>0</v>
      </c>
      <c r="X1800" s="333">
        <f t="shared" si="147"/>
        <v>0</v>
      </c>
      <c r="Y1800" s="333">
        <f t="shared" si="148"/>
        <v>0</v>
      </c>
    </row>
    <row r="1801" spans="1:25" s="2" customFormat="1" ht="21.95" customHeight="1">
      <c r="A1801" s="82">
        <v>6</v>
      </c>
      <c r="B1801" s="91" t="str">
        <f t="shared" si="149"/>
        <v>303.C</v>
      </c>
      <c r="C1801" s="83" t="s">
        <v>365</v>
      </c>
      <c r="D1801" s="81" t="s">
        <v>2269</v>
      </c>
      <c r="E1801" s="48">
        <v>400148</v>
      </c>
      <c r="F1801" s="30" t="s">
        <v>2272</v>
      </c>
      <c r="G1801" s="29" t="s">
        <v>79</v>
      </c>
      <c r="H1801" s="30" t="s">
        <v>137</v>
      </c>
      <c r="I1801" s="78"/>
      <c r="J1801" s="20"/>
      <c r="K1801" s="20"/>
      <c r="L1801" s="20"/>
      <c r="M1801" s="20"/>
      <c r="N1801" s="320" t="s">
        <v>2685</v>
      </c>
      <c r="O1801" s="70">
        <v>0</v>
      </c>
      <c r="P1801" s="70">
        <v>0</v>
      </c>
      <c r="Q1801" s="70">
        <f t="shared" si="144"/>
        <v>0</v>
      </c>
      <c r="R1801" s="70"/>
      <c r="S1801" s="67"/>
      <c r="T1801" s="2" t="str">
        <f t="shared" si="145"/>
        <v>Trầm Tuấn Khang_10VH4</v>
      </c>
      <c r="U1801" s="28">
        <f t="array" ref="U1801">IFERROR(VLOOKUP($T1801,'Nghi hoc T12'!$H$7:$I$160,2,0),0)</f>
        <v>0</v>
      </c>
      <c r="V1801" s="28"/>
      <c r="W1801" s="28">
        <f t="shared" si="146"/>
        <v>0</v>
      </c>
      <c r="X1801" s="333">
        <f t="shared" si="147"/>
        <v>0</v>
      </c>
      <c r="Y1801" s="333">
        <f t="shared" si="148"/>
        <v>0</v>
      </c>
    </row>
    <row r="1802" spans="1:25" s="2" customFormat="1" ht="21.95" customHeight="1">
      <c r="A1802" s="82">
        <v>7</v>
      </c>
      <c r="B1802" s="91" t="str">
        <f t="shared" si="149"/>
        <v>303.C</v>
      </c>
      <c r="C1802" s="83" t="s">
        <v>365</v>
      </c>
      <c r="D1802" s="81" t="s">
        <v>2269</v>
      </c>
      <c r="E1802" s="48">
        <v>400149</v>
      </c>
      <c r="F1802" s="30" t="s">
        <v>344</v>
      </c>
      <c r="G1802" s="29" t="s">
        <v>94</v>
      </c>
      <c r="H1802" s="30" t="s">
        <v>137</v>
      </c>
      <c r="I1802" s="78"/>
      <c r="J1802" s="20"/>
      <c r="K1802" s="20"/>
      <c r="L1802" s="20"/>
      <c r="M1802" s="20"/>
      <c r="N1802" s="320" t="s">
        <v>2685</v>
      </c>
      <c r="O1802" s="70">
        <v>0</v>
      </c>
      <c r="P1802" s="70">
        <v>0</v>
      </c>
      <c r="Q1802" s="70">
        <f t="shared" ref="Q1802:Q1865" si="150">U1802</f>
        <v>0</v>
      </c>
      <c r="R1802" s="70"/>
      <c r="S1802" s="67"/>
      <c r="T1802" s="2" t="str">
        <f t="shared" ref="T1802:T1865" si="151">TRIM(F1802&amp;" "&amp;G1802&amp;"_"&amp;H1802)</f>
        <v>Lê Duy Khánh_10VH4</v>
      </c>
      <c r="U1802" s="28">
        <f t="array" ref="U1802">IFERROR(VLOOKUP($T1802,'Nghi hoc T12'!$H$7:$I$160,2,0),0)</f>
        <v>0</v>
      </c>
      <c r="V1802" s="28"/>
      <c r="W1802" s="28">
        <f t="shared" ref="W1802:W1865" si="152">I1802</f>
        <v>0</v>
      </c>
      <c r="X1802" s="333">
        <f t="shared" ref="X1802:X1865" si="153">O1802</f>
        <v>0</v>
      </c>
      <c r="Y1802" s="333">
        <f t="shared" ref="Y1802:Y1865" si="154">P1802</f>
        <v>0</v>
      </c>
    </row>
    <row r="1803" spans="1:25" s="2" customFormat="1" ht="21.95" customHeight="1">
      <c r="A1803" s="82">
        <v>8</v>
      </c>
      <c r="B1803" s="91" t="str">
        <f t="shared" ref="B1803:B1866" si="155">RIGHT(D1803,LEN(D1803)-2)&amp;"."&amp;LEFT(N1803,1)</f>
        <v>303.C</v>
      </c>
      <c r="C1803" s="83" t="s">
        <v>365</v>
      </c>
      <c r="D1803" s="81" t="s">
        <v>2269</v>
      </c>
      <c r="E1803" s="48">
        <v>400150</v>
      </c>
      <c r="F1803" s="30" t="s">
        <v>330</v>
      </c>
      <c r="G1803" s="29" t="s">
        <v>94</v>
      </c>
      <c r="H1803" s="30" t="s">
        <v>2241</v>
      </c>
      <c r="I1803" s="78"/>
      <c r="J1803" s="20"/>
      <c r="K1803" s="20"/>
      <c r="L1803" s="20"/>
      <c r="M1803" s="20"/>
      <c r="N1803" s="320" t="s">
        <v>2685</v>
      </c>
      <c r="O1803" s="70">
        <v>0</v>
      </c>
      <c r="P1803" s="70">
        <v>0</v>
      </c>
      <c r="Q1803" s="70">
        <f t="shared" si="150"/>
        <v>0</v>
      </c>
      <c r="R1803" s="70"/>
      <c r="S1803" s="67"/>
      <c r="T1803" s="2" t="str">
        <f t="shared" si="151"/>
        <v>Nguyễn Khánh_10VH5</v>
      </c>
      <c r="U1803" s="28">
        <f t="array" ref="U1803">IFERROR(VLOOKUP($T1803,'Nghi hoc T12'!$H$7:$I$160,2,0),0)</f>
        <v>0</v>
      </c>
      <c r="V1803" s="28"/>
      <c r="W1803" s="28">
        <f t="shared" si="152"/>
        <v>0</v>
      </c>
      <c r="X1803" s="333">
        <f t="shared" si="153"/>
        <v>0</v>
      </c>
      <c r="Y1803" s="333">
        <f t="shared" si="154"/>
        <v>0</v>
      </c>
    </row>
    <row r="1804" spans="1:25" s="2" customFormat="1" ht="21.95" customHeight="1">
      <c r="A1804" s="82">
        <v>9</v>
      </c>
      <c r="B1804" s="91" t="str">
        <f t="shared" si="155"/>
        <v>303.C</v>
      </c>
      <c r="C1804" s="83" t="s">
        <v>365</v>
      </c>
      <c r="D1804" s="81" t="s">
        <v>2269</v>
      </c>
      <c r="E1804" s="48">
        <v>400151</v>
      </c>
      <c r="F1804" s="30" t="s">
        <v>276</v>
      </c>
      <c r="G1804" s="29" t="s">
        <v>1132</v>
      </c>
      <c r="H1804" s="30" t="s">
        <v>2241</v>
      </c>
      <c r="I1804" s="78"/>
      <c r="J1804" s="20"/>
      <c r="K1804" s="20"/>
      <c r="L1804" s="20"/>
      <c r="M1804" s="20"/>
      <c r="N1804" s="320" t="s">
        <v>2685</v>
      </c>
      <c r="O1804" s="70">
        <v>0</v>
      </c>
      <c r="P1804" s="70">
        <v>0</v>
      </c>
      <c r="Q1804" s="70">
        <f t="shared" si="150"/>
        <v>0</v>
      </c>
      <c r="R1804" s="70"/>
      <c r="S1804" s="67"/>
      <c r="T1804" s="2" t="str">
        <f t="shared" si="151"/>
        <v>Nguyễn Trung Kiên_10VH5</v>
      </c>
      <c r="U1804" s="28">
        <f t="array" ref="U1804">IFERROR(VLOOKUP($T1804,'Nghi hoc T12'!$H$7:$I$160,2,0),0)</f>
        <v>0</v>
      </c>
      <c r="V1804" s="28"/>
      <c r="W1804" s="28">
        <f t="shared" si="152"/>
        <v>0</v>
      </c>
      <c r="X1804" s="333">
        <f t="shared" si="153"/>
        <v>0</v>
      </c>
      <c r="Y1804" s="333">
        <f t="shared" si="154"/>
        <v>0</v>
      </c>
    </row>
    <row r="1805" spans="1:25" s="2" customFormat="1" ht="21.95" customHeight="1">
      <c r="A1805" s="82">
        <v>10</v>
      </c>
      <c r="B1805" s="91" t="str">
        <f t="shared" si="155"/>
        <v>303.C</v>
      </c>
      <c r="C1805" s="83" t="s">
        <v>365</v>
      </c>
      <c r="D1805" s="81" t="s">
        <v>2269</v>
      </c>
      <c r="E1805" s="48">
        <v>400152</v>
      </c>
      <c r="F1805" s="30" t="s">
        <v>2273</v>
      </c>
      <c r="G1805" s="29" t="s">
        <v>68</v>
      </c>
      <c r="H1805" s="30" t="s">
        <v>137</v>
      </c>
      <c r="I1805" s="78"/>
      <c r="J1805" s="20"/>
      <c r="K1805" s="20"/>
      <c r="L1805" s="20"/>
      <c r="M1805" s="20"/>
      <c r="N1805" s="320" t="s">
        <v>2685</v>
      </c>
      <c r="O1805" s="70">
        <v>0</v>
      </c>
      <c r="P1805" s="70">
        <v>0</v>
      </c>
      <c r="Q1805" s="70">
        <f t="shared" si="150"/>
        <v>0</v>
      </c>
      <c r="R1805" s="70"/>
      <c r="S1805" s="67"/>
      <c r="T1805" s="2" t="str">
        <f t="shared" si="151"/>
        <v>Huỳnh Vũ Anh Kiệt_10VH4</v>
      </c>
      <c r="U1805" s="28">
        <f t="array" ref="U1805">IFERROR(VLOOKUP($T1805,'Nghi hoc T12'!$H$7:$I$160,2,0),0)</f>
        <v>0</v>
      </c>
      <c r="V1805" s="28"/>
      <c r="W1805" s="28">
        <f t="shared" si="152"/>
        <v>0</v>
      </c>
      <c r="X1805" s="333">
        <f t="shared" si="153"/>
        <v>0</v>
      </c>
      <c r="Y1805" s="333">
        <f t="shared" si="154"/>
        <v>0</v>
      </c>
    </row>
    <row r="1806" spans="1:25" s="2" customFormat="1" ht="21.95" customHeight="1">
      <c r="A1806" s="82">
        <v>11</v>
      </c>
      <c r="B1806" s="91" t="str">
        <f t="shared" si="155"/>
        <v>303.C</v>
      </c>
      <c r="C1806" s="83" t="s">
        <v>365</v>
      </c>
      <c r="D1806" s="81" t="s">
        <v>2269</v>
      </c>
      <c r="E1806" s="48">
        <v>400153</v>
      </c>
      <c r="F1806" s="30" t="s">
        <v>277</v>
      </c>
      <c r="G1806" s="29" t="s">
        <v>68</v>
      </c>
      <c r="H1806" s="30" t="s">
        <v>2242</v>
      </c>
      <c r="I1806" s="78"/>
      <c r="J1806" s="20"/>
      <c r="K1806" s="20"/>
      <c r="L1806" s="20"/>
      <c r="M1806" s="20"/>
      <c r="N1806" s="320" t="s">
        <v>2685</v>
      </c>
      <c r="O1806" s="70">
        <v>0</v>
      </c>
      <c r="P1806" s="70">
        <v>0</v>
      </c>
      <c r="Q1806" s="70">
        <f t="shared" si="150"/>
        <v>0</v>
      </c>
      <c r="R1806" s="70"/>
      <c r="S1806" s="67"/>
      <c r="T1806" s="2" t="str">
        <f t="shared" si="151"/>
        <v>Ngô Gia Kiệt_10VH3</v>
      </c>
      <c r="U1806" s="28">
        <f t="array" ref="U1806">IFERROR(VLOOKUP($T1806,'Nghi hoc T12'!$H$7:$I$160,2,0),0)</f>
        <v>0</v>
      </c>
      <c r="V1806" s="28"/>
      <c r="W1806" s="28">
        <f t="shared" si="152"/>
        <v>0</v>
      </c>
      <c r="X1806" s="333">
        <f t="shared" si="153"/>
        <v>0</v>
      </c>
      <c r="Y1806" s="333">
        <f t="shared" si="154"/>
        <v>0</v>
      </c>
    </row>
    <row r="1807" spans="1:25" s="2" customFormat="1" ht="21.95" customHeight="1">
      <c r="A1807" s="82">
        <v>12</v>
      </c>
      <c r="B1807" s="91" t="str">
        <f t="shared" si="155"/>
        <v>303.C</v>
      </c>
      <c r="C1807" s="83" t="s">
        <v>365</v>
      </c>
      <c r="D1807" s="81" t="s">
        <v>2269</v>
      </c>
      <c r="E1807" s="48">
        <v>400154</v>
      </c>
      <c r="F1807" s="30" t="s">
        <v>2274</v>
      </c>
      <c r="G1807" s="29" t="s">
        <v>68</v>
      </c>
      <c r="H1807" s="30" t="s">
        <v>2241</v>
      </c>
      <c r="I1807" s="78"/>
      <c r="J1807" s="20"/>
      <c r="K1807" s="20"/>
      <c r="L1807" s="20"/>
      <c r="M1807" s="20"/>
      <c r="N1807" s="320" t="s">
        <v>2685</v>
      </c>
      <c r="O1807" s="70">
        <v>0</v>
      </c>
      <c r="P1807" s="70">
        <v>0</v>
      </c>
      <c r="Q1807" s="70">
        <f t="shared" si="150"/>
        <v>0</v>
      </c>
      <c r="R1807" s="70"/>
      <c r="S1807" s="67"/>
      <c r="T1807" s="2" t="str">
        <f t="shared" si="151"/>
        <v>Võ Hoàng Tuấn Kiệt_10VH5</v>
      </c>
      <c r="U1807" s="28">
        <f t="array" ref="U1807">IFERROR(VLOOKUP($T1807,'Nghi hoc T12'!$H$7:$I$160,2,0),0)</f>
        <v>0</v>
      </c>
      <c r="V1807" s="28"/>
      <c r="W1807" s="28">
        <f t="shared" si="152"/>
        <v>0</v>
      </c>
      <c r="X1807" s="333">
        <f t="shared" si="153"/>
        <v>0</v>
      </c>
      <c r="Y1807" s="333">
        <f t="shared" si="154"/>
        <v>0</v>
      </c>
    </row>
    <row r="1808" spans="1:25" s="2" customFormat="1" ht="21.95" customHeight="1">
      <c r="A1808" s="82">
        <v>13</v>
      </c>
      <c r="B1808" s="91" t="str">
        <f t="shared" si="155"/>
        <v>303.C</v>
      </c>
      <c r="C1808" s="83" t="s">
        <v>365</v>
      </c>
      <c r="D1808" s="81" t="s">
        <v>2269</v>
      </c>
      <c r="E1808" s="48">
        <v>400155</v>
      </c>
      <c r="F1808" s="30" t="s">
        <v>462</v>
      </c>
      <c r="G1808" s="29" t="s">
        <v>2275</v>
      </c>
      <c r="H1808" s="30" t="s">
        <v>2242</v>
      </c>
      <c r="I1808" s="78" t="s">
        <v>529</v>
      </c>
      <c r="J1808" s="20"/>
      <c r="K1808" s="20"/>
      <c r="L1808" s="20"/>
      <c r="M1808" s="20"/>
      <c r="N1808" s="320" t="s">
        <v>2685</v>
      </c>
      <c r="O1808" s="70">
        <v>0</v>
      </c>
      <c r="P1808" s="70">
        <v>0</v>
      </c>
      <c r="Q1808" s="70" t="str">
        <f t="shared" si="150"/>
        <v>NgiH</v>
      </c>
      <c r="R1808" s="70"/>
      <c r="S1808" s="67"/>
      <c r="T1808" s="2" t="str">
        <f t="shared" si="151"/>
        <v>Nguyễn Thị Minh Kiều_10VH3</v>
      </c>
      <c r="U1808" s="28" t="str">
        <f t="array" ref="U1808">IFERROR(VLOOKUP($T1808,'Nghi hoc T12'!$H$7:$I$160,2,0),0)</f>
        <v>NgiH</v>
      </c>
      <c r="V1808" s="28"/>
      <c r="W1808" s="28" t="str">
        <f t="shared" si="152"/>
        <v>Nghỉ học</v>
      </c>
      <c r="X1808" s="333">
        <f t="shared" si="153"/>
        <v>0</v>
      </c>
      <c r="Y1808" s="333">
        <f t="shared" si="154"/>
        <v>0</v>
      </c>
    </row>
    <row r="1809" spans="1:25" s="2" customFormat="1" ht="21.95" customHeight="1">
      <c r="A1809" s="82">
        <v>14</v>
      </c>
      <c r="B1809" s="91" t="str">
        <f t="shared" si="155"/>
        <v>303.C</v>
      </c>
      <c r="C1809" s="83" t="s">
        <v>365</v>
      </c>
      <c r="D1809" s="81" t="s">
        <v>2269</v>
      </c>
      <c r="E1809" s="48">
        <v>400156</v>
      </c>
      <c r="F1809" s="30" t="s">
        <v>226</v>
      </c>
      <c r="G1809" s="29" t="s">
        <v>2275</v>
      </c>
      <c r="H1809" s="30" t="s">
        <v>137</v>
      </c>
      <c r="I1809" s="78"/>
      <c r="J1809" s="20"/>
      <c r="K1809" s="20"/>
      <c r="L1809" s="20"/>
      <c r="M1809" s="20"/>
      <c r="N1809" s="320" t="s">
        <v>2685</v>
      </c>
      <c r="O1809" s="70">
        <v>0</v>
      </c>
      <c r="P1809" s="70">
        <v>0</v>
      </c>
      <c r="Q1809" s="70">
        <f t="shared" si="150"/>
        <v>0</v>
      </c>
      <c r="R1809" s="70"/>
      <c r="S1809" s="67"/>
      <c r="T1809" s="2" t="str">
        <f t="shared" si="151"/>
        <v>Nguyễn Thị Thanh Kiều_10VH4</v>
      </c>
      <c r="U1809" s="28">
        <f t="array" ref="U1809">IFERROR(VLOOKUP($T1809,'Nghi hoc T12'!$H$7:$I$160,2,0),0)</f>
        <v>0</v>
      </c>
      <c r="V1809" s="28"/>
      <c r="W1809" s="28">
        <f t="shared" si="152"/>
        <v>0</v>
      </c>
      <c r="X1809" s="333">
        <f t="shared" si="153"/>
        <v>0</v>
      </c>
      <c r="Y1809" s="333">
        <f t="shared" si="154"/>
        <v>0</v>
      </c>
    </row>
    <row r="1810" spans="1:25" s="2" customFormat="1" ht="21.95" customHeight="1">
      <c r="A1810" s="82">
        <v>15</v>
      </c>
      <c r="B1810" s="91" t="str">
        <f t="shared" si="155"/>
        <v>303.C</v>
      </c>
      <c r="C1810" s="83" t="s">
        <v>365</v>
      </c>
      <c r="D1810" s="81" t="s">
        <v>2269</v>
      </c>
      <c r="E1810" s="48">
        <v>400157</v>
      </c>
      <c r="F1810" s="30" t="s">
        <v>2276</v>
      </c>
      <c r="G1810" s="29" t="s">
        <v>311</v>
      </c>
      <c r="H1810" s="30" t="s">
        <v>2241</v>
      </c>
      <c r="I1810" s="78"/>
      <c r="J1810" s="20"/>
      <c r="K1810" s="20"/>
      <c r="L1810" s="20"/>
      <c r="M1810" s="20"/>
      <c r="N1810" s="320" t="s">
        <v>2685</v>
      </c>
      <c r="O1810" s="70">
        <v>0</v>
      </c>
      <c r="P1810" s="70">
        <v>0</v>
      </c>
      <c r="Q1810" s="70">
        <f t="shared" si="150"/>
        <v>0</v>
      </c>
      <c r="R1810" s="70"/>
      <c r="S1810" s="67"/>
      <c r="T1810" s="2" t="str">
        <f t="shared" si="151"/>
        <v>Dương Lâm Mỹ Kỳ_10VH5</v>
      </c>
      <c r="U1810" s="28">
        <f t="array" ref="U1810">IFERROR(VLOOKUP($T1810,'Nghi hoc T12'!$H$7:$I$160,2,0),0)</f>
        <v>0</v>
      </c>
      <c r="V1810" s="28"/>
      <c r="W1810" s="28">
        <f t="shared" si="152"/>
        <v>0</v>
      </c>
      <c r="X1810" s="333">
        <f t="shared" si="153"/>
        <v>0</v>
      </c>
      <c r="Y1810" s="333">
        <f t="shared" si="154"/>
        <v>0</v>
      </c>
    </row>
    <row r="1811" spans="1:25" s="2" customFormat="1" ht="21.95" customHeight="1">
      <c r="A1811" s="82">
        <v>16</v>
      </c>
      <c r="B1811" s="91" t="str">
        <f t="shared" si="155"/>
        <v>303.C</v>
      </c>
      <c r="C1811" s="83" t="s">
        <v>365</v>
      </c>
      <c r="D1811" s="81" t="s">
        <v>2269</v>
      </c>
      <c r="E1811" s="48">
        <v>400158</v>
      </c>
      <c r="F1811" s="30" t="s">
        <v>2277</v>
      </c>
      <c r="G1811" s="29" t="s">
        <v>92</v>
      </c>
      <c r="H1811" s="30" t="s">
        <v>137</v>
      </c>
      <c r="I1811" s="78"/>
      <c r="J1811" s="20"/>
      <c r="K1811" s="20"/>
      <c r="L1811" s="20"/>
      <c r="M1811" s="20"/>
      <c r="N1811" s="320" t="s">
        <v>2685</v>
      </c>
      <c r="O1811" s="70">
        <v>0</v>
      </c>
      <c r="P1811" s="70">
        <v>0</v>
      </c>
      <c r="Q1811" s="70">
        <f t="shared" si="150"/>
        <v>0</v>
      </c>
      <c r="R1811" s="70"/>
      <c r="S1811" s="67"/>
      <c r="T1811" s="2" t="str">
        <f t="shared" si="151"/>
        <v>Ngô Giang Lâm_10VH4</v>
      </c>
      <c r="U1811" s="28">
        <f t="array" ref="U1811">IFERROR(VLOOKUP($T1811,'Nghi hoc T12'!$H$7:$I$160,2,0),0)</f>
        <v>0</v>
      </c>
      <c r="V1811" s="28"/>
      <c r="W1811" s="28">
        <f t="shared" si="152"/>
        <v>0</v>
      </c>
      <c r="X1811" s="333">
        <f t="shared" si="153"/>
        <v>0</v>
      </c>
      <c r="Y1811" s="333">
        <f t="shared" si="154"/>
        <v>0</v>
      </c>
    </row>
    <row r="1812" spans="1:25" s="2" customFormat="1" ht="21.95" customHeight="1">
      <c r="A1812" s="82">
        <v>17</v>
      </c>
      <c r="B1812" s="91" t="str">
        <f t="shared" si="155"/>
        <v>303.C</v>
      </c>
      <c r="C1812" s="83" t="s">
        <v>365</v>
      </c>
      <c r="D1812" s="81" t="s">
        <v>2269</v>
      </c>
      <c r="E1812" s="48">
        <v>400159</v>
      </c>
      <c r="F1812" s="30" t="s">
        <v>1521</v>
      </c>
      <c r="G1812" s="29" t="s">
        <v>38</v>
      </c>
      <c r="H1812" s="30" t="s">
        <v>2241</v>
      </c>
      <c r="I1812" s="78"/>
      <c r="J1812" s="20"/>
      <c r="K1812" s="20"/>
      <c r="L1812" s="20"/>
      <c r="M1812" s="20"/>
      <c r="N1812" s="320" t="s">
        <v>2685</v>
      </c>
      <c r="O1812" s="70">
        <v>0</v>
      </c>
      <c r="P1812" s="70">
        <v>0</v>
      </c>
      <c r="Q1812" s="70">
        <f t="shared" si="150"/>
        <v>0</v>
      </c>
      <c r="R1812" s="70"/>
      <c r="S1812" s="67"/>
      <c r="T1812" s="2" t="str">
        <f t="shared" si="151"/>
        <v>Phạm Trà Linh_10VH5</v>
      </c>
      <c r="U1812" s="28">
        <f t="array" ref="U1812">IFERROR(VLOOKUP($T1812,'Nghi hoc T12'!$H$7:$I$160,2,0),0)</f>
        <v>0</v>
      </c>
      <c r="V1812" s="28"/>
      <c r="W1812" s="28">
        <f t="shared" si="152"/>
        <v>0</v>
      </c>
      <c r="X1812" s="333">
        <f t="shared" si="153"/>
        <v>0</v>
      </c>
      <c r="Y1812" s="333">
        <f t="shared" si="154"/>
        <v>0</v>
      </c>
    </row>
    <row r="1813" spans="1:25" s="2" customFormat="1" ht="21.95" customHeight="1">
      <c r="A1813" s="82">
        <v>18</v>
      </c>
      <c r="B1813" s="91" t="str">
        <f t="shared" si="155"/>
        <v>303.C</v>
      </c>
      <c r="C1813" s="83" t="s">
        <v>365</v>
      </c>
      <c r="D1813" s="81" t="s">
        <v>2269</v>
      </c>
      <c r="E1813" s="48">
        <v>400160</v>
      </c>
      <c r="F1813" s="30" t="s">
        <v>160</v>
      </c>
      <c r="G1813" s="29" t="s">
        <v>14</v>
      </c>
      <c r="H1813" s="30" t="s">
        <v>2241</v>
      </c>
      <c r="I1813" s="78" t="s">
        <v>529</v>
      </c>
      <c r="J1813" s="20"/>
      <c r="K1813" s="20"/>
      <c r="L1813" s="20"/>
      <c r="M1813" s="20"/>
      <c r="N1813" s="320" t="s">
        <v>2685</v>
      </c>
      <c r="O1813" s="70">
        <v>0</v>
      </c>
      <c r="P1813" s="70">
        <v>0</v>
      </c>
      <c r="Q1813" s="70" t="str">
        <f t="shared" si="150"/>
        <v>NgiH</v>
      </c>
      <c r="R1813" s="70"/>
      <c r="S1813" s="67"/>
      <c r="T1813" s="2" t="str">
        <f t="shared" si="151"/>
        <v>Nguyễn Thành Long_10VH5</v>
      </c>
      <c r="U1813" s="28" t="str">
        <f t="array" ref="U1813">IFERROR(VLOOKUP($T1813,'Nghi hoc T12'!$H$7:$I$160,2,0),0)</f>
        <v>NgiH</v>
      </c>
      <c r="V1813" s="28"/>
      <c r="W1813" s="28" t="str">
        <f t="shared" si="152"/>
        <v>Nghỉ học</v>
      </c>
      <c r="X1813" s="333">
        <f t="shared" si="153"/>
        <v>0</v>
      </c>
      <c r="Y1813" s="333">
        <f t="shared" si="154"/>
        <v>0</v>
      </c>
    </row>
    <row r="1814" spans="1:25" s="2" customFormat="1" ht="21.95" customHeight="1">
      <c r="A1814" s="82">
        <v>19</v>
      </c>
      <c r="B1814" s="91" t="str">
        <f t="shared" si="155"/>
        <v>303.C</v>
      </c>
      <c r="C1814" s="83" t="s">
        <v>365</v>
      </c>
      <c r="D1814" s="81" t="s">
        <v>2269</v>
      </c>
      <c r="E1814" s="48">
        <v>400161</v>
      </c>
      <c r="F1814" s="30" t="s">
        <v>1586</v>
      </c>
      <c r="G1814" s="29" t="s">
        <v>14</v>
      </c>
      <c r="H1814" s="30" t="s">
        <v>2242</v>
      </c>
      <c r="I1814" s="78"/>
      <c r="J1814" s="20"/>
      <c r="K1814" s="20"/>
      <c r="L1814" s="20"/>
      <c r="M1814" s="20"/>
      <c r="N1814" s="320" t="s">
        <v>2685</v>
      </c>
      <c r="O1814" s="70">
        <v>0</v>
      </c>
      <c r="P1814" s="70">
        <v>0</v>
      </c>
      <c r="Q1814" s="70">
        <f t="shared" si="150"/>
        <v>0</v>
      </c>
      <c r="R1814" s="70"/>
      <c r="S1814" s="67"/>
      <c r="T1814" s="2" t="str">
        <f t="shared" si="151"/>
        <v>Phạm Thiên Long_10VH3</v>
      </c>
      <c r="U1814" s="28">
        <f t="array" ref="U1814">IFERROR(VLOOKUP($T1814,'Nghi hoc T12'!$H$7:$I$160,2,0),0)</f>
        <v>0</v>
      </c>
      <c r="V1814" s="28"/>
      <c r="W1814" s="28">
        <f t="shared" si="152"/>
        <v>0</v>
      </c>
      <c r="X1814" s="333">
        <f t="shared" si="153"/>
        <v>0</v>
      </c>
      <c r="Y1814" s="333">
        <f t="shared" si="154"/>
        <v>0</v>
      </c>
    </row>
    <row r="1815" spans="1:25" s="2" customFormat="1" ht="21.95" customHeight="1">
      <c r="A1815" s="82">
        <v>20</v>
      </c>
      <c r="B1815" s="91" t="str">
        <f t="shared" si="155"/>
        <v>303.C</v>
      </c>
      <c r="C1815" s="83" t="s">
        <v>365</v>
      </c>
      <c r="D1815" s="81" t="s">
        <v>2269</v>
      </c>
      <c r="E1815" s="48">
        <v>400162</v>
      </c>
      <c r="F1815" s="30" t="s">
        <v>2278</v>
      </c>
      <c r="G1815" s="29" t="s">
        <v>152</v>
      </c>
      <c r="H1815" s="30" t="s">
        <v>137</v>
      </c>
      <c r="I1815" s="78"/>
      <c r="J1815" s="20"/>
      <c r="K1815" s="20"/>
      <c r="L1815" s="20"/>
      <c r="M1815" s="20"/>
      <c r="N1815" s="320" t="s">
        <v>2685</v>
      </c>
      <c r="O1815" s="70">
        <v>0</v>
      </c>
      <c r="P1815" s="70">
        <v>0</v>
      </c>
      <c r="Q1815" s="70">
        <f t="shared" si="150"/>
        <v>0</v>
      </c>
      <c r="R1815" s="70"/>
      <c r="S1815" s="67"/>
      <c r="T1815" s="2" t="str">
        <f t="shared" si="151"/>
        <v>Phan Tài Lộc_10VH4</v>
      </c>
      <c r="U1815" s="28">
        <f t="array" ref="U1815">IFERROR(VLOOKUP($T1815,'Nghi hoc T12'!$H$7:$I$160,2,0),0)</f>
        <v>0</v>
      </c>
      <c r="V1815" s="28"/>
      <c r="W1815" s="28">
        <f t="shared" si="152"/>
        <v>0</v>
      </c>
      <c r="X1815" s="333">
        <f t="shared" si="153"/>
        <v>0</v>
      </c>
      <c r="Y1815" s="333">
        <f t="shared" si="154"/>
        <v>0</v>
      </c>
    </row>
    <row r="1816" spans="1:25" s="2" customFormat="1" ht="21.95" customHeight="1">
      <c r="A1816" s="82">
        <v>21</v>
      </c>
      <c r="B1816" s="91" t="str">
        <f t="shared" si="155"/>
        <v>303.C</v>
      </c>
      <c r="C1816" s="83" t="s">
        <v>365</v>
      </c>
      <c r="D1816" s="81" t="s">
        <v>2269</v>
      </c>
      <c r="E1816" s="48">
        <v>400163</v>
      </c>
      <c r="F1816" s="30" t="s">
        <v>2279</v>
      </c>
      <c r="G1816" s="29" t="s">
        <v>16</v>
      </c>
      <c r="H1816" s="30" t="s">
        <v>2242</v>
      </c>
      <c r="I1816" s="78"/>
      <c r="J1816" s="20"/>
      <c r="K1816" s="20"/>
      <c r="L1816" s="20"/>
      <c r="M1816" s="20"/>
      <c r="N1816" s="320" t="s">
        <v>2685</v>
      </c>
      <c r="O1816" s="70">
        <v>0</v>
      </c>
      <c r="P1816" s="70">
        <v>0</v>
      </c>
      <c r="Q1816" s="70">
        <f t="shared" si="150"/>
        <v>0</v>
      </c>
      <c r="R1816" s="70"/>
      <c r="S1816" s="67"/>
      <c r="T1816" s="2" t="str">
        <f t="shared" si="151"/>
        <v>Hồ Trịnh Bình Minh_10VH3</v>
      </c>
      <c r="U1816" s="28">
        <f t="array" ref="U1816">IFERROR(VLOOKUP($T1816,'Nghi hoc T12'!$H$7:$I$160,2,0),0)</f>
        <v>0</v>
      </c>
      <c r="V1816" s="28"/>
      <c r="W1816" s="28">
        <f t="shared" si="152"/>
        <v>0</v>
      </c>
      <c r="X1816" s="333">
        <f t="shared" si="153"/>
        <v>0</v>
      </c>
      <c r="Y1816" s="333">
        <f t="shared" si="154"/>
        <v>0</v>
      </c>
    </row>
    <row r="1817" spans="1:25" s="2" customFormat="1" ht="21.95" customHeight="1">
      <c r="A1817" s="82">
        <v>22</v>
      </c>
      <c r="B1817" s="91" t="str">
        <f t="shared" si="155"/>
        <v>303.C</v>
      </c>
      <c r="C1817" s="83" t="s">
        <v>365</v>
      </c>
      <c r="D1817" s="81" t="s">
        <v>2269</v>
      </c>
      <c r="E1817" s="48">
        <v>400164</v>
      </c>
      <c r="F1817" s="30" t="s">
        <v>2280</v>
      </c>
      <c r="G1817" s="29" t="s">
        <v>16</v>
      </c>
      <c r="H1817" s="30" t="s">
        <v>137</v>
      </c>
      <c r="I1817" s="78"/>
      <c r="J1817" s="20"/>
      <c r="K1817" s="20"/>
      <c r="L1817" s="20"/>
      <c r="M1817" s="20"/>
      <c r="N1817" s="320" t="s">
        <v>2685</v>
      </c>
      <c r="O1817" s="70">
        <v>0</v>
      </c>
      <c r="P1817" s="70">
        <v>0</v>
      </c>
      <c r="Q1817" s="70">
        <f t="shared" si="150"/>
        <v>0</v>
      </c>
      <c r="R1817" s="70"/>
      <c r="S1817" s="67"/>
      <c r="T1817" s="2" t="str">
        <f t="shared" si="151"/>
        <v>Lê Quang Minh_10VH4</v>
      </c>
      <c r="U1817" s="28">
        <f t="array" ref="U1817">IFERROR(VLOOKUP($T1817,'Nghi hoc T12'!$H$7:$I$160,2,0),0)</f>
        <v>0</v>
      </c>
      <c r="V1817" s="28"/>
      <c r="W1817" s="28">
        <f t="shared" si="152"/>
        <v>0</v>
      </c>
      <c r="X1817" s="333">
        <f t="shared" si="153"/>
        <v>0</v>
      </c>
      <c r="Y1817" s="333">
        <f t="shared" si="154"/>
        <v>0</v>
      </c>
    </row>
    <row r="1818" spans="1:25" s="2" customFormat="1" ht="21.95" customHeight="1">
      <c r="A1818" s="82">
        <v>23</v>
      </c>
      <c r="B1818" s="91" t="str">
        <f t="shared" si="155"/>
        <v>303.C</v>
      </c>
      <c r="C1818" s="83" t="s">
        <v>365</v>
      </c>
      <c r="D1818" s="81" t="s">
        <v>2269</v>
      </c>
      <c r="E1818" s="48">
        <v>400165</v>
      </c>
      <c r="F1818" s="30" t="s">
        <v>2281</v>
      </c>
      <c r="G1818" s="29" t="s">
        <v>16</v>
      </c>
      <c r="H1818" s="30" t="s">
        <v>2242</v>
      </c>
      <c r="I1818" s="78"/>
      <c r="J1818" s="20"/>
      <c r="K1818" s="20"/>
      <c r="L1818" s="20"/>
      <c r="M1818" s="20"/>
      <c r="N1818" s="320" t="s">
        <v>2685</v>
      </c>
      <c r="O1818" s="70">
        <v>0</v>
      </c>
      <c r="P1818" s="70">
        <v>0</v>
      </c>
      <c r="Q1818" s="70">
        <f t="shared" si="150"/>
        <v>0</v>
      </c>
      <c r="R1818" s="70"/>
      <c r="S1818" s="67"/>
      <c r="T1818" s="2" t="str">
        <f t="shared" si="151"/>
        <v>Nguyễn Viết Hoàng Minh_10VH3</v>
      </c>
      <c r="U1818" s="28">
        <f t="array" ref="U1818">IFERROR(VLOOKUP($T1818,'Nghi hoc T12'!$H$7:$I$160,2,0),0)</f>
        <v>0</v>
      </c>
      <c r="V1818" s="28"/>
      <c r="W1818" s="28">
        <f t="shared" si="152"/>
        <v>0</v>
      </c>
      <c r="X1818" s="333">
        <f t="shared" si="153"/>
        <v>0</v>
      </c>
      <c r="Y1818" s="333">
        <f t="shared" si="154"/>
        <v>0</v>
      </c>
    </row>
    <row r="1819" spans="1:25" s="2" customFormat="1" ht="21.95" customHeight="1">
      <c r="A1819" s="82">
        <v>24</v>
      </c>
      <c r="B1819" s="91" t="str">
        <f t="shared" si="155"/>
        <v>303.C</v>
      </c>
      <c r="C1819" s="83" t="s">
        <v>365</v>
      </c>
      <c r="D1819" s="81" t="s">
        <v>2269</v>
      </c>
      <c r="E1819" s="48">
        <v>400166</v>
      </c>
      <c r="F1819" s="30" t="s">
        <v>337</v>
      </c>
      <c r="G1819" s="29" t="s">
        <v>16</v>
      </c>
      <c r="H1819" s="30" t="s">
        <v>2242</v>
      </c>
      <c r="I1819" s="78" t="s">
        <v>529</v>
      </c>
      <c r="J1819" s="20"/>
      <c r="K1819" s="20"/>
      <c r="L1819" s="20"/>
      <c r="M1819" s="20"/>
      <c r="N1819" s="320" t="s">
        <v>2685</v>
      </c>
      <c r="O1819" s="70">
        <v>0</v>
      </c>
      <c r="P1819" s="70">
        <v>0</v>
      </c>
      <c r="Q1819" s="70" t="str">
        <f t="shared" si="150"/>
        <v>NgiH</v>
      </c>
      <c r="R1819" s="70"/>
      <c r="S1819" s="67"/>
      <c r="T1819" s="2" t="str">
        <f t="shared" si="151"/>
        <v>Trần Anh Minh_10VH3</v>
      </c>
      <c r="U1819" s="28" t="s">
        <v>3334</v>
      </c>
      <c r="V1819" s="28"/>
      <c r="W1819" s="28" t="str">
        <f t="shared" si="152"/>
        <v>Nghỉ học</v>
      </c>
      <c r="X1819" s="333">
        <f t="shared" si="153"/>
        <v>0</v>
      </c>
      <c r="Y1819" s="333">
        <f t="shared" si="154"/>
        <v>0</v>
      </c>
    </row>
    <row r="1820" spans="1:25" s="2" customFormat="1" ht="21.95" customHeight="1">
      <c r="A1820" s="321">
        <v>1</v>
      </c>
      <c r="B1820" s="91" t="str">
        <f t="shared" si="155"/>
        <v>304.C</v>
      </c>
      <c r="C1820" s="185" t="s">
        <v>365</v>
      </c>
      <c r="D1820" s="186" t="s">
        <v>2282</v>
      </c>
      <c r="E1820" s="187">
        <v>400167</v>
      </c>
      <c r="F1820" s="188" t="s">
        <v>176</v>
      </c>
      <c r="G1820" s="189" t="s">
        <v>16</v>
      </c>
      <c r="H1820" s="188" t="s">
        <v>2241</v>
      </c>
      <c r="I1820" s="190"/>
      <c r="J1820" s="191"/>
      <c r="K1820" s="191"/>
      <c r="L1820" s="191"/>
      <c r="M1820" s="191"/>
      <c r="N1820" s="320" t="s">
        <v>2685</v>
      </c>
      <c r="O1820" s="70">
        <v>0</v>
      </c>
      <c r="P1820" s="70">
        <v>0</v>
      </c>
      <c r="Q1820" s="70">
        <f t="shared" si="150"/>
        <v>0</v>
      </c>
      <c r="R1820" s="70"/>
      <c r="S1820" s="67"/>
      <c r="T1820" s="2" t="str">
        <f t="shared" si="151"/>
        <v>Trần Đức Minh_10VH5</v>
      </c>
      <c r="U1820" s="28">
        <f t="array" ref="U1820">IFERROR(VLOOKUP($T1820,'Nghi hoc T12'!$H$7:$I$160,2,0),0)</f>
        <v>0</v>
      </c>
      <c r="V1820" s="28"/>
      <c r="W1820" s="28">
        <f t="shared" si="152"/>
        <v>0</v>
      </c>
      <c r="X1820" s="333">
        <f t="shared" si="153"/>
        <v>0</v>
      </c>
      <c r="Y1820" s="333">
        <f t="shared" si="154"/>
        <v>0</v>
      </c>
    </row>
    <row r="1821" spans="1:25" s="2" customFormat="1" ht="21.95" customHeight="1">
      <c r="A1821" s="82">
        <v>2</v>
      </c>
      <c r="B1821" s="91" t="str">
        <f t="shared" si="155"/>
        <v>304.C</v>
      </c>
      <c r="C1821" s="83" t="s">
        <v>365</v>
      </c>
      <c r="D1821" s="81" t="s">
        <v>2282</v>
      </c>
      <c r="E1821" s="48">
        <v>400168</v>
      </c>
      <c r="F1821" s="30" t="s">
        <v>2283</v>
      </c>
      <c r="G1821" s="29" t="s">
        <v>16</v>
      </c>
      <c r="H1821" s="30" t="s">
        <v>137</v>
      </c>
      <c r="I1821" s="78"/>
      <c r="J1821" s="20"/>
      <c r="K1821" s="20"/>
      <c r="L1821" s="20"/>
      <c r="M1821" s="20"/>
      <c r="N1821" s="320" t="s">
        <v>2685</v>
      </c>
      <c r="O1821" s="70">
        <v>0</v>
      </c>
      <c r="P1821" s="70">
        <v>0</v>
      </c>
      <c r="Q1821" s="70">
        <f t="shared" si="150"/>
        <v>0</v>
      </c>
      <c r="R1821" s="70"/>
      <c r="S1821" s="67"/>
      <c r="T1821" s="2" t="str">
        <f t="shared" si="151"/>
        <v>Trịnh Hoàng Minh_10VH4</v>
      </c>
      <c r="U1821" s="28">
        <f t="array" ref="U1821">IFERROR(VLOOKUP($T1821,'Nghi hoc T12'!$H$7:$I$160,2,0),0)</f>
        <v>0</v>
      </c>
      <c r="V1821" s="28"/>
      <c r="W1821" s="28">
        <f t="shared" si="152"/>
        <v>0</v>
      </c>
      <c r="X1821" s="333">
        <f t="shared" si="153"/>
        <v>0</v>
      </c>
      <c r="Y1821" s="333">
        <f t="shared" si="154"/>
        <v>0</v>
      </c>
    </row>
    <row r="1822" spans="1:25" s="2" customFormat="1" ht="21.95" customHeight="1">
      <c r="A1822" s="82">
        <v>3</v>
      </c>
      <c r="B1822" s="91" t="str">
        <f t="shared" si="155"/>
        <v>304.C</v>
      </c>
      <c r="C1822" s="83" t="s">
        <v>365</v>
      </c>
      <c r="D1822" s="81" t="s">
        <v>2282</v>
      </c>
      <c r="E1822" s="48">
        <v>400169</v>
      </c>
      <c r="F1822" s="30" t="s">
        <v>2284</v>
      </c>
      <c r="G1822" s="29" t="s">
        <v>17</v>
      </c>
      <c r="H1822" s="30" t="s">
        <v>2241</v>
      </c>
      <c r="I1822" s="78" t="s">
        <v>529</v>
      </c>
      <c r="J1822" s="20"/>
      <c r="K1822" s="20"/>
      <c r="L1822" s="20"/>
      <c r="M1822" s="20"/>
      <c r="N1822" s="320" t="s">
        <v>2685</v>
      </c>
      <c r="O1822" s="70">
        <v>0</v>
      </c>
      <c r="P1822" s="70">
        <v>0</v>
      </c>
      <c r="Q1822" s="70" t="str">
        <f t="shared" si="150"/>
        <v>NgiH</v>
      </c>
      <c r="R1822" s="70"/>
      <c r="S1822" s="67"/>
      <c r="T1822" s="2" t="str">
        <f t="shared" si="151"/>
        <v>Đỗ Thành Nam_10VH5</v>
      </c>
      <c r="U1822" s="28" t="str">
        <f t="array" ref="U1822">IFERROR(VLOOKUP($T1822,'Nghi hoc T12'!$H$7:$I$160,2,0),0)</f>
        <v>NgiH</v>
      </c>
      <c r="V1822" s="28"/>
      <c r="W1822" s="28" t="str">
        <f t="shared" si="152"/>
        <v>Nghỉ học</v>
      </c>
      <c r="X1822" s="333">
        <f t="shared" si="153"/>
        <v>0</v>
      </c>
      <c r="Y1822" s="333">
        <f t="shared" si="154"/>
        <v>0</v>
      </c>
    </row>
    <row r="1823" spans="1:25" s="2" customFormat="1" ht="21.95" customHeight="1">
      <c r="A1823" s="82">
        <v>4</v>
      </c>
      <c r="B1823" s="91" t="str">
        <f t="shared" si="155"/>
        <v>304.C</v>
      </c>
      <c r="C1823" s="83" t="s">
        <v>365</v>
      </c>
      <c r="D1823" s="81" t="s">
        <v>2282</v>
      </c>
      <c r="E1823" s="48">
        <v>400170</v>
      </c>
      <c r="F1823" s="30" t="s">
        <v>330</v>
      </c>
      <c r="G1823" s="29" t="s">
        <v>17</v>
      </c>
      <c r="H1823" s="30" t="s">
        <v>2242</v>
      </c>
      <c r="I1823" s="78"/>
      <c r="J1823" s="20"/>
      <c r="K1823" s="20"/>
      <c r="L1823" s="20"/>
      <c r="M1823" s="20"/>
      <c r="N1823" s="320" t="s">
        <v>2685</v>
      </c>
      <c r="O1823" s="70">
        <v>0</v>
      </c>
      <c r="P1823" s="70">
        <v>0</v>
      </c>
      <c r="Q1823" s="70">
        <f t="shared" si="150"/>
        <v>0</v>
      </c>
      <c r="R1823" s="70"/>
      <c r="S1823" s="67"/>
      <c r="T1823" s="2" t="str">
        <f t="shared" si="151"/>
        <v>Nguyễn Nam_10VH3</v>
      </c>
      <c r="U1823" s="28">
        <f t="array" ref="U1823">IFERROR(VLOOKUP($T1823,'Nghi hoc T12'!$H$7:$I$160,2,0),0)</f>
        <v>0</v>
      </c>
      <c r="V1823" s="28"/>
      <c r="W1823" s="28">
        <f t="shared" si="152"/>
        <v>0</v>
      </c>
      <c r="X1823" s="333">
        <f t="shared" si="153"/>
        <v>0</v>
      </c>
      <c r="Y1823" s="333">
        <f t="shared" si="154"/>
        <v>0</v>
      </c>
    </row>
    <row r="1824" spans="1:25" s="2" customFormat="1" ht="21.95" customHeight="1">
      <c r="A1824" s="82">
        <v>5</v>
      </c>
      <c r="B1824" s="91" t="str">
        <f t="shared" si="155"/>
        <v>304.C</v>
      </c>
      <c r="C1824" s="83" t="s">
        <v>365</v>
      </c>
      <c r="D1824" s="81" t="s">
        <v>2282</v>
      </c>
      <c r="E1824" s="48">
        <v>400171</v>
      </c>
      <c r="F1824" s="30" t="s">
        <v>2285</v>
      </c>
      <c r="G1824" s="29" t="s">
        <v>17</v>
      </c>
      <c r="H1824" s="30" t="s">
        <v>137</v>
      </c>
      <c r="I1824" s="78"/>
      <c r="J1824" s="20"/>
      <c r="K1824" s="20"/>
      <c r="L1824" s="20"/>
      <c r="M1824" s="20"/>
      <c r="N1824" s="320" t="s">
        <v>2685</v>
      </c>
      <c r="O1824" s="70">
        <v>0</v>
      </c>
      <c r="P1824" s="70">
        <v>0</v>
      </c>
      <c r="Q1824" s="70">
        <f t="shared" si="150"/>
        <v>0</v>
      </c>
      <c r="R1824" s="70"/>
      <c r="S1824" s="67"/>
      <c r="T1824" s="2" t="str">
        <f t="shared" si="151"/>
        <v>Nguyễn An Nam_10VH4</v>
      </c>
      <c r="U1824" s="28">
        <f t="array" ref="U1824">IFERROR(VLOOKUP($T1824,'Nghi hoc T12'!$H$7:$I$160,2,0),0)</f>
        <v>0</v>
      </c>
      <c r="V1824" s="28"/>
      <c r="W1824" s="28">
        <f t="shared" si="152"/>
        <v>0</v>
      </c>
      <c r="X1824" s="333">
        <f t="shared" si="153"/>
        <v>0</v>
      </c>
      <c r="Y1824" s="333">
        <f t="shared" si="154"/>
        <v>0</v>
      </c>
    </row>
    <row r="1825" spans="1:25" s="2" customFormat="1" ht="21.95" customHeight="1">
      <c r="A1825" s="82">
        <v>6</v>
      </c>
      <c r="B1825" s="91" t="str">
        <f t="shared" si="155"/>
        <v>304.C</v>
      </c>
      <c r="C1825" s="83" t="s">
        <v>365</v>
      </c>
      <c r="D1825" s="81" t="s">
        <v>2282</v>
      </c>
      <c r="E1825" s="48">
        <v>400172</v>
      </c>
      <c r="F1825" s="30" t="s">
        <v>308</v>
      </c>
      <c r="G1825" s="29" t="s">
        <v>290</v>
      </c>
      <c r="H1825" s="30" t="s">
        <v>2242</v>
      </c>
      <c r="I1825" s="78"/>
      <c r="J1825" s="20"/>
      <c r="K1825" s="20"/>
      <c r="L1825" s="20"/>
      <c r="M1825" s="20"/>
      <c r="N1825" s="320" t="s">
        <v>2685</v>
      </c>
      <c r="O1825" s="70">
        <v>0</v>
      </c>
      <c r="P1825" s="70">
        <v>0</v>
      </c>
      <c r="Q1825" s="70">
        <f t="shared" si="150"/>
        <v>0</v>
      </c>
      <c r="R1825" s="70"/>
      <c r="S1825" s="67"/>
      <c r="T1825" s="2" t="str">
        <f t="shared" si="151"/>
        <v>Vũ Thanh Nga_10VH3</v>
      </c>
      <c r="U1825" s="28">
        <f t="array" ref="U1825">IFERROR(VLOOKUP($T1825,'Nghi hoc T12'!$H$7:$I$160,2,0),0)</f>
        <v>0</v>
      </c>
      <c r="V1825" s="28"/>
      <c r="W1825" s="28">
        <f t="shared" si="152"/>
        <v>0</v>
      </c>
      <c r="X1825" s="333">
        <f t="shared" si="153"/>
        <v>0</v>
      </c>
      <c r="Y1825" s="333">
        <f t="shared" si="154"/>
        <v>0</v>
      </c>
    </row>
    <row r="1826" spans="1:25" s="2" customFormat="1" ht="21.95" customHeight="1">
      <c r="A1826" s="82">
        <v>7</v>
      </c>
      <c r="B1826" s="91" t="str">
        <f t="shared" si="155"/>
        <v>304.C</v>
      </c>
      <c r="C1826" s="83" t="s">
        <v>365</v>
      </c>
      <c r="D1826" s="81" t="s">
        <v>2282</v>
      </c>
      <c r="E1826" s="48">
        <v>400173</v>
      </c>
      <c r="F1826" s="30" t="s">
        <v>2286</v>
      </c>
      <c r="G1826" s="29" t="s">
        <v>18</v>
      </c>
      <c r="H1826" s="30" t="s">
        <v>137</v>
      </c>
      <c r="I1826" s="78"/>
      <c r="J1826" s="20"/>
      <c r="K1826" s="20"/>
      <c r="L1826" s="20"/>
      <c r="M1826" s="20"/>
      <c r="N1826" s="320" t="s">
        <v>2685</v>
      </c>
      <c r="O1826" s="70">
        <v>0</v>
      </c>
      <c r="P1826" s="70">
        <v>0</v>
      </c>
      <c r="Q1826" s="70">
        <f t="shared" si="150"/>
        <v>0</v>
      </c>
      <c r="R1826" s="70"/>
      <c r="S1826" s="67"/>
      <c r="T1826" s="2" t="str">
        <f t="shared" si="151"/>
        <v>Hoàng Châu Kim Ngân_10VH4</v>
      </c>
      <c r="U1826" s="28">
        <f t="array" ref="U1826">IFERROR(VLOOKUP($T1826,'Nghi hoc T12'!$H$7:$I$160,2,0),0)</f>
        <v>0</v>
      </c>
      <c r="V1826" s="28"/>
      <c r="W1826" s="28">
        <f t="shared" si="152"/>
        <v>0</v>
      </c>
      <c r="X1826" s="333">
        <f t="shared" si="153"/>
        <v>0</v>
      </c>
      <c r="Y1826" s="333">
        <f t="shared" si="154"/>
        <v>0</v>
      </c>
    </row>
    <row r="1827" spans="1:25" s="2" customFormat="1" ht="21.95" customHeight="1">
      <c r="A1827" s="82">
        <v>8</v>
      </c>
      <c r="B1827" s="91" t="str">
        <f t="shared" si="155"/>
        <v>304.C</v>
      </c>
      <c r="C1827" s="83" t="s">
        <v>365</v>
      </c>
      <c r="D1827" s="81" t="s">
        <v>2282</v>
      </c>
      <c r="E1827" s="48">
        <v>400174</v>
      </c>
      <c r="F1827" s="30" t="s">
        <v>2287</v>
      </c>
      <c r="G1827" s="29" t="s">
        <v>96</v>
      </c>
      <c r="H1827" s="30" t="s">
        <v>137</v>
      </c>
      <c r="I1827" s="78"/>
      <c r="J1827" s="20"/>
      <c r="K1827" s="20"/>
      <c r="L1827" s="20"/>
      <c r="M1827" s="20"/>
      <c r="N1827" s="320" t="s">
        <v>2685</v>
      </c>
      <c r="O1827" s="70">
        <v>0</v>
      </c>
      <c r="P1827" s="70">
        <v>0</v>
      </c>
      <c r="Q1827" s="70">
        <f t="shared" si="150"/>
        <v>0</v>
      </c>
      <c r="R1827" s="70"/>
      <c r="S1827" s="67"/>
      <c r="T1827" s="2" t="str">
        <f t="shared" si="151"/>
        <v>Nguyễn Trần Hiếu Nghĩa_10VH4</v>
      </c>
      <c r="U1827" s="28">
        <f t="array" ref="U1827">IFERROR(VLOOKUP($T1827,'Nghi hoc T12'!$H$7:$I$160,2,0),0)</f>
        <v>0</v>
      </c>
      <c r="V1827" s="28"/>
      <c r="W1827" s="28">
        <f t="shared" si="152"/>
        <v>0</v>
      </c>
      <c r="X1827" s="333">
        <f t="shared" si="153"/>
        <v>0</v>
      </c>
      <c r="Y1827" s="333">
        <f t="shared" si="154"/>
        <v>0</v>
      </c>
    </row>
    <row r="1828" spans="1:25" s="2" customFormat="1" ht="21.95" customHeight="1">
      <c r="A1828" s="82">
        <v>9</v>
      </c>
      <c r="B1828" s="91" t="str">
        <f t="shared" si="155"/>
        <v>304.C</v>
      </c>
      <c r="C1828" s="83" t="s">
        <v>365</v>
      </c>
      <c r="D1828" s="81" t="s">
        <v>2282</v>
      </c>
      <c r="E1828" s="48">
        <v>400175</v>
      </c>
      <c r="F1828" s="30" t="s">
        <v>2288</v>
      </c>
      <c r="G1828" s="29" t="s">
        <v>19</v>
      </c>
      <c r="H1828" s="30" t="s">
        <v>2242</v>
      </c>
      <c r="I1828" s="78"/>
      <c r="J1828" s="20"/>
      <c r="K1828" s="20"/>
      <c r="L1828" s="20"/>
      <c r="M1828" s="20"/>
      <c r="N1828" s="320" t="s">
        <v>2685</v>
      </c>
      <c r="O1828" s="70">
        <v>0</v>
      </c>
      <c r="P1828" s="70">
        <v>0</v>
      </c>
      <c r="Q1828" s="70">
        <f t="shared" si="150"/>
        <v>0</v>
      </c>
      <c r="R1828" s="70"/>
      <c r="S1828" s="67"/>
      <c r="T1828" s="2" t="str">
        <f t="shared" si="151"/>
        <v>Nguyễn Dương Hồng Ngọc_10VH3</v>
      </c>
      <c r="U1828" s="28">
        <f t="array" ref="U1828">IFERROR(VLOOKUP($T1828,'Nghi hoc T12'!$H$7:$I$160,2,0),0)</f>
        <v>0</v>
      </c>
      <c r="V1828" s="28"/>
      <c r="W1828" s="28">
        <f t="shared" si="152"/>
        <v>0</v>
      </c>
      <c r="X1828" s="333">
        <f t="shared" si="153"/>
        <v>0</v>
      </c>
      <c r="Y1828" s="333">
        <f t="shared" si="154"/>
        <v>0</v>
      </c>
    </row>
    <row r="1829" spans="1:25" s="2" customFormat="1" ht="21.95" customHeight="1">
      <c r="A1829" s="82">
        <v>10</v>
      </c>
      <c r="B1829" s="91" t="str">
        <f t="shared" si="155"/>
        <v>304.C</v>
      </c>
      <c r="C1829" s="83" t="s">
        <v>365</v>
      </c>
      <c r="D1829" s="81" t="s">
        <v>2282</v>
      </c>
      <c r="E1829" s="48">
        <v>400176</v>
      </c>
      <c r="F1829" s="30" t="s">
        <v>428</v>
      </c>
      <c r="G1829" s="29" t="s">
        <v>19</v>
      </c>
      <c r="H1829" s="30" t="s">
        <v>2241</v>
      </c>
      <c r="I1829" s="78"/>
      <c r="J1829" s="20"/>
      <c r="K1829" s="20"/>
      <c r="L1829" s="20"/>
      <c r="M1829" s="20"/>
      <c r="N1829" s="320" t="s">
        <v>2685</v>
      </c>
      <c r="O1829" s="70">
        <v>0</v>
      </c>
      <c r="P1829" s="70">
        <v>0</v>
      </c>
      <c r="Q1829" s="70">
        <f t="shared" si="150"/>
        <v>0</v>
      </c>
      <c r="R1829" s="70"/>
      <c r="S1829" s="67"/>
      <c r="T1829" s="2" t="str">
        <f t="shared" si="151"/>
        <v>Nguyễn Yến Ngọc_10VH5</v>
      </c>
      <c r="U1829" s="28">
        <f t="array" ref="U1829">IFERROR(VLOOKUP($T1829,'Nghi hoc T12'!$H$7:$I$160,2,0),0)</f>
        <v>0</v>
      </c>
      <c r="V1829" s="28"/>
      <c r="W1829" s="28">
        <f t="shared" si="152"/>
        <v>0</v>
      </c>
      <c r="X1829" s="333">
        <f t="shared" si="153"/>
        <v>0</v>
      </c>
      <c r="Y1829" s="333">
        <f t="shared" si="154"/>
        <v>0</v>
      </c>
    </row>
    <row r="1830" spans="1:25" s="2" customFormat="1" ht="21.95" customHeight="1">
      <c r="A1830" s="82">
        <v>11</v>
      </c>
      <c r="B1830" s="91" t="str">
        <f t="shared" si="155"/>
        <v>304.C</v>
      </c>
      <c r="C1830" s="83" t="s">
        <v>365</v>
      </c>
      <c r="D1830" s="81" t="s">
        <v>2282</v>
      </c>
      <c r="E1830" s="48">
        <v>400177</v>
      </c>
      <c r="F1830" s="30" t="s">
        <v>2289</v>
      </c>
      <c r="G1830" s="29" t="s">
        <v>102</v>
      </c>
      <c r="H1830" s="30" t="s">
        <v>2241</v>
      </c>
      <c r="I1830" s="78"/>
      <c r="J1830" s="20"/>
      <c r="K1830" s="20"/>
      <c r="L1830" s="20"/>
      <c r="M1830" s="20"/>
      <c r="N1830" s="320" t="s">
        <v>2685</v>
      </c>
      <c r="O1830" s="70">
        <v>0</v>
      </c>
      <c r="P1830" s="70">
        <v>0</v>
      </c>
      <c r="Q1830" s="70">
        <f t="shared" si="150"/>
        <v>0</v>
      </c>
      <c r="R1830" s="70"/>
      <c r="S1830" s="67"/>
      <c r="T1830" s="2" t="str">
        <f t="shared" si="151"/>
        <v>Nguyễn Đình Thiện Nhân_10VH5</v>
      </c>
      <c r="U1830" s="28">
        <f t="array" ref="U1830">IFERROR(VLOOKUP($T1830,'Nghi hoc T12'!$H$7:$I$160,2,0),0)</f>
        <v>0</v>
      </c>
      <c r="V1830" s="28"/>
      <c r="W1830" s="28">
        <f t="shared" si="152"/>
        <v>0</v>
      </c>
      <c r="X1830" s="333">
        <f t="shared" si="153"/>
        <v>0</v>
      </c>
      <c r="Y1830" s="333">
        <f t="shared" si="154"/>
        <v>0</v>
      </c>
    </row>
    <row r="1831" spans="1:25" s="2" customFormat="1" ht="21.95" customHeight="1">
      <c r="A1831" s="82">
        <v>12</v>
      </c>
      <c r="B1831" s="91" t="str">
        <f t="shared" si="155"/>
        <v>304.C</v>
      </c>
      <c r="C1831" s="83" t="s">
        <v>365</v>
      </c>
      <c r="D1831" s="81" t="s">
        <v>2282</v>
      </c>
      <c r="E1831" s="48">
        <v>400178</v>
      </c>
      <c r="F1831" s="30" t="s">
        <v>2290</v>
      </c>
      <c r="G1831" s="29" t="s">
        <v>254</v>
      </c>
      <c r="H1831" s="30" t="s">
        <v>137</v>
      </c>
      <c r="I1831" s="78"/>
      <c r="J1831" s="20"/>
      <c r="K1831" s="20"/>
      <c r="L1831" s="20"/>
      <c r="M1831" s="20"/>
      <c r="N1831" s="320" t="s">
        <v>2685</v>
      </c>
      <c r="O1831" s="70">
        <v>0</v>
      </c>
      <c r="P1831" s="70">
        <v>0</v>
      </c>
      <c r="Q1831" s="70">
        <f t="shared" si="150"/>
        <v>0</v>
      </c>
      <c r="R1831" s="70"/>
      <c r="S1831" s="67"/>
      <c r="T1831" s="2" t="str">
        <f t="shared" si="151"/>
        <v>Giang Minh Nhật_10VH4</v>
      </c>
      <c r="U1831" s="28">
        <f t="array" ref="U1831">IFERROR(VLOOKUP($T1831,'Nghi hoc T12'!$H$7:$I$160,2,0),0)</f>
        <v>0</v>
      </c>
      <c r="V1831" s="28"/>
      <c r="W1831" s="28">
        <f t="shared" si="152"/>
        <v>0</v>
      </c>
      <c r="X1831" s="333">
        <f t="shared" si="153"/>
        <v>0</v>
      </c>
      <c r="Y1831" s="333">
        <f t="shared" si="154"/>
        <v>0</v>
      </c>
    </row>
    <row r="1832" spans="1:25" s="2" customFormat="1" ht="21.95" customHeight="1">
      <c r="A1832" s="82">
        <v>13</v>
      </c>
      <c r="B1832" s="91" t="str">
        <f t="shared" si="155"/>
        <v>304.C</v>
      </c>
      <c r="C1832" s="83" t="s">
        <v>365</v>
      </c>
      <c r="D1832" s="81" t="s">
        <v>2282</v>
      </c>
      <c r="E1832" s="48">
        <v>400179</v>
      </c>
      <c r="F1832" s="30" t="s">
        <v>1877</v>
      </c>
      <c r="G1832" s="29" t="s">
        <v>20</v>
      </c>
      <c r="H1832" s="30" t="s">
        <v>137</v>
      </c>
      <c r="I1832" s="78"/>
      <c r="J1832" s="20"/>
      <c r="K1832" s="20"/>
      <c r="L1832" s="20"/>
      <c r="M1832" s="20"/>
      <c r="N1832" s="320" t="s">
        <v>2685</v>
      </c>
      <c r="O1832" s="70">
        <v>0</v>
      </c>
      <c r="P1832" s="70">
        <v>0</v>
      </c>
      <c r="Q1832" s="70">
        <f t="shared" si="150"/>
        <v>0</v>
      </c>
      <c r="R1832" s="70"/>
      <c r="S1832" s="67"/>
      <c r="T1832" s="2" t="str">
        <f t="shared" si="151"/>
        <v>Lưu Ngọc Nhi_10VH4</v>
      </c>
      <c r="U1832" s="28">
        <f t="array" ref="U1832">IFERROR(VLOOKUP($T1832,'Nghi hoc T12'!$H$7:$I$160,2,0),0)</f>
        <v>0</v>
      </c>
      <c r="V1832" s="28"/>
      <c r="W1832" s="28">
        <f t="shared" si="152"/>
        <v>0</v>
      </c>
      <c r="X1832" s="333">
        <f t="shared" si="153"/>
        <v>0</v>
      </c>
      <c r="Y1832" s="333">
        <f t="shared" si="154"/>
        <v>0</v>
      </c>
    </row>
    <row r="1833" spans="1:25" s="2" customFormat="1" ht="21.95" customHeight="1">
      <c r="A1833" s="82">
        <v>14</v>
      </c>
      <c r="B1833" s="91" t="str">
        <f t="shared" si="155"/>
        <v>304.C</v>
      </c>
      <c r="C1833" s="83" t="s">
        <v>365</v>
      </c>
      <c r="D1833" s="81" t="s">
        <v>2282</v>
      </c>
      <c r="E1833" s="48">
        <v>400180</v>
      </c>
      <c r="F1833" s="30" t="s">
        <v>2291</v>
      </c>
      <c r="G1833" s="29" t="s">
        <v>20</v>
      </c>
      <c r="H1833" s="30" t="s">
        <v>2242</v>
      </c>
      <c r="I1833" s="78"/>
      <c r="J1833" s="20"/>
      <c r="K1833" s="20"/>
      <c r="L1833" s="20"/>
      <c r="M1833" s="20"/>
      <c r="N1833" s="320" t="s">
        <v>2685</v>
      </c>
      <c r="O1833" s="70">
        <v>0</v>
      </c>
      <c r="P1833" s="70">
        <v>0</v>
      </c>
      <c r="Q1833" s="70">
        <f t="shared" si="150"/>
        <v>0</v>
      </c>
      <c r="R1833" s="70"/>
      <c r="S1833" s="67"/>
      <c r="T1833" s="2" t="str">
        <f t="shared" si="151"/>
        <v>Võ Thị Huỳnh Nhi_10VH3</v>
      </c>
      <c r="U1833" s="28">
        <f t="array" ref="U1833">IFERROR(VLOOKUP($T1833,'Nghi hoc T12'!$H$7:$I$160,2,0),0)</f>
        <v>0</v>
      </c>
      <c r="V1833" s="28"/>
      <c r="W1833" s="28">
        <f t="shared" si="152"/>
        <v>0</v>
      </c>
      <c r="X1833" s="333">
        <f t="shared" si="153"/>
        <v>0</v>
      </c>
      <c r="Y1833" s="333">
        <f t="shared" si="154"/>
        <v>0</v>
      </c>
    </row>
    <row r="1834" spans="1:25" s="2" customFormat="1" ht="21.95" customHeight="1">
      <c r="A1834" s="82">
        <v>15</v>
      </c>
      <c r="B1834" s="91" t="str">
        <f t="shared" si="155"/>
        <v>304.C</v>
      </c>
      <c r="C1834" s="83" t="s">
        <v>365</v>
      </c>
      <c r="D1834" s="81" t="s">
        <v>2282</v>
      </c>
      <c r="E1834" s="48">
        <v>400181</v>
      </c>
      <c r="F1834" s="30" t="s">
        <v>2292</v>
      </c>
      <c r="G1834" s="29" t="s">
        <v>155</v>
      </c>
      <c r="H1834" s="30" t="s">
        <v>137</v>
      </c>
      <c r="I1834" s="78"/>
      <c r="J1834" s="20"/>
      <c r="K1834" s="20"/>
      <c r="L1834" s="20"/>
      <c r="M1834" s="20"/>
      <c r="N1834" s="320" t="s">
        <v>2685</v>
      </c>
      <c r="O1834" s="70">
        <v>0</v>
      </c>
      <c r="P1834" s="70">
        <v>0</v>
      </c>
      <c r="Q1834" s="70">
        <f t="shared" si="150"/>
        <v>0</v>
      </c>
      <c r="R1834" s="70"/>
      <c r="S1834" s="67"/>
      <c r="T1834" s="2" t="str">
        <f t="shared" si="151"/>
        <v>Khổng Minh Nhựt_10VH4</v>
      </c>
      <c r="U1834" s="28">
        <f t="array" ref="U1834">IFERROR(VLOOKUP($T1834,'Nghi hoc T12'!$H$7:$I$160,2,0),0)</f>
        <v>0</v>
      </c>
      <c r="V1834" s="28"/>
      <c r="W1834" s="28">
        <f t="shared" si="152"/>
        <v>0</v>
      </c>
      <c r="X1834" s="333">
        <f t="shared" si="153"/>
        <v>0</v>
      </c>
      <c r="Y1834" s="333">
        <f t="shared" si="154"/>
        <v>0</v>
      </c>
    </row>
    <row r="1835" spans="1:25" s="2" customFormat="1" ht="21.95" customHeight="1">
      <c r="A1835" s="82">
        <v>16</v>
      </c>
      <c r="B1835" s="91" t="str">
        <f t="shared" si="155"/>
        <v>304.C</v>
      </c>
      <c r="C1835" s="83" t="s">
        <v>365</v>
      </c>
      <c r="D1835" s="81" t="s">
        <v>2282</v>
      </c>
      <c r="E1835" s="48">
        <v>400182</v>
      </c>
      <c r="F1835" s="30" t="s">
        <v>2293</v>
      </c>
      <c r="G1835" s="29" t="s">
        <v>2294</v>
      </c>
      <c r="H1835" s="30" t="s">
        <v>2242</v>
      </c>
      <c r="I1835" s="78"/>
      <c r="J1835" s="20"/>
      <c r="K1835" s="20"/>
      <c r="L1835" s="20"/>
      <c r="M1835" s="20"/>
      <c r="N1835" s="320" t="s">
        <v>2685</v>
      </c>
      <c r="O1835" s="70">
        <v>0</v>
      </c>
      <c r="P1835" s="70">
        <v>0</v>
      </c>
      <c r="Q1835" s="70">
        <f t="shared" si="150"/>
        <v>0</v>
      </c>
      <c r="R1835" s="70"/>
      <c r="S1835" s="67"/>
      <c r="T1835" s="2" t="str">
        <f t="shared" si="151"/>
        <v>Đỗ Lâm Bảo Ni_10VH3</v>
      </c>
      <c r="U1835" s="28">
        <f t="array" ref="U1835">IFERROR(VLOOKUP($T1835,'Nghi hoc T12'!$H$7:$I$160,2,0),0)</f>
        <v>0</v>
      </c>
      <c r="V1835" s="28"/>
      <c r="W1835" s="28">
        <f t="shared" si="152"/>
        <v>0</v>
      </c>
      <c r="X1835" s="333">
        <f t="shared" si="153"/>
        <v>0</v>
      </c>
      <c r="Y1835" s="333">
        <f t="shared" si="154"/>
        <v>0</v>
      </c>
    </row>
    <row r="1836" spans="1:25" s="2" customFormat="1" ht="21.95" customHeight="1">
      <c r="A1836" s="82">
        <v>17</v>
      </c>
      <c r="B1836" s="91" t="str">
        <f t="shared" si="155"/>
        <v>304.C</v>
      </c>
      <c r="C1836" s="83" t="s">
        <v>365</v>
      </c>
      <c r="D1836" s="81" t="s">
        <v>2282</v>
      </c>
      <c r="E1836" s="48">
        <v>400183</v>
      </c>
      <c r="F1836" s="30" t="s">
        <v>1319</v>
      </c>
      <c r="G1836" s="29" t="s">
        <v>42</v>
      </c>
      <c r="H1836" s="30" t="s">
        <v>2241</v>
      </c>
      <c r="I1836" s="78"/>
      <c r="J1836" s="20"/>
      <c r="K1836" s="20"/>
      <c r="L1836" s="20"/>
      <c r="M1836" s="20"/>
      <c r="N1836" s="320" t="s">
        <v>2685</v>
      </c>
      <c r="O1836" s="70">
        <v>0</v>
      </c>
      <c r="P1836" s="70">
        <v>0</v>
      </c>
      <c r="Q1836" s="70">
        <f t="shared" si="150"/>
        <v>0</v>
      </c>
      <c r="R1836" s="70"/>
      <c r="S1836" s="67"/>
      <c r="T1836" s="2" t="str">
        <f t="shared" si="151"/>
        <v>Lê Nguyễn Minh Phát_10VH5</v>
      </c>
      <c r="U1836" s="28">
        <f t="array" ref="U1836">IFERROR(VLOOKUP($T1836,'Nghi hoc T12'!$H$7:$I$160,2,0),0)</f>
        <v>0</v>
      </c>
      <c r="V1836" s="28"/>
      <c r="W1836" s="28">
        <f t="shared" si="152"/>
        <v>0</v>
      </c>
      <c r="X1836" s="333">
        <f t="shared" si="153"/>
        <v>0</v>
      </c>
      <c r="Y1836" s="333">
        <f t="shared" si="154"/>
        <v>0</v>
      </c>
    </row>
    <row r="1837" spans="1:25" s="2" customFormat="1" ht="21.95" customHeight="1">
      <c r="A1837" s="82">
        <v>18</v>
      </c>
      <c r="B1837" s="91" t="str">
        <f t="shared" si="155"/>
        <v>304.C</v>
      </c>
      <c r="C1837" s="83" t="s">
        <v>365</v>
      </c>
      <c r="D1837" s="81" t="s">
        <v>2282</v>
      </c>
      <c r="E1837" s="48">
        <v>400184</v>
      </c>
      <c r="F1837" s="30" t="s">
        <v>201</v>
      </c>
      <c r="G1837" s="29" t="s">
        <v>42</v>
      </c>
      <c r="H1837" s="30" t="s">
        <v>137</v>
      </c>
      <c r="I1837" s="78"/>
      <c r="J1837" s="20"/>
      <c r="K1837" s="20"/>
      <c r="L1837" s="20"/>
      <c r="M1837" s="20"/>
      <c r="N1837" s="320" t="s">
        <v>2685</v>
      </c>
      <c r="O1837" s="70">
        <v>0</v>
      </c>
      <c r="P1837" s="70">
        <v>0</v>
      </c>
      <c r="Q1837" s="70">
        <f t="shared" si="150"/>
        <v>0</v>
      </c>
      <c r="R1837" s="70"/>
      <c r="S1837" s="67"/>
      <c r="T1837" s="2" t="str">
        <f t="shared" si="151"/>
        <v>Nguyễn Hữu Phát_10VH4</v>
      </c>
      <c r="U1837" s="28">
        <f t="array" ref="U1837">IFERROR(VLOOKUP($T1837,'Nghi hoc T12'!$H$7:$I$160,2,0),0)</f>
        <v>0</v>
      </c>
      <c r="V1837" s="28"/>
      <c r="W1837" s="28">
        <f t="shared" si="152"/>
        <v>0</v>
      </c>
      <c r="X1837" s="333">
        <f t="shared" si="153"/>
        <v>0</v>
      </c>
      <c r="Y1837" s="333">
        <f t="shared" si="154"/>
        <v>0</v>
      </c>
    </row>
    <row r="1838" spans="1:25" s="2" customFormat="1" ht="21.95" customHeight="1">
      <c r="A1838" s="82">
        <v>19</v>
      </c>
      <c r="B1838" s="91" t="str">
        <f t="shared" si="155"/>
        <v>304.C</v>
      </c>
      <c r="C1838" s="83" t="s">
        <v>365</v>
      </c>
      <c r="D1838" s="81" t="s">
        <v>2282</v>
      </c>
      <c r="E1838" s="48">
        <v>400185</v>
      </c>
      <c r="F1838" s="30" t="s">
        <v>2295</v>
      </c>
      <c r="G1838" s="29" t="s">
        <v>70</v>
      </c>
      <c r="H1838" s="30" t="s">
        <v>2241</v>
      </c>
      <c r="I1838" s="78"/>
      <c r="J1838" s="20"/>
      <c r="K1838" s="20"/>
      <c r="L1838" s="20"/>
      <c r="M1838" s="20"/>
      <c r="N1838" s="320" t="s">
        <v>2685</v>
      </c>
      <c r="O1838" s="70">
        <v>0</v>
      </c>
      <c r="P1838" s="70">
        <v>0</v>
      </c>
      <c r="Q1838" s="70">
        <f t="shared" si="150"/>
        <v>0</v>
      </c>
      <c r="R1838" s="70"/>
      <c r="S1838" s="67"/>
      <c r="T1838" s="2" t="str">
        <f t="shared" si="151"/>
        <v>Lý Đào Thanh Phong_10VH5</v>
      </c>
      <c r="U1838" s="28">
        <f t="array" ref="U1838">IFERROR(VLOOKUP($T1838,'Nghi hoc T12'!$H$7:$I$160,2,0),0)</f>
        <v>0</v>
      </c>
      <c r="V1838" s="28"/>
      <c r="W1838" s="28">
        <f t="shared" si="152"/>
        <v>0</v>
      </c>
      <c r="X1838" s="333">
        <f t="shared" si="153"/>
        <v>0</v>
      </c>
      <c r="Y1838" s="333">
        <f t="shared" si="154"/>
        <v>0</v>
      </c>
    </row>
    <row r="1839" spans="1:25" s="2" customFormat="1" ht="21.95" customHeight="1">
      <c r="A1839" s="82">
        <v>20</v>
      </c>
      <c r="B1839" s="91" t="str">
        <f t="shared" si="155"/>
        <v>304.C</v>
      </c>
      <c r="C1839" s="83" t="s">
        <v>365</v>
      </c>
      <c r="D1839" s="81" t="s">
        <v>2282</v>
      </c>
      <c r="E1839" s="48">
        <v>400186</v>
      </c>
      <c r="F1839" s="30" t="s">
        <v>221</v>
      </c>
      <c r="G1839" s="29" t="s">
        <v>70</v>
      </c>
      <c r="H1839" s="30" t="s">
        <v>2242</v>
      </c>
      <c r="I1839" s="78"/>
      <c r="J1839" s="20"/>
      <c r="K1839" s="20"/>
      <c r="L1839" s="20"/>
      <c r="M1839" s="20"/>
      <c r="N1839" s="320" t="s">
        <v>2685</v>
      </c>
      <c r="O1839" s="70">
        <v>0</v>
      </c>
      <c r="P1839" s="70">
        <v>0</v>
      </c>
      <c r="Q1839" s="70">
        <f t="shared" si="150"/>
        <v>0</v>
      </c>
      <c r="R1839" s="70"/>
      <c r="S1839" s="67"/>
      <c r="T1839" s="2" t="str">
        <f t="shared" si="151"/>
        <v>Nguyễn Tiến Phong_10VH3</v>
      </c>
      <c r="U1839" s="28">
        <f t="array" ref="U1839">IFERROR(VLOOKUP($T1839,'Nghi hoc T12'!$H$7:$I$160,2,0),0)</f>
        <v>0</v>
      </c>
      <c r="V1839" s="28"/>
      <c r="W1839" s="28">
        <f t="shared" si="152"/>
        <v>0</v>
      </c>
      <c r="X1839" s="333">
        <f t="shared" si="153"/>
        <v>0</v>
      </c>
      <c r="Y1839" s="333">
        <f t="shared" si="154"/>
        <v>0</v>
      </c>
    </row>
    <row r="1840" spans="1:25" s="2" customFormat="1" ht="21.95" customHeight="1">
      <c r="A1840" s="82">
        <v>21</v>
      </c>
      <c r="B1840" s="91" t="str">
        <f t="shared" si="155"/>
        <v>304.C</v>
      </c>
      <c r="C1840" s="83" t="s">
        <v>365</v>
      </c>
      <c r="D1840" s="81" t="s">
        <v>2282</v>
      </c>
      <c r="E1840" s="48">
        <v>400187</v>
      </c>
      <c r="F1840" s="30" t="s">
        <v>2296</v>
      </c>
      <c r="G1840" s="29" t="s">
        <v>70</v>
      </c>
      <c r="H1840" s="30" t="s">
        <v>137</v>
      </c>
      <c r="I1840" s="78"/>
      <c r="J1840" s="20"/>
      <c r="K1840" s="20"/>
      <c r="L1840" s="20"/>
      <c r="M1840" s="20"/>
      <c r="N1840" s="320" t="s">
        <v>2685</v>
      </c>
      <c r="O1840" s="70">
        <v>0</v>
      </c>
      <c r="P1840" s="70">
        <v>0</v>
      </c>
      <c r="Q1840" s="70">
        <f t="shared" si="150"/>
        <v>0</v>
      </c>
      <c r="R1840" s="70"/>
      <c r="S1840" s="67"/>
      <c r="T1840" s="2" t="str">
        <f t="shared" si="151"/>
        <v>Nguyễn Trần Huy Phong_10VH4</v>
      </c>
      <c r="U1840" s="28">
        <f t="array" ref="U1840">IFERROR(VLOOKUP($T1840,'Nghi hoc T12'!$H$7:$I$160,2,0),0)</f>
        <v>0</v>
      </c>
      <c r="V1840" s="28"/>
      <c r="W1840" s="28">
        <f t="shared" si="152"/>
        <v>0</v>
      </c>
      <c r="X1840" s="333">
        <f t="shared" si="153"/>
        <v>0</v>
      </c>
      <c r="Y1840" s="333">
        <f t="shared" si="154"/>
        <v>0</v>
      </c>
    </row>
    <row r="1841" spans="1:25" s="2" customFormat="1" ht="21.95" customHeight="1">
      <c r="A1841" s="82">
        <v>22</v>
      </c>
      <c r="B1841" s="91" t="str">
        <f t="shared" si="155"/>
        <v>304.C</v>
      </c>
      <c r="C1841" s="83" t="s">
        <v>365</v>
      </c>
      <c r="D1841" s="81" t="s">
        <v>2282</v>
      </c>
      <c r="E1841" s="48">
        <v>400188</v>
      </c>
      <c r="F1841" s="30" t="s">
        <v>2297</v>
      </c>
      <c r="G1841" s="29" t="s">
        <v>103</v>
      </c>
      <c r="H1841" s="30" t="s">
        <v>2241</v>
      </c>
      <c r="I1841" s="78"/>
      <c r="J1841" s="20"/>
      <c r="K1841" s="20"/>
      <c r="L1841" s="20"/>
      <c r="M1841" s="20"/>
      <c r="N1841" s="320" t="s">
        <v>2685</v>
      </c>
      <c r="O1841" s="70">
        <v>0</v>
      </c>
      <c r="P1841" s="70">
        <v>0</v>
      </c>
      <c r="Q1841" s="70">
        <f t="shared" si="150"/>
        <v>0</v>
      </c>
      <c r="R1841" s="70"/>
      <c r="S1841" s="67"/>
      <c r="T1841" s="2" t="str">
        <f t="shared" si="151"/>
        <v>Hồ Vương Gia Phú_10VH5</v>
      </c>
      <c r="U1841" s="28">
        <f t="array" ref="U1841">IFERROR(VLOOKUP($T1841,'Nghi hoc T12'!$H$7:$I$160,2,0),0)</f>
        <v>0</v>
      </c>
      <c r="V1841" s="28"/>
      <c r="W1841" s="28">
        <f t="shared" si="152"/>
        <v>0</v>
      </c>
      <c r="X1841" s="333">
        <f t="shared" si="153"/>
        <v>0</v>
      </c>
      <c r="Y1841" s="333">
        <f t="shared" si="154"/>
        <v>0</v>
      </c>
    </row>
    <row r="1842" spans="1:25" s="2" customFormat="1" ht="21.95" customHeight="1">
      <c r="A1842" s="82">
        <v>23</v>
      </c>
      <c r="B1842" s="91" t="str">
        <f t="shared" si="155"/>
        <v>304.C</v>
      </c>
      <c r="C1842" s="83" t="s">
        <v>365</v>
      </c>
      <c r="D1842" s="81" t="s">
        <v>2282</v>
      </c>
      <c r="E1842" s="48">
        <v>400189</v>
      </c>
      <c r="F1842" s="30" t="s">
        <v>208</v>
      </c>
      <c r="G1842" s="29" t="s">
        <v>103</v>
      </c>
      <c r="H1842" s="30" t="s">
        <v>137</v>
      </c>
      <c r="I1842" s="78"/>
      <c r="J1842" s="20"/>
      <c r="K1842" s="20"/>
      <c r="L1842" s="20"/>
      <c r="M1842" s="20"/>
      <c r="N1842" s="320" t="s">
        <v>2685</v>
      </c>
      <c r="O1842" s="70">
        <v>0</v>
      </c>
      <c r="P1842" s="70">
        <v>0</v>
      </c>
      <c r="Q1842" s="70">
        <f t="shared" si="150"/>
        <v>0</v>
      </c>
      <c r="R1842" s="70"/>
      <c r="S1842" s="67"/>
      <c r="T1842" s="2" t="str">
        <f t="shared" si="151"/>
        <v>Nguyễn Đăng Phú_10VH4</v>
      </c>
      <c r="U1842" s="28">
        <f t="array" ref="U1842">IFERROR(VLOOKUP($T1842,'Nghi hoc T12'!$H$7:$I$160,2,0),0)</f>
        <v>0</v>
      </c>
      <c r="V1842" s="28"/>
      <c r="W1842" s="28">
        <f t="shared" si="152"/>
        <v>0</v>
      </c>
      <c r="X1842" s="333">
        <f t="shared" si="153"/>
        <v>0</v>
      </c>
      <c r="Y1842" s="333">
        <f t="shared" si="154"/>
        <v>0</v>
      </c>
    </row>
    <row r="1843" spans="1:25" s="2" customFormat="1" ht="21.95" customHeight="1">
      <c r="A1843" s="82">
        <v>24</v>
      </c>
      <c r="B1843" s="91" t="str">
        <f t="shared" si="155"/>
        <v>304.C</v>
      </c>
      <c r="C1843" s="83" t="s">
        <v>365</v>
      </c>
      <c r="D1843" s="81" t="s">
        <v>2282</v>
      </c>
      <c r="E1843" s="48">
        <v>400190</v>
      </c>
      <c r="F1843" s="30" t="s">
        <v>157</v>
      </c>
      <c r="G1843" s="29" t="s">
        <v>71</v>
      </c>
      <c r="H1843" s="30" t="s">
        <v>2241</v>
      </c>
      <c r="I1843" s="78"/>
      <c r="J1843" s="20"/>
      <c r="K1843" s="20"/>
      <c r="L1843" s="20"/>
      <c r="M1843" s="20"/>
      <c r="N1843" s="320" t="s">
        <v>2685</v>
      </c>
      <c r="O1843" s="70">
        <v>0</v>
      </c>
      <c r="P1843" s="70">
        <v>0</v>
      </c>
      <c r="Q1843" s="70">
        <f t="shared" si="150"/>
        <v>0</v>
      </c>
      <c r="R1843" s="70"/>
      <c r="S1843" s="67"/>
      <c r="T1843" s="2" t="str">
        <f t="shared" si="151"/>
        <v>Lê Hoàng Phúc_10VH5</v>
      </c>
      <c r="U1843" s="28">
        <f t="array" ref="U1843">IFERROR(VLOOKUP($T1843,'Nghi hoc T12'!$H$7:$I$160,2,0),0)</f>
        <v>0</v>
      </c>
      <c r="V1843" s="28"/>
      <c r="W1843" s="28">
        <f t="shared" si="152"/>
        <v>0</v>
      </c>
      <c r="X1843" s="333">
        <f t="shared" si="153"/>
        <v>0</v>
      </c>
      <c r="Y1843" s="333">
        <f t="shared" si="154"/>
        <v>0</v>
      </c>
    </row>
    <row r="1844" spans="1:25" s="2" customFormat="1" ht="21.95" customHeight="1">
      <c r="A1844" s="321">
        <v>1</v>
      </c>
      <c r="B1844" s="91" t="str">
        <f t="shared" si="155"/>
        <v>305.C</v>
      </c>
      <c r="C1844" s="185" t="s">
        <v>365</v>
      </c>
      <c r="D1844" s="186" t="s">
        <v>2298</v>
      </c>
      <c r="E1844" s="187">
        <v>400191</v>
      </c>
      <c r="F1844" s="188" t="s">
        <v>248</v>
      </c>
      <c r="G1844" s="189" t="s">
        <v>1537</v>
      </c>
      <c r="H1844" s="188" t="s">
        <v>2241</v>
      </c>
      <c r="I1844" s="190"/>
      <c r="J1844" s="191"/>
      <c r="K1844" s="191"/>
      <c r="L1844" s="191"/>
      <c r="M1844" s="191"/>
      <c r="N1844" s="320" t="s">
        <v>2685</v>
      </c>
      <c r="O1844" s="70">
        <v>0</v>
      </c>
      <c r="P1844" s="70">
        <v>0</v>
      </c>
      <c r="Q1844" s="70">
        <f t="shared" si="150"/>
        <v>0</v>
      </c>
      <c r="R1844" s="70"/>
      <c r="S1844" s="67"/>
      <c r="T1844" s="2" t="str">
        <f t="shared" si="151"/>
        <v>Trần Thị Kim Phụng_10VH5</v>
      </c>
      <c r="U1844" s="28">
        <f t="array" ref="U1844">IFERROR(VLOOKUP($T1844,'Nghi hoc T12'!$H$7:$I$160,2,0),0)</f>
        <v>0</v>
      </c>
      <c r="V1844" s="28"/>
      <c r="W1844" s="28">
        <f t="shared" si="152"/>
        <v>0</v>
      </c>
      <c r="X1844" s="333">
        <f t="shared" si="153"/>
        <v>0</v>
      </c>
      <c r="Y1844" s="333">
        <f t="shared" si="154"/>
        <v>0</v>
      </c>
    </row>
    <row r="1845" spans="1:25" s="2" customFormat="1" ht="21.95" customHeight="1">
      <c r="A1845" s="82">
        <v>2</v>
      </c>
      <c r="B1845" s="91" t="str">
        <f t="shared" si="155"/>
        <v>305.C</v>
      </c>
      <c r="C1845" s="83" t="s">
        <v>365</v>
      </c>
      <c r="D1845" s="81" t="s">
        <v>2298</v>
      </c>
      <c r="E1845" s="48">
        <v>400192</v>
      </c>
      <c r="F1845" s="30" t="s">
        <v>1543</v>
      </c>
      <c r="G1845" s="29" t="s">
        <v>43</v>
      </c>
      <c r="H1845" s="30" t="s">
        <v>2242</v>
      </c>
      <c r="I1845" s="78"/>
      <c r="J1845" s="20"/>
      <c r="K1845" s="20"/>
      <c r="L1845" s="20"/>
      <c r="M1845" s="20"/>
      <c r="N1845" s="320" t="s">
        <v>2685</v>
      </c>
      <c r="O1845" s="70">
        <v>0</v>
      </c>
      <c r="P1845" s="70">
        <v>0</v>
      </c>
      <c r="Q1845" s="70">
        <f t="shared" si="150"/>
        <v>0</v>
      </c>
      <c r="R1845" s="70"/>
      <c r="S1845" s="67"/>
      <c r="T1845" s="2" t="str">
        <f t="shared" si="151"/>
        <v>Trần Thị Mai Phương_10VH3</v>
      </c>
      <c r="U1845" s="28">
        <f t="array" ref="U1845">IFERROR(VLOOKUP($T1845,'Nghi hoc T12'!$H$7:$I$160,2,0),0)</f>
        <v>0</v>
      </c>
      <c r="V1845" s="28"/>
      <c r="W1845" s="28">
        <f t="shared" si="152"/>
        <v>0</v>
      </c>
      <c r="X1845" s="333">
        <f t="shared" si="153"/>
        <v>0</v>
      </c>
      <c r="Y1845" s="333">
        <f t="shared" si="154"/>
        <v>0</v>
      </c>
    </row>
    <row r="1846" spans="1:25" s="2" customFormat="1" ht="21.95" customHeight="1">
      <c r="A1846" s="82">
        <v>3</v>
      </c>
      <c r="B1846" s="91" t="str">
        <f t="shared" si="155"/>
        <v>305.C</v>
      </c>
      <c r="C1846" s="83" t="s">
        <v>365</v>
      </c>
      <c r="D1846" s="81" t="s">
        <v>2298</v>
      </c>
      <c r="E1846" s="48">
        <v>400193</v>
      </c>
      <c r="F1846" s="30" t="s">
        <v>183</v>
      </c>
      <c r="G1846" s="29" t="s">
        <v>44</v>
      </c>
      <c r="H1846" s="30" t="s">
        <v>137</v>
      </c>
      <c r="I1846" s="78"/>
      <c r="J1846" s="20"/>
      <c r="K1846" s="20"/>
      <c r="L1846" s="20"/>
      <c r="M1846" s="20"/>
      <c r="N1846" s="320" t="s">
        <v>2685</v>
      </c>
      <c r="O1846" s="70">
        <v>0</v>
      </c>
      <c r="P1846" s="70">
        <v>0</v>
      </c>
      <c r="Q1846" s="70">
        <f t="shared" si="150"/>
        <v>0</v>
      </c>
      <c r="R1846" s="70"/>
      <c r="S1846" s="67"/>
      <c r="T1846" s="2" t="str">
        <f t="shared" si="151"/>
        <v>Nguyễn Thanh Quang_10VH4</v>
      </c>
      <c r="U1846" s="28">
        <f t="array" ref="U1846">IFERROR(VLOOKUP($T1846,'Nghi hoc T12'!$H$7:$I$160,2,0),0)</f>
        <v>0</v>
      </c>
      <c r="V1846" s="28"/>
      <c r="W1846" s="28">
        <f t="shared" si="152"/>
        <v>0</v>
      </c>
      <c r="X1846" s="333">
        <f t="shared" si="153"/>
        <v>0</v>
      </c>
      <c r="Y1846" s="333">
        <f t="shared" si="154"/>
        <v>0</v>
      </c>
    </row>
    <row r="1847" spans="1:25" s="2" customFormat="1" ht="21.95" customHeight="1">
      <c r="A1847" s="82">
        <v>4</v>
      </c>
      <c r="B1847" s="91" t="str">
        <f t="shared" si="155"/>
        <v>305.C</v>
      </c>
      <c r="C1847" s="83" t="s">
        <v>365</v>
      </c>
      <c r="D1847" s="81" t="s">
        <v>2298</v>
      </c>
      <c r="E1847" s="48">
        <v>400194</v>
      </c>
      <c r="F1847" s="30" t="s">
        <v>1375</v>
      </c>
      <c r="G1847" s="29" t="s">
        <v>22</v>
      </c>
      <c r="H1847" s="30" t="s">
        <v>2241</v>
      </c>
      <c r="I1847" s="78"/>
      <c r="J1847" s="20"/>
      <c r="K1847" s="20"/>
      <c r="L1847" s="20"/>
      <c r="M1847" s="20"/>
      <c r="N1847" s="320" t="s">
        <v>2685</v>
      </c>
      <c r="O1847" s="70">
        <v>0</v>
      </c>
      <c r="P1847" s="70">
        <v>0</v>
      </c>
      <c r="Q1847" s="70">
        <f t="shared" si="150"/>
        <v>0</v>
      </c>
      <c r="R1847" s="70"/>
      <c r="S1847" s="67"/>
      <c r="T1847" s="2" t="str">
        <f t="shared" si="151"/>
        <v>Nguyễn Thị Diễm Quỳnh_10VH5</v>
      </c>
      <c r="U1847" s="28">
        <f t="array" ref="U1847">IFERROR(VLOOKUP($T1847,'Nghi hoc T12'!$H$7:$I$160,2,0),0)</f>
        <v>0</v>
      </c>
      <c r="V1847" s="28"/>
      <c r="W1847" s="28">
        <f t="shared" si="152"/>
        <v>0</v>
      </c>
      <c r="X1847" s="333">
        <f t="shared" si="153"/>
        <v>0</v>
      </c>
      <c r="Y1847" s="333">
        <f t="shared" si="154"/>
        <v>0</v>
      </c>
    </row>
    <row r="1848" spans="1:25" s="2" customFormat="1" ht="21.95" customHeight="1">
      <c r="A1848" s="82">
        <v>5</v>
      </c>
      <c r="B1848" s="91" t="str">
        <f t="shared" si="155"/>
        <v>305.C</v>
      </c>
      <c r="C1848" s="83" t="s">
        <v>365</v>
      </c>
      <c r="D1848" s="81" t="s">
        <v>2298</v>
      </c>
      <c r="E1848" s="48">
        <v>400195</v>
      </c>
      <c r="F1848" s="30" t="s">
        <v>186</v>
      </c>
      <c r="G1848" s="29" t="s">
        <v>93</v>
      </c>
      <c r="H1848" s="30" t="s">
        <v>137</v>
      </c>
      <c r="I1848" s="78"/>
      <c r="J1848" s="20"/>
      <c r="K1848" s="20"/>
      <c r="L1848" s="20"/>
      <c r="M1848" s="20"/>
      <c r="N1848" s="320" t="s">
        <v>2685</v>
      </c>
      <c r="O1848" s="70">
        <v>0</v>
      </c>
      <c r="P1848" s="70">
        <v>0</v>
      </c>
      <c r="Q1848" s="70">
        <f t="shared" si="150"/>
        <v>0</v>
      </c>
      <c r="R1848" s="70"/>
      <c r="S1848" s="67"/>
      <c r="T1848" s="2" t="str">
        <f t="shared" si="151"/>
        <v>Nguyễn Minh Tài_10VH4</v>
      </c>
      <c r="U1848" s="28">
        <f t="array" ref="U1848">IFERROR(VLOOKUP($T1848,'Nghi hoc T12'!$H$7:$I$160,2,0),0)</f>
        <v>0</v>
      </c>
      <c r="V1848" s="28"/>
      <c r="W1848" s="28">
        <f t="shared" si="152"/>
        <v>0</v>
      </c>
      <c r="X1848" s="333">
        <f t="shared" si="153"/>
        <v>0</v>
      </c>
      <c r="Y1848" s="333">
        <f t="shared" si="154"/>
        <v>0</v>
      </c>
    </row>
    <row r="1849" spans="1:25" s="2" customFormat="1" ht="21.95" customHeight="1">
      <c r="A1849" s="82">
        <v>6</v>
      </c>
      <c r="B1849" s="91" t="str">
        <f t="shared" si="155"/>
        <v>305.C</v>
      </c>
      <c r="C1849" s="83" t="s">
        <v>365</v>
      </c>
      <c r="D1849" s="81" t="s">
        <v>2298</v>
      </c>
      <c r="E1849" s="48">
        <v>400196</v>
      </c>
      <c r="F1849" s="30" t="s">
        <v>1935</v>
      </c>
      <c r="G1849" s="29" t="s">
        <v>93</v>
      </c>
      <c r="H1849" s="30" t="s">
        <v>2241</v>
      </c>
      <c r="I1849" s="78"/>
      <c r="J1849" s="20"/>
      <c r="K1849" s="20"/>
      <c r="L1849" s="20"/>
      <c r="M1849" s="20"/>
      <c r="N1849" s="320" t="s">
        <v>2685</v>
      </c>
      <c r="O1849" s="70">
        <v>0</v>
      </c>
      <c r="P1849" s="70">
        <v>0</v>
      </c>
      <c r="Q1849" s="70">
        <f t="shared" si="150"/>
        <v>0</v>
      </c>
      <c r="R1849" s="70"/>
      <c r="S1849" s="67"/>
      <c r="T1849" s="2" t="str">
        <f t="shared" si="151"/>
        <v>Trần Thái Tài_10VH5</v>
      </c>
      <c r="U1849" s="28">
        <f t="array" ref="U1849">IFERROR(VLOOKUP($T1849,'Nghi hoc T12'!$H$7:$I$160,2,0),0)</f>
        <v>0</v>
      </c>
      <c r="V1849" s="28"/>
      <c r="W1849" s="28">
        <f t="shared" si="152"/>
        <v>0</v>
      </c>
      <c r="X1849" s="333">
        <f t="shared" si="153"/>
        <v>0</v>
      </c>
      <c r="Y1849" s="333">
        <f t="shared" si="154"/>
        <v>0</v>
      </c>
    </row>
    <row r="1850" spans="1:25" s="2" customFormat="1" ht="21.95" customHeight="1">
      <c r="A1850" s="82">
        <v>7</v>
      </c>
      <c r="B1850" s="91" t="str">
        <f t="shared" si="155"/>
        <v>305.C</v>
      </c>
      <c r="C1850" s="83" t="s">
        <v>365</v>
      </c>
      <c r="D1850" s="81" t="s">
        <v>2298</v>
      </c>
      <c r="E1850" s="48">
        <v>400197</v>
      </c>
      <c r="F1850" s="30" t="s">
        <v>182</v>
      </c>
      <c r="G1850" s="29" t="s">
        <v>24</v>
      </c>
      <c r="H1850" s="30" t="s">
        <v>2242</v>
      </c>
      <c r="I1850" s="78"/>
      <c r="J1850" s="20"/>
      <c r="K1850" s="20"/>
      <c r="L1850" s="20"/>
      <c r="M1850" s="20"/>
      <c r="N1850" s="320" t="s">
        <v>2685</v>
      </c>
      <c r="O1850" s="70">
        <v>0</v>
      </c>
      <c r="P1850" s="70">
        <v>0</v>
      </c>
      <c r="Q1850" s="70">
        <f t="shared" si="150"/>
        <v>0</v>
      </c>
      <c r="R1850" s="70"/>
      <c r="S1850" s="67"/>
      <c r="T1850" s="2" t="str">
        <f t="shared" si="151"/>
        <v>Lê Thanh Tâm_10VH3</v>
      </c>
      <c r="U1850" s="28">
        <f t="array" ref="U1850">IFERROR(VLOOKUP($T1850,'Nghi hoc T12'!$H$7:$I$160,2,0),0)</f>
        <v>0</v>
      </c>
      <c r="V1850" s="28"/>
      <c r="W1850" s="28">
        <f t="shared" si="152"/>
        <v>0</v>
      </c>
      <c r="X1850" s="333">
        <f t="shared" si="153"/>
        <v>0</v>
      </c>
      <c r="Y1850" s="333">
        <f t="shared" si="154"/>
        <v>0</v>
      </c>
    </row>
    <row r="1851" spans="1:25" s="2" customFormat="1" ht="21.95" customHeight="1">
      <c r="A1851" s="82">
        <v>8</v>
      </c>
      <c r="B1851" s="91" t="str">
        <f t="shared" si="155"/>
        <v>305.C</v>
      </c>
      <c r="C1851" s="83" t="s">
        <v>365</v>
      </c>
      <c r="D1851" s="81" t="s">
        <v>2298</v>
      </c>
      <c r="E1851" s="48">
        <v>400198</v>
      </c>
      <c r="F1851" s="30" t="s">
        <v>2299</v>
      </c>
      <c r="G1851" s="29" t="s">
        <v>25</v>
      </c>
      <c r="H1851" s="30" t="s">
        <v>2242</v>
      </c>
      <c r="I1851" s="78"/>
      <c r="J1851" s="20"/>
      <c r="K1851" s="20"/>
      <c r="L1851" s="20"/>
      <c r="M1851" s="20"/>
      <c r="N1851" s="320" t="s">
        <v>2685</v>
      </c>
      <c r="O1851" s="70">
        <v>0</v>
      </c>
      <c r="P1851" s="70">
        <v>0</v>
      </c>
      <c r="Q1851" s="70">
        <f t="shared" si="150"/>
        <v>0</v>
      </c>
      <c r="R1851" s="70"/>
      <c r="S1851" s="67"/>
      <c r="T1851" s="2" t="str">
        <f t="shared" si="151"/>
        <v>Lê Hưng Thái_10VH3</v>
      </c>
      <c r="U1851" s="28">
        <f t="array" ref="U1851">IFERROR(VLOOKUP($T1851,'Nghi hoc T12'!$H$7:$I$160,2,0),0)</f>
        <v>0</v>
      </c>
      <c r="V1851" s="28"/>
      <c r="W1851" s="28">
        <f t="shared" si="152"/>
        <v>0</v>
      </c>
      <c r="X1851" s="333">
        <f t="shared" si="153"/>
        <v>0</v>
      </c>
      <c r="Y1851" s="333">
        <f t="shared" si="154"/>
        <v>0</v>
      </c>
    </row>
    <row r="1852" spans="1:25" s="2" customFormat="1" ht="21.95" customHeight="1">
      <c r="A1852" s="82">
        <v>9</v>
      </c>
      <c r="B1852" s="91" t="str">
        <f t="shared" si="155"/>
        <v>305.C</v>
      </c>
      <c r="C1852" s="83" t="s">
        <v>365</v>
      </c>
      <c r="D1852" s="81" t="s">
        <v>2298</v>
      </c>
      <c r="E1852" s="48">
        <v>400199</v>
      </c>
      <c r="F1852" s="30" t="s">
        <v>2300</v>
      </c>
      <c r="G1852" s="29" t="s">
        <v>49</v>
      </c>
      <c r="H1852" s="30" t="s">
        <v>2241</v>
      </c>
      <c r="I1852" s="78"/>
      <c r="J1852" s="20"/>
      <c r="K1852" s="20"/>
      <c r="L1852" s="20"/>
      <c r="M1852" s="20"/>
      <c r="N1852" s="320" t="s">
        <v>2685</v>
      </c>
      <c r="O1852" s="70">
        <v>0</v>
      </c>
      <c r="P1852" s="70">
        <v>0</v>
      </c>
      <c r="Q1852" s="70">
        <f t="shared" si="150"/>
        <v>0</v>
      </c>
      <c r="R1852" s="70"/>
      <c r="S1852" s="67"/>
      <c r="T1852" s="2" t="str">
        <f t="shared" si="151"/>
        <v>Huỳnh Thị Thanh Thảo_10VH5</v>
      </c>
      <c r="U1852" s="28">
        <f t="array" ref="U1852">IFERROR(VLOOKUP($T1852,'Nghi hoc T12'!$H$7:$I$160,2,0),0)</f>
        <v>0</v>
      </c>
      <c r="V1852" s="28"/>
      <c r="W1852" s="28">
        <f t="shared" si="152"/>
        <v>0</v>
      </c>
      <c r="X1852" s="333">
        <f t="shared" si="153"/>
        <v>0</v>
      </c>
      <c r="Y1852" s="333">
        <f t="shared" si="154"/>
        <v>0</v>
      </c>
    </row>
    <row r="1853" spans="1:25" s="2" customFormat="1" ht="21.95" customHeight="1">
      <c r="A1853" s="82">
        <v>10</v>
      </c>
      <c r="B1853" s="91" t="str">
        <f t="shared" si="155"/>
        <v>305.C</v>
      </c>
      <c r="C1853" s="83" t="s">
        <v>365</v>
      </c>
      <c r="D1853" s="81" t="s">
        <v>2298</v>
      </c>
      <c r="E1853" s="48">
        <v>400200</v>
      </c>
      <c r="F1853" s="30" t="s">
        <v>229</v>
      </c>
      <c r="G1853" s="29" t="s">
        <v>49</v>
      </c>
      <c r="H1853" s="30" t="s">
        <v>2242</v>
      </c>
      <c r="I1853" s="78"/>
      <c r="J1853" s="20"/>
      <c r="K1853" s="20"/>
      <c r="L1853" s="20"/>
      <c r="M1853" s="20"/>
      <c r="N1853" s="320" t="s">
        <v>2685</v>
      </c>
      <c r="O1853" s="70">
        <v>0</v>
      </c>
      <c r="P1853" s="70">
        <v>0</v>
      </c>
      <c r="Q1853" s="70">
        <f t="shared" si="150"/>
        <v>0</v>
      </c>
      <c r="R1853" s="70"/>
      <c r="S1853" s="67"/>
      <c r="T1853" s="2" t="str">
        <f t="shared" si="151"/>
        <v>Nguyễn Trần Thanh Thảo_10VH3</v>
      </c>
      <c r="U1853" s="28">
        <f t="array" ref="U1853">IFERROR(VLOOKUP($T1853,'Nghi hoc T12'!$H$7:$I$160,2,0),0)</f>
        <v>0</v>
      </c>
      <c r="V1853" s="28"/>
      <c r="W1853" s="28">
        <f t="shared" si="152"/>
        <v>0</v>
      </c>
      <c r="X1853" s="333">
        <f t="shared" si="153"/>
        <v>0</v>
      </c>
      <c r="Y1853" s="333">
        <f t="shared" si="154"/>
        <v>0</v>
      </c>
    </row>
    <row r="1854" spans="1:25" s="2" customFormat="1" ht="21.95" customHeight="1">
      <c r="A1854" s="82">
        <v>11</v>
      </c>
      <c r="B1854" s="91" t="str">
        <f t="shared" si="155"/>
        <v>305.C</v>
      </c>
      <c r="C1854" s="83" t="s">
        <v>365</v>
      </c>
      <c r="D1854" s="81" t="s">
        <v>2298</v>
      </c>
      <c r="E1854" s="48">
        <v>400201</v>
      </c>
      <c r="F1854" s="30" t="s">
        <v>234</v>
      </c>
      <c r="G1854" s="29" t="s">
        <v>49</v>
      </c>
      <c r="H1854" s="30" t="s">
        <v>2241</v>
      </c>
      <c r="I1854" s="78"/>
      <c r="J1854" s="20"/>
      <c r="K1854" s="20"/>
      <c r="L1854" s="20"/>
      <c r="M1854" s="20"/>
      <c r="N1854" s="320" t="s">
        <v>2685</v>
      </c>
      <c r="O1854" s="70">
        <v>0</v>
      </c>
      <c r="P1854" s="70">
        <v>0</v>
      </c>
      <c r="Q1854" s="70">
        <f t="shared" si="150"/>
        <v>0</v>
      </c>
      <c r="R1854" s="70"/>
      <c r="S1854" s="67"/>
      <c r="T1854" s="2" t="str">
        <f t="shared" si="151"/>
        <v>Nguyễn Trọng Thảo_10VH5</v>
      </c>
      <c r="U1854" s="28">
        <f t="array" ref="U1854">IFERROR(VLOOKUP($T1854,'Nghi hoc T12'!$H$7:$I$160,2,0),0)</f>
        <v>0</v>
      </c>
      <c r="V1854" s="28"/>
      <c r="W1854" s="28">
        <f t="shared" si="152"/>
        <v>0</v>
      </c>
      <c r="X1854" s="333">
        <f t="shared" si="153"/>
        <v>0</v>
      </c>
      <c r="Y1854" s="333">
        <f t="shared" si="154"/>
        <v>0</v>
      </c>
    </row>
    <row r="1855" spans="1:25" s="2" customFormat="1" ht="21.95" customHeight="1">
      <c r="A1855" s="82">
        <v>12</v>
      </c>
      <c r="B1855" s="91" t="str">
        <f t="shared" si="155"/>
        <v>305.C</v>
      </c>
      <c r="C1855" s="83" t="s">
        <v>365</v>
      </c>
      <c r="D1855" s="81" t="s">
        <v>2298</v>
      </c>
      <c r="E1855" s="48">
        <v>400202</v>
      </c>
      <c r="F1855" s="30" t="s">
        <v>2301</v>
      </c>
      <c r="G1855" s="29" t="s">
        <v>49</v>
      </c>
      <c r="H1855" s="30" t="s">
        <v>137</v>
      </c>
      <c r="I1855" s="78"/>
      <c r="J1855" s="20"/>
      <c r="K1855" s="20"/>
      <c r="L1855" s="20"/>
      <c r="M1855" s="20"/>
      <c r="N1855" s="320" t="s">
        <v>2685</v>
      </c>
      <c r="O1855" s="70">
        <v>0</v>
      </c>
      <c r="P1855" s="70">
        <v>0</v>
      </c>
      <c r="Q1855" s="70">
        <f t="shared" si="150"/>
        <v>0</v>
      </c>
      <c r="R1855" s="70"/>
      <c r="S1855" s="67"/>
      <c r="T1855" s="2" t="str">
        <f t="shared" si="151"/>
        <v>Tạ Phương Thảo_10VH4</v>
      </c>
      <c r="U1855" s="28">
        <f t="array" ref="U1855">IFERROR(VLOOKUP($T1855,'Nghi hoc T12'!$H$7:$I$160,2,0),0)</f>
        <v>0</v>
      </c>
      <c r="V1855" s="28"/>
      <c r="W1855" s="28">
        <f t="shared" si="152"/>
        <v>0</v>
      </c>
      <c r="X1855" s="333">
        <f t="shared" si="153"/>
        <v>0</v>
      </c>
      <c r="Y1855" s="333">
        <f t="shared" si="154"/>
        <v>0</v>
      </c>
    </row>
    <row r="1856" spans="1:25" s="2" customFormat="1" ht="21.95" customHeight="1">
      <c r="A1856" s="82">
        <v>13</v>
      </c>
      <c r="B1856" s="91" t="str">
        <f t="shared" si="155"/>
        <v>305.C</v>
      </c>
      <c r="C1856" s="83" t="s">
        <v>365</v>
      </c>
      <c r="D1856" s="81" t="s">
        <v>2298</v>
      </c>
      <c r="E1856" s="48">
        <v>400203</v>
      </c>
      <c r="F1856" s="30" t="s">
        <v>2302</v>
      </c>
      <c r="G1856" s="29" t="s">
        <v>161</v>
      </c>
      <c r="H1856" s="30" t="s">
        <v>2242</v>
      </c>
      <c r="I1856" s="78"/>
      <c r="J1856" s="20"/>
      <c r="K1856" s="20"/>
      <c r="L1856" s="20"/>
      <c r="M1856" s="20"/>
      <c r="N1856" s="320" t="s">
        <v>2685</v>
      </c>
      <c r="O1856" s="70">
        <v>0</v>
      </c>
      <c r="P1856" s="70">
        <v>0</v>
      </c>
      <c r="Q1856" s="70">
        <f t="shared" si="150"/>
        <v>0</v>
      </c>
      <c r="R1856" s="70"/>
      <c r="S1856" s="67"/>
      <c r="T1856" s="2" t="str">
        <f t="shared" si="151"/>
        <v>Trần Hạo Thiên_10VH3</v>
      </c>
      <c r="U1856" s="28">
        <f t="array" ref="U1856">IFERROR(VLOOKUP($T1856,'Nghi hoc T12'!$H$7:$I$160,2,0),0)</f>
        <v>0</v>
      </c>
      <c r="V1856" s="28"/>
      <c r="W1856" s="28">
        <f t="shared" si="152"/>
        <v>0</v>
      </c>
      <c r="X1856" s="333">
        <f t="shared" si="153"/>
        <v>0</v>
      </c>
      <c r="Y1856" s="333">
        <f t="shared" si="154"/>
        <v>0</v>
      </c>
    </row>
    <row r="1857" spans="1:25" s="2" customFormat="1" ht="21.95" customHeight="1">
      <c r="A1857" s="82">
        <v>14</v>
      </c>
      <c r="B1857" s="91" t="str">
        <f t="shared" si="155"/>
        <v>305.C</v>
      </c>
      <c r="C1857" s="83" t="s">
        <v>365</v>
      </c>
      <c r="D1857" s="81" t="s">
        <v>2298</v>
      </c>
      <c r="E1857" s="48">
        <v>400204</v>
      </c>
      <c r="F1857" s="30" t="s">
        <v>1619</v>
      </c>
      <c r="G1857" s="29" t="s">
        <v>450</v>
      </c>
      <c r="H1857" s="30" t="s">
        <v>137</v>
      </c>
      <c r="I1857" s="78"/>
      <c r="J1857" s="20"/>
      <c r="K1857" s="20"/>
      <c r="L1857" s="20"/>
      <c r="M1857" s="20"/>
      <c r="N1857" s="320" t="s">
        <v>2685</v>
      </c>
      <c r="O1857" s="70">
        <v>0</v>
      </c>
      <c r="P1857" s="70">
        <v>0</v>
      </c>
      <c r="Q1857" s="70">
        <f t="shared" si="150"/>
        <v>0</v>
      </c>
      <c r="R1857" s="70"/>
      <c r="S1857" s="67"/>
      <c r="T1857" s="2" t="str">
        <f t="shared" si="151"/>
        <v>Võ Anh Thoại_10VH4</v>
      </c>
      <c r="U1857" s="28">
        <f t="array" ref="U1857">IFERROR(VLOOKUP($T1857,'Nghi hoc T12'!$H$7:$I$160,2,0),0)</f>
        <v>0</v>
      </c>
      <c r="V1857" s="28"/>
      <c r="W1857" s="28">
        <f t="shared" si="152"/>
        <v>0</v>
      </c>
      <c r="X1857" s="333">
        <f t="shared" si="153"/>
        <v>0</v>
      </c>
      <c r="Y1857" s="333">
        <f t="shared" si="154"/>
        <v>0</v>
      </c>
    </row>
    <row r="1858" spans="1:25" s="2" customFormat="1" ht="21.95" customHeight="1">
      <c r="A1858" s="82">
        <v>15</v>
      </c>
      <c r="B1858" s="91" t="str">
        <f t="shared" si="155"/>
        <v>305.C</v>
      </c>
      <c r="C1858" s="83" t="s">
        <v>365</v>
      </c>
      <c r="D1858" s="81" t="s">
        <v>2298</v>
      </c>
      <c r="E1858" s="48">
        <v>400205</v>
      </c>
      <c r="F1858" s="30" t="s">
        <v>2303</v>
      </c>
      <c r="G1858" s="29" t="s">
        <v>59</v>
      </c>
      <c r="H1858" s="30" t="s">
        <v>2242</v>
      </c>
      <c r="I1858" s="78"/>
      <c r="J1858" s="20"/>
      <c r="K1858" s="20"/>
      <c r="L1858" s="20"/>
      <c r="M1858" s="20"/>
      <c r="N1858" s="320" t="s">
        <v>2685</v>
      </c>
      <c r="O1858" s="70">
        <v>0</v>
      </c>
      <c r="P1858" s="70">
        <v>0</v>
      </c>
      <c r="Q1858" s="70">
        <f t="shared" si="150"/>
        <v>0</v>
      </c>
      <c r="R1858" s="70"/>
      <c r="S1858" s="67"/>
      <c r="T1858" s="2" t="str">
        <f t="shared" si="151"/>
        <v>Lư Ngọc Thuận_10VH3</v>
      </c>
      <c r="U1858" s="28">
        <f t="array" ref="U1858">IFERROR(VLOOKUP($T1858,'Nghi hoc T12'!$H$7:$I$160,2,0),0)</f>
        <v>0</v>
      </c>
      <c r="V1858" s="28"/>
      <c r="W1858" s="28">
        <f t="shared" si="152"/>
        <v>0</v>
      </c>
      <c r="X1858" s="333">
        <f t="shared" si="153"/>
        <v>0</v>
      </c>
      <c r="Y1858" s="333">
        <f t="shared" si="154"/>
        <v>0</v>
      </c>
    </row>
    <row r="1859" spans="1:25" s="2" customFormat="1" ht="21.95" customHeight="1">
      <c r="A1859" s="82">
        <v>16</v>
      </c>
      <c r="B1859" s="91" t="str">
        <f t="shared" si="155"/>
        <v>305.C</v>
      </c>
      <c r="C1859" s="83" t="s">
        <v>365</v>
      </c>
      <c r="D1859" s="81" t="s">
        <v>2298</v>
      </c>
      <c r="E1859" s="48">
        <v>400206</v>
      </c>
      <c r="F1859" s="30" t="s">
        <v>196</v>
      </c>
      <c r="G1859" s="29" t="s">
        <v>59</v>
      </c>
      <c r="H1859" s="30" t="s">
        <v>137</v>
      </c>
      <c r="I1859" s="78"/>
      <c r="J1859" s="20"/>
      <c r="K1859" s="20"/>
      <c r="L1859" s="20"/>
      <c r="M1859" s="20"/>
      <c r="N1859" s="320" t="s">
        <v>2685</v>
      </c>
      <c r="O1859" s="70">
        <v>0</v>
      </c>
      <c r="P1859" s="70">
        <v>0</v>
      </c>
      <c r="Q1859" s="70">
        <f t="shared" si="150"/>
        <v>0</v>
      </c>
      <c r="R1859" s="70"/>
      <c r="S1859" s="67"/>
      <c r="T1859" s="2" t="str">
        <f t="shared" si="151"/>
        <v>Trần Gia Thuận_10VH4</v>
      </c>
      <c r="U1859" s="28">
        <f t="array" ref="U1859">IFERROR(VLOOKUP($T1859,'Nghi hoc T12'!$H$7:$I$160,2,0),0)</f>
        <v>0</v>
      </c>
      <c r="V1859" s="28"/>
      <c r="W1859" s="28">
        <f t="shared" si="152"/>
        <v>0</v>
      </c>
      <c r="X1859" s="333">
        <f t="shared" si="153"/>
        <v>0</v>
      </c>
      <c r="Y1859" s="333">
        <f t="shared" si="154"/>
        <v>0</v>
      </c>
    </row>
    <row r="1860" spans="1:25" s="2" customFormat="1" ht="21.95" customHeight="1">
      <c r="A1860" s="82">
        <v>17</v>
      </c>
      <c r="B1860" s="91" t="str">
        <f t="shared" si="155"/>
        <v>305.C</v>
      </c>
      <c r="C1860" s="83" t="s">
        <v>365</v>
      </c>
      <c r="D1860" s="81" t="s">
        <v>2298</v>
      </c>
      <c r="E1860" s="48">
        <v>400207</v>
      </c>
      <c r="F1860" s="30" t="s">
        <v>1904</v>
      </c>
      <c r="G1860" s="29" t="s">
        <v>28</v>
      </c>
      <c r="H1860" s="30" t="s">
        <v>137</v>
      </c>
      <c r="I1860" s="78"/>
      <c r="J1860" s="20"/>
      <c r="K1860" s="20"/>
      <c r="L1860" s="20"/>
      <c r="M1860" s="20"/>
      <c r="N1860" s="320" t="s">
        <v>2685</v>
      </c>
      <c r="O1860" s="70">
        <v>0</v>
      </c>
      <c r="P1860" s="70">
        <v>0</v>
      </c>
      <c r="Q1860" s="70">
        <f t="shared" si="150"/>
        <v>0</v>
      </c>
      <c r="R1860" s="70"/>
      <c r="S1860" s="67"/>
      <c r="T1860" s="2" t="str">
        <f t="shared" si="151"/>
        <v>Ngô Anh Thư_10VH4</v>
      </c>
      <c r="U1860" s="28">
        <f t="array" ref="U1860">IFERROR(VLOOKUP($T1860,'Nghi hoc T12'!$H$7:$I$160,2,0),0)</f>
        <v>0</v>
      </c>
      <c r="V1860" s="28"/>
      <c r="W1860" s="28">
        <f t="shared" si="152"/>
        <v>0</v>
      </c>
      <c r="X1860" s="333">
        <f t="shared" si="153"/>
        <v>0</v>
      </c>
      <c r="Y1860" s="333">
        <f t="shared" si="154"/>
        <v>0</v>
      </c>
    </row>
    <row r="1861" spans="1:25" s="2" customFormat="1" ht="21.95" customHeight="1">
      <c r="A1861" s="82">
        <v>18</v>
      </c>
      <c r="B1861" s="91" t="str">
        <f t="shared" si="155"/>
        <v>305.C</v>
      </c>
      <c r="C1861" s="83" t="s">
        <v>365</v>
      </c>
      <c r="D1861" s="81" t="s">
        <v>2298</v>
      </c>
      <c r="E1861" s="48">
        <v>400208</v>
      </c>
      <c r="F1861" s="30" t="s">
        <v>239</v>
      </c>
      <c r="G1861" s="29" t="s">
        <v>28</v>
      </c>
      <c r="H1861" s="30" t="s">
        <v>2242</v>
      </c>
      <c r="I1861" s="78"/>
      <c r="J1861" s="20"/>
      <c r="K1861" s="20"/>
      <c r="L1861" s="20"/>
      <c r="M1861" s="20"/>
      <c r="N1861" s="320" t="s">
        <v>2685</v>
      </c>
      <c r="O1861" s="70">
        <v>0</v>
      </c>
      <c r="P1861" s="70">
        <v>0</v>
      </c>
      <c r="Q1861" s="70">
        <f t="shared" si="150"/>
        <v>0</v>
      </c>
      <c r="R1861" s="70"/>
      <c r="S1861" s="67"/>
      <c r="T1861" s="2" t="str">
        <f t="shared" si="151"/>
        <v>Nguyễn Ngọc Anh Thư_10VH3</v>
      </c>
      <c r="U1861" s="28">
        <f t="array" ref="U1861">IFERROR(VLOOKUP($T1861,'Nghi hoc T12'!$H$7:$I$160,2,0),0)</f>
        <v>0</v>
      </c>
      <c r="V1861" s="28"/>
      <c r="W1861" s="28">
        <f t="shared" si="152"/>
        <v>0</v>
      </c>
      <c r="X1861" s="333">
        <f t="shared" si="153"/>
        <v>0</v>
      </c>
      <c r="Y1861" s="333">
        <f t="shared" si="154"/>
        <v>0</v>
      </c>
    </row>
    <row r="1862" spans="1:25" s="2" customFormat="1" ht="21.95" customHeight="1">
      <c r="A1862" s="82">
        <v>19</v>
      </c>
      <c r="B1862" s="91" t="str">
        <f t="shared" si="155"/>
        <v>305.C</v>
      </c>
      <c r="C1862" s="83" t="s">
        <v>365</v>
      </c>
      <c r="D1862" s="81" t="s">
        <v>2298</v>
      </c>
      <c r="E1862" s="48">
        <v>400209</v>
      </c>
      <c r="F1862" s="30" t="s">
        <v>210</v>
      </c>
      <c r="G1862" s="29" t="s">
        <v>215</v>
      </c>
      <c r="H1862" s="30" t="s">
        <v>2241</v>
      </c>
      <c r="I1862" s="78"/>
      <c r="J1862" s="20"/>
      <c r="K1862" s="20"/>
      <c r="L1862" s="20"/>
      <c r="M1862" s="20"/>
      <c r="N1862" s="320" t="s">
        <v>2685</v>
      </c>
      <c r="O1862" s="70">
        <v>0</v>
      </c>
      <c r="P1862" s="70">
        <v>0</v>
      </c>
      <c r="Q1862" s="70">
        <f t="shared" si="150"/>
        <v>0</v>
      </c>
      <c r="R1862" s="70"/>
      <c r="S1862" s="67"/>
      <c r="T1862" s="2" t="str">
        <f t="shared" si="151"/>
        <v>Võ Minh Tiến_10VH5</v>
      </c>
      <c r="U1862" s="28">
        <f t="array" ref="U1862">IFERROR(VLOOKUP($T1862,'Nghi hoc T12'!$H$7:$I$160,2,0),0)</f>
        <v>0</v>
      </c>
      <c r="V1862" s="28"/>
      <c r="W1862" s="28">
        <f t="shared" si="152"/>
        <v>0</v>
      </c>
      <c r="X1862" s="333">
        <f t="shared" si="153"/>
        <v>0</v>
      </c>
      <c r="Y1862" s="333">
        <f t="shared" si="154"/>
        <v>0</v>
      </c>
    </row>
    <row r="1863" spans="1:25" s="2" customFormat="1" ht="21.95" customHeight="1">
      <c r="A1863" s="82">
        <v>20</v>
      </c>
      <c r="B1863" s="91" t="str">
        <f t="shared" si="155"/>
        <v>305.C</v>
      </c>
      <c r="C1863" s="83" t="s">
        <v>365</v>
      </c>
      <c r="D1863" s="81" t="s">
        <v>2298</v>
      </c>
      <c r="E1863" s="48">
        <v>400210</v>
      </c>
      <c r="F1863" s="30" t="s">
        <v>2304</v>
      </c>
      <c r="G1863" s="29" t="s">
        <v>30</v>
      </c>
      <c r="H1863" s="30" t="s">
        <v>2242</v>
      </c>
      <c r="I1863" s="78"/>
      <c r="J1863" s="20"/>
      <c r="K1863" s="20"/>
      <c r="L1863" s="20"/>
      <c r="M1863" s="20"/>
      <c r="N1863" s="320" t="s">
        <v>2685</v>
      </c>
      <c r="O1863" s="70">
        <v>0</v>
      </c>
      <c r="P1863" s="70">
        <v>0</v>
      </c>
      <c r="Q1863" s="70">
        <f t="shared" si="150"/>
        <v>0</v>
      </c>
      <c r="R1863" s="70"/>
      <c r="S1863" s="67"/>
      <c r="T1863" s="2" t="str">
        <f t="shared" si="151"/>
        <v>Diệp Đức Kim Trang_10VH3</v>
      </c>
      <c r="U1863" s="28">
        <f t="array" ref="U1863">IFERROR(VLOOKUP($T1863,'Nghi hoc T12'!$H$7:$I$160,2,0),0)</f>
        <v>0</v>
      </c>
      <c r="V1863" s="28"/>
      <c r="W1863" s="28">
        <f t="shared" si="152"/>
        <v>0</v>
      </c>
      <c r="X1863" s="333">
        <f t="shared" si="153"/>
        <v>0</v>
      </c>
      <c r="Y1863" s="333">
        <f t="shared" si="154"/>
        <v>0</v>
      </c>
    </row>
    <row r="1864" spans="1:25" s="2" customFormat="1" ht="21.95" customHeight="1">
      <c r="A1864" s="82">
        <v>21</v>
      </c>
      <c r="B1864" s="91" t="str">
        <f t="shared" si="155"/>
        <v>305.C</v>
      </c>
      <c r="C1864" s="83" t="s">
        <v>365</v>
      </c>
      <c r="D1864" s="81" t="s">
        <v>2298</v>
      </c>
      <c r="E1864" s="48">
        <v>400211</v>
      </c>
      <c r="F1864" s="30" t="s">
        <v>132</v>
      </c>
      <c r="G1864" s="29" t="s">
        <v>30</v>
      </c>
      <c r="H1864" s="30" t="s">
        <v>137</v>
      </c>
      <c r="I1864" s="78"/>
      <c r="J1864" s="20"/>
      <c r="K1864" s="20"/>
      <c r="L1864" s="20"/>
      <c r="M1864" s="20"/>
      <c r="N1864" s="320" t="s">
        <v>2685</v>
      </c>
      <c r="O1864" s="70">
        <v>0</v>
      </c>
      <c r="P1864" s="70">
        <v>0</v>
      </c>
      <c r="Q1864" s="70">
        <f t="shared" si="150"/>
        <v>0</v>
      </c>
      <c r="R1864" s="70"/>
      <c r="S1864" s="67"/>
      <c r="T1864" s="2" t="str">
        <f t="shared" si="151"/>
        <v>Nguyễn Thị Thảo Trang_10VH4</v>
      </c>
      <c r="U1864" s="28">
        <f t="array" ref="U1864">IFERROR(VLOOKUP($T1864,'Nghi hoc T12'!$H$7:$I$160,2,0),0)</f>
        <v>0</v>
      </c>
      <c r="V1864" s="28"/>
      <c r="W1864" s="28">
        <f t="shared" si="152"/>
        <v>0</v>
      </c>
      <c r="X1864" s="333">
        <f t="shared" si="153"/>
        <v>0</v>
      </c>
      <c r="Y1864" s="333">
        <f t="shared" si="154"/>
        <v>0</v>
      </c>
    </row>
    <row r="1865" spans="1:25" s="2" customFormat="1" ht="21.95" customHeight="1">
      <c r="A1865" s="82">
        <v>22</v>
      </c>
      <c r="B1865" s="91" t="str">
        <f t="shared" si="155"/>
        <v>305.C</v>
      </c>
      <c r="C1865" s="83" t="s">
        <v>365</v>
      </c>
      <c r="D1865" s="81" t="s">
        <v>2298</v>
      </c>
      <c r="E1865" s="48">
        <v>400212</v>
      </c>
      <c r="F1865" s="30" t="s">
        <v>2305</v>
      </c>
      <c r="G1865" s="29" t="s">
        <v>29</v>
      </c>
      <c r="H1865" s="30" t="s">
        <v>2241</v>
      </c>
      <c r="I1865" s="78"/>
      <c r="J1865" s="20"/>
      <c r="K1865" s="20"/>
      <c r="L1865" s="20"/>
      <c r="M1865" s="20"/>
      <c r="N1865" s="320" t="s">
        <v>2685</v>
      </c>
      <c r="O1865" s="70">
        <v>0</v>
      </c>
      <c r="P1865" s="70">
        <v>0</v>
      </c>
      <c r="Q1865" s="70">
        <f t="shared" si="150"/>
        <v>0</v>
      </c>
      <c r="R1865" s="70"/>
      <c r="S1865" s="67"/>
      <c r="T1865" s="2" t="str">
        <f t="shared" si="151"/>
        <v>Lê Trương Bảo Trâm_10VH5</v>
      </c>
      <c r="U1865" s="28">
        <f t="array" ref="U1865">IFERROR(VLOOKUP($T1865,'Nghi hoc T12'!$H$7:$I$160,2,0),0)</f>
        <v>0</v>
      </c>
      <c r="V1865" s="28"/>
      <c r="W1865" s="28">
        <f t="shared" si="152"/>
        <v>0</v>
      </c>
      <c r="X1865" s="333">
        <f t="shared" si="153"/>
        <v>0</v>
      </c>
      <c r="Y1865" s="333">
        <f t="shared" si="154"/>
        <v>0</v>
      </c>
    </row>
    <row r="1866" spans="1:25" s="2" customFormat="1" ht="21.95" customHeight="1">
      <c r="A1866" s="82">
        <v>23</v>
      </c>
      <c r="B1866" s="91" t="str">
        <f t="shared" si="155"/>
        <v>305.C</v>
      </c>
      <c r="C1866" s="83" t="s">
        <v>365</v>
      </c>
      <c r="D1866" s="81" t="s">
        <v>2298</v>
      </c>
      <c r="E1866" s="48">
        <v>400213</v>
      </c>
      <c r="F1866" s="30" t="s">
        <v>2306</v>
      </c>
      <c r="G1866" s="29" t="s">
        <v>81</v>
      </c>
      <c r="H1866" s="30" t="s">
        <v>2242</v>
      </c>
      <c r="I1866" s="78"/>
      <c r="J1866" s="20"/>
      <c r="K1866" s="20"/>
      <c r="L1866" s="20"/>
      <c r="M1866" s="20"/>
      <c r="N1866" s="320" t="s">
        <v>2685</v>
      </c>
      <c r="O1866" s="70">
        <v>0</v>
      </c>
      <c r="P1866" s="70">
        <v>0</v>
      </c>
      <c r="Q1866" s="70">
        <f t="shared" ref="Q1866:Q1929" si="156">U1866</f>
        <v>0</v>
      </c>
      <c r="R1866" s="70"/>
      <c r="S1866" s="67"/>
      <c r="T1866" s="2" t="str">
        <f t="shared" ref="T1866:T1929" si="157">TRIM(F1866&amp;" "&amp;G1866&amp;"_"&amp;H1866)</f>
        <v>Lương Lê Bảo Trân_10VH3</v>
      </c>
      <c r="U1866" s="28">
        <f t="array" ref="U1866">IFERROR(VLOOKUP($T1866,'Nghi hoc T12'!$H$7:$I$160,2,0),0)</f>
        <v>0</v>
      </c>
      <c r="V1866" s="28"/>
      <c r="W1866" s="28">
        <f t="shared" ref="W1866:W1929" si="158">I1866</f>
        <v>0</v>
      </c>
      <c r="X1866" s="333">
        <f t="shared" ref="X1866:X1929" si="159">O1866</f>
        <v>0</v>
      </c>
      <c r="Y1866" s="333">
        <f t="shared" ref="Y1866:Y1929" si="160">P1866</f>
        <v>0</v>
      </c>
    </row>
    <row r="1867" spans="1:25" s="2" customFormat="1" ht="21.95" customHeight="1">
      <c r="A1867" s="321">
        <v>1</v>
      </c>
      <c r="B1867" s="91" t="str">
        <f t="shared" ref="B1867:B1889" si="161">RIGHT(D1867,LEN(D1867)-2)&amp;"."&amp;LEFT(N1867,1)</f>
        <v>306.C</v>
      </c>
      <c r="C1867" s="185" t="s">
        <v>365</v>
      </c>
      <c r="D1867" s="186" t="s">
        <v>2307</v>
      </c>
      <c r="E1867" s="187">
        <v>400214</v>
      </c>
      <c r="F1867" s="188" t="s">
        <v>242</v>
      </c>
      <c r="G1867" s="189" t="s">
        <v>81</v>
      </c>
      <c r="H1867" s="188" t="s">
        <v>137</v>
      </c>
      <c r="I1867" s="190"/>
      <c r="J1867" s="191"/>
      <c r="K1867" s="191"/>
      <c r="L1867" s="191"/>
      <c r="M1867" s="191"/>
      <c r="N1867" s="320" t="s">
        <v>2685</v>
      </c>
      <c r="O1867" s="70">
        <v>0</v>
      </c>
      <c r="P1867" s="70">
        <v>0</v>
      </c>
      <c r="Q1867" s="70">
        <f t="shared" si="156"/>
        <v>0</v>
      </c>
      <c r="R1867" s="70"/>
      <c r="S1867" s="67"/>
      <c r="T1867" s="2" t="str">
        <f t="shared" si="157"/>
        <v>Nguyễn Ngọc Bảo Trân_10VH4</v>
      </c>
      <c r="U1867" s="28">
        <f t="array" ref="U1867">IFERROR(VLOOKUP($T1867,'Nghi hoc T12'!$H$7:$I$160,2,0),0)</f>
        <v>0</v>
      </c>
      <c r="V1867" s="28"/>
      <c r="W1867" s="28">
        <f t="shared" si="158"/>
        <v>0</v>
      </c>
      <c r="X1867" s="333">
        <f t="shared" si="159"/>
        <v>0</v>
      </c>
      <c r="Y1867" s="333">
        <f t="shared" si="160"/>
        <v>0</v>
      </c>
    </row>
    <row r="1868" spans="1:25" s="2" customFormat="1" ht="21.95" customHeight="1">
      <c r="A1868" s="82">
        <v>2</v>
      </c>
      <c r="B1868" s="91" t="str">
        <f t="shared" si="161"/>
        <v>306.C</v>
      </c>
      <c r="C1868" s="83" t="s">
        <v>365</v>
      </c>
      <c r="D1868" s="81" t="s">
        <v>2307</v>
      </c>
      <c r="E1868" s="48">
        <v>400215</v>
      </c>
      <c r="F1868" s="30" t="s">
        <v>2308</v>
      </c>
      <c r="G1868" s="29" t="s">
        <v>81</v>
      </c>
      <c r="H1868" s="30" t="s">
        <v>2241</v>
      </c>
      <c r="I1868" s="78"/>
      <c r="J1868" s="20"/>
      <c r="K1868" s="20"/>
      <c r="L1868" s="20"/>
      <c r="M1868" s="20"/>
      <c r="N1868" s="320" t="s">
        <v>2685</v>
      </c>
      <c r="O1868" s="70">
        <v>0</v>
      </c>
      <c r="P1868" s="70">
        <v>0</v>
      </c>
      <c r="Q1868" s="70">
        <f t="shared" si="156"/>
        <v>0</v>
      </c>
      <c r="R1868" s="70"/>
      <c r="S1868" s="67"/>
      <c r="T1868" s="2" t="str">
        <f t="shared" si="157"/>
        <v>Phan Thị Huyền Trân_10VH5</v>
      </c>
      <c r="U1868" s="28">
        <f t="array" ref="U1868">IFERROR(VLOOKUP($T1868,'Nghi hoc T12'!$H$7:$I$160,2,0),0)</f>
        <v>0</v>
      </c>
      <c r="V1868" s="28"/>
      <c r="W1868" s="28">
        <f t="shared" si="158"/>
        <v>0</v>
      </c>
      <c r="X1868" s="333">
        <f t="shared" si="159"/>
        <v>0</v>
      </c>
      <c r="Y1868" s="333">
        <f t="shared" si="160"/>
        <v>0</v>
      </c>
    </row>
    <row r="1869" spans="1:25" s="2" customFormat="1" ht="21.95" customHeight="1">
      <c r="A1869" s="82">
        <v>3</v>
      </c>
      <c r="B1869" s="91" t="str">
        <f t="shared" si="161"/>
        <v>306.C</v>
      </c>
      <c r="C1869" s="83" t="s">
        <v>365</v>
      </c>
      <c r="D1869" s="81" t="s">
        <v>2307</v>
      </c>
      <c r="E1869" s="48">
        <v>400216</v>
      </c>
      <c r="F1869" s="30" t="s">
        <v>2309</v>
      </c>
      <c r="G1869" s="29" t="s">
        <v>206</v>
      </c>
      <c r="H1869" s="30" t="s">
        <v>2242</v>
      </c>
      <c r="I1869" s="78"/>
      <c r="J1869" s="20"/>
      <c r="K1869" s="20"/>
      <c r="L1869" s="20"/>
      <c r="M1869" s="20"/>
      <c r="N1869" s="320" t="s">
        <v>2685</v>
      </c>
      <c r="O1869" s="70">
        <v>0</v>
      </c>
      <c r="P1869" s="70">
        <v>0</v>
      </c>
      <c r="Q1869" s="70">
        <f t="shared" si="156"/>
        <v>0</v>
      </c>
      <c r="R1869" s="70"/>
      <c r="S1869" s="67"/>
      <c r="T1869" s="2" t="str">
        <f t="shared" si="157"/>
        <v>Hoàng Minh Trí_10VH3</v>
      </c>
      <c r="U1869" s="28">
        <f t="array" ref="U1869">IFERROR(VLOOKUP($T1869,'Nghi hoc T12'!$H$7:$I$160,2,0),0)</f>
        <v>0</v>
      </c>
      <c r="V1869" s="28"/>
      <c r="W1869" s="28">
        <f t="shared" si="158"/>
        <v>0</v>
      </c>
      <c r="X1869" s="333">
        <f t="shared" si="159"/>
        <v>0</v>
      </c>
      <c r="Y1869" s="333">
        <f t="shared" si="160"/>
        <v>0</v>
      </c>
    </row>
    <row r="1870" spans="1:25" s="2" customFormat="1" ht="21.95" customHeight="1">
      <c r="A1870" s="82">
        <v>4</v>
      </c>
      <c r="B1870" s="91" t="str">
        <f t="shared" si="161"/>
        <v>306.C</v>
      </c>
      <c r="C1870" s="83" t="s">
        <v>365</v>
      </c>
      <c r="D1870" s="81" t="s">
        <v>2307</v>
      </c>
      <c r="E1870" s="48">
        <v>400217</v>
      </c>
      <c r="F1870" s="30" t="s">
        <v>2310</v>
      </c>
      <c r="G1870" s="29" t="s">
        <v>206</v>
      </c>
      <c r="H1870" s="30" t="s">
        <v>137</v>
      </c>
      <c r="I1870" s="78"/>
      <c r="J1870" s="20"/>
      <c r="K1870" s="20"/>
      <c r="L1870" s="20"/>
      <c r="M1870" s="20"/>
      <c r="N1870" s="320" t="s">
        <v>2685</v>
      </c>
      <c r="O1870" s="70">
        <v>0</v>
      </c>
      <c r="P1870" s="70">
        <v>0</v>
      </c>
      <c r="Q1870" s="70">
        <f t="shared" si="156"/>
        <v>0</v>
      </c>
      <c r="R1870" s="70"/>
      <c r="S1870" s="67"/>
      <c r="T1870" s="2" t="str">
        <f t="shared" si="157"/>
        <v>Nguyễn Tường Minh Trí_10VH4</v>
      </c>
      <c r="U1870" s="28">
        <f t="array" ref="U1870">IFERROR(VLOOKUP($T1870,'Nghi hoc T12'!$H$7:$I$160,2,0),0)</f>
        <v>0</v>
      </c>
      <c r="V1870" s="28"/>
      <c r="W1870" s="28">
        <f t="shared" si="158"/>
        <v>0</v>
      </c>
      <c r="X1870" s="333">
        <f t="shared" si="159"/>
        <v>0</v>
      </c>
      <c r="Y1870" s="333">
        <f t="shared" si="160"/>
        <v>0</v>
      </c>
    </row>
    <row r="1871" spans="1:25" s="2" customFormat="1" ht="21.95" customHeight="1">
      <c r="A1871" s="82">
        <v>5</v>
      </c>
      <c r="B1871" s="91" t="str">
        <f t="shared" si="161"/>
        <v>306.C</v>
      </c>
      <c r="C1871" s="83" t="s">
        <v>365</v>
      </c>
      <c r="D1871" s="81" t="s">
        <v>2307</v>
      </c>
      <c r="E1871" s="48">
        <v>400218</v>
      </c>
      <c r="F1871" s="30" t="s">
        <v>268</v>
      </c>
      <c r="G1871" s="29" t="s">
        <v>206</v>
      </c>
      <c r="H1871" s="30" t="s">
        <v>2241</v>
      </c>
      <c r="I1871" s="78" t="s">
        <v>529</v>
      </c>
      <c r="J1871" s="20"/>
      <c r="K1871" s="20"/>
      <c r="L1871" s="20"/>
      <c r="M1871" s="20"/>
      <c r="N1871" s="320" t="s">
        <v>2685</v>
      </c>
      <c r="O1871" s="70">
        <v>0</v>
      </c>
      <c r="P1871" s="70">
        <v>0</v>
      </c>
      <c r="Q1871" s="70" t="str">
        <f t="shared" si="156"/>
        <v>NgiH</v>
      </c>
      <c r="R1871" s="70"/>
      <c r="S1871" s="67"/>
      <c r="T1871" s="2" t="str">
        <f t="shared" si="157"/>
        <v>Nguyễn Văn Trí_10VH5</v>
      </c>
      <c r="U1871" s="28" t="str">
        <f t="array" ref="U1871">IFERROR(VLOOKUP($T1871,'Nghi hoc T12'!$H$7:$I$160,2,0),0)</f>
        <v>NgiH</v>
      </c>
      <c r="V1871" s="28"/>
      <c r="W1871" s="28" t="str">
        <f t="shared" si="158"/>
        <v>Nghỉ học</v>
      </c>
      <c r="X1871" s="333">
        <f t="shared" si="159"/>
        <v>0</v>
      </c>
      <c r="Y1871" s="333">
        <f t="shared" si="160"/>
        <v>0</v>
      </c>
    </row>
    <row r="1872" spans="1:25" s="2" customFormat="1" ht="21.95" customHeight="1">
      <c r="A1872" s="82">
        <v>6</v>
      </c>
      <c r="B1872" s="91" t="str">
        <f t="shared" si="161"/>
        <v>306.C</v>
      </c>
      <c r="C1872" s="83" t="s">
        <v>365</v>
      </c>
      <c r="D1872" s="81" t="s">
        <v>2307</v>
      </c>
      <c r="E1872" s="48">
        <v>400219</v>
      </c>
      <c r="F1872" s="30" t="s">
        <v>192</v>
      </c>
      <c r="G1872" s="29" t="s">
        <v>206</v>
      </c>
      <c r="H1872" s="30" t="s">
        <v>137</v>
      </c>
      <c r="I1872" s="78"/>
      <c r="J1872" s="20"/>
      <c r="K1872" s="20"/>
      <c r="L1872" s="20"/>
      <c r="M1872" s="20"/>
      <c r="N1872" s="320" t="s">
        <v>2685</v>
      </c>
      <c r="O1872" s="70">
        <v>0</v>
      </c>
      <c r="P1872" s="70">
        <v>0</v>
      </c>
      <c r="Q1872" s="70">
        <f t="shared" si="156"/>
        <v>0</v>
      </c>
      <c r="R1872" s="70"/>
      <c r="S1872" s="67"/>
      <c r="T1872" s="2" t="str">
        <f t="shared" si="157"/>
        <v>Trần Quốc Trí_10VH4</v>
      </c>
      <c r="U1872" s="28">
        <f t="array" ref="U1872">IFERROR(VLOOKUP($T1872,'Nghi hoc T12'!$H$7:$I$160,2,0),0)</f>
        <v>0</v>
      </c>
      <c r="V1872" s="28"/>
      <c r="W1872" s="28">
        <f t="shared" si="158"/>
        <v>0</v>
      </c>
      <c r="X1872" s="333">
        <f t="shared" si="159"/>
        <v>0</v>
      </c>
      <c r="Y1872" s="333">
        <f t="shared" si="160"/>
        <v>0</v>
      </c>
    </row>
    <row r="1873" spans="1:25" s="2" customFormat="1" ht="21.95" customHeight="1">
      <c r="A1873" s="82">
        <v>7</v>
      </c>
      <c r="B1873" s="91" t="str">
        <f t="shared" si="161"/>
        <v>306.C</v>
      </c>
      <c r="C1873" s="83" t="s">
        <v>365</v>
      </c>
      <c r="D1873" s="81" t="s">
        <v>2307</v>
      </c>
      <c r="E1873" s="48">
        <v>400220</v>
      </c>
      <c r="F1873" s="30" t="s">
        <v>2311</v>
      </c>
      <c r="G1873" s="29" t="s">
        <v>82</v>
      </c>
      <c r="H1873" s="30" t="s">
        <v>2241</v>
      </c>
      <c r="I1873" s="78"/>
      <c r="J1873" s="20"/>
      <c r="K1873" s="20"/>
      <c r="L1873" s="20"/>
      <c r="M1873" s="20"/>
      <c r="N1873" s="320" t="s">
        <v>2685</v>
      </c>
      <c r="O1873" s="70">
        <v>0</v>
      </c>
      <c r="P1873" s="70">
        <v>0</v>
      </c>
      <c r="Q1873" s="70">
        <f t="shared" si="156"/>
        <v>0</v>
      </c>
      <c r="R1873" s="70"/>
      <c r="S1873" s="67"/>
      <c r="T1873" s="2" t="str">
        <f t="shared" si="157"/>
        <v>Đỗ Minh Trọng_10VH5</v>
      </c>
      <c r="U1873" s="28">
        <f t="array" ref="U1873">IFERROR(VLOOKUP($T1873,'Nghi hoc T12'!$H$7:$I$160,2,0),0)</f>
        <v>0</v>
      </c>
      <c r="V1873" s="28"/>
      <c r="W1873" s="28">
        <f t="shared" si="158"/>
        <v>0</v>
      </c>
      <c r="X1873" s="333">
        <f t="shared" si="159"/>
        <v>0</v>
      </c>
      <c r="Y1873" s="333">
        <f t="shared" si="160"/>
        <v>0</v>
      </c>
    </row>
    <row r="1874" spans="1:25" s="2" customFormat="1" ht="21.95" customHeight="1">
      <c r="A1874" s="82">
        <v>8</v>
      </c>
      <c r="B1874" s="91" t="str">
        <f t="shared" si="161"/>
        <v>306.C</v>
      </c>
      <c r="C1874" s="83" t="s">
        <v>365</v>
      </c>
      <c r="D1874" s="81" t="s">
        <v>2307</v>
      </c>
      <c r="E1874" s="48">
        <v>400221</v>
      </c>
      <c r="F1874" s="30" t="s">
        <v>2312</v>
      </c>
      <c r="G1874" s="29" t="s">
        <v>164</v>
      </c>
      <c r="H1874" s="30" t="s">
        <v>2242</v>
      </c>
      <c r="I1874" s="78"/>
      <c r="J1874" s="20"/>
      <c r="K1874" s="20"/>
      <c r="L1874" s="20"/>
      <c r="M1874" s="20"/>
      <c r="N1874" s="320" t="s">
        <v>2685</v>
      </c>
      <c r="O1874" s="70">
        <v>0</v>
      </c>
      <c r="P1874" s="70">
        <v>0</v>
      </c>
      <c r="Q1874" s="70">
        <f t="shared" si="156"/>
        <v>0</v>
      </c>
      <c r="R1874" s="70"/>
      <c r="S1874" s="67"/>
      <c r="T1874" s="2" t="str">
        <f t="shared" si="157"/>
        <v>Nguyễn Thương Trường_10VH3</v>
      </c>
      <c r="U1874" s="28">
        <f t="array" ref="U1874">IFERROR(VLOOKUP($T1874,'Nghi hoc T12'!$H$7:$I$160,2,0),0)</f>
        <v>0</v>
      </c>
      <c r="V1874" s="28"/>
      <c r="W1874" s="28">
        <f t="shared" si="158"/>
        <v>0</v>
      </c>
      <c r="X1874" s="333">
        <f t="shared" si="159"/>
        <v>0</v>
      </c>
      <c r="Y1874" s="333">
        <f t="shared" si="160"/>
        <v>0</v>
      </c>
    </row>
    <row r="1875" spans="1:25" s="2" customFormat="1" ht="21.95" customHeight="1">
      <c r="A1875" s="82">
        <v>9</v>
      </c>
      <c r="B1875" s="91" t="str">
        <f t="shared" si="161"/>
        <v>306.C</v>
      </c>
      <c r="C1875" s="83" t="s">
        <v>365</v>
      </c>
      <c r="D1875" s="81" t="s">
        <v>2307</v>
      </c>
      <c r="E1875" s="48">
        <v>400222</v>
      </c>
      <c r="F1875" s="30" t="s">
        <v>292</v>
      </c>
      <c r="G1875" s="29" t="s">
        <v>51</v>
      </c>
      <c r="H1875" s="30" t="s">
        <v>2242</v>
      </c>
      <c r="I1875" s="78"/>
      <c r="J1875" s="20"/>
      <c r="K1875" s="20"/>
      <c r="L1875" s="20"/>
      <c r="M1875" s="20"/>
      <c r="N1875" s="320" t="s">
        <v>2685</v>
      </c>
      <c r="O1875" s="70">
        <v>0</v>
      </c>
      <c r="P1875" s="70">
        <v>0</v>
      </c>
      <c r="Q1875" s="70">
        <f t="shared" si="156"/>
        <v>0</v>
      </c>
      <c r="R1875" s="70"/>
      <c r="S1875" s="67"/>
      <c r="T1875" s="2" t="str">
        <f t="shared" si="157"/>
        <v>Phạm Thanh Tú_10VH3</v>
      </c>
      <c r="U1875" s="28">
        <f t="array" ref="U1875">IFERROR(VLOOKUP($T1875,'Nghi hoc T12'!$H$7:$I$160,2,0),0)</f>
        <v>0</v>
      </c>
      <c r="V1875" s="28"/>
      <c r="W1875" s="28">
        <f t="shared" si="158"/>
        <v>0</v>
      </c>
      <c r="X1875" s="333">
        <f t="shared" si="159"/>
        <v>0</v>
      </c>
      <c r="Y1875" s="333">
        <f t="shared" si="160"/>
        <v>0</v>
      </c>
    </row>
    <row r="1876" spans="1:25" s="2" customFormat="1" ht="21.95" customHeight="1">
      <c r="A1876" s="82">
        <v>10</v>
      </c>
      <c r="B1876" s="91" t="str">
        <f t="shared" si="161"/>
        <v>306.C</v>
      </c>
      <c r="C1876" s="83" t="s">
        <v>365</v>
      </c>
      <c r="D1876" s="81" t="s">
        <v>2307</v>
      </c>
      <c r="E1876" s="48">
        <v>400223</v>
      </c>
      <c r="F1876" s="30" t="s">
        <v>2313</v>
      </c>
      <c r="G1876" s="29" t="s">
        <v>51</v>
      </c>
      <c r="H1876" s="30" t="s">
        <v>2241</v>
      </c>
      <c r="I1876" s="78"/>
      <c r="J1876" s="20"/>
      <c r="K1876" s="20"/>
      <c r="L1876" s="20"/>
      <c r="M1876" s="20"/>
      <c r="N1876" s="320" t="s">
        <v>2685</v>
      </c>
      <c r="O1876" s="70">
        <v>0</v>
      </c>
      <c r="P1876" s="70">
        <v>0</v>
      </c>
      <c r="Q1876" s="70">
        <f t="shared" si="156"/>
        <v>0</v>
      </c>
      <c r="R1876" s="70"/>
      <c r="S1876" s="67"/>
      <c r="T1876" s="2" t="str">
        <f t="shared" si="157"/>
        <v>Tăng Hoàng Tú_10VH5</v>
      </c>
      <c r="U1876" s="28">
        <f t="array" ref="U1876">IFERROR(VLOOKUP($T1876,'Nghi hoc T12'!$H$7:$I$160,2,0),0)</f>
        <v>0</v>
      </c>
      <c r="V1876" s="28"/>
      <c r="W1876" s="28">
        <f t="shared" si="158"/>
        <v>0</v>
      </c>
      <c r="X1876" s="333">
        <f t="shared" si="159"/>
        <v>0</v>
      </c>
      <c r="Y1876" s="333">
        <f t="shared" si="160"/>
        <v>0</v>
      </c>
    </row>
    <row r="1877" spans="1:25" s="2" customFormat="1" ht="21.95" customHeight="1">
      <c r="A1877" s="82">
        <v>11</v>
      </c>
      <c r="B1877" s="91" t="str">
        <f t="shared" si="161"/>
        <v>306.C</v>
      </c>
      <c r="C1877" s="83" t="s">
        <v>365</v>
      </c>
      <c r="D1877" s="81" t="s">
        <v>2307</v>
      </c>
      <c r="E1877" s="48">
        <v>400224</v>
      </c>
      <c r="F1877" s="30" t="s">
        <v>2314</v>
      </c>
      <c r="G1877" s="29" t="s">
        <v>52</v>
      </c>
      <c r="H1877" s="30" t="s">
        <v>2241</v>
      </c>
      <c r="I1877" s="78"/>
      <c r="J1877" s="20"/>
      <c r="K1877" s="20"/>
      <c r="L1877" s="20"/>
      <c r="M1877" s="20"/>
      <c r="N1877" s="320" t="s">
        <v>2685</v>
      </c>
      <c r="O1877" s="70">
        <v>0</v>
      </c>
      <c r="P1877" s="70">
        <v>0</v>
      </c>
      <c r="Q1877" s="70">
        <f t="shared" si="156"/>
        <v>0</v>
      </c>
      <c r="R1877" s="70">
        <v>0</v>
      </c>
      <c r="S1877" s="67"/>
      <c r="T1877" s="2" t="str">
        <f t="shared" si="157"/>
        <v>Nguyễn Lê Anh Tuấn_10VH5</v>
      </c>
      <c r="U1877" s="28">
        <f t="array" ref="U1877">IFERROR(VLOOKUP($T1877,'Nghi hoc T12'!$H$7:$I$160,2,0),0)</f>
        <v>0</v>
      </c>
      <c r="V1877" s="28">
        <f>IFERROR(VLOOKUP($T1877,No_HP!$B$2:$C$514,2,0),0)</f>
        <v>0</v>
      </c>
      <c r="W1877" s="28">
        <f t="shared" si="158"/>
        <v>0</v>
      </c>
      <c r="X1877" s="333">
        <f t="shared" si="159"/>
        <v>0</v>
      </c>
      <c r="Y1877" s="333">
        <f t="shared" si="160"/>
        <v>0</v>
      </c>
    </row>
    <row r="1878" spans="1:25" s="2" customFormat="1" ht="21.95" customHeight="1">
      <c r="A1878" s="82">
        <v>12</v>
      </c>
      <c r="B1878" s="91" t="str">
        <f t="shared" si="161"/>
        <v>306.C</v>
      </c>
      <c r="C1878" s="83" t="s">
        <v>365</v>
      </c>
      <c r="D1878" s="81" t="s">
        <v>2307</v>
      </c>
      <c r="E1878" s="48">
        <v>400225</v>
      </c>
      <c r="F1878" s="30" t="s">
        <v>268</v>
      </c>
      <c r="G1878" s="29" t="s">
        <v>52</v>
      </c>
      <c r="H1878" s="30" t="s">
        <v>2242</v>
      </c>
      <c r="I1878" s="78"/>
      <c r="J1878" s="20"/>
      <c r="K1878" s="20"/>
      <c r="L1878" s="20"/>
      <c r="M1878" s="20"/>
      <c r="N1878" s="320" t="s">
        <v>2685</v>
      </c>
      <c r="O1878" s="70">
        <v>0</v>
      </c>
      <c r="P1878" s="70">
        <v>0</v>
      </c>
      <c r="Q1878" s="70">
        <f t="shared" si="156"/>
        <v>0</v>
      </c>
      <c r="R1878" s="70">
        <v>0</v>
      </c>
      <c r="S1878" s="67"/>
      <c r="T1878" s="2" t="str">
        <f t="shared" si="157"/>
        <v>Nguyễn Văn Tuấn_10VH3</v>
      </c>
      <c r="U1878" s="28">
        <f t="array" ref="U1878">IFERROR(VLOOKUP($T1878,'Nghi hoc T12'!$H$7:$I$160,2,0),0)</f>
        <v>0</v>
      </c>
      <c r="V1878" s="28">
        <f>IFERROR(VLOOKUP($T1878,No_HP!$B$2:$C$514,2,0),0)</f>
        <v>0</v>
      </c>
      <c r="W1878" s="28">
        <f t="shared" si="158"/>
        <v>0</v>
      </c>
      <c r="X1878" s="333">
        <f t="shared" si="159"/>
        <v>0</v>
      </c>
      <c r="Y1878" s="333">
        <f t="shared" si="160"/>
        <v>0</v>
      </c>
    </row>
    <row r="1879" spans="1:25" s="2" customFormat="1" ht="21.95" customHeight="1">
      <c r="A1879" s="82">
        <v>13</v>
      </c>
      <c r="B1879" s="91" t="str">
        <f t="shared" si="161"/>
        <v>306.C</v>
      </c>
      <c r="C1879" s="83" t="s">
        <v>365</v>
      </c>
      <c r="D1879" s="81" t="s">
        <v>2307</v>
      </c>
      <c r="E1879" s="48">
        <v>400226</v>
      </c>
      <c r="F1879" s="30" t="s">
        <v>183</v>
      </c>
      <c r="G1879" s="29" t="s">
        <v>110</v>
      </c>
      <c r="H1879" s="30" t="s">
        <v>137</v>
      </c>
      <c r="I1879" s="78"/>
      <c r="J1879" s="20"/>
      <c r="K1879" s="20"/>
      <c r="L1879" s="20"/>
      <c r="M1879" s="20"/>
      <c r="N1879" s="320" t="s">
        <v>2685</v>
      </c>
      <c r="O1879" s="70">
        <v>0</v>
      </c>
      <c r="P1879" s="70">
        <v>0</v>
      </c>
      <c r="Q1879" s="70">
        <f t="shared" si="156"/>
        <v>0</v>
      </c>
      <c r="R1879" s="70">
        <v>0</v>
      </c>
      <c r="S1879" s="67"/>
      <c r="T1879" s="2" t="str">
        <f t="shared" si="157"/>
        <v>Nguyễn Thanh Tùng_10VH4</v>
      </c>
      <c r="U1879" s="28">
        <f t="array" ref="U1879">IFERROR(VLOOKUP($T1879,'Nghi hoc T12'!$H$7:$I$160,2,0),0)</f>
        <v>0</v>
      </c>
      <c r="V1879" s="28">
        <f>IFERROR(VLOOKUP($T1879,No_HP!$B$2:$C$514,2,0),0)</f>
        <v>0</v>
      </c>
      <c r="W1879" s="28">
        <f t="shared" si="158"/>
        <v>0</v>
      </c>
      <c r="X1879" s="333">
        <f t="shared" si="159"/>
        <v>0</v>
      </c>
      <c r="Y1879" s="333">
        <f t="shared" si="160"/>
        <v>0</v>
      </c>
    </row>
    <row r="1880" spans="1:25" s="2" customFormat="1" ht="21.95" customHeight="1">
      <c r="A1880" s="82">
        <v>14</v>
      </c>
      <c r="B1880" s="91" t="str">
        <f t="shared" si="161"/>
        <v>306.C</v>
      </c>
      <c r="C1880" s="83" t="s">
        <v>365</v>
      </c>
      <c r="D1880" s="81" t="s">
        <v>2307</v>
      </c>
      <c r="E1880" s="48">
        <v>400227</v>
      </c>
      <c r="F1880" s="30" t="s">
        <v>1480</v>
      </c>
      <c r="G1880" s="29" t="s">
        <v>2315</v>
      </c>
      <c r="H1880" s="30" t="s">
        <v>2241</v>
      </c>
      <c r="I1880" s="78"/>
      <c r="J1880" s="20"/>
      <c r="K1880" s="20"/>
      <c r="L1880" s="20"/>
      <c r="M1880" s="20"/>
      <c r="N1880" s="320" t="s">
        <v>2685</v>
      </c>
      <c r="O1880" s="70">
        <v>0</v>
      </c>
      <c r="P1880" s="70">
        <v>0</v>
      </c>
      <c r="Q1880" s="70">
        <f t="shared" si="156"/>
        <v>0</v>
      </c>
      <c r="R1880" s="70"/>
      <c r="S1880" s="67"/>
      <c r="T1880" s="2" t="str">
        <f t="shared" si="157"/>
        <v>Nguyễn Kim Tuyến_10VH5</v>
      </c>
      <c r="U1880" s="28">
        <f t="array" ref="U1880">IFERROR(VLOOKUP($T1880,'Nghi hoc T12'!$H$7:$I$160,2,0),0)</f>
        <v>0</v>
      </c>
      <c r="V1880" s="28"/>
      <c r="W1880" s="28">
        <f t="shared" si="158"/>
        <v>0</v>
      </c>
      <c r="X1880" s="333">
        <f t="shared" si="159"/>
        <v>0</v>
      </c>
      <c r="Y1880" s="333">
        <f t="shared" si="160"/>
        <v>0</v>
      </c>
    </row>
    <row r="1881" spans="1:25" s="2" customFormat="1" ht="21.95" customHeight="1">
      <c r="A1881" s="82">
        <v>15</v>
      </c>
      <c r="B1881" s="91" t="str">
        <f t="shared" si="161"/>
        <v>306.C</v>
      </c>
      <c r="C1881" s="83" t="s">
        <v>365</v>
      </c>
      <c r="D1881" s="81" t="s">
        <v>2307</v>
      </c>
      <c r="E1881" s="48">
        <v>400228</v>
      </c>
      <c r="F1881" s="30" t="s">
        <v>2316</v>
      </c>
      <c r="G1881" s="29" t="s">
        <v>1557</v>
      </c>
      <c r="H1881" s="30" t="s">
        <v>2242</v>
      </c>
      <c r="I1881" s="78"/>
      <c r="J1881" s="20"/>
      <c r="K1881" s="20"/>
      <c r="L1881" s="20"/>
      <c r="M1881" s="20"/>
      <c r="N1881" s="320" t="s">
        <v>2685</v>
      </c>
      <c r="O1881" s="70">
        <v>0</v>
      </c>
      <c r="P1881" s="70">
        <v>0</v>
      </c>
      <c r="Q1881" s="70">
        <f t="shared" si="156"/>
        <v>0</v>
      </c>
      <c r="R1881" s="70"/>
      <c r="S1881" s="67"/>
      <c r="T1881" s="2" t="str">
        <f t="shared" si="157"/>
        <v>Phạm Triệu Tỷ_10VH3</v>
      </c>
      <c r="U1881" s="28">
        <f t="array" ref="U1881">IFERROR(VLOOKUP($T1881,'Nghi hoc T12'!$H$7:$I$160,2,0),0)</f>
        <v>0</v>
      </c>
      <c r="V1881" s="28"/>
      <c r="W1881" s="28">
        <f t="shared" si="158"/>
        <v>0</v>
      </c>
      <c r="X1881" s="333">
        <f t="shared" si="159"/>
        <v>0</v>
      </c>
      <c r="Y1881" s="333">
        <f t="shared" si="160"/>
        <v>0</v>
      </c>
    </row>
    <row r="1882" spans="1:25" s="2" customFormat="1" ht="21.95" customHeight="1">
      <c r="A1882" s="82">
        <v>16</v>
      </c>
      <c r="B1882" s="91" t="str">
        <f t="shared" si="161"/>
        <v>306.C</v>
      </c>
      <c r="C1882" s="83" t="s">
        <v>365</v>
      </c>
      <c r="D1882" s="81" t="s">
        <v>2307</v>
      </c>
      <c r="E1882" s="48">
        <v>400229</v>
      </c>
      <c r="F1882" s="30" t="s">
        <v>2317</v>
      </c>
      <c r="G1882" s="29" t="s">
        <v>188</v>
      </c>
      <c r="H1882" s="30" t="s">
        <v>2242</v>
      </c>
      <c r="I1882" s="78"/>
      <c r="J1882" s="20"/>
      <c r="K1882" s="20"/>
      <c r="L1882" s="20"/>
      <c r="M1882" s="20"/>
      <c r="N1882" s="320" t="s">
        <v>2685</v>
      </c>
      <c r="O1882" s="70">
        <v>0</v>
      </c>
      <c r="P1882" s="70">
        <v>0</v>
      </c>
      <c r="Q1882" s="70">
        <f t="shared" si="156"/>
        <v>0</v>
      </c>
      <c r="R1882" s="70"/>
      <c r="S1882" s="67"/>
      <c r="T1882" s="2" t="str">
        <f t="shared" si="157"/>
        <v>Nguyễn Hoàng Phương Uyên_10VH3</v>
      </c>
      <c r="U1882" s="28">
        <f t="array" ref="U1882">IFERROR(VLOOKUP($T1882,'Nghi hoc T12'!$H$7:$I$160,2,0),0)</f>
        <v>0</v>
      </c>
      <c r="V1882" s="28"/>
      <c r="W1882" s="28">
        <f t="shared" si="158"/>
        <v>0</v>
      </c>
      <c r="X1882" s="333">
        <f t="shared" si="159"/>
        <v>0</v>
      </c>
      <c r="Y1882" s="333">
        <f t="shared" si="160"/>
        <v>0</v>
      </c>
    </row>
    <row r="1883" spans="1:25" s="2" customFormat="1" ht="21.95" customHeight="1">
      <c r="A1883" s="82">
        <v>17</v>
      </c>
      <c r="B1883" s="91" t="str">
        <f t="shared" si="161"/>
        <v>306.C</v>
      </c>
      <c r="C1883" s="83" t="s">
        <v>365</v>
      </c>
      <c r="D1883" s="81" t="s">
        <v>2307</v>
      </c>
      <c r="E1883" s="48">
        <v>400230</v>
      </c>
      <c r="F1883" s="30" t="s">
        <v>160</v>
      </c>
      <c r="G1883" s="29" t="s">
        <v>2318</v>
      </c>
      <c r="H1883" s="30" t="s">
        <v>2242</v>
      </c>
      <c r="I1883" s="78"/>
      <c r="J1883" s="20"/>
      <c r="K1883" s="20"/>
      <c r="L1883" s="20"/>
      <c r="M1883" s="20"/>
      <c r="N1883" s="320" t="s">
        <v>2685</v>
      </c>
      <c r="O1883" s="70">
        <v>0</v>
      </c>
      <c r="P1883" s="70">
        <v>0</v>
      </c>
      <c r="Q1883" s="70">
        <f t="shared" si="156"/>
        <v>0</v>
      </c>
      <c r="R1883" s="70"/>
      <c r="S1883" s="67"/>
      <c r="T1883" s="2" t="str">
        <f t="shared" si="157"/>
        <v>Nguyễn Thành Văn_10VH3</v>
      </c>
      <c r="U1883" s="28">
        <f t="array" ref="U1883">IFERROR(VLOOKUP($T1883,'Nghi hoc T12'!$H$7:$I$160,2,0),0)</f>
        <v>0</v>
      </c>
      <c r="V1883" s="28"/>
      <c r="W1883" s="28">
        <f t="shared" si="158"/>
        <v>0</v>
      </c>
      <c r="X1883" s="333">
        <f t="shared" si="159"/>
        <v>0</v>
      </c>
      <c r="Y1883" s="333">
        <f t="shared" si="160"/>
        <v>0</v>
      </c>
    </row>
    <row r="1884" spans="1:25" s="2" customFormat="1" ht="21.95" customHeight="1">
      <c r="A1884" s="82">
        <v>18</v>
      </c>
      <c r="B1884" s="91" t="str">
        <f t="shared" si="161"/>
        <v>306.C</v>
      </c>
      <c r="C1884" s="83" t="s">
        <v>365</v>
      </c>
      <c r="D1884" s="81" t="s">
        <v>2307</v>
      </c>
      <c r="E1884" s="48">
        <v>400231</v>
      </c>
      <c r="F1884" s="30" t="s">
        <v>2027</v>
      </c>
      <c r="G1884" s="29" t="s">
        <v>60</v>
      </c>
      <c r="H1884" s="30" t="s">
        <v>137</v>
      </c>
      <c r="I1884" s="78"/>
      <c r="J1884" s="20"/>
      <c r="K1884" s="20"/>
      <c r="L1884" s="20"/>
      <c r="M1884" s="20"/>
      <c r="N1884" s="320" t="s">
        <v>2685</v>
      </c>
      <c r="O1884" s="70">
        <v>0</v>
      </c>
      <c r="P1884" s="70">
        <v>0</v>
      </c>
      <c r="Q1884" s="70">
        <f t="shared" si="156"/>
        <v>0</v>
      </c>
      <c r="R1884" s="70"/>
      <c r="S1884" s="67"/>
      <c r="T1884" s="2" t="str">
        <f t="shared" si="157"/>
        <v>Nguyễn Thị Bích Vân_10VH4</v>
      </c>
      <c r="U1884" s="28">
        <f t="array" ref="U1884">IFERROR(VLOOKUP($T1884,'Nghi hoc T12'!$H$7:$I$160,2,0),0)</f>
        <v>0</v>
      </c>
      <c r="V1884" s="28"/>
      <c r="W1884" s="28">
        <f t="shared" si="158"/>
        <v>0</v>
      </c>
      <c r="X1884" s="333">
        <f t="shared" si="159"/>
        <v>0</v>
      </c>
      <c r="Y1884" s="333">
        <f t="shared" si="160"/>
        <v>0</v>
      </c>
    </row>
    <row r="1885" spans="1:25" s="2" customFormat="1" ht="21.95" customHeight="1">
      <c r="A1885" s="82">
        <v>19</v>
      </c>
      <c r="B1885" s="91" t="str">
        <f t="shared" si="161"/>
        <v>306.C</v>
      </c>
      <c r="C1885" s="83" t="s">
        <v>365</v>
      </c>
      <c r="D1885" s="81" t="s">
        <v>2307</v>
      </c>
      <c r="E1885" s="48">
        <v>400232</v>
      </c>
      <c r="F1885" s="30" t="s">
        <v>1967</v>
      </c>
      <c r="G1885" s="29" t="s">
        <v>61</v>
      </c>
      <c r="H1885" s="30" t="s">
        <v>2242</v>
      </c>
      <c r="I1885" s="78"/>
      <c r="J1885" s="20"/>
      <c r="K1885" s="20"/>
      <c r="L1885" s="20"/>
      <c r="M1885" s="20"/>
      <c r="N1885" s="320" t="s">
        <v>2685</v>
      </c>
      <c r="O1885" s="70">
        <v>0</v>
      </c>
      <c r="P1885" s="70">
        <v>0</v>
      </c>
      <c r="Q1885" s="70">
        <f t="shared" si="156"/>
        <v>0</v>
      </c>
      <c r="R1885" s="70"/>
      <c r="S1885" s="67"/>
      <c r="T1885" s="2" t="str">
        <f t="shared" si="157"/>
        <v>Huỳnh Hữu Vinh_10VH3</v>
      </c>
      <c r="U1885" s="28">
        <f t="array" ref="U1885">IFERROR(VLOOKUP($T1885,'Nghi hoc T12'!$H$7:$I$160,2,0),0)</f>
        <v>0</v>
      </c>
      <c r="V1885" s="28"/>
      <c r="W1885" s="28">
        <f t="shared" si="158"/>
        <v>0</v>
      </c>
      <c r="X1885" s="333">
        <f t="shared" si="159"/>
        <v>0</v>
      </c>
      <c r="Y1885" s="333">
        <f t="shared" si="160"/>
        <v>0</v>
      </c>
    </row>
    <row r="1886" spans="1:25" s="2" customFormat="1" ht="21.95" customHeight="1">
      <c r="A1886" s="82">
        <v>20</v>
      </c>
      <c r="B1886" s="91" t="str">
        <f t="shared" si="161"/>
        <v>306.C</v>
      </c>
      <c r="C1886" s="83" t="s">
        <v>365</v>
      </c>
      <c r="D1886" s="81" t="s">
        <v>2307</v>
      </c>
      <c r="E1886" s="48">
        <v>400233</v>
      </c>
      <c r="F1886" s="30" t="s">
        <v>222</v>
      </c>
      <c r="G1886" s="29" t="s">
        <v>99</v>
      </c>
      <c r="H1886" s="30" t="s">
        <v>2242</v>
      </c>
      <c r="I1886" s="78"/>
      <c r="J1886" s="20"/>
      <c r="K1886" s="20"/>
      <c r="L1886" s="20"/>
      <c r="M1886" s="20"/>
      <c r="N1886" s="320" t="s">
        <v>2685</v>
      </c>
      <c r="O1886" s="70">
        <v>0</v>
      </c>
      <c r="P1886" s="70">
        <v>0</v>
      </c>
      <c r="Q1886" s="70">
        <f t="shared" si="156"/>
        <v>0</v>
      </c>
      <c r="R1886" s="70"/>
      <c r="S1886" s="67"/>
      <c r="T1886" s="2" t="str">
        <f t="shared" si="157"/>
        <v>Nguyễn Ngọc Vũ_10VH3</v>
      </c>
      <c r="U1886" s="28">
        <f t="array" ref="U1886">IFERROR(VLOOKUP($T1886,'Nghi hoc T12'!$H$7:$I$160,2,0),0)</f>
        <v>0</v>
      </c>
      <c r="V1886" s="28"/>
      <c r="W1886" s="28">
        <f t="shared" si="158"/>
        <v>0</v>
      </c>
      <c r="X1886" s="333">
        <f t="shared" si="159"/>
        <v>0</v>
      </c>
      <c r="Y1886" s="333">
        <f t="shared" si="160"/>
        <v>0</v>
      </c>
    </row>
    <row r="1887" spans="1:25" s="2" customFormat="1" ht="21.95" customHeight="1">
      <c r="A1887" s="82">
        <v>21</v>
      </c>
      <c r="B1887" s="91" t="str">
        <f t="shared" si="161"/>
        <v>306.C</v>
      </c>
      <c r="C1887" s="83" t="s">
        <v>365</v>
      </c>
      <c r="D1887" s="81" t="s">
        <v>2307</v>
      </c>
      <c r="E1887" s="48">
        <v>400234</v>
      </c>
      <c r="F1887" s="30" t="s">
        <v>2319</v>
      </c>
      <c r="G1887" s="29" t="s">
        <v>34</v>
      </c>
      <c r="H1887" s="30" t="s">
        <v>2241</v>
      </c>
      <c r="I1887" s="78"/>
      <c r="J1887" s="20"/>
      <c r="K1887" s="20"/>
      <c r="L1887" s="20"/>
      <c r="M1887" s="20"/>
      <c r="N1887" s="320" t="s">
        <v>2685</v>
      </c>
      <c r="O1887" s="70">
        <v>0</v>
      </c>
      <c r="P1887" s="70">
        <v>0</v>
      </c>
      <c r="Q1887" s="70">
        <f t="shared" si="156"/>
        <v>0</v>
      </c>
      <c r="R1887" s="70"/>
      <c r="S1887" s="67"/>
      <c r="T1887" s="2" t="str">
        <f t="shared" si="157"/>
        <v>Ngô Thị Kiều Vy_10VH5</v>
      </c>
      <c r="U1887" s="28">
        <f t="array" ref="U1887">IFERROR(VLOOKUP($T1887,'Nghi hoc T12'!$H$7:$I$160,2,0),0)</f>
        <v>0</v>
      </c>
      <c r="V1887" s="28"/>
      <c r="W1887" s="28">
        <f t="shared" si="158"/>
        <v>0</v>
      </c>
      <c r="X1887" s="333">
        <f t="shared" si="159"/>
        <v>0</v>
      </c>
      <c r="Y1887" s="333">
        <f t="shared" si="160"/>
        <v>0</v>
      </c>
    </row>
    <row r="1888" spans="1:25" s="2" customFormat="1" ht="21.95" customHeight="1">
      <c r="A1888" s="82">
        <v>22</v>
      </c>
      <c r="B1888" s="91" t="str">
        <f t="shared" si="161"/>
        <v>306.C</v>
      </c>
      <c r="C1888" s="83" t="s">
        <v>365</v>
      </c>
      <c r="D1888" s="81" t="s">
        <v>2307</v>
      </c>
      <c r="E1888" s="48">
        <v>400235</v>
      </c>
      <c r="F1888" s="30" t="s">
        <v>1423</v>
      </c>
      <c r="G1888" s="29" t="s">
        <v>34</v>
      </c>
      <c r="H1888" s="30" t="s">
        <v>137</v>
      </c>
      <c r="I1888" s="78"/>
      <c r="J1888" s="20"/>
      <c r="K1888" s="20"/>
      <c r="L1888" s="20"/>
      <c r="M1888" s="20"/>
      <c r="N1888" s="320" t="s">
        <v>2685</v>
      </c>
      <c r="O1888" s="70">
        <v>0</v>
      </c>
      <c r="P1888" s="70">
        <v>0</v>
      </c>
      <c r="Q1888" s="70">
        <f t="shared" si="156"/>
        <v>0</v>
      </c>
      <c r="R1888" s="70"/>
      <c r="S1888" s="67"/>
      <c r="T1888" s="2" t="str">
        <f t="shared" si="157"/>
        <v>Nguyễn Thị Thúy Vy_10VH4</v>
      </c>
      <c r="U1888" s="28">
        <f t="array" ref="U1888">IFERROR(VLOOKUP($T1888,'Nghi hoc T12'!$H$7:$I$160,2,0),0)</f>
        <v>0</v>
      </c>
      <c r="V1888" s="28"/>
      <c r="W1888" s="28">
        <f t="shared" si="158"/>
        <v>0</v>
      </c>
      <c r="X1888" s="333">
        <f t="shared" si="159"/>
        <v>0</v>
      </c>
      <c r="Y1888" s="333">
        <f t="shared" si="160"/>
        <v>0</v>
      </c>
    </row>
    <row r="1889" spans="1:25" s="2" customFormat="1" ht="21.95" customHeight="1">
      <c r="A1889" s="82">
        <v>23</v>
      </c>
      <c r="B1889" s="91" t="str">
        <f t="shared" si="161"/>
        <v>306.C</v>
      </c>
      <c r="C1889" s="83" t="s">
        <v>365</v>
      </c>
      <c r="D1889" s="81" t="s">
        <v>2307</v>
      </c>
      <c r="E1889" s="48">
        <v>400236</v>
      </c>
      <c r="F1889" s="30" t="s">
        <v>2320</v>
      </c>
      <c r="G1889" s="29" t="s">
        <v>62</v>
      </c>
      <c r="H1889" s="30" t="s">
        <v>2241</v>
      </c>
      <c r="I1889" s="78"/>
      <c r="J1889" s="20"/>
      <c r="K1889" s="20"/>
      <c r="L1889" s="20"/>
      <c r="M1889" s="20"/>
      <c r="N1889" s="320" t="s">
        <v>2685</v>
      </c>
      <c r="O1889" s="70">
        <v>0</v>
      </c>
      <c r="P1889" s="70">
        <v>0</v>
      </c>
      <c r="Q1889" s="70">
        <f t="shared" si="156"/>
        <v>0</v>
      </c>
      <c r="R1889" s="70"/>
      <c r="S1889" s="67"/>
      <c r="T1889" s="2" t="str">
        <f t="shared" si="157"/>
        <v>Lưu Thị Hải Yến_10VH5</v>
      </c>
      <c r="U1889" s="28">
        <f t="array" ref="U1889">IFERROR(VLOOKUP($T1889,'Nghi hoc T12'!$H$7:$I$160,2,0),0)</f>
        <v>0</v>
      </c>
      <c r="V1889" s="28"/>
      <c r="W1889" s="28">
        <f t="shared" si="158"/>
        <v>0</v>
      </c>
      <c r="X1889" s="333">
        <f t="shared" si="159"/>
        <v>0</v>
      </c>
      <c r="Y1889" s="333">
        <f t="shared" si="160"/>
        <v>0</v>
      </c>
    </row>
    <row r="1890" spans="1:25" s="2" customFormat="1" ht="21.95" customHeight="1">
      <c r="A1890" s="321">
        <v>1</v>
      </c>
      <c r="B1890" s="91" t="s">
        <v>3337</v>
      </c>
      <c r="C1890" s="185" t="s">
        <v>366</v>
      </c>
      <c r="D1890" s="186" t="s">
        <v>2167</v>
      </c>
      <c r="E1890" s="187">
        <v>400237</v>
      </c>
      <c r="F1890" s="188" t="s">
        <v>2321</v>
      </c>
      <c r="G1890" s="189" t="s">
        <v>63</v>
      </c>
      <c r="H1890" s="188" t="s">
        <v>2322</v>
      </c>
      <c r="I1890" s="190"/>
      <c r="J1890" s="191"/>
      <c r="K1890" s="191"/>
      <c r="L1890" s="191"/>
      <c r="M1890" s="191"/>
      <c r="N1890" s="320" t="s">
        <v>2685</v>
      </c>
      <c r="O1890" s="70">
        <v>0</v>
      </c>
      <c r="P1890" s="70">
        <v>0</v>
      </c>
      <c r="Q1890" s="70">
        <f t="shared" si="156"/>
        <v>0</v>
      </c>
      <c r="R1890" s="70"/>
      <c r="S1890" s="67"/>
      <c r="T1890" s="2" t="str">
        <f t="shared" si="157"/>
        <v>Huỳnh Ngọc Thùy An_11VH2</v>
      </c>
      <c r="U1890" s="28">
        <f t="array" ref="U1890">IFERROR(VLOOKUP($T1890,'Nghi hoc T12'!$H$7:$I$160,2,0),0)</f>
        <v>0</v>
      </c>
      <c r="V1890" s="28" t="str">
        <f>B1890&amp;1</f>
        <v>202.C11</v>
      </c>
      <c r="W1890" s="28">
        <f t="shared" si="158"/>
        <v>0</v>
      </c>
      <c r="X1890" s="333">
        <f t="shared" si="159"/>
        <v>0</v>
      </c>
      <c r="Y1890" s="333">
        <f t="shared" si="160"/>
        <v>0</v>
      </c>
    </row>
    <row r="1891" spans="1:25" s="2" customFormat="1" ht="21.95" customHeight="1">
      <c r="A1891" s="82">
        <v>2</v>
      </c>
      <c r="B1891" s="91" t="s">
        <v>3337</v>
      </c>
      <c r="C1891" s="83" t="s">
        <v>366</v>
      </c>
      <c r="D1891" s="81" t="s">
        <v>2167</v>
      </c>
      <c r="E1891" s="48">
        <v>400238</v>
      </c>
      <c r="F1891" s="30" t="s">
        <v>2323</v>
      </c>
      <c r="G1891" s="29" t="s">
        <v>5</v>
      </c>
      <c r="H1891" s="30" t="s">
        <v>2322</v>
      </c>
      <c r="I1891" s="78"/>
      <c r="J1891" s="20"/>
      <c r="K1891" s="20"/>
      <c r="L1891" s="20"/>
      <c r="M1891" s="20"/>
      <c r="N1891" s="320" t="s">
        <v>2685</v>
      </c>
      <c r="O1891" s="70">
        <v>0</v>
      </c>
      <c r="P1891" s="70">
        <v>0</v>
      </c>
      <c r="Q1891" s="70">
        <f t="shared" si="156"/>
        <v>0</v>
      </c>
      <c r="R1891" s="70"/>
      <c r="S1891" s="67"/>
      <c r="T1891" s="2" t="str">
        <f t="shared" si="157"/>
        <v>Phạm Đỗ Châu Anh_11VH2</v>
      </c>
      <c r="U1891" s="28">
        <f t="array" ref="U1891">IFERROR(VLOOKUP($T1891,'Nghi hoc T12'!$H$7:$I$160,2,0),0)</f>
        <v>0</v>
      </c>
      <c r="V1891" s="28" t="str">
        <f t="shared" ref="V1891:V1954" si="162">B1891&amp;1</f>
        <v>202.C11</v>
      </c>
      <c r="W1891" s="28">
        <f t="shared" si="158"/>
        <v>0</v>
      </c>
      <c r="X1891" s="333">
        <f t="shared" si="159"/>
        <v>0</v>
      </c>
      <c r="Y1891" s="333">
        <f t="shared" si="160"/>
        <v>0</v>
      </c>
    </row>
    <row r="1892" spans="1:25" s="2" customFormat="1" ht="21.95" customHeight="1">
      <c r="A1892" s="82">
        <v>3</v>
      </c>
      <c r="B1892" s="91" t="s">
        <v>3337</v>
      </c>
      <c r="C1892" s="83" t="s">
        <v>366</v>
      </c>
      <c r="D1892" s="81" t="s">
        <v>2167</v>
      </c>
      <c r="E1892" s="48">
        <v>400239</v>
      </c>
      <c r="F1892" s="30" t="s">
        <v>324</v>
      </c>
      <c r="G1892" s="29" t="s">
        <v>5</v>
      </c>
      <c r="H1892" s="30" t="s">
        <v>2324</v>
      </c>
      <c r="I1892" s="78"/>
      <c r="J1892" s="20"/>
      <c r="K1892" s="20"/>
      <c r="L1892" s="20"/>
      <c r="M1892" s="20"/>
      <c r="N1892" s="320" t="s">
        <v>2685</v>
      </c>
      <c r="O1892" s="70">
        <v>0</v>
      </c>
      <c r="P1892" s="70">
        <v>0</v>
      </c>
      <c r="Q1892" s="70">
        <f t="shared" si="156"/>
        <v>0</v>
      </c>
      <c r="R1892" s="70"/>
      <c r="S1892" s="67"/>
      <c r="T1892" s="2" t="str">
        <f t="shared" si="157"/>
        <v>Phan Quốc Anh_11VH1</v>
      </c>
      <c r="U1892" s="28">
        <f t="array" ref="U1892">IFERROR(VLOOKUP($T1892,'Nghi hoc T12'!$H$7:$I$160,2,0),0)</f>
        <v>0</v>
      </c>
      <c r="V1892" s="28" t="str">
        <f t="shared" si="162"/>
        <v>202.C11</v>
      </c>
      <c r="W1892" s="28">
        <f t="shared" si="158"/>
        <v>0</v>
      </c>
      <c r="X1892" s="333">
        <f t="shared" si="159"/>
        <v>0</v>
      </c>
      <c r="Y1892" s="333">
        <f t="shared" si="160"/>
        <v>0</v>
      </c>
    </row>
    <row r="1893" spans="1:25" s="2" customFormat="1" ht="21.95" customHeight="1">
      <c r="A1893" s="82">
        <v>4</v>
      </c>
      <c r="B1893" s="91" t="s">
        <v>3337</v>
      </c>
      <c r="C1893" s="83" t="s">
        <v>366</v>
      </c>
      <c r="D1893" s="81" t="s">
        <v>2167</v>
      </c>
      <c r="E1893" s="48">
        <v>400240</v>
      </c>
      <c r="F1893" s="30" t="s">
        <v>2325</v>
      </c>
      <c r="G1893" s="29" t="s">
        <v>5</v>
      </c>
      <c r="H1893" s="30" t="s">
        <v>2322</v>
      </c>
      <c r="I1893" s="78"/>
      <c r="J1893" s="20"/>
      <c r="K1893" s="20"/>
      <c r="L1893" s="20"/>
      <c r="M1893" s="20"/>
      <c r="N1893" s="320" t="s">
        <v>2685</v>
      </c>
      <c r="O1893" s="70">
        <v>0</v>
      </c>
      <c r="P1893" s="70">
        <v>0</v>
      </c>
      <c r="Q1893" s="70">
        <f t="shared" si="156"/>
        <v>0</v>
      </c>
      <c r="R1893" s="70"/>
      <c r="S1893" s="67"/>
      <c r="T1893" s="2" t="str">
        <f t="shared" si="157"/>
        <v>Trần Phan Thục Anh_11VH2</v>
      </c>
      <c r="U1893" s="28">
        <f t="array" ref="U1893">IFERROR(VLOOKUP($T1893,'Nghi hoc T12'!$H$7:$I$160,2,0),0)</f>
        <v>0</v>
      </c>
      <c r="V1893" s="28" t="str">
        <f t="shared" si="162"/>
        <v>202.C11</v>
      </c>
      <c r="W1893" s="28">
        <f t="shared" si="158"/>
        <v>0</v>
      </c>
      <c r="X1893" s="333">
        <f t="shared" si="159"/>
        <v>0</v>
      </c>
      <c r="Y1893" s="333">
        <f t="shared" si="160"/>
        <v>0</v>
      </c>
    </row>
    <row r="1894" spans="1:25" s="2" customFormat="1" ht="21.95" customHeight="1">
      <c r="A1894" s="82">
        <v>5</v>
      </c>
      <c r="B1894" s="91" t="s">
        <v>3337</v>
      </c>
      <c r="C1894" s="83" t="s">
        <v>366</v>
      </c>
      <c r="D1894" s="81" t="s">
        <v>2167</v>
      </c>
      <c r="E1894" s="48">
        <v>400241</v>
      </c>
      <c r="F1894" s="30" t="s">
        <v>1730</v>
      </c>
      <c r="G1894" s="29" t="s">
        <v>5</v>
      </c>
      <c r="H1894" s="30" t="s">
        <v>2324</v>
      </c>
      <c r="I1894" s="78"/>
      <c r="J1894" s="20"/>
      <c r="K1894" s="20"/>
      <c r="L1894" s="20"/>
      <c r="M1894" s="20"/>
      <c r="N1894" s="320" t="s">
        <v>2685</v>
      </c>
      <c r="O1894" s="70">
        <v>0</v>
      </c>
      <c r="P1894" s="70">
        <v>0</v>
      </c>
      <c r="Q1894" s="70">
        <f t="shared" si="156"/>
        <v>0</v>
      </c>
      <c r="R1894" s="70"/>
      <c r="S1894" s="67"/>
      <c r="T1894" s="2" t="str">
        <f t="shared" si="157"/>
        <v>Trần Thị Quỳnh Anh_11VH1</v>
      </c>
      <c r="U1894" s="28">
        <f t="array" ref="U1894">IFERROR(VLOOKUP($T1894,'Nghi hoc T12'!$H$7:$I$160,2,0),0)</f>
        <v>0</v>
      </c>
      <c r="V1894" s="28" t="str">
        <f t="shared" si="162"/>
        <v>202.C11</v>
      </c>
      <c r="W1894" s="28">
        <f t="shared" si="158"/>
        <v>0</v>
      </c>
      <c r="X1894" s="333">
        <f t="shared" si="159"/>
        <v>0</v>
      </c>
      <c r="Y1894" s="333">
        <f t="shared" si="160"/>
        <v>0</v>
      </c>
    </row>
    <row r="1895" spans="1:25" s="2" customFormat="1" ht="21.95" customHeight="1">
      <c r="A1895" s="82">
        <v>6</v>
      </c>
      <c r="B1895" s="91" t="s">
        <v>3337</v>
      </c>
      <c r="C1895" s="83" t="s">
        <v>366</v>
      </c>
      <c r="D1895" s="81" t="s">
        <v>2167</v>
      </c>
      <c r="E1895" s="48">
        <v>400242</v>
      </c>
      <c r="F1895" s="30" t="s">
        <v>2326</v>
      </c>
      <c r="G1895" s="29" t="s">
        <v>108</v>
      </c>
      <c r="H1895" s="30" t="s">
        <v>2322</v>
      </c>
      <c r="I1895" s="78"/>
      <c r="J1895" s="20"/>
      <c r="K1895" s="20"/>
      <c r="L1895" s="20"/>
      <c r="M1895" s="20"/>
      <c r="N1895" s="320" t="s">
        <v>2685</v>
      </c>
      <c r="O1895" s="70">
        <v>0</v>
      </c>
      <c r="P1895" s="70">
        <v>0</v>
      </c>
      <c r="Q1895" s="70">
        <f t="shared" si="156"/>
        <v>0</v>
      </c>
      <c r="R1895" s="70"/>
      <c r="S1895" s="67"/>
      <c r="T1895" s="2" t="str">
        <f t="shared" si="157"/>
        <v>Lê Thiên Ân_11VH2</v>
      </c>
      <c r="U1895" s="28">
        <f t="array" ref="U1895">IFERROR(VLOOKUP($T1895,'Nghi hoc T12'!$H$7:$I$160,2,0),0)</f>
        <v>0</v>
      </c>
      <c r="V1895" s="28" t="str">
        <f t="shared" si="162"/>
        <v>202.C11</v>
      </c>
      <c r="W1895" s="28">
        <f t="shared" si="158"/>
        <v>0</v>
      </c>
      <c r="X1895" s="333">
        <f t="shared" si="159"/>
        <v>0</v>
      </c>
      <c r="Y1895" s="333">
        <f t="shared" si="160"/>
        <v>0</v>
      </c>
    </row>
    <row r="1896" spans="1:25" s="2" customFormat="1" ht="21.95" customHeight="1">
      <c r="A1896" s="82">
        <v>7</v>
      </c>
      <c r="B1896" s="91" t="s">
        <v>3337</v>
      </c>
      <c r="C1896" s="83" t="s">
        <v>366</v>
      </c>
      <c r="D1896" s="81" t="s">
        <v>2167</v>
      </c>
      <c r="E1896" s="48">
        <v>400243</v>
      </c>
      <c r="F1896" s="30" t="s">
        <v>2327</v>
      </c>
      <c r="G1896" s="29" t="s">
        <v>77</v>
      </c>
      <c r="H1896" s="30" t="s">
        <v>2324</v>
      </c>
      <c r="I1896" s="78"/>
      <c r="J1896" s="20"/>
      <c r="K1896" s="20"/>
      <c r="L1896" s="20"/>
      <c r="M1896" s="20"/>
      <c r="N1896" s="320" t="s">
        <v>2685</v>
      </c>
      <c r="O1896" s="70">
        <v>0</v>
      </c>
      <c r="P1896" s="70">
        <v>0</v>
      </c>
      <c r="Q1896" s="70">
        <f t="shared" si="156"/>
        <v>0</v>
      </c>
      <c r="R1896" s="70"/>
      <c r="S1896" s="67"/>
      <c r="T1896" s="2" t="str">
        <f t="shared" si="157"/>
        <v>Mai Thanh Bình_11VH1</v>
      </c>
      <c r="U1896" s="28">
        <f t="array" ref="U1896">IFERROR(VLOOKUP($T1896,'Nghi hoc T12'!$H$7:$I$160,2,0),0)</f>
        <v>0</v>
      </c>
      <c r="V1896" s="28" t="str">
        <f t="shared" si="162"/>
        <v>202.C11</v>
      </c>
      <c r="W1896" s="28">
        <f t="shared" si="158"/>
        <v>0</v>
      </c>
      <c r="X1896" s="333">
        <f t="shared" si="159"/>
        <v>0</v>
      </c>
      <c r="Y1896" s="333">
        <f t="shared" si="160"/>
        <v>0</v>
      </c>
    </row>
    <row r="1897" spans="1:25" s="2" customFormat="1" ht="21.95" customHeight="1">
      <c r="A1897" s="82">
        <v>8</v>
      </c>
      <c r="B1897" s="91" t="s">
        <v>3337</v>
      </c>
      <c r="C1897" s="83" t="s">
        <v>366</v>
      </c>
      <c r="D1897" s="81" t="s">
        <v>2167</v>
      </c>
      <c r="E1897" s="48">
        <v>400244</v>
      </c>
      <c r="F1897" s="30" t="s">
        <v>242</v>
      </c>
      <c r="G1897" s="29" t="s">
        <v>107</v>
      </c>
      <c r="H1897" s="30" t="s">
        <v>2322</v>
      </c>
      <c r="I1897" s="78"/>
      <c r="J1897" s="20"/>
      <c r="K1897" s="20"/>
      <c r="L1897" s="20"/>
      <c r="M1897" s="20"/>
      <c r="N1897" s="320" t="s">
        <v>2685</v>
      </c>
      <c r="O1897" s="70">
        <v>0</v>
      </c>
      <c r="P1897" s="70">
        <v>0</v>
      </c>
      <c r="Q1897" s="70">
        <f t="shared" si="156"/>
        <v>0</v>
      </c>
      <c r="R1897" s="70"/>
      <c r="S1897" s="67"/>
      <c r="T1897" s="2" t="str">
        <f t="shared" si="157"/>
        <v>Nguyễn Ngọc Bảo Châu_11VH2</v>
      </c>
      <c r="U1897" s="28">
        <f t="array" ref="U1897">IFERROR(VLOOKUP($T1897,'Nghi hoc T12'!$H$7:$I$160,2,0),0)</f>
        <v>0</v>
      </c>
      <c r="V1897" s="28" t="str">
        <f t="shared" si="162"/>
        <v>202.C11</v>
      </c>
      <c r="W1897" s="28">
        <f t="shared" si="158"/>
        <v>0</v>
      </c>
      <c r="X1897" s="333">
        <f t="shared" si="159"/>
        <v>0</v>
      </c>
      <c r="Y1897" s="333">
        <f t="shared" si="160"/>
        <v>0</v>
      </c>
    </row>
    <row r="1898" spans="1:25" s="2" customFormat="1" ht="21.95" customHeight="1">
      <c r="A1898" s="82">
        <v>9</v>
      </c>
      <c r="B1898" s="91" t="s">
        <v>3337</v>
      </c>
      <c r="C1898" s="83" t="s">
        <v>366</v>
      </c>
      <c r="D1898" s="81" t="s">
        <v>2167</v>
      </c>
      <c r="E1898" s="48">
        <v>400245</v>
      </c>
      <c r="F1898" s="30" t="s">
        <v>2328</v>
      </c>
      <c r="G1898" s="29" t="s">
        <v>261</v>
      </c>
      <c r="H1898" s="30" t="s">
        <v>2324</v>
      </c>
      <c r="I1898" s="78"/>
      <c r="J1898" s="20"/>
      <c r="K1898" s="20"/>
      <c r="L1898" s="20"/>
      <c r="M1898" s="20"/>
      <c r="N1898" s="320" t="s">
        <v>2685</v>
      </c>
      <c r="O1898" s="70">
        <v>0</v>
      </c>
      <c r="P1898" s="70">
        <v>0</v>
      </c>
      <c r="Q1898" s="70">
        <f t="shared" si="156"/>
        <v>0</v>
      </c>
      <c r="R1898" s="70"/>
      <c r="S1898" s="67"/>
      <c r="T1898" s="2" t="str">
        <f t="shared" si="157"/>
        <v>Nguyễn Linh Chi_11VH1</v>
      </c>
      <c r="U1898" s="28">
        <f t="array" ref="U1898">IFERROR(VLOOKUP($T1898,'Nghi hoc T12'!$H$7:$I$160,2,0),0)</f>
        <v>0</v>
      </c>
      <c r="V1898" s="28" t="str">
        <f t="shared" si="162"/>
        <v>202.C11</v>
      </c>
      <c r="W1898" s="28">
        <f t="shared" si="158"/>
        <v>0</v>
      </c>
      <c r="X1898" s="333">
        <f t="shared" si="159"/>
        <v>0</v>
      </c>
      <c r="Y1898" s="333">
        <f t="shared" si="160"/>
        <v>0</v>
      </c>
    </row>
    <row r="1899" spans="1:25" s="2" customFormat="1" ht="21.95" customHeight="1">
      <c r="A1899" s="82">
        <v>10</v>
      </c>
      <c r="B1899" s="91" t="s">
        <v>3337</v>
      </c>
      <c r="C1899" s="83" t="s">
        <v>366</v>
      </c>
      <c r="D1899" s="81" t="s">
        <v>2167</v>
      </c>
      <c r="E1899" s="48">
        <v>400246</v>
      </c>
      <c r="F1899" s="30" t="s">
        <v>349</v>
      </c>
      <c r="G1899" s="29" t="s">
        <v>1251</v>
      </c>
      <c r="H1899" s="30" t="s">
        <v>2322</v>
      </c>
      <c r="I1899" s="78"/>
      <c r="J1899" s="20"/>
      <c r="K1899" s="20"/>
      <c r="L1899" s="20"/>
      <c r="M1899" s="20"/>
      <c r="N1899" s="320" t="s">
        <v>2685</v>
      </c>
      <c r="O1899" s="70">
        <v>0</v>
      </c>
      <c r="P1899" s="70">
        <v>0</v>
      </c>
      <c r="Q1899" s="70">
        <f t="shared" si="156"/>
        <v>0</v>
      </c>
      <c r="R1899" s="70"/>
      <c r="S1899" s="67"/>
      <c r="T1899" s="2" t="str">
        <f t="shared" si="157"/>
        <v>Phan Hoàng Chiến_11VH2</v>
      </c>
      <c r="U1899" s="28">
        <f t="array" ref="U1899">IFERROR(VLOOKUP($T1899,'Nghi hoc T12'!$H$7:$I$160,2,0),0)</f>
        <v>0</v>
      </c>
      <c r="V1899" s="28" t="str">
        <f t="shared" si="162"/>
        <v>202.C11</v>
      </c>
      <c r="W1899" s="28">
        <f t="shared" si="158"/>
        <v>0</v>
      </c>
      <c r="X1899" s="333">
        <f t="shared" si="159"/>
        <v>0</v>
      </c>
      <c r="Y1899" s="333">
        <f t="shared" si="160"/>
        <v>0</v>
      </c>
    </row>
    <row r="1900" spans="1:25" s="2" customFormat="1" ht="21.95" customHeight="1">
      <c r="A1900" s="82">
        <v>11</v>
      </c>
      <c r="B1900" s="91" t="s">
        <v>3337</v>
      </c>
      <c r="C1900" s="83" t="s">
        <v>366</v>
      </c>
      <c r="D1900" s="81" t="s">
        <v>2167</v>
      </c>
      <c r="E1900" s="48">
        <v>400247</v>
      </c>
      <c r="F1900" s="30" t="s">
        <v>2035</v>
      </c>
      <c r="G1900" s="29" t="s">
        <v>35</v>
      </c>
      <c r="H1900" s="30" t="s">
        <v>2324</v>
      </c>
      <c r="I1900" s="78"/>
      <c r="J1900" s="20"/>
      <c r="K1900" s="20"/>
      <c r="L1900" s="20"/>
      <c r="M1900" s="20"/>
      <c r="N1900" s="320" t="s">
        <v>2685</v>
      </c>
      <c r="O1900" s="70">
        <v>0</v>
      </c>
      <c r="P1900" s="70">
        <v>0</v>
      </c>
      <c r="Q1900" s="70">
        <f t="shared" si="156"/>
        <v>0</v>
      </c>
      <c r="R1900" s="70"/>
      <c r="S1900" s="67"/>
      <c r="T1900" s="2" t="str">
        <f t="shared" si="157"/>
        <v>Nguyễn Huy Cường_11VH1</v>
      </c>
      <c r="U1900" s="28">
        <f t="array" ref="U1900">IFERROR(VLOOKUP($T1900,'Nghi hoc T12'!$H$7:$I$160,2,0),0)</f>
        <v>0</v>
      </c>
      <c r="V1900" s="28" t="str">
        <f t="shared" si="162"/>
        <v>202.C11</v>
      </c>
      <c r="W1900" s="28">
        <f t="shared" si="158"/>
        <v>0</v>
      </c>
      <c r="X1900" s="333">
        <f t="shared" si="159"/>
        <v>0</v>
      </c>
      <c r="Y1900" s="333">
        <f t="shared" si="160"/>
        <v>0</v>
      </c>
    </row>
    <row r="1901" spans="1:25" s="2" customFormat="1" ht="21.95" customHeight="1">
      <c r="A1901" s="82">
        <v>12</v>
      </c>
      <c r="B1901" s="91" t="s">
        <v>3337</v>
      </c>
      <c r="C1901" s="83" t="s">
        <v>366</v>
      </c>
      <c r="D1901" s="81" t="s">
        <v>2167</v>
      </c>
      <c r="E1901" s="48">
        <v>400248</v>
      </c>
      <c r="F1901" s="30" t="s">
        <v>221</v>
      </c>
      <c r="G1901" s="29" t="s">
        <v>6</v>
      </c>
      <c r="H1901" s="30" t="s">
        <v>2324</v>
      </c>
      <c r="I1901" s="78"/>
      <c r="J1901" s="20"/>
      <c r="K1901" s="20"/>
      <c r="L1901" s="20"/>
      <c r="M1901" s="20"/>
      <c r="N1901" s="320" t="s">
        <v>2685</v>
      </c>
      <c r="O1901" s="70">
        <v>0</v>
      </c>
      <c r="P1901" s="70">
        <v>0</v>
      </c>
      <c r="Q1901" s="70">
        <f t="shared" si="156"/>
        <v>0</v>
      </c>
      <c r="R1901" s="70"/>
      <c r="S1901" s="67"/>
      <c r="T1901" s="2" t="str">
        <f t="shared" si="157"/>
        <v>Nguyễn Tiến Dũng_11VH1</v>
      </c>
      <c r="U1901" s="28">
        <f t="array" ref="U1901">IFERROR(VLOOKUP($T1901,'Nghi hoc T12'!$H$7:$I$160,2,0),0)</f>
        <v>0</v>
      </c>
      <c r="V1901" s="28" t="str">
        <f t="shared" si="162"/>
        <v>202.C11</v>
      </c>
      <c r="W1901" s="28">
        <f t="shared" si="158"/>
        <v>0</v>
      </c>
      <c r="X1901" s="333">
        <f t="shared" si="159"/>
        <v>0</v>
      </c>
      <c r="Y1901" s="333">
        <f t="shared" si="160"/>
        <v>0</v>
      </c>
    </row>
    <row r="1902" spans="1:25" s="2" customFormat="1" ht="21.95" customHeight="1">
      <c r="A1902" s="82">
        <v>13</v>
      </c>
      <c r="B1902" s="91" t="s">
        <v>3337</v>
      </c>
      <c r="C1902" s="83" t="s">
        <v>366</v>
      </c>
      <c r="D1902" s="81" t="s">
        <v>2167</v>
      </c>
      <c r="E1902" s="48">
        <v>400249</v>
      </c>
      <c r="F1902" s="30" t="s">
        <v>2329</v>
      </c>
      <c r="G1902" s="29" t="s">
        <v>65</v>
      </c>
      <c r="H1902" s="30" t="s">
        <v>2322</v>
      </c>
      <c r="I1902" s="78"/>
      <c r="J1902" s="20"/>
      <c r="K1902" s="20"/>
      <c r="L1902" s="20"/>
      <c r="M1902" s="20"/>
      <c r="N1902" s="320" t="s">
        <v>2685</v>
      </c>
      <c r="O1902" s="70">
        <v>0</v>
      </c>
      <c r="P1902" s="70">
        <v>0</v>
      </c>
      <c r="Q1902" s="70">
        <f t="shared" si="156"/>
        <v>0</v>
      </c>
      <c r="R1902" s="70"/>
      <c r="S1902" s="67"/>
      <c r="T1902" s="2" t="str">
        <f t="shared" si="157"/>
        <v>Phạm Hoàng Bảo Duy_11VH2</v>
      </c>
      <c r="U1902" s="28">
        <f t="array" ref="U1902">IFERROR(VLOOKUP($T1902,'Nghi hoc T12'!$H$7:$I$160,2,0),0)</f>
        <v>0</v>
      </c>
      <c r="V1902" s="28" t="str">
        <f t="shared" si="162"/>
        <v>202.C11</v>
      </c>
      <c r="W1902" s="28">
        <f t="shared" si="158"/>
        <v>0</v>
      </c>
      <c r="X1902" s="333">
        <f t="shared" si="159"/>
        <v>0</v>
      </c>
      <c r="Y1902" s="333">
        <f t="shared" si="160"/>
        <v>0</v>
      </c>
    </row>
    <row r="1903" spans="1:25" s="2" customFormat="1" ht="21.95" customHeight="1">
      <c r="A1903" s="82">
        <v>14</v>
      </c>
      <c r="B1903" s="91" t="s">
        <v>3337</v>
      </c>
      <c r="C1903" s="83" t="s">
        <v>366</v>
      </c>
      <c r="D1903" s="81" t="s">
        <v>2167</v>
      </c>
      <c r="E1903" s="48">
        <v>400250</v>
      </c>
      <c r="F1903" s="30" t="s">
        <v>2330</v>
      </c>
      <c r="G1903" s="29" t="s">
        <v>7</v>
      </c>
      <c r="H1903" s="30" t="s">
        <v>2322</v>
      </c>
      <c r="I1903" s="78"/>
      <c r="J1903" s="20"/>
      <c r="K1903" s="20"/>
      <c r="L1903" s="20"/>
      <c r="M1903" s="20"/>
      <c r="N1903" s="320" t="s">
        <v>2685</v>
      </c>
      <c r="O1903" s="70">
        <v>0</v>
      </c>
      <c r="P1903" s="70">
        <v>0</v>
      </c>
      <c r="Q1903" s="70">
        <f t="shared" si="156"/>
        <v>0</v>
      </c>
      <c r="R1903" s="70"/>
      <c r="S1903" s="67"/>
      <c r="T1903" s="2" t="str">
        <f t="shared" si="157"/>
        <v>Bùi Tiến Đạt_11VH2</v>
      </c>
      <c r="U1903" s="28">
        <f t="array" ref="U1903">IFERROR(VLOOKUP($T1903,'Nghi hoc T12'!$H$7:$I$160,2,0),0)</f>
        <v>0</v>
      </c>
      <c r="V1903" s="28" t="str">
        <f t="shared" si="162"/>
        <v>202.C11</v>
      </c>
      <c r="W1903" s="28">
        <f t="shared" si="158"/>
        <v>0</v>
      </c>
      <c r="X1903" s="333">
        <f t="shared" si="159"/>
        <v>0</v>
      </c>
      <c r="Y1903" s="333">
        <f t="shared" si="160"/>
        <v>0</v>
      </c>
    </row>
    <row r="1904" spans="1:25" s="2" customFormat="1" ht="21.95" customHeight="1">
      <c r="A1904" s="82">
        <v>15</v>
      </c>
      <c r="B1904" s="91" t="s">
        <v>3337</v>
      </c>
      <c r="C1904" s="83" t="s">
        <v>366</v>
      </c>
      <c r="D1904" s="81" t="s">
        <v>2167</v>
      </c>
      <c r="E1904" s="48">
        <v>400251</v>
      </c>
      <c r="F1904" s="30" t="s">
        <v>2284</v>
      </c>
      <c r="G1904" s="29" t="s">
        <v>7</v>
      </c>
      <c r="H1904" s="30" t="s">
        <v>2324</v>
      </c>
      <c r="I1904" s="78"/>
      <c r="J1904" s="20"/>
      <c r="K1904" s="20"/>
      <c r="L1904" s="20"/>
      <c r="M1904" s="20"/>
      <c r="N1904" s="320" t="s">
        <v>2685</v>
      </c>
      <c r="O1904" s="70">
        <v>0</v>
      </c>
      <c r="P1904" s="70">
        <v>0</v>
      </c>
      <c r="Q1904" s="70">
        <f t="shared" si="156"/>
        <v>0</v>
      </c>
      <c r="R1904" s="70"/>
      <c r="S1904" s="67"/>
      <c r="T1904" s="2" t="str">
        <f t="shared" si="157"/>
        <v>Đỗ Thành Đạt_11VH1</v>
      </c>
      <c r="U1904" s="28">
        <f t="array" ref="U1904">IFERROR(VLOOKUP($T1904,'Nghi hoc T12'!$H$7:$I$160,2,0),0)</f>
        <v>0</v>
      </c>
      <c r="V1904" s="28" t="str">
        <f t="shared" si="162"/>
        <v>202.C11</v>
      </c>
      <c r="W1904" s="28">
        <f t="shared" si="158"/>
        <v>0</v>
      </c>
      <c r="X1904" s="333">
        <f t="shared" si="159"/>
        <v>0</v>
      </c>
      <c r="Y1904" s="333">
        <f t="shared" si="160"/>
        <v>0</v>
      </c>
    </row>
    <row r="1905" spans="1:25" s="2" customFormat="1" ht="21.95" customHeight="1">
      <c r="A1905" s="82">
        <v>16</v>
      </c>
      <c r="B1905" s="91" t="s">
        <v>3337</v>
      </c>
      <c r="C1905" s="83" t="s">
        <v>366</v>
      </c>
      <c r="D1905" s="81" t="s">
        <v>2167</v>
      </c>
      <c r="E1905" s="48">
        <v>400252</v>
      </c>
      <c r="F1905" s="30" t="s">
        <v>1151</v>
      </c>
      <c r="G1905" s="29" t="s">
        <v>119</v>
      </c>
      <c r="H1905" s="30" t="s">
        <v>2324</v>
      </c>
      <c r="I1905" s="78"/>
      <c r="J1905" s="20"/>
      <c r="K1905" s="20"/>
      <c r="L1905" s="20"/>
      <c r="M1905" s="20"/>
      <c r="N1905" s="320" t="s">
        <v>2685</v>
      </c>
      <c r="O1905" s="70">
        <v>0</v>
      </c>
      <c r="P1905" s="70">
        <v>0</v>
      </c>
      <c r="Q1905" s="70">
        <f t="shared" si="156"/>
        <v>0</v>
      </c>
      <c r="R1905" s="70"/>
      <c r="S1905" s="67"/>
      <c r="T1905" s="2" t="str">
        <f t="shared" si="157"/>
        <v>Bùi Minh Đăng_11VH1</v>
      </c>
      <c r="U1905" s="28">
        <f t="array" ref="U1905">IFERROR(VLOOKUP($T1905,'Nghi hoc T12'!$H$7:$I$160,2,0),0)</f>
        <v>0</v>
      </c>
      <c r="V1905" s="28" t="str">
        <f t="shared" si="162"/>
        <v>202.C11</v>
      </c>
      <c r="W1905" s="28">
        <f t="shared" si="158"/>
        <v>0</v>
      </c>
      <c r="X1905" s="333">
        <f t="shared" si="159"/>
        <v>0</v>
      </c>
      <c r="Y1905" s="333">
        <f t="shared" si="160"/>
        <v>0</v>
      </c>
    </row>
    <row r="1906" spans="1:25" s="2" customFormat="1" ht="21.95" customHeight="1">
      <c r="A1906" s="82">
        <v>17</v>
      </c>
      <c r="B1906" s="91" t="s">
        <v>3337</v>
      </c>
      <c r="C1906" s="83" t="s">
        <v>366</v>
      </c>
      <c r="D1906" s="81" t="s">
        <v>2167</v>
      </c>
      <c r="E1906" s="48">
        <v>400253</v>
      </c>
      <c r="F1906" s="30" t="s">
        <v>2331</v>
      </c>
      <c r="G1906" s="29" t="s">
        <v>2332</v>
      </c>
      <c r="H1906" s="30" t="s">
        <v>2322</v>
      </c>
      <c r="I1906" s="78"/>
      <c r="J1906" s="20"/>
      <c r="K1906" s="20"/>
      <c r="L1906" s="20"/>
      <c r="M1906" s="20"/>
      <c r="N1906" s="320" t="s">
        <v>2685</v>
      </c>
      <c r="O1906" s="70">
        <v>0</v>
      </c>
      <c r="P1906" s="70">
        <v>0</v>
      </c>
      <c r="Q1906" s="70">
        <f t="shared" si="156"/>
        <v>0</v>
      </c>
      <c r="R1906" s="70"/>
      <c r="S1906" s="67"/>
      <c r="T1906" s="2" t="str">
        <f t="shared" si="157"/>
        <v>Cù Đại Hoàng Gia_11VH2</v>
      </c>
      <c r="U1906" s="28">
        <f t="array" ref="U1906">IFERROR(VLOOKUP($T1906,'Nghi hoc T12'!$H$7:$I$160,2,0),0)</f>
        <v>0</v>
      </c>
      <c r="V1906" s="28" t="str">
        <f t="shared" si="162"/>
        <v>202.C11</v>
      </c>
      <c r="W1906" s="28">
        <f t="shared" si="158"/>
        <v>0</v>
      </c>
      <c r="X1906" s="333">
        <f t="shared" si="159"/>
        <v>0</v>
      </c>
      <c r="Y1906" s="333">
        <f t="shared" si="160"/>
        <v>0</v>
      </c>
    </row>
    <row r="1907" spans="1:25" s="2" customFormat="1" ht="21.95" customHeight="1">
      <c r="A1907" s="82">
        <v>18</v>
      </c>
      <c r="B1907" s="91" t="s">
        <v>3337</v>
      </c>
      <c r="C1907" s="83" t="s">
        <v>366</v>
      </c>
      <c r="D1907" s="81" t="s">
        <v>2167</v>
      </c>
      <c r="E1907" s="48">
        <v>400254</v>
      </c>
      <c r="F1907" s="30" t="s">
        <v>1535</v>
      </c>
      <c r="G1907" s="29" t="s">
        <v>171</v>
      </c>
      <c r="H1907" s="30" t="s">
        <v>2322</v>
      </c>
      <c r="I1907" s="78"/>
      <c r="J1907" s="20"/>
      <c r="K1907" s="20"/>
      <c r="L1907" s="20"/>
      <c r="M1907" s="20"/>
      <c r="N1907" s="320" t="s">
        <v>2685</v>
      </c>
      <c r="O1907" s="70">
        <v>0</v>
      </c>
      <c r="P1907" s="70">
        <v>0</v>
      </c>
      <c r="Q1907" s="70">
        <f t="shared" si="156"/>
        <v>0</v>
      </c>
      <c r="R1907" s="70"/>
      <c r="S1907" s="67"/>
      <c r="T1907" s="2" t="str">
        <f t="shared" si="157"/>
        <v>Trần Nam Hải_11VH2</v>
      </c>
      <c r="U1907" s="28">
        <f t="array" ref="U1907">IFERROR(VLOOKUP($T1907,'Nghi hoc T12'!$H$7:$I$160,2,0),0)</f>
        <v>0</v>
      </c>
      <c r="V1907" s="28" t="str">
        <f t="shared" si="162"/>
        <v>202.C11</v>
      </c>
      <c r="W1907" s="28">
        <f t="shared" si="158"/>
        <v>0</v>
      </c>
      <c r="X1907" s="333">
        <f t="shared" si="159"/>
        <v>0</v>
      </c>
      <c r="Y1907" s="333">
        <f t="shared" si="160"/>
        <v>0</v>
      </c>
    </row>
    <row r="1908" spans="1:25" s="2" customFormat="1" ht="21.95" customHeight="1">
      <c r="A1908" s="82">
        <v>19</v>
      </c>
      <c r="B1908" s="91" t="s">
        <v>3337</v>
      </c>
      <c r="C1908" s="83" t="s">
        <v>366</v>
      </c>
      <c r="D1908" s="81" t="s">
        <v>2167</v>
      </c>
      <c r="E1908" s="48">
        <v>400255</v>
      </c>
      <c r="F1908" s="30" t="s">
        <v>2333</v>
      </c>
      <c r="G1908" s="29" t="s">
        <v>9</v>
      </c>
      <c r="H1908" s="30" t="s">
        <v>2322</v>
      </c>
      <c r="I1908" s="78"/>
      <c r="J1908" s="20"/>
      <c r="K1908" s="20"/>
      <c r="L1908" s="20"/>
      <c r="M1908" s="20"/>
      <c r="N1908" s="320" t="s">
        <v>2685</v>
      </c>
      <c r="O1908" s="70">
        <v>0</v>
      </c>
      <c r="P1908" s="70">
        <v>0</v>
      </c>
      <c r="Q1908" s="70">
        <f t="shared" si="156"/>
        <v>0</v>
      </c>
      <c r="R1908" s="70"/>
      <c r="S1908" s="67"/>
      <c r="T1908" s="2" t="str">
        <f t="shared" si="157"/>
        <v>Đoàn Phúc Hiếu_11VH2</v>
      </c>
      <c r="U1908" s="28">
        <f t="array" ref="U1908">IFERROR(VLOOKUP($T1908,'Nghi hoc T12'!$H$7:$I$160,2,0),0)</f>
        <v>0</v>
      </c>
      <c r="V1908" s="28" t="str">
        <f t="shared" si="162"/>
        <v>202.C11</v>
      </c>
      <c r="W1908" s="28">
        <f t="shared" si="158"/>
        <v>0</v>
      </c>
      <c r="X1908" s="333">
        <f t="shared" si="159"/>
        <v>0</v>
      </c>
      <c r="Y1908" s="333">
        <f t="shared" si="160"/>
        <v>0</v>
      </c>
    </row>
    <row r="1909" spans="1:25" s="2" customFormat="1" ht="21.95" customHeight="1">
      <c r="A1909" s="82">
        <v>20</v>
      </c>
      <c r="B1909" s="91" t="s">
        <v>3337</v>
      </c>
      <c r="C1909" s="83" t="s">
        <v>366</v>
      </c>
      <c r="D1909" s="81" t="s">
        <v>2167</v>
      </c>
      <c r="E1909" s="48">
        <v>400256</v>
      </c>
      <c r="F1909" s="30" t="s">
        <v>186</v>
      </c>
      <c r="G1909" s="29" t="s">
        <v>9</v>
      </c>
      <c r="H1909" s="30" t="s">
        <v>2324</v>
      </c>
      <c r="I1909" s="78"/>
      <c r="J1909" s="20"/>
      <c r="K1909" s="20"/>
      <c r="L1909" s="20"/>
      <c r="M1909" s="20"/>
      <c r="N1909" s="320" t="s">
        <v>2685</v>
      </c>
      <c r="O1909" s="70">
        <v>0</v>
      </c>
      <c r="P1909" s="70">
        <v>0</v>
      </c>
      <c r="Q1909" s="70">
        <f t="shared" si="156"/>
        <v>0</v>
      </c>
      <c r="R1909" s="70"/>
      <c r="S1909" s="67"/>
      <c r="T1909" s="2" t="str">
        <f t="shared" si="157"/>
        <v>Nguyễn Minh Hiếu_11VH1</v>
      </c>
      <c r="U1909" s="28">
        <f t="array" ref="U1909">IFERROR(VLOOKUP($T1909,'Nghi hoc T12'!$H$7:$I$160,2,0),0)</f>
        <v>0</v>
      </c>
      <c r="V1909" s="28" t="str">
        <f t="shared" si="162"/>
        <v>202.C11</v>
      </c>
      <c r="W1909" s="28">
        <f t="shared" si="158"/>
        <v>0</v>
      </c>
      <c r="X1909" s="333">
        <f t="shared" si="159"/>
        <v>0</v>
      </c>
      <c r="Y1909" s="333">
        <f t="shared" si="160"/>
        <v>0</v>
      </c>
    </row>
    <row r="1910" spans="1:25" s="2" customFormat="1" ht="21.95" customHeight="1">
      <c r="A1910" s="82">
        <v>21</v>
      </c>
      <c r="B1910" s="91" t="s">
        <v>3337</v>
      </c>
      <c r="C1910" s="83" t="s">
        <v>366</v>
      </c>
      <c r="D1910" s="81" t="s">
        <v>2167</v>
      </c>
      <c r="E1910" s="48">
        <v>400257</v>
      </c>
      <c r="F1910" s="30" t="s">
        <v>2334</v>
      </c>
      <c r="G1910" s="29" t="s">
        <v>90</v>
      </c>
      <c r="H1910" s="30" t="s">
        <v>2322</v>
      </c>
      <c r="I1910" s="78"/>
      <c r="J1910" s="20"/>
      <c r="K1910" s="20"/>
      <c r="L1910" s="20"/>
      <c r="M1910" s="20"/>
      <c r="N1910" s="320" t="s">
        <v>2685</v>
      </c>
      <c r="O1910" s="70">
        <v>0</v>
      </c>
      <c r="P1910" s="70">
        <v>0</v>
      </c>
      <c r="Q1910" s="70">
        <f t="shared" si="156"/>
        <v>0</v>
      </c>
      <c r="R1910" s="70"/>
      <c r="S1910" s="67"/>
      <c r="T1910" s="2" t="str">
        <f t="shared" si="157"/>
        <v>Lữ Đức Hòa_11VH2</v>
      </c>
      <c r="U1910" s="28">
        <f t="array" ref="U1910">IFERROR(VLOOKUP($T1910,'Nghi hoc T12'!$H$7:$I$160,2,0),0)</f>
        <v>0</v>
      </c>
      <c r="V1910" s="28" t="str">
        <f t="shared" si="162"/>
        <v>202.C11</v>
      </c>
      <c r="W1910" s="28">
        <f t="shared" si="158"/>
        <v>0</v>
      </c>
      <c r="X1910" s="333">
        <f t="shared" si="159"/>
        <v>0</v>
      </c>
      <c r="Y1910" s="333">
        <f t="shared" si="160"/>
        <v>0</v>
      </c>
    </row>
    <row r="1911" spans="1:25" s="2" customFormat="1" ht="21.95" customHeight="1">
      <c r="A1911" s="82">
        <v>22</v>
      </c>
      <c r="B1911" s="91" t="s">
        <v>3337</v>
      </c>
      <c r="C1911" s="83" t="s">
        <v>366</v>
      </c>
      <c r="D1911" s="81" t="s">
        <v>2167</v>
      </c>
      <c r="E1911" s="48">
        <v>400258</v>
      </c>
      <c r="F1911" s="30" t="s">
        <v>2335</v>
      </c>
      <c r="G1911" s="29" t="s">
        <v>100</v>
      </c>
      <c r="H1911" s="30" t="s">
        <v>2322</v>
      </c>
      <c r="I1911" s="78"/>
      <c r="J1911" s="20"/>
      <c r="K1911" s="20"/>
      <c r="L1911" s="20"/>
      <c r="M1911" s="20"/>
      <c r="N1911" s="320" t="s">
        <v>2685</v>
      </c>
      <c r="O1911" s="70">
        <v>0</v>
      </c>
      <c r="P1911" s="70">
        <v>0</v>
      </c>
      <c r="Q1911" s="70">
        <f t="shared" si="156"/>
        <v>0</v>
      </c>
      <c r="R1911" s="70"/>
      <c r="S1911" s="67"/>
      <c r="T1911" s="2" t="str">
        <f t="shared" si="157"/>
        <v>Bùi Tuấn Hùng_11VH2</v>
      </c>
      <c r="U1911" s="28">
        <f t="array" ref="U1911">IFERROR(VLOOKUP($T1911,'Nghi hoc T12'!$H$7:$I$160,2,0),0)</f>
        <v>0</v>
      </c>
      <c r="V1911" s="28" t="str">
        <f t="shared" si="162"/>
        <v>202.C11</v>
      </c>
      <c r="W1911" s="28">
        <f t="shared" si="158"/>
        <v>0</v>
      </c>
      <c r="X1911" s="333">
        <f t="shared" si="159"/>
        <v>0</v>
      </c>
      <c r="Y1911" s="333">
        <f t="shared" si="160"/>
        <v>0</v>
      </c>
    </row>
    <row r="1912" spans="1:25" s="2" customFormat="1" ht="21.95" customHeight="1">
      <c r="A1912" s="82">
        <v>23</v>
      </c>
      <c r="B1912" s="91" t="s">
        <v>3337</v>
      </c>
      <c r="C1912" s="83" t="s">
        <v>366</v>
      </c>
      <c r="D1912" s="81" t="s">
        <v>2167</v>
      </c>
      <c r="E1912" s="48">
        <v>400259</v>
      </c>
      <c r="F1912" s="30" t="s">
        <v>2336</v>
      </c>
      <c r="G1912" s="29" t="s">
        <v>11</v>
      </c>
      <c r="H1912" s="30" t="s">
        <v>2324</v>
      </c>
      <c r="I1912" s="78"/>
      <c r="J1912" s="20"/>
      <c r="K1912" s="20"/>
      <c r="L1912" s="20"/>
      <c r="M1912" s="20"/>
      <c r="N1912" s="320" t="s">
        <v>2685</v>
      </c>
      <c r="O1912" s="70">
        <v>0</v>
      </c>
      <c r="P1912" s="70">
        <v>0</v>
      </c>
      <c r="Q1912" s="70">
        <f t="shared" si="156"/>
        <v>0</v>
      </c>
      <c r="R1912" s="70"/>
      <c r="S1912" s="67"/>
      <c r="T1912" s="2" t="str">
        <f t="shared" si="157"/>
        <v>Đặng Phúc Khánh Huy_11VH1</v>
      </c>
      <c r="U1912" s="28">
        <f t="array" ref="U1912">IFERROR(VLOOKUP($T1912,'Nghi hoc T12'!$H$7:$I$160,2,0),0)</f>
        <v>0</v>
      </c>
      <c r="V1912" s="28" t="str">
        <f t="shared" si="162"/>
        <v>202.C11</v>
      </c>
      <c r="W1912" s="28">
        <f t="shared" si="158"/>
        <v>0</v>
      </c>
      <c r="X1912" s="333">
        <f t="shared" si="159"/>
        <v>0</v>
      </c>
      <c r="Y1912" s="333">
        <f t="shared" si="160"/>
        <v>0</v>
      </c>
    </row>
    <row r="1913" spans="1:25" s="2" customFormat="1" ht="21.95" customHeight="1">
      <c r="A1913" s="82">
        <v>24</v>
      </c>
      <c r="B1913" s="91" t="s">
        <v>3337</v>
      </c>
      <c r="C1913" s="83" t="s">
        <v>366</v>
      </c>
      <c r="D1913" s="81" t="s">
        <v>2167</v>
      </c>
      <c r="E1913" s="48">
        <v>400260</v>
      </c>
      <c r="F1913" s="30" t="s">
        <v>2337</v>
      </c>
      <c r="G1913" s="29" t="s">
        <v>11</v>
      </c>
      <c r="H1913" s="30" t="s">
        <v>2322</v>
      </c>
      <c r="I1913" s="78"/>
      <c r="J1913" s="20"/>
      <c r="K1913" s="20"/>
      <c r="L1913" s="20"/>
      <c r="M1913" s="20"/>
      <c r="N1913" s="320" t="s">
        <v>2685</v>
      </c>
      <c r="O1913" s="70">
        <v>0</v>
      </c>
      <c r="P1913" s="70">
        <v>0</v>
      </c>
      <c r="Q1913" s="70">
        <f t="shared" si="156"/>
        <v>0</v>
      </c>
      <c r="R1913" s="70"/>
      <c r="S1913" s="67"/>
      <c r="T1913" s="2" t="str">
        <f t="shared" si="157"/>
        <v>Ngô Quang Huy_11VH2</v>
      </c>
      <c r="U1913" s="28">
        <f t="array" ref="U1913">IFERROR(VLOOKUP($T1913,'Nghi hoc T12'!$H$7:$I$160,2,0),0)</f>
        <v>0</v>
      </c>
      <c r="V1913" s="28" t="str">
        <f t="shared" si="162"/>
        <v>202.C11</v>
      </c>
      <c r="W1913" s="28">
        <f t="shared" si="158"/>
        <v>0</v>
      </c>
      <c r="X1913" s="333">
        <f t="shared" si="159"/>
        <v>0</v>
      </c>
      <c r="Y1913" s="333">
        <f t="shared" si="160"/>
        <v>0</v>
      </c>
    </row>
    <row r="1914" spans="1:25" s="2" customFormat="1" ht="21.95" customHeight="1">
      <c r="A1914" s="82">
        <v>25</v>
      </c>
      <c r="B1914" s="91" t="s">
        <v>3337</v>
      </c>
      <c r="C1914" s="83" t="s">
        <v>366</v>
      </c>
      <c r="D1914" s="81" t="s">
        <v>2167</v>
      </c>
      <c r="E1914" s="48">
        <v>400261</v>
      </c>
      <c r="F1914" s="30" t="s">
        <v>337</v>
      </c>
      <c r="G1914" s="29" t="s">
        <v>11</v>
      </c>
      <c r="H1914" s="30" t="s">
        <v>2324</v>
      </c>
      <c r="I1914" s="78"/>
      <c r="J1914" s="20"/>
      <c r="K1914" s="20"/>
      <c r="L1914" s="20"/>
      <c r="M1914" s="20"/>
      <c r="N1914" s="320" t="s">
        <v>2685</v>
      </c>
      <c r="O1914" s="70">
        <v>0</v>
      </c>
      <c r="P1914" s="70">
        <v>0</v>
      </c>
      <c r="Q1914" s="70">
        <f t="shared" si="156"/>
        <v>0</v>
      </c>
      <c r="R1914" s="70"/>
      <c r="S1914" s="67"/>
      <c r="T1914" s="2" t="str">
        <f t="shared" si="157"/>
        <v>Trần Anh Huy_11VH1</v>
      </c>
      <c r="U1914" s="28">
        <f t="array" ref="U1914">IFERROR(VLOOKUP($T1914,'Nghi hoc T12'!$H$7:$I$160,2,0),0)</f>
        <v>0</v>
      </c>
      <c r="V1914" s="28" t="str">
        <f t="shared" si="162"/>
        <v>202.C11</v>
      </c>
      <c r="W1914" s="28">
        <f t="shared" si="158"/>
        <v>0</v>
      </c>
      <c r="X1914" s="333">
        <f t="shared" si="159"/>
        <v>0</v>
      </c>
      <c r="Y1914" s="333">
        <f t="shared" si="160"/>
        <v>0</v>
      </c>
    </row>
    <row r="1915" spans="1:25" s="2" customFormat="1" ht="21.95" customHeight="1">
      <c r="A1915" s="82">
        <v>26</v>
      </c>
      <c r="B1915" s="91" t="s">
        <v>3337</v>
      </c>
      <c r="C1915" s="83" t="s">
        <v>366</v>
      </c>
      <c r="D1915" s="81" t="s">
        <v>2167</v>
      </c>
      <c r="E1915" s="48">
        <v>400262</v>
      </c>
      <c r="F1915" s="30" t="s">
        <v>350</v>
      </c>
      <c r="G1915" s="29" t="s">
        <v>11</v>
      </c>
      <c r="H1915" s="30" t="s">
        <v>2324</v>
      </c>
      <c r="I1915" s="78"/>
      <c r="J1915" s="20"/>
      <c r="K1915" s="20"/>
      <c r="L1915" s="20"/>
      <c r="M1915" s="20"/>
      <c r="N1915" s="320" t="s">
        <v>2685</v>
      </c>
      <c r="O1915" s="70">
        <v>0</v>
      </c>
      <c r="P1915" s="70">
        <v>0</v>
      </c>
      <c r="Q1915" s="70">
        <f t="shared" si="156"/>
        <v>0</v>
      </c>
      <c r="R1915" s="70"/>
      <c r="S1915" s="67"/>
      <c r="T1915" s="2" t="str">
        <f t="shared" si="157"/>
        <v>Trần Công Huy_11VH1</v>
      </c>
      <c r="U1915" s="28">
        <f t="array" ref="U1915">IFERROR(VLOOKUP($T1915,'Nghi hoc T12'!$H$7:$I$160,2,0),0)</f>
        <v>0</v>
      </c>
      <c r="V1915" s="28" t="str">
        <f t="shared" si="162"/>
        <v>202.C11</v>
      </c>
      <c r="W1915" s="28">
        <f t="shared" si="158"/>
        <v>0</v>
      </c>
      <c r="X1915" s="333">
        <f t="shared" si="159"/>
        <v>0</v>
      </c>
      <c r="Y1915" s="333">
        <f t="shared" si="160"/>
        <v>0</v>
      </c>
    </row>
    <row r="1916" spans="1:25" s="2" customFormat="1" ht="21.95" customHeight="1">
      <c r="A1916" s="82">
        <v>27</v>
      </c>
      <c r="B1916" s="91" t="s">
        <v>3337</v>
      </c>
      <c r="C1916" s="83" t="s">
        <v>366</v>
      </c>
      <c r="D1916" s="81" t="s">
        <v>2167</v>
      </c>
      <c r="E1916" s="48">
        <v>400263</v>
      </c>
      <c r="F1916" s="30" t="s">
        <v>2338</v>
      </c>
      <c r="G1916" s="29" t="s">
        <v>67</v>
      </c>
      <c r="H1916" s="30" t="s">
        <v>2322</v>
      </c>
      <c r="I1916" s="78"/>
      <c r="J1916" s="20"/>
      <c r="K1916" s="20"/>
      <c r="L1916" s="20"/>
      <c r="M1916" s="20"/>
      <c r="N1916" s="320" t="s">
        <v>2685</v>
      </c>
      <c r="O1916" s="70">
        <v>0</v>
      </c>
      <c r="P1916" s="70">
        <v>0</v>
      </c>
      <c r="Q1916" s="70">
        <f t="shared" si="156"/>
        <v>0</v>
      </c>
      <c r="R1916" s="70"/>
      <c r="S1916" s="67"/>
      <c r="T1916" s="2" t="str">
        <f t="shared" si="157"/>
        <v>Bùi Thị Thanh Huyền_11VH2</v>
      </c>
      <c r="U1916" s="28">
        <f t="array" ref="U1916">IFERROR(VLOOKUP($T1916,'Nghi hoc T12'!$H$7:$I$160,2,0),0)</f>
        <v>0</v>
      </c>
      <c r="V1916" s="28" t="str">
        <f t="shared" si="162"/>
        <v>202.C11</v>
      </c>
      <c r="W1916" s="28">
        <f t="shared" si="158"/>
        <v>0</v>
      </c>
      <c r="X1916" s="333">
        <f t="shared" si="159"/>
        <v>0</v>
      </c>
      <c r="Y1916" s="333">
        <f t="shared" si="160"/>
        <v>0</v>
      </c>
    </row>
    <row r="1917" spans="1:25" s="2" customFormat="1" ht="21.95" customHeight="1">
      <c r="A1917" s="82">
        <v>28</v>
      </c>
      <c r="B1917" s="91" t="s">
        <v>3337</v>
      </c>
      <c r="C1917" s="83" t="s">
        <v>366</v>
      </c>
      <c r="D1917" s="81" t="s">
        <v>2167</v>
      </c>
      <c r="E1917" s="48">
        <v>400264</v>
      </c>
      <c r="F1917" s="30" t="s">
        <v>2339</v>
      </c>
      <c r="G1917" s="29" t="s">
        <v>27</v>
      </c>
      <c r="H1917" s="30" t="s">
        <v>2324</v>
      </c>
      <c r="I1917" s="78" t="s">
        <v>408</v>
      </c>
      <c r="J1917" s="20"/>
      <c r="K1917" s="20"/>
      <c r="L1917" s="20"/>
      <c r="M1917" s="20"/>
      <c r="N1917" s="320" t="s">
        <v>2685</v>
      </c>
      <c r="O1917" s="70" t="s">
        <v>400</v>
      </c>
      <c r="P1917" s="70" t="s">
        <v>401</v>
      </c>
      <c r="Q1917" s="70">
        <f t="shared" si="156"/>
        <v>0</v>
      </c>
      <c r="R1917" s="70"/>
      <c r="S1917" s="67"/>
      <c r="T1917" s="2" t="str">
        <f t="shared" si="157"/>
        <v>Bùi Sơn Thành_11VH1</v>
      </c>
      <c r="U1917" s="28">
        <f t="array" ref="U1917">IFERROR(VLOOKUP($T1917,'Nghi hoc T12'!$H$7:$I$160,2,0),0)</f>
        <v>0</v>
      </c>
      <c r="V1917" s="28" t="str">
        <f t="shared" si="162"/>
        <v>202.C11</v>
      </c>
      <c r="W1917" s="28" t="str">
        <f t="shared" si="158"/>
        <v>HN</v>
      </c>
      <c r="X1917" s="333" t="str">
        <f t="shared" si="159"/>
        <v>Trí tuệ</v>
      </c>
      <c r="Y1917" s="333" t="str">
        <f t="shared" si="160"/>
        <v>Nhẹ</v>
      </c>
    </row>
    <row r="1918" spans="1:25" s="2" customFormat="1" ht="21.95" customHeight="1">
      <c r="A1918" s="321">
        <v>1</v>
      </c>
      <c r="B1918" s="91" t="s">
        <v>3338</v>
      </c>
      <c r="C1918" s="185" t="s">
        <v>366</v>
      </c>
      <c r="D1918" s="186" t="s">
        <v>2183</v>
      </c>
      <c r="E1918" s="187">
        <v>400265</v>
      </c>
      <c r="F1918" s="188" t="s">
        <v>2340</v>
      </c>
      <c r="G1918" s="189" t="s">
        <v>91</v>
      </c>
      <c r="H1918" s="188" t="s">
        <v>2322</v>
      </c>
      <c r="I1918" s="190"/>
      <c r="J1918" s="191"/>
      <c r="K1918" s="191"/>
      <c r="L1918" s="191"/>
      <c r="M1918" s="191"/>
      <c r="N1918" s="320" t="s">
        <v>2685</v>
      </c>
      <c r="O1918" s="70">
        <v>0</v>
      </c>
      <c r="P1918" s="70">
        <v>0</v>
      </c>
      <c r="Q1918" s="70">
        <f t="shared" si="156"/>
        <v>0</v>
      </c>
      <c r="R1918" s="70"/>
      <c r="S1918" s="67"/>
      <c r="T1918" s="2" t="str">
        <f t="shared" si="157"/>
        <v>Nguyễn Trần Quang Hưng_11VH2</v>
      </c>
      <c r="U1918" s="28">
        <f t="array" ref="U1918">IFERROR(VLOOKUP($T1918,'Nghi hoc T12'!$H$7:$I$160,2,0),0)</f>
        <v>0</v>
      </c>
      <c r="V1918" s="28" t="str">
        <f t="shared" si="162"/>
        <v>203.C11</v>
      </c>
      <c r="W1918" s="28">
        <f t="shared" si="158"/>
        <v>0</v>
      </c>
      <c r="X1918" s="333">
        <f t="shared" si="159"/>
        <v>0</v>
      </c>
      <c r="Y1918" s="333">
        <f t="shared" si="160"/>
        <v>0</v>
      </c>
    </row>
    <row r="1919" spans="1:25" s="2" customFormat="1" ht="21.95" customHeight="1">
      <c r="A1919" s="82">
        <v>2</v>
      </c>
      <c r="B1919" s="91" t="s">
        <v>3338</v>
      </c>
      <c r="C1919" s="83" t="s">
        <v>366</v>
      </c>
      <c r="D1919" s="81" t="s">
        <v>2183</v>
      </c>
      <c r="E1919" s="48">
        <v>400266</v>
      </c>
      <c r="F1919" s="30" t="s">
        <v>2341</v>
      </c>
      <c r="G1919" s="29" t="s">
        <v>94</v>
      </c>
      <c r="H1919" s="30" t="s">
        <v>2322</v>
      </c>
      <c r="I1919" s="78"/>
      <c r="J1919" s="20"/>
      <c r="K1919" s="20"/>
      <c r="L1919" s="20"/>
      <c r="M1919" s="20"/>
      <c r="N1919" s="320" t="s">
        <v>2685</v>
      </c>
      <c r="O1919" s="70">
        <v>0</v>
      </c>
      <c r="P1919" s="70">
        <v>0</v>
      </c>
      <c r="Q1919" s="70">
        <f t="shared" si="156"/>
        <v>0</v>
      </c>
      <c r="R1919" s="70"/>
      <c r="S1919" s="67"/>
      <c r="T1919" s="2" t="str">
        <f t="shared" si="157"/>
        <v>Nguyễn Huỳnh Gia Khánh_11VH2</v>
      </c>
      <c r="U1919" s="28">
        <f t="array" ref="U1919">IFERROR(VLOOKUP($T1919,'Nghi hoc T12'!$H$7:$I$160,2,0),0)</f>
        <v>0</v>
      </c>
      <c r="V1919" s="28" t="str">
        <f t="shared" si="162"/>
        <v>203.C11</v>
      </c>
      <c r="W1919" s="28">
        <f t="shared" si="158"/>
        <v>0</v>
      </c>
      <c r="X1919" s="333">
        <f t="shared" si="159"/>
        <v>0</v>
      </c>
      <c r="Y1919" s="333">
        <f t="shared" si="160"/>
        <v>0</v>
      </c>
    </row>
    <row r="1920" spans="1:25" s="2" customFormat="1" ht="21.95" customHeight="1">
      <c r="A1920" s="82">
        <v>3</v>
      </c>
      <c r="B1920" s="91" t="s">
        <v>3338</v>
      </c>
      <c r="C1920" s="83" t="s">
        <v>366</v>
      </c>
      <c r="D1920" s="81" t="s">
        <v>2183</v>
      </c>
      <c r="E1920" s="48">
        <v>400267</v>
      </c>
      <c r="F1920" s="30" t="s">
        <v>2342</v>
      </c>
      <c r="G1920" s="29" t="s">
        <v>55</v>
      </c>
      <c r="H1920" s="30" t="s">
        <v>2322</v>
      </c>
      <c r="I1920" s="78"/>
      <c r="J1920" s="20"/>
      <c r="K1920" s="20"/>
      <c r="L1920" s="20"/>
      <c r="M1920" s="20"/>
      <c r="N1920" s="320" t="s">
        <v>2685</v>
      </c>
      <c r="O1920" s="70">
        <v>0</v>
      </c>
      <c r="P1920" s="70">
        <v>0</v>
      </c>
      <c r="Q1920" s="70">
        <f t="shared" si="156"/>
        <v>0</v>
      </c>
      <c r="R1920" s="70"/>
      <c r="S1920" s="67"/>
      <c r="T1920" s="2" t="str">
        <f t="shared" si="157"/>
        <v>Đỗ Hoàng Minh Khoa_11VH2</v>
      </c>
      <c r="U1920" s="28">
        <f t="array" ref="U1920">IFERROR(VLOOKUP($T1920,'Nghi hoc T12'!$H$7:$I$160,2,0),0)</f>
        <v>0</v>
      </c>
      <c r="V1920" s="28" t="str">
        <f t="shared" si="162"/>
        <v>203.C11</v>
      </c>
      <c r="W1920" s="28">
        <f t="shared" si="158"/>
        <v>0</v>
      </c>
      <c r="X1920" s="333">
        <f t="shared" si="159"/>
        <v>0</v>
      </c>
      <c r="Y1920" s="333">
        <f t="shared" si="160"/>
        <v>0</v>
      </c>
    </row>
    <row r="1921" spans="1:25" s="2" customFormat="1" ht="21.95" customHeight="1">
      <c r="A1921" s="82">
        <v>4</v>
      </c>
      <c r="B1921" s="91" t="s">
        <v>3338</v>
      </c>
      <c r="C1921" s="83" t="s">
        <v>366</v>
      </c>
      <c r="D1921" s="81" t="s">
        <v>2183</v>
      </c>
      <c r="E1921" s="48">
        <v>400268</v>
      </c>
      <c r="F1921" s="30" t="s">
        <v>359</v>
      </c>
      <c r="G1921" s="29" t="s">
        <v>13</v>
      </c>
      <c r="H1921" s="30" t="s">
        <v>2324</v>
      </c>
      <c r="I1921" s="78"/>
      <c r="J1921" s="20"/>
      <c r="K1921" s="20"/>
      <c r="L1921" s="20"/>
      <c r="M1921" s="20"/>
      <c r="N1921" s="320" t="s">
        <v>2685</v>
      </c>
      <c r="O1921" s="70">
        <v>0</v>
      </c>
      <c r="P1921" s="70">
        <v>0</v>
      </c>
      <c r="Q1921" s="70">
        <f t="shared" si="156"/>
        <v>0</v>
      </c>
      <c r="R1921" s="70"/>
      <c r="S1921" s="67"/>
      <c r="T1921" s="2" t="str">
        <f t="shared" si="157"/>
        <v>Nguyễn Trí Khôi_11VH1</v>
      </c>
      <c r="U1921" s="28">
        <f t="array" ref="U1921">IFERROR(VLOOKUP($T1921,'Nghi hoc T12'!$H$7:$I$160,2,0),0)</f>
        <v>0</v>
      </c>
      <c r="V1921" s="28" t="str">
        <f t="shared" si="162"/>
        <v>203.C11</v>
      </c>
      <c r="W1921" s="28">
        <f t="shared" si="158"/>
        <v>0</v>
      </c>
      <c r="X1921" s="333">
        <f t="shared" si="159"/>
        <v>0</v>
      </c>
      <c r="Y1921" s="333">
        <f t="shared" si="160"/>
        <v>0</v>
      </c>
    </row>
    <row r="1922" spans="1:25" s="2" customFormat="1" ht="21.95" customHeight="1">
      <c r="A1922" s="82">
        <v>5</v>
      </c>
      <c r="B1922" s="91" t="s">
        <v>3338</v>
      </c>
      <c r="C1922" s="83" t="s">
        <v>366</v>
      </c>
      <c r="D1922" s="81" t="s">
        <v>2183</v>
      </c>
      <c r="E1922" s="48">
        <v>400269</v>
      </c>
      <c r="F1922" s="30" t="s">
        <v>2343</v>
      </c>
      <c r="G1922" s="29" t="s">
        <v>68</v>
      </c>
      <c r="H1922" s="30" t="s">
        <v>2322</v>
      </c>
      <c r="I1922" s="78"/>
      <c r="J1922" s="20"/>
      <c r="K1922" s="20"/>
      <c r="L1922" s="20"/>
      <c r="M1922" s="20"/>
      <c r="N1922" s="320" t="s">
        <v>2685</v>
      </c>
      <c r="O1922" s="70">
        <v>0</v>
      </c>
      <c r="P1922" s="70">
        <v>0</v>
      </c>
      <c r="Q1922" s="70">
        <f t="shared" si="156"/>
        <v>0</v>
      </c>
      <c r="R1922" s="70"/>
      <c r="S1922" s="67"/>
      <c r="T1922" s="2" t="str">
        <f t="shared" si="157"/>
        <v>Đồng Tuấn Kiệt_11VH2</v>
      </c>
      <c r="U1922" s="28">
        <f t="array" ref="U1922">IFERROR(VLOOKUP($T1922,'Nghi hoc T12'!$H$7:$I$160,2,0),0)</f>
        <v>0</v>
      </c>
      <c r="V1922" s="28" t="str">
        <f t="shared" si="162"/>
        <v>203.C11</v>
      </c>
      <c r="W1922" s="28">
        <f t="shared" si="158"/>
        <v>0</v>
      </c>
      <c r="X1922" s="333">
        <f t="shared" si="159"/>
        <v>0</v>
      </c>
      <c r="Y1922" s="333">
        <f t="shared" si="160"/>
        <v>0</v>
      </c>
    </row>
    <row r="1923" spans="1:25" s="2" customFormat="1" ht="21.95" customHeight="1">
      <c r="A1923" s="82">
        <v>6</v>
      </c>
      <c r="B1923" s="91" t="s">
        <v>3338</v>
      </c>
      <c r="C1923" s="83" t="s">
        <v>366</v>
      </c>
      <c r="D1923" s="81" t="s">
        <v>2183</v>
      </c>
      <c r="E1923" s="48">
        <v>400270</v>
      </c>
      <c r="F1923" s="30" t="s">
        <v>2344</v>
      </c>
      <c r="G1923" s="29" t="s">
        <v>68</v>
      </c>
      <c r="H1923" s="30" t="s">
        <v>2324</v>
      </c>
      <c r="I1923" s="78"/>
      <c r="J1923" s="20"/>
      <c r="K1923" s="20"/>
      <c r="L1923" s="20"/>
      <c r="M1923" s="20"/>
      <c r="N1923" s="320" t="s">
        <v>2685</v>
      </c>
      <c r="O1923" s="70">
        <v>0</v>
      </c>
      <c r="P1923" s="70">
        <v>0</v>
      </c>
      <c r="Q1923" s="70">
        <f t="shared" si="156"/>
        <v>0</v>
      </c>
      <c r="R1923" s="70"/>
      <c r="S1923" s="67"/>
      <c r="T1923" s="2" t="str">
        <f t="shared" si="157"/>
        <v>Dương Lê Anh Kiệt_11VH1</v>
      </c>
      <c r="U1923" s="28">
        <f t="array" ref="U1923">IFERROR(VLOOKUP($T1923,'Nghi hoc T12'!$H$7:$I$160,2,0),0)</f>
        <v>0</v>
      </c>
      <c r="V1923" s="28" t="str">
        <f t="shared" si="162"/>
        <v>203.C11</v>
      </c>
      <c r="W1923" s="28">
        <f t="shared" si="158"/>
        <v>0</v>
      </c>
      <c r="X1923" s="333">
        <f t="shared" si="159"/>
        <v>0</v>
      </c>
      <c r="Y1923" s="333">
        <f t="shared" si="160"/>
        <v>0</v>
      </c>
    </row>
    <row r="1924" spans="1:25" s="2" customFormat="1" ht="21.95" customHeight="1">
      <c r="A1924" s="82">
        <v>7</v>
      </c>
      <c r="B1924" s="91" t="s">
        <v>3338</v>
      </c>
      <c r="C1924" s="83" t="s">
        <v>366</v>
      </c>
      <c r="D1924" s="81" t="s">
        <v>2183</v>
      </c>
      <c r="E1924" s="48">
        <v>400271</v>
      </c>
      <c r="F1924" s="30" t="s">
        <v>1581</v>
      </c>
      <c r="G1924" s="29" t="s">
        <v>1367</v>
      </c>
      <c r="H1924" s="30" t="s">
        <v>2324</v>
      </c>
      <c r="I1924" s="78"/>
      <c r="J1924" s="20"/>
      <c r="K1924" s="20"/>
      <c r="L1924" s="20"/>
      <c r="M1924" s="20"/>
      <c r="N1924" s="320" t="s">
        <v>2685</v>
      </c>
      <c r="O1924" s="70">
        <v>0</v>
      </c>
      <c r="P1924" s="70">
        <v>0</v>
      </c>
      <c r="Q1924" s="70">
        <f t="shared" si="156"/>
        <v>0</v>
      </c>
      <c r="R1924" s="70"/>
      <c r="S1924" s="67"/>
      <c r="T1924" s="2" t="str">
        <f t="shared" si="157"/>
        <v>Vũ Ngọc Liêm_11VH1</v>
      </c>
      <c r="U1924" s="28">
        <f t="array" ref="U1924">IFERROR(VLOOKUP($T1924,'Nghi hoc T12'!$H$7:$I$160,2,0),0)</f>
        <v>0</v>
      </c>
      <c r="V1924" s="28" t="str">
        <f t="shared" si="162"/>
        <v>203.C11</v>
      </c>
      <c r="W1924" s="28">
        <f t="shared" si="158"/>
        <v>0</v>
      </c>
      <c r="X1924" s="333">
        <f t="shared" si="159"/>
        <v>0</v>
      </c>
      <c r="Y1924" s="333">
        <f t="shared" si="160"/>
        <v>0</v>
      </c>
    </row>
    <row r="1925" spans="1:25" s="2" customFormat="1" ht="21.95" customHeight="1">
      <c r="A1925" s="82">
        <v>8</v>
      </c>
      <c r="B1925" s="91" t="s">
        <v>3338</v>
      </c>
      <c r="C1925" s="83" t="s">
        <v>366</v>
      </c>
      <c r="D1925" s="81" t="s">
        <v>2183</v>
      </c>
      <c r="E1925" s="48">
        <v>400272</v>
      </c>
      <c r="F1925" s="30" t="s">
        <v>231</v>
      </c>
      <c r="G1925" s="29" t="s">
        <v>38</v>
      </c>
      <c r="H1925" s="30" t="s">
        <v>2324</v>
      </c>
      <c r="I1925" s="78"/>
      <c r="J1925" s="20"/>
      <c r="K1925" s="20"/>
      <c r="L1925" s="20"/>
      <c r="M1925" s="20"/>
      <c r="N1925" s="320" t="s">
        <v>2685</v>
      </c>
      <c r="O1925" s="70">
        <v>0</v>
      </c>
      <c r="P1925" s="70">
        <v>0</v>
      </c>
      <c r="Q1925" s="70">
        <f t="shared" si="156"/>
        <v>0</v>
      </c>
      <c r="R1925" s="70"/>
      <c r="S1925" s="67"/>
      <c r="T1925" s="2" t="str">
        <f t="shared" si="157"/>
        <v>Nguyễn Thị Phương Linh_11VH1</v>
      </c>
      <c r="U1925" s="28">
        <f t="array" ref="U1925">IFERROR(VLOOKUP($T1925,'Nghi hoc T12'!$H$7:$I$160,2,0),0)</f>
        <v>0</v>
      </c>
      <c r="V1925" s="28" t="str">
        <f t="shared" si="162"/>
        <v>203.C11</v>
      </c>
      <c r="W1925" s="28">
        <f t="shared" si="158"/>
        <v>0</v>
      </c>
      <c r="X1925" s="333">
        <f t="shared" si="159"/>
        <v>0</v>
      </c>
      <c r="Y1925" s="333">
        <f t="shared" si="160"/>
        <v>0</v>
      </c>
    </row>
    <row r="1926" spans="1:25" s="2" customFormat="1" ht="21.95" customHeight="1">
      <c r="A1926" s="82">
        <v>9</v>
      </c>
      <c r="B1926" s="91" t="s">
        <v>3338</v>
      </c>
      <c r="C1926" s="83" t="s">
        <v>366</v>
      </c>
      <c r="D1926" s="81" t="s">
        <v>2183</v>
      </c>
      <c r="E1926" s="48">
        <v>400273</v>
      </c>
      <c r="F1926" s="30" t="s">
        <v>482</v>
      </c>
      <c r="G1926" s="29" t="s">
        <v>38</v>
      </c>
      <c r="H1926" s="30" t="s">
        <v>2322</v>
      </c>
      <c r="I1926" s="78"/>
      <c r="J1926" s="20"/>
      <c r="K1926" s="20"/>
      <c r="L1926" s="20"/>
      <c r="M1926" s="20"/>
      <c r="N1926" s="320" t="s">
        <v>2685</v>
      </c>
      <c r="O1926" s="70">
        <v>0</v>
      </c>
      <c r="P1926" s="70">
        <v>0</v>
      </c>
      <c r="Q1926" s="70">
        <f t="shared" si="156"/>
        <v>0</v>
      </c>
      <c r="R1926" s="70"/>
      <c r="S1926" s="67"/>
      <c r="T1926" s="2" t="str">
        <f t="shared" si="157"/>
        <v>Trần Nguyễn Phương Linh_11VH2</v>
      </c>
      <c r="U1926" s="28">
        <f t="array" ref="U1926">IFERROR(VLOOKUP($T1926,'Nghi hoc T12'!$H$7:$I$160,2,0),0)</f>
        <v>0</v>
      </c>
      <c r="V1926" s="28" t="str">
        <f t="shared" si="162"/>
        <v>203.C11</v>
      </c>
      <c r="W1926" s="28">
        <f t="shared" si="158"/>
        <v>0</v>
      </c>
      <c r="X1926" s="333">
        <f t="shared" si="159"/>
        <v>0</v>
      </c>
      <c r="Y1926" s="333">
        <f t="shared" si="160"/>
        <v>0</v>
      </c>
    </row>
    <row r="1927" spans="1:25" s="2" customFormat="1" ht="21.95" customHeight="1">
      <c r="A1927" s="82">
        <v>10</v>
      </c>
      <c r="B1927" s="91" t="s">
        <v>3338</v>
      </c>
      <c r="C1927" s="83" t="s">
        <v>366</v>
      </c>
      <c r="D1927" s="81" t="s">
        <v>2183</v>
      </c>
      <c r="E1927" s="48">
        <v>400274</v>
      </c>
      <c r="F1927" s="30" t="s">
        <v>2345</v>
      </c>
      <c r="G1927" s="29" t="s">
        <v>38</v>
      </c>
      <c r="H1927" s="30" t="s">
        <v>2324</v>
      </c>
      <c r="I1927" s="78"/>
      <c r="J1927" s="20"/>
      <c r="K1927" s="20"/>
      <c r="L1927" s="20"/>
      <c r="M1927" s="20"/>
      <c r="N1927" s="320" t="s">
        <v>2685</v>
      </c>
      <c r="O1927" s="70">
        <v>0</v>
      </c>
      <c r="P1927" s="70">
        <v>0</v>
      </c>
      <c r="Q1927" s="70">
        <f t="shared" si="156"/>
        <v>0</v>
      </c>
      <c r="R1927" s="70"/>
      <c r="S1927" s="67"/>
      <c r="T1927" s="2" t="str">
        <f t="shared" si="157"/>
        <v>Trần Thị Trúc Linh_11VH1</v>
      </c>
      <c r="U1927" s="28">
        <f t="array" ref="U1927">IFERROR(VLOOKUP($T1927,'Nghi hoc T12'!$H$7:$I$160,2,0),0)</f>
        <v>0</v>
      </c>
      <c r="V1927" s="28" t="str">
        <f t="shared" si="162"/>
        <v>203.C11</v>
      </c>
      <c r="W1927" s="28">
        <f t="shared" si="158"/>
        <v>0</v>
      </c>
      <c r="X1927" s="333">
        <f t="shared" si="159"/>
        <v>0</v>
      </c>
      <c r="Y1927" s="333">
        <f t="shared" si="160"/>
        <v>0</v>
      </c>
    </row>
    <row r="1928" spans="1:25" s="2" customFormat="1" ht="21.95" customHeight="1">
      <c r="A1928" s="82">
        <v>11</v>
      </c>
      <c r="B1928" s="91" t="s">
        <v>3338</v>
      </c>
      <c r="C1928" s="83" t="s">
        <v>366</v>
      </c>
      <c r="D1928" s="81" t="s">
        <v>2183</v>
      </c>
      <c r="E1928" s="48">
        <v>400275</v>
      </c>
      <c r="F1928" s="30" t="s">
        <v>2346</v>
      </c>
      <c r="G1928" s="29" t="s">
        <v>14</v>
      </c>
      <c r="H1928" s="30" t="s">
        <v>2324</v>
      </c>
      <c r="I1928" s="78"/>
      <c r="J1928" s="20"/>
      <c r="K1928" s="20"/>
      <c r="L1928" s="20"/>
      <c r="M1928" s="20"/>
      <c r="N1928" s="320" t="s">
        <v>2685</v>
      </c>
      <c r="O1928" s="70">
        <v>0</v>
      </c>
      <c r="P1928" s="70">
        <v>0</v>
      </c>
      <c r="Q1928" s="70">
        <f t="shared" si="156"/>
        <v>0</v>
      </c>
      <c r="R1928" s="70"/>
      <c r="S1928" s="67"/>
      <c r="T1928" s="2" t="str">
        <f t="shared" si="157"/>
        <v>Khương Tài Long_11VH1</v>
      </c>
      <c r="U1928" s="28">
        <f t="array" ref="U1928">IFERROR(VLOOKUP($T1928,'Nghi hoc T12'!$H$7:$I$160,2,0),0)</f>
        <v>0</v>
      </c>
      <c r="V1928" s="28" t="str">
        <f t="shared" si="162"/>
        <v>203.C11</v>
      </c>
      <c r="W1928" s="28">
        <f t="shared" si="158"/>
        <v>0</v>
      </c>
      <c r="X1928" s="333">
        <f t="shared" si="159"/>
        <v>0</v>
      </c>
      <c r="Y1928" s="333">
        <f t="shared" si="160"/>
        <v>0</v>
      </c>
    </row>
    <row r="1929" spans="1:25" s="2" customFormat="1" ht="21.95" customHeight="1">
      <c r="A1929" s="82">
        <v>12</v>
      </c>
      <c r="B1929" s="91" t="s">
        <v>3338</v>
      </c>
      <c r="C1929" s="83" t="s">
        <v>366</v>
      </c>
      <c r="D1929" s="81" t="s">
        <v>2183</v>
      </c>
      <c r="E1929" s="48">
        <v>400276</v>
      </c>
      <c r="F1929" s="30" t="s">
        <v>2347</v>
      </c>
      <c r="G1929" s="29" t="s">
        <v>14</v>
      </c>
      <c r="H1929" s="30" t="s">
        <v>2322</v>
      </c>
      <c r="I1929" s="78"/>
      <c r="J1929" s="20"/>
      <c r="K1929" s="20"/>
      <c r="L1929" s="20"/>
      <c r="M1929" s="20"/>
      <c r="N1929" s="320" t="s">
        <v>2685</v>
      </c>
      <c r="O1929" s="70">
        <v>0</v>
      </c>
      <c r="P1929" s="70">
        <v>0</v>
      </c>
      <c r="Q1929" s="70">
        <f t="shared" si="156"/>
        <v>0</v>
      </c>
      <c r="R1929" s="70"/>
      <c r="S1929" s="67"/>
      <c r="T1929" s="2" t="str">
        <f t="shared" si="157"/>
        <v>Lâm Hoàng Phi Long_11VH2</v>
      </c>
      <c r="U1929" s="28">
        <f t="array" ref="U1929">IFERROR(VLOOKUP($T1929,'Nghi hoc T12'!$H$7:$I$160,2,0),0)</f>
        <v>0</v>
      </c>
      <c r="V1929" s="28" t="str">
        <f t="shared" si="162"/>
        <v>203.C11</v>
      </c>
      <c r="W1929" s="28">
        <f t="shared" si="158"/>
        <v>0</v>
      </c>
      <c r="X1929" s="333">
        <f t="shared" si="159"/>
        <v>0</v>
      </c>
      <c r="Y1929" s="333">
        <f t="shared" si="160"/>
        <v>0</v>
      </c>
    </row>
    <row r="1930" spans="1:25" s="2" customFormat="1" ht="21.95" customHeight="1">
      <c r="A1930" s="82">
        <v>13</v>
      </c>
      <c r="B1930" s="91" t="s">
        <v>3338</v>
      </c>
      <c r="C1930" s="83" t="s">
        <v>366</v>
      </c>
      <c r="D1930" s="81" t="s">
        <v>2183</v>
      </c>
      <c r="E1930" s="48">
        <v>400277</v>
      </c>
      <c r="F1930" s="30" t="s">
        <v>1339</v>
      </c>
      <c r="G1930" s="29" t="s">
        <v>14</v>
      </c>
      <c r="H1930" s="30" t="s">
        <v>2322</v>
      </c>
      <c r="I1930" s="78"/>
      <c r="J1930" s="20"/>
      <c r="K1930" s="20"/>
      <c r="L1930" s="20"/>
      <c r="M1930" s="20"/>
      <c r="N1930" s="320" t="s">
        <v>2685</v>
      </c>
      <c r="O1930" s="70">
        <v>0</v>
      </c>
      <c r="P1930" s="70">
        <v>0</v>
      </c>
      <c r="Q1930" s="70">
        <f t="shared" ref="Q1930:Q1993" si="163">U1930</f>
        <v>0</v>
      </c>
      <c r="R1930" s="70"/>
      <c r="S1930" s="67"/>
      <c r="T1930" s="2" t="str">
        <f t="shared" ref="T1930:T1993" si="164">TRIM(F1930&amp;" "&amp;G1930&amp;"_"&amp;H1930)</f>
        <v>Nguyễn Phi Long_11VH2</v>
      </c>
      <c r="U1930" s="28">
        <f t="array" ref="U1930">IFERROR(VLOOKUP($T1930,'Nghi hoc T12'!$H$7:$I$160,2,0),0)</f>
        <v>0</v>
      </c>
      <c r="V1930" s="28" t="str">
        <f t="shared" si="162"/>
        <v>203.C11</v>
      </c>
      <c r="W1930" s="28">
        <f t="shared" ref="W1930:W1993" si="165">I1930</f>
        <v>0</v>
      </c>
      <c r="X1930" s="333">
        <f t="shared" ref="X1930:X1993" si="166">O1930</f>
        <v>0</v>
      </c>
      <c r="Y1930" s="333">
        <f t="shared" ref="Y1930:Y1993" si="167">P1930</f>
        <v>0</v>
      </c>
    </row>
    <row r="1931" spans="1:25" s="2" customFormat="1" ht="21.95" customHeight="1">
      <c r="A1931" s="82">
        <v>14</v>
      </c>
      <c r="B1931" s="91" t="s">
        <v>3338</v>
      </c>
      <c r="C1931" s="83" t="s">
        <v>366</v>
      </c>
      <c r="D1931" s="81" t="s">
        <v>2183</v>
      </c>
      <c r="E1931" s="48">
        <v>400278</v>
      </c>
      <c r="F1931" s="30" t="s">
        <v>2348</v>
      </c>
      <c r="G1931" s="29" t="s">
        <v>14</v>
      </c>
      <c r="H1931" s="30" t="s">
        <v>2324</v>
      </c>
      <c r="I1931" s="78"/>
      <c r="J1931" s="20"/>
      <c r="K1931" s="20"/>
      <c r="L1931" s="20"/>
      <c r="M1931" s="20"/>
      <c r="N1931" s="320" t="s">
        <v>2685</v>
      </c>
      <c r="O1931" s="70">
        <v>0</v>
      </c>
      <c r="P1931" s="70">
        <v>0</v>
      </c>
      <c r="Q1931" s="70">
        <f t="shared" si="163"/>
        <v>0</v>
      </c>
      <c r="R1931" s="70"/>
      <c r="S1931" s="67"/>
      <c r="T1931" s="2" t="str">
        <f t="shared" si="164"/>
        <v>Nguyễn Trần Phi Long_11VH1</v>
      </c>
      <c r="U1931" s="28">
        <f t="array" ref="U1931">IFERROR(VLOOKUP($T1931,'Nghi hoc T12'!$H$7:$I$160,2,0),0)</f>
        <v>0</v>
      </c>
      <c r="V1931" s="28" t="str">
        <f t="shared" si="162"/>
        <v>203.C11</v>
      </c>
      <c r="W1931" s="28">
        <f t="shared" si="165"/>
        <v>0</v>
      </c>
      <c r="X1931" s="333">
        <f t="shared" si="166"/>
        <v>0</v>
      </c>
      <c r="Y1931" s="333">
        <f t="shared" si="167"/>
        <v>0</v>
      </c>
    </row>
    <row r="1932" spans="1:25" s="2" customFormat="1" ht="21.95" customHeight="1">
      <c r="A1932" s="82">
        <v>15</v>
      </c>
      <c r="B1932" s="91" t="s">
        <v>3338</v>
      </c>
      <c r="C1932" s="83" t="s">
        <v>366</v>
      </c>
      <c r="D1932" s="81" t="s">
        <v>2183</v>
      </c>
      <c r="E1932" s="48">
        <v>400279</v>
      </c>
      <c r="F1932" s="30" t="s">
        <v>2349</v>
      </c>
      <c r="G1932" s="29" t="s">
        <v>153</v>
      </c>
      <c r="H1932" s="30" t="s">
        <v>2322</v>
      </c>
      <c r="I1932" s="78"/>
      <c r="J1932" s="20"/>
      <c r="K1932" s="20"/>
      <c r="L1932" s="20"/>
      <c r="M1932" s="20"/>
      <c r="N1932" s="320" t="s">
        <v>2685</v>
      </c>
      <c r="O1932" s="70">
        <v>0</v>
      </c>
      <c r="P1932" s="70">
        <v>0</v>
      </c>
      <c r="Q1932" s="70">
        <f t="shared" si="163"/>
        <v>0</v>
      </c>
      <c r="R1932" s="70"/>
      <c r="S1932" s="67"/>
      <c r="T1932" s="2" t="str">
        <f t="shared" si="164"/>
        <v>Tô Hoàng Đăng Luân_11VH2</v>
      </c>
      <c r="U1932" s="28">
        <f t="array" ref="U1932">IFERROR(VLOOKUP($T1932,'Nghi hoc T12'!$H$7:$I$160,2,0),0)</f>
        <v>0</v>
      </c>
      <c r="V1932" s="28" t="str">
        <f t="shared" si="162"/>
        <v>203.C11</v>
      </c>
      <c r="W1932" s="28">
        <f t="shared" si="165"/>
        <v>0</v>
      </c>
      <c r="X1932" s="333">
        <f t="shared" si="166"/>
        <v>0</v>
      </c>
      <c r="Y1932" s="333">
        <f t="shared" si="167"/>
        <v>0</v>
      </c>
    </row>
    <row r="1933" spans="1:25" s="2" customFormat="1" ht="21.95" customHeight="1">
      <c r="A1933" s="82">
        <v>16</v>
      </c>
      <c r="B1933" s="91" t="s">
        <v>3338</v>
      </c>
      <c r="C1933" s="83" t="s">
        <v>366</v>
      </c>
      <c r="D1933" s="81" t="s">
        <v>2183</v>
      </c>
      <c r="E1933" s="48">
        <v>400280</v>
      </c>
      <c r="F1933" s="30" t="s">
        <v>2350</v>
      </c>
      <c r="G1933" s="29" t="s">
        <v>233</v>
      </c>
      <c r="H1933" s="30" t="s">
        <v>2322</v>
      </c>
      <c r="I1933" s="78"/>
      <c r="J1933" s="20"/>
      <c r="K1933" s="20"/>
      <c r="L1933" s="20"/>
      <c r="M1933" s="20"/>
      <c r="N1933" s="320" t="s">
        <v>2685</v>
      </c>
      <c r="O1933" s="70">
        <v>0</v>
      </c>
      <c r="P1933" s="70">
        <v>0</v>
      </c>
      <c r="Q1933" s="70">
        <f t="shared" si="163"/>
        <v>0</v>
      </c>
      <c r="R1933" s="70"/>
      <c r="S1933" s="67"/>
      <c r="T1933" s="2" t="str">
        <f t="shared" si="164"/>
        <v>Doãn Văn Mạnh_11VH2</v>
      </c>
      <c r="U1933" s="28">
        <f t="array" ref="U1933">IFERROR(VLOOKUP($T1933,'Nghi hoc T12'!$H$7:$I$160,2,0),0)</f>
        <v>0</v>
      </c>
      <c r="V1933" s="28" t="str">
        <f t="shared" si="162"/>
        <v>203.C11</v>
      </c>
      <c r="W1933" s="28">
        <f t="shared" si="165"/>
        <v>0</v>
      </c>
      <c r="X1933" s="333">
        <f t="shared" si="166"/>
        <v>0</v>
      </c>
      <c r="Y1933" s="333">
        <f t="shared" si="167"/>
        <v>0</v>
      </c>
    </row>
    <row r="1934" spans="1:25" s="2" customFormat="1" ht="21.95" customHeight="1">
      <c r="A1934" s="82">
        <v>17</v>
      </c>
      <c r="B1934" s="91" t="s">
        <v>3338</v>
      </c>
      <c r="C1934" s="83" t="s">
        <v>366</v>
      </c>
      <c r="D1934" s="81" t="s">
        <v>2183</v>
      </c>
      <c r="E1934" s="48">
        <v>400281</v>
      </c>
      <c r="F1934" s="30" t="s">
        <v>2351</v>
      </c>
      <c r="G1934" s="29" t="s">
        <v>1371</v>
      </c>
      <c r="H1934" s="30" t="s">
        <v>2324</v>
      </c>
      <c r="I1934" s="78"/>
      <c r="J1934" s="20"/>
      <c r="K1934" s="20"/>
      <c r="L1934" s="20"/>
      <c r="M1934" s="20"/>
      <c r="N1934" s="320" t="s">
        <v>2685</v>
      </c>
      <c r="O1934" s="70">
        <v>0</v>
      </c>
      <c r="P1934" s="70">
        <v>0</v>
      </c>
      <c r="Q1934" s="70">
        <f t="shared" si="163"/>
        <v>0</v>
      </c>
      <c r="R1934" s="70"/>
      <c r="S1934" s="67"/>
      <c r="T1934" s="2" t="str">
        <f t="shared" si="164"/>
        <v>Dương Tuệ Mẫn_11VH1</v>
      </c>
      <c r="U1934" s="28">
        <f t="array" ref="U1934">IFERROR(VLOOKUP($T1934,'Nghi hoc T12'!$H$7:$I$160,2,0),0)</f>
        <v>0</v>
      </c>
      <c r="V1934" s="28" t="str">
        <f t="shared" si="162"/>
        <v>203.C11</v>
      </c>
      <c r="W1934" s="28">
        <f t="shared" si="165"/>
        <v>0</v>
      </c>
      <c r="X1934" s="333">
        <f t="shared" si="166"/>
        <v>0</v>
      </c>
      <c r="Y1934" s="333">
        <f t="shared" si="167"/>
        <v>0</v>
      </c>
    </row>
    <row r="1935" spans="1:25" s="2" customFormat="1" ht="21.95" customHeight="1">
      <c r="A1935" s="82">
        <v>18</v>
      </c>
      <c r="B1935" s="91" t="s">
        <v>3338</v>
      </c>
      <c r="C1935" s="83" t="s">
        <v>366</v>
      </c>
      <c r="D1935" s="81" t="s">
        <v>2183</v>
      </c>
      <c r="E1935" s="48">
        <v>400282</v>
      </c>
      <c r="F1935" s="30" t="s">
        <v>2352</v>
      </c>
      <c r="G1935" s="29" t="s">
        <v>1592</v>
      </c>
      <c r="H1935" s="30" t="s">
        <v>2322</v>
      </c>
      <c r="I1935" s="78"/>
      <c r="J1935" s="20"/>
      <c r="K1935" s="20"/>
      <c r="L1935" s="20"/>
      <c r="M1935" s="20"/>
      <c r="N1935" s="320" t="s">
        <v>2685</v>
      </c>
      <c r="O1935" s="70">
        <v>0</v>
      </c>
      <c r="P1935" s="70">
        <v>0</v>
      </c>
      <c r="Q1935" s="70">
        <f t="shared" si="163"/>
        <v>0</v>
      </c>
      <c r="R1935" s="70"/>
      <c r="S1935" s="67"/>
      <c r="T1935" s="2" t="str">
        <f t="shared" si="164"/>
        <v>Trần Ngọc Thảo Mi_11VH2</v>
      </c>
      <c r="U1935" s="28">
        <f t="array" ref="U1935">IFERROR(VLOOKUP($T1935,'Nghi hoc T12'!$H$7:$I$160,2,0),0)</f>
        <v>0</v>
      </c>
      <c r="V1935" s="28" t="str">
        <f t="shared" si="162"/>
        <v>203.C11</v>
      </c>
      <c r="W1935" s="28">
        <f t="shared" si="165"/>
        <v>0</v>
      </c>
      <c r="X1935" s="333">
        <f t="shared" si="166"/>
        <v>0</v>
      </c>
      <c r="Y1935" s="333">
        <f t="shared" si="167"/>
        <v>0</v>
      </c>
    </row>
    <row r="1936" spans="1:25" s="2" customFormat="1" ht="21.95" customHeight="1">
      <c r="A1936" s="82">
        <v>19</v>
      </c>
      <c r="B1936" s="91" t="s">
        <v>3338</v>
      </c>
      <c r="C1936" s="83" t="s">
        <v>366</v>
      </c>
      <c r="D1936" s="81" t="s">
        <v>2183</v>
      </c>
      <c r="E1936" s="48">
        <v>400283</v>
      </c>
      <c r="F1936" s="30" t="s">
        <v>2353</v>
      </c>
      <c r="G1936" s="29" t="s">
        <v>40</v>
      </c>
      <c r="H1936" s="30" t="s">
        <v>2324</v>
      </c>
      <c r="I1936" s="78"/>
      <c r="J1936" s="20"/>
      <c r="K1936" s="20"/>
      <c r="L1936" s="20"/>
      <c r="M1936" s="20"/>
      <c r="N1936" s="320" t="s">
        <v>2685</v>
      </c>
      <c r="O1936" s="70">
        <v>0</v>
      </c>
      <c r="P1936" s="70">
        <v>0</v>
      </c>
      <c r="Q1936" s="70">
        <f t="shared" si="163"/>
        <v>0</v>
      </c>
      <c r="R1936" s="70"/>
      <c r="S1936" s="67"/>
      <c r="T1936" s="2" t="str">
        <f t="shared" si="164"/>
        <v>Hứa Thị Tuyết My_11VH1</v>
      </c>
      <c r="U1936" s="28">
        <f t="array" ref="U1936">IFERROR(VLOOKUP($T1936,'Nghi hoc T12'!$H$7:$I$160,2,0),0)</f>
        <v>0</v>
      </c>
      <c r="V1936" s="28" t="str">
        <f t="shared" si="162"/>
        <v>203.C11</v>
      </c>
      <c r="W1936" s="28">
        <f t="shared" si="165"/>
        <v>0</v>
      </c>
      <c r="X1936" s="333">
        <f t="shared" si="166"/>
        <v>0</v>
      </c>
      <c r="Y1936" s="333">
        <f t="shared" si="167"/>
        <v>0</v>
      </c>
    </row>
    <row r="1937" spans="1:25" s="2" customFormat="1" ht="21.95" customHeight="1">
      <c r="A1937" s="82">
        <v>20</v>
      </c>
      <c r="B1937" s="91" t="s">
        <v>3338</v>
      </c>
      <c r="C1937" s="83" t="s">
        <v>366</v>
      </c>
      <c r="D1937" s="81" t="s">
        <v>2183</v>
      </c>
      <c r="E1937" s="48">
        <v>400284</v>
      </c>
      <c r="F1937" s="30" t="s">
        <v>2354</v>
      </c>
      <c r="G1937" s="29" t="s">
        <v>339</v>
      </c>
      <c r="H1937" s="30" t="s">
        <v>2322</v>
      </c>
      <c r="I1937" s="78"/>
      <c r="J1937" s="20"/>
      <c r="K1937" s="20"/>
      <c r="L1937" s="20"/>
      <c r="M1937" s="20"/>
      <c r="N1937" s="320" t="s">
        <v>2685</v>
      </c>
      <c r="O1937" s="70">
        <v>0</v>
      </c>
      <c r="P1937" s="70">
        <v>0</v>
      </c>
      <c r="Q1937" s="70">
        <f t="shared" si="163"/>
        <v>0</v>
      </c>
      <c r="R1937" s="70"/>
      <c r="S1937" s="67"/>
      <c r="T1937" s="2" t="str">
        <f t="shared" si="164"/>
        <v>Phạm Lê Ngọc Mỹ_11VH2</v>
      </c>
      <c r="U1937" s="28">
        <f t="array" ref="U1937">IFERROR(VLOOKUP($T1937,'Nghi hoc T12'!$H$7:$I$160,2,0),0)</f>
        <v>0</v>
      </c>
      <c r="V1937" s="28" t="str">
        <f t="shared" si="162"/>
        <v>203.C11</v>
      </c>
      <c r="W1937" s="28">
        <f t="shared" si="165"/>
        <v>0</v>
      </c>
      <c r="X1937" s="333">
        <f t="shared" si="166"/>
        <v>0</v>
      </c>
      <c r="Y1937" s="333">
        <f t="shared" si="167"/>
        <v>0</v>
      </c>
    </row>
    <row r="1938" spans="1:25" s="2" customFormat="1" ht="21.95" customHeight="1">
      <c r="A1938" s="82">
        <v>21</v>
      </c>
      <c r="B1938" s="91" t="s">
        <v>3338</v>
      </c>
      <c r="C1938" s="83" t="s">
        <v>366</v>
      </c>
      <c r="D1938" s="81" t="s">
        <v>2183</v>
      </c>
      <c r="E1938" s="48">
        <v>400285</v>
      </c>
      <c r="F1938" s="30" t="s">
        <v>2355</v>
      </c>
      <c r="G1938" s="29" t="s">
        <v>339</v>
      </c>
      <c r="H1938" s="30" t="s">
        <v>2324</v>
      </c>
      <c r="I1938" s="78"/>
      <c r="J1938" s="20"/>
      <c r="K1938" s="20"/>
      <c r="L1938" s="20"/>
      <c r="M1938" s="20"/>
      <c r="N1938" s="320" t="s">
        <v>2685</v>
      </c>
      <c r="O1938" s="70">
        <v>0</v>
      </c>
      <c r="P1938" s="70">
        <v>0</v>
      </c>
      <c r="Q1938" s="70">
        <f t="shared" si="163"/>
        <v>0</v>
      </c>
      <c r="R1938" s="70"/>
      <c r="S1938" s="67"/>
      <c r="T1938" s="2" t="str">
        <f t="shared" si="164"/>
        <v>Võ Thị Ngọc Mỹ_11VH1</v>
      </c>
      <c r="U1938" s="28">
        <f t="array" ref="U1938">IFERROR(VLOOKUP($T1938,'Nghi hoc T12'!$H$7:$I$160,2,0),0)</f>
        <v>0</v>
      </c>
      <c r="V1938" s="28" t="str">
        <f t="shared" si="162"/>
        <v>203.C11</v>
      </c>
      <c r="W1938" s="28">
        <f t="shared" si="165"/>
        <v>0</v>
      </c>
      <c r="X1938" s="333">
        <f t="shared" si="166"/>
        <v>0</v>
      </c>
      <c r="Y1938" s="333">
        <f t="shared" si="167"/>
        <v>0</v>
      </c>
    </row>
    <row r="1939" spans="1:25" s="2" customFormat="1" ht="21.95" customHeight="1">
      <c r="A1939" s="82">
        <v>22</v>
      </c>
      <c r="B1939" s="91" t="s">
        <v>3338</v>
      </c>
      <c r="C1939" s="83" t="s">
        <v>366</v>
      </c>
      <c r="D1939" s="81" t="s">
        <v>2183</v>
      </c>
      <c r="E1939" s="48">
        <v>400286</v>
      </c>
      <c r="F1939" s="30" t="s">
        <v>1139</v>
      </c>
      <c r="G1939" s="29" t="s">
        <v>17</v>
      </c>
      <c r="H1939" s="30" t="s">
        <v>2322</v>
      </c>
      <c r="I1939" s="78"/>
      <c r="J1939" s="20"/>
      <c r="K1939" s="20"/>
      <c r="L1939" s="20"/>
      <c r="M1939" s="20"/>
      <c r="N1939" s="320" t="s">
        <v>2685</v>
      </c>
      <c r="O1939" s="70">
        <v>0</v>
      </c>
      <c r="P1939" s="70">
        <v>0</v>
      </c>
      <c r="Q1939" s="70">
        <f t="shared" si="163"/>
        <v>0</v>
      </c>
      <c r="R1939" s="70"/>
      <c r="S1939" s="67"/>
      <c r="T1939" s="2" t="str">
        <f t="shared" si="164"/>
        <v>Trần Bảo Nam_11VH2</v>
      </c>
      <c r="U1939" s="28">
        <f t="array" ref="U1939">IFERROR(VLOOKUP($T1939,'Nghi hoc T12'!$H$7:$I$160,2,0),0)</f>
        <v>0</v>
      </c>
      <c r="V1939" s="28" t="str">
        <f t="shared" si="162"/>
        <v>203.C11</v>
      </c>
      <c r="W1939" s="28">
        <f t="shared" si="165"/>
        <v>0</v>
      </c>
      <c r="X1939" s="333">
        <f t="shared" si="166"/>
        <v>0</v>
      </c>
      <c r="Y1939" s="333">
        <f t="shared" si="167"/>
        <v>0</v>
      </c>
    </row>
    <row r="1940" spans="1:25" s="2" customFormat="1" ht="21.95" customHeight="1">
      <c r="A1940" s="82">
        <v>23</v>
      </c>
      <c r="B1940" s="91" t="s">
        <v>3338</v>
      </c>
      <c r="C1940" s="83" t="s">
        <v>366</v>
      </c>
      <c r="D1940" s="81" t="s">
        <v>2183</v>
      </c>
      <c r="E1940" s="48">
        <v>400287</v>
      </c>
      <c r="F1940" s="30" t="s">
        <v>2356</v>
      </c>
      <c r="G1940" s="29" t="s">
        <v>18</v>
      </c>
      <c r="H1940" s="30" t="s">
        <v>2324</v>
      </c>
      <c r="I1940" s="78"/>
      <c r="J1940" s="20"/>
      <c r="K1940" s="20"/>
      <c r="L1940" s="20"/>
      <c r="M1940" s="20"/>
      <c r="N1940" s="320" t="s">
        <v>2685</v>
      </c>
      <c r="O1940" s="70">
        <v>0</v>
      </c>
      <c r="P1940" s="70">
        <v>0</v>
      </c>
      <c r="Q1940" s="70">
        <f t="shared" si="163"/>
        <v>0</v>
      </c>
      <c r="R1940" s="70"/>
      <c r="S1940" s="67"/>
      <c r="T1940" s="2" t="str">
        <f t="shared" si="164"/>
        <v>Lê Hoàng Kim Ngân_11VH1</v>
      </c>
      <c r="U1940" s="28">
        <f t="array" ref="U1940">IFERROR(VLOOKUP($T1940,'Nghi hoc T12'!$H$7:$I$160,2,0),0)</f>
        <v>0</v>
      </c>
      <c r="V1940" s="28" t="str">
        <f t="shared" si="162"/>
        <v>203.C11</v>
      </c>
      <c r="W1940" s="28">
        <f t="shared" si="165"/>
        <v>0</v>
      </c>
      <c r="X1940" s="333">
        <f t="shared" si="166"/>
        <v>0</v>
      </c>
      <c r="Y1940" s="333">
        <f t="shared" si="167"/>
        <v>0</v>
      </c>
    </row>
    <row r="1941" spans="1:25" s="2" customFormat="1" ht="21.95" customHeight="1">
      <c r="A1941" s="82">
        <v>24</v>
      </c>
      <c r="B1941" s="91" t="s">
        <v>3338</v>
      </c>
      <c r="C1941" s="83" t="s">
        <v>366</v>
      </c>
      <c r="D1941" s="81" t="s">
        <v>2183</v>
      </c>
      <c r="E1941" s="48">
        <v>400288</v>
      </c>
      <c r="F1941" s="30" t="s">
        <v>2357</v>
      </c>
      <c r="G1941" s="29" t="s">
        <v>18</v>
      </c>
      <c r="H1941" s="30" t="s">
        <v>2322</v>
      </c>
      <c r="I1941" s="78"/>
      <c r="J1941" s="20"/>
      <c r="K1941" s="20"/>
      <c r="L1941" s="20"/>
      <c r="M1941" s="20"/>
      <c r="N1941" s="320" t="s">
        <v>2685</v>
      </c>
      <c r="O1941" s="70">
        <v>0</v>
      </c>
      <c r="P1941" s="70">
        <v>0</v>
      </c>
      <c r="Q1941" s="70">
        <f t="shared" si="163"/>
        <v>0</v>
      </c>
      <c r="R1941" s="70"/>
      <c r="S1941" s="67"/>
      <c r="T1941" s="2" t="str">
        <f t="shared" si="164"/>
        <v>Nguyễn Trần Quỳnh Ngân_11VH2</v>
      </c>
      <c r="U1941" s="28">
        <f t="array" ref="U1941">IFERROR(VLOOKUP($T1941,'Nghi hoc T12'!$H$7:$I$160,2,0),0)</f>
        <v>0</v>
      </c>
      <c r="V1941" s="28" t="str">
        <f t="shared" si="162"/>
        <v>203.C11</v>
      </c>
      <c r="W1941" s="28">
        <f t="shared" si="165"/>
        <v>0</v>
      </c>
      <c r="X1941" s="333">
        <f t="shared" si="166"/>
        <v>0</v>
      </c>
      <c r="Y1941" s="333">
        <f t="shared" si="167"/>
        <v>0</v>
      </c>
    </row>
    <row r="1942" spans="1:25" s="2" customFormat="1" ht="21.95" customHeight="1">
      <c r="A1942" s="82">
        <v>25</v>
      </c>
      <c r="B1942" s="91" t="s">
        <v>3338</v>
      </c>
      <c r="C1942" s="83" t="s">
        <v>366</v>
      </c>
      <c r="D1942" s="81" t="s">
        <v>2183</v>
      </c>
      <c r="E1942" s="48">
        <v>400289</v>
      </c>
      <c r="F1942" s="30" t="s">
        <v>2358</v>
      </c>
      <c r="G1942" s="29" t="s">
        <v>18</v>
      </c>
      <c r="H1942" s="30" t="s">
        <v>2322</v>
      </c>
      <c r="I1942" s="78"/>
      <c r="J1942" s="20"/>
      <c r="K1942" s="20"/>
      <c r="L1942" s="20"/>
      <c r="M1942" s="20"/>
      <c r="N1942" s="320" t="s">
        <v>2685</v>
      </c>
      <c r="O1942" s="70">
        <v>0</v>
      </c>
      <c r="P1942" s="70">
        <v>0</v>
      </c>
      <c r="Q1942" s="70">
        <f t="shared" si="163"/>
        <v>0</v>
      </c>
      <c r="R1942" s="70"/>
      <c r="S1942" s="67"/>
      <c r="T1942" s="2" t="str">
        <f t="shared" si="164"/>
        <v>Phan Thị Bích Ngân_11VH2</v>
      </c>
      <c r="U1942" s="28">
        <f t="array" ref="U1942">IFERROR(VLOOKUP($T1942,'Nghi hoc T12'!$H$7:$I$160,2,0),0)</f>
        <v>0</v>
      </c>
      <c r="V1942" s="28" t="str">
        <f t="shared" si="162"/>
        <v>203.C11</v>
      </c>
      <c r="W1942" s="28">
        <f t="shared" si="165"/>
        <v>0</v>
      </c>
      <c r="X1942" s="333">
        <f t="shared" si="166"/>
        <v>0</v>
      </c>
      <c r="Y1942" s="333">
        <f t="shared" si="167"/>
        <v>0</v>
      </c>
    </row>
    <row r="1943" spans="1:25" s="2" customFormat="1" ht="21.95" customHeight="1">
      <c r="A1943" s="82">
        <v>26</v>
      </c>
      <c r="B1943" s="91" t="s">
        <v>3338</v>
      </c>
      <c r="C1943" s="83" t="s">
        <v>366</v>
      </c>
      <c r="D1943" s="81" t="s">
        <v>2183</v>
      </c>
      <c r="E1943" s="48">
        <v>400290</v>
      </c>
      <c r="F1943" s="30" t="s">
        <v>2359</v>
      </c>
      <c r="G1943" s="29" t="s">
        <v>96</v>
      </c>
      <c r="H1943" s="30" t="s">
        <v>2324</v>
      </c>
      <c r="I1943" s="78"/>
      <c r="J1943" s="20"/>
      <c r="K1943" s="20"/>
      <c r="L1943" s="20"/>
      <c r="M1943" s="20"/>
      <c r="N1943" s="320" t="s">
        <v>2685</v>
      </c>
      <c r="O1943" s="70">
        <v>0</v>
      </c>
      <c r="P1943" s="70">
        <v>0</v>
      </c>
      <c r="Q1943" s="70">
        <f t="shared" si="163"/>
        <v>0</v>
      </c>
      <c r="R1943" s="70"/>
      <c r="S1943" s="67"/>
      <c r="T1943" s="2" t="str">
        <f t="shared" si="164"/>
        <v>Lê Trọng Nghĩa_11VH1</v>
      </c>
      <c r="U1943" s="28">
        <f t="array" ref="U1943">IFERROR(VLOOKUP($T1943,'Nghi hoc T12'!$H$7:$I$160,2,0),0)</f>
        <v>0</v>
      </c>
      <c r="V1943" s="28" t="str">
        <f t="shared" si="162"/>
        <v>203.C11</v>
      </c>
      <c r="W1943" s="28">
        <f t="shared" si="165"/>
        <v>0</v>
      </c>
      <c r="X1943" s="333">
        <f t="shared" si="166"/>
        <v>0</v>
      </c>
      <c r="Y1943" s="333">
        <f t="shared" si="167"/>
        <v>0</v>
      </c>
    </row>
    <row r="1944" spans="1:25" s="2" customFormat="1" ht="21.95" customHeight="1">
      <c r="A1944" s="82">
        <v>27</v>
      </c>
      <c r="B1944" s="91" t="s">
        <v>3338</v>
      </c>
      <c r="C1944" s="83" t="s">
        <v>366</v>
      </c>
      <c r="D1944" s="81" t="s">
        <v>2183</v>
      </c>
      <c r="E1944" s="48">
        <v>400291</v>
      </c>
      <c r="F1944" s="30" t="s">
        <v>2360</v>
      </c>
      <c r="G1944" s="29" t="s">
        <v>19</v>
      </c>
      <c r="H1944" s="30" t="s">
        <v>2324</v>
      </c>
      <c r="I1944" s="78"/>
      <c r="J1944" s="20"/>
      <c r="K1944" s="20"/>
      <c r="L1944" s="20"/>
      <c r="M1944" s="20"/>
      <c r="N1944" s="320" t="s">
        <v>2685</v>
      </c>
      <c r="O1944" s="70">
        <v>0</v>
      </c>
      <c r="P1944" s="70">
        <v>0</v>
      </c>
      <c r="Q1944" s="70">
        <f t="shared" si="163"/>
        <v>0</v>
      </c>
      <c r="R1944" s="70"/>
      <c r="S1944" s="67"/>
      <c r="T1944" s="2" t="str">
        <f t="shared" si="164"/>
        <v>Nguyễn Kiêm Bích Ngọc_11VH1</v>
      </c>
      <c r="U1944" s="28">
        <f t="array" ref="U1944">IFERROR(VLOOKUP($T1944,'Nghi hoc T12'!$H$7:$I$160,2,0),0)</f>
        <v>0</v>
      </c>
      <c r="V1944" s="28" t="str">
        <f t="shared" si="162"/>
        <v>203.C11</v>
      </c>
      <c r="W1944" s="28">
        <f t="shared" si="165"/>
        <v>0</v>
      </c>
      <c r="X1944" s="333">
        <f t="shared" si="166"/>
        <v>0</v>
      </c>
      <c r="Y1944" s="333">
        <f t="shared" si="167"/>
        <v>0</v>
      </c>
    </row>
    <row r="1945" spans="1:25" s="2" customFormat="1" ht="21.95" customHeight="1">
      <c r="A1945" s="82">
        <v>28</v>
      </c>
      <c r="B1945" s="91" t="s">
        <v>3338</v>
      </c>
      <c r="C1945" s="83" t="s">
        <v>366</v>
      </c>
      <c r="D1945" s="81" t="s">
        <v>2183</v>
      </c>
      <c r="E1945" s="48">
        <v>400292</v>
      </c>
      <c r="F1945" s="30" t="s">
        <v>1274</v>
      </c>
      <c r="G1945" s="29" t="s">
        <v>102</v>
      </c>
      <c r="H1945" s="30" t="s">
        <v>2324</v>
      </c>
      <c r="I1945" s="78" t="s">
        <v>529</v>
      </c>
      <c r="J1945" s="20"/>
      <c r="K1945" s="20"/>
      <c r="L1945" s="20"/>
      <c r="M1945" s="20"/>
      <c r="N1945" s="320" t="s">
        <v>2685</v>
      </c>
      <c r="O1945" s="70">
        <v>0</v>
      </c>
      <c r="P1945" s="70">
        <v>0</v>
      </c>
      <c r="Q1945" s="70" t="s">
        <v>3334</v>
      </c>
      <c r="R1945" s="70"/>
      <c r="S1945" s="67"/>
      <c r="T1945" s="2" t="str">
        <f t="shared" si="164"/>
        <v>Hồ Minh Nhân_11VH1</v>
      </c>
      <c r="U1945" s="28">
        <f t="array" ref="U1945">IFERROR(VLOOKUP($T1945,'Nghi hoc T12'!$H$7:$I$160,2,0),0)</f>
        <v>0</v>
      </c>
      <c r="V1945" s="28" t="str">
        <f t="shared" si="162"/>
        <v>203.C11</v>
      </c>
      <c r="W1945" s="28" t="str">
        <f t="shared" si="165"/>
        <v>Nghỉ học</v>
      </c>
      <c r="X1945" s="333">
        <f t="shared" si="166"/>
        <v>0</v>
      </c>
      <c r="Y1945" s="333">
        <f t="shared" si="167"/>
        <v>0</v>
      </c>
    </row>
    <row r="1946" spans="1:25" s="2" customFormat="1" ht="21.95" customHeight="1">
      <c r="A1946" s="321">
        <v>1</v>
      </c>
      <c r="B1946" s="91" t="s">
        <v>3339</v>
      </c>
      <c r="C1946" s="185" t="s">
        <v>366</v>
      </c>
      <c r="D1946" s="186" t="s">
        <v>2203</v>
      </c>
      <c r="E1946" s="187">
        <v>400293</v>
      </c>
      <c r="F1946" s="188" t="s">
        <v>2361</v>
      </c>
      <c r="G1946" s="189" t="s">
        <v>102</v>
      </c>
      <c r="H1946" s="188" t="s">
        <v>2322</v>
      </c>
      <c r="I1946" s="190"/>
      <c r="J1946" s="191"/>
      <c r="K1946" s="191"/>
      <c r="L1946" s="191"/>
      <c r="M1946" s="191"/>
      <c r="N1946" s="320" t="s">
        <v>2685</v>
      </c>
      <c r="O1946" s="70">
        <v>0</v>
      </c>
      <c r="P1946" s="70">
        <v>0</v>
      </c>
      <c r="Q1946" s="70">
        <f t="shared" si="163"/>
        <v>0</v>
      </c>
      <c r="R1946" s="70"/>
      <c r="S1946" s="67"/>
      <c r="T1946" s="2" t="str">
        <f t="shared" si="164"/>
        <v>Nguyễn Phạm Hoàng Nhân_11VH2</v>
      </c>
      <c r="U1946" s="28">
        <f t="array" ref="U1946">IFERROR(VLOOKUP($T1946,'Nghi hoc T12'!$H$7:$I$160,2,0),0)</f>
        <v>0</v>
      </c>
      <c r="V1946" s="28" t="str">
        <f t="shared" si="162"/>
        <v>204.C11</v>
      </c>
      <c r="W1946" s="28">
        <f t="shared" si="165"/>
        <v>0</v>
      </c>
      <c r="X1946" s="333">
        <f t="shared" si="166"/>
        <v>0</v>
      </c>
      <c r="Y1946" s="333">
        <f t="shared" si="167"/>
        <v>0</v>
      </c>
    </row>
    <row r="1947" spans="1:25" s="2" customFormat="1" ht="21.95" customHeight="1">
      <c r="A1947" s="82">
        <v>2</v>
      </c>
      <c r="B1947" s="91" t="s">
        <v>3339</v>
      </c>
      <c r="C1947" s="83" t="s">
        <v>366</v>
      </c>
      <c r="D1947" s="81" t="s">
        <v>2203</v>
      </c>
      <c r="E1947" s="48">
        <v>400294</v>
      </c>
      <c r="F1947" s="30" t="s">
        <v>160</v>
      </c>
      <c r="G1947" s="29" t="s">
        <v>102</v>
      </c>
      <c r="H1947" s="30" t="s">
        <v>2324</v>
      </c>
      <c r="I1947" s="78"/>
      <c r="J1947" s="20"/>
      <c r="K1947" s="20"/>
      <c r="L1947" s="20"/>
      <c r="M1947" s="20"/>
      <c r="N1947" s="320" t="s">
        <v>2685</v>
      </c>
      <c r="O1947" s="70">
        <v>0</v>
      </c>
      <c r="P1947" s="70">
        <v>0</v>
      </c>
      <c r="Q1947" s="70">
        <f t="shared" si="163"/>
        <v>0</v>
      </c>
      <c r="R1947" s="70"/>
      <c r="S1947" s="67"/>
      <c r="T1947" s="2" t="str">
        <f t="shared" si="164"/>
        <v>Nguyễn Thành Nhân_11VH1</v>
      </c>
      <c r="U1947" s="28">
        <f t="array" ref="U1947">IFERROR(VLOOKUP($T1947,'Nghi hoc T12'!$H$7:$I$160,2,0),0)</f>
        <v>0</v>
      </c>
      <c r="V1947" s="28" t="str">
        <f t="shared" si="162"/>
        <v>204.C11</v>
      </c>
      <c r="W1947" s="28">
        <f t="shared" si="165"/>
        <v>0</v>
      </c>
      <c r="X1947" s="333">
        <f t="shared" si="166"/>
        <v>0</v>
      </c>
      <c r="Y1947" s="333">
        <f t="shared" si="167"/>
        <v>0</v>
      </c>
    </row>
    <row r="1948" spans="1:25" s="2" customFormat="1" ht="21.95" customHeight="1">
      <c r="A1948" s="82">
        <v>3</v>
      </c>
      <c r="B1948" s="91" t="s">
        <v>3339</v>
      </c>
      <c r="C1948" s="83" t="s">
        <v>366</v>
      </c>
      <c r="D1948" s="81" t="s">
        <v>2203</v>
      </c>
      <c r="E1948" s="48">
        <v>400295</v>
      </c>
      <c r="F1948" s="30" t="s">
        <v>1721</v>
      </c>
      <c r="G1948" s="29" t="s">
        <v>21</v>
      </c>
      <c r="H1948" s="30" t="s">
        <v>2324</v>
      </c>
      <c r="I1948" s="78"/>
      <c r="J1948" s="20"/>
      <c r="K1948" s="20"/>
      <c r="L1948" s="20"/>
      <c r="M1948" s="20"/>
      <c r="N1948" s="320" t="s">
        <v>2685</v>
      </c>
      <c r="O1948" s="70">
        <v>0</v>
      </c>
      <c r="P1948" s="70">
        <v>0</v>
      </c>
      <c r="Q1948" s="70">
        <f t="shared" si="163"/>
        <v>0</v>
      </c>
      <c r="R1948" s="70"/>
      <c r="S1948" s="67"/>
      <c r="T1948" s="2" t="str">
        <f t="shared" si="164"/>
        <v>Huỳnh Như_11VH1</v>
      </c>
      <c r="U1948" s="28">
        <f t="array" ref="U1948">IFERROR(VLOOKUP($T1948,'Nghi hoc T12'!$H$7:$I$160,2,0),0)</f>
        <v>0</v>
      </c>
      <c r="V1948" s="28" t="str">
        <f t="shared" si="162"/>
        <v>204.C11</v>
      </c>
      <c r="W1948" s="28">
        <f t="shared" si="165"/>
        <v>0</v>
      </c>
      <c r="X1948" s="333">
        <f t="shared" si="166"/>
        <v>0</v>
      </c>
      <c r="Y1948" s="333">
        <f t="shared" si="167"/>
        <v>0</v>
      </c>
    </row>
    <row r="1949" spans="1:25" s="2" customFormat="1" ht="21.95" customHeight="1">
      <c r="A1949" s="82">
        <v>4</v>
      </c>
      <c r="B1949" s="91" t="s">
        <v>3339</v>
      </c>
      <c r="C1949" s="83" t="s">
        <v>366</v>
      </c>
      <c r="D1949" s="81" t="s">
        <v>2203</v>
      </c>
      <c r="E1949" s="48">
        <v>400296</v>
      </c>
      <c r="F1949" s="30" t="s">
        <v>2362</v>
      </c>
      <c r="G1949" s="29" t="s">
        <v>42</v>
      </c>
      <c r="H1949" s="30" t="s">
        <v>2324</v>
      </c>
      <c r="I1949" s="78"/>
      <c r="J1949" s="20"/>
      <c r="K1949" s="20"/>
      <c r="L1949" s="20"/>
      <c r="M1949" s="20"/>
      <c r="N1949" s="320" t="s">
        <v>2685</v>
      </c>
      <c r="O1949" s="70">
        <v>0</v>
      </c>
      <c r="P1949" s="70">
        <v>0</v>
      </c>
      <c r="Q1949" s="70">
        <f t="shared" si="163"/>
        <v>0</v>
      </c>
      <c r="R1949" s="70"/>
      <c r="S1949" s="67"/>
      <c r="T1949" s="2" t="str">
        <f t="shared" si="164"/>
        <v>Trương Tấn Phát_11VH1</v>
      </c>
      <c r="U1949" s="28">
        <f t="array" ref="U1949">IFERROR(VLOOKUP($T1949,'Nghi hoc T12'!$H$7:$I$160,2,0),0)</f>
        <v>0</v>
      </c>
      <c r="V1949" s="28" t="str">
        <f t="shared" si="162"/>
        <v>204.C11</v>
      </c>
      <c r="W1949" s="28">
        <f t="shared" si="165"/>
        <v>0</v>
      </c>
      <c r="X1949" s="333">
        <f t="shared" si="166"/>
        <v>0</v>
      </c>
      <c r="Y1949" s="333">
        <f t="shared" si="167"/>
        <v>0</v>
      </c>
    </row>
    <row r="1950" spans="1:25" s="2" customFormat="1" ht="21.95" customHeight="1">
      <c r="A1950" s="82">
        <v>5</v>
      </c>
      <c r="B1950" s="91" t="s">
        <v>3339</v>
      </c>
      <c r="C1950" s="83" t="s">
        <v>366</v>
      </c>
      <c r="D1950" s="81" t="s">
        <v>2203</v>
      </c>
      <c r="E1950" s="48">
        <v>400297</v>
      </c>
      <c r="F1950" s="30" t="s">
        <v>151</v>
      </c>
      <c r="G1950" s="29" t="s">
        <v>70</v>
      </c>
      <c r="H1950" s="30" t="s">
        <v>2324</v>
      </c>
      <c r="I1950" s="78"/>
      <c r="J1950" s="20"/>
      <c r="K1950" s="20"/>
      <c r="L1950" s="20"/>
      <c r="M1950" s="20"/>
      <c r="N1950" s="320" t="s">
        <v>2685</v>
      </c>
      <c r="O1950" s="70">
        <v>0</v>
      </c>
      <c r="P1950" s="70">
        <v>0</v>
      </c>
      <c r="Q1950" s="70">
        <f t="shared" si="163"/>
        <v>0</v>
      </c>
      <c r="R1950" s="70"/>
      <c r="S1950" s="67"/>
      <c r="T1950" s="2" t="str">
        <f t="shared" si="164"/>
        <v>Nguyễn Hoàng Phong_11VH1</v>
      </c>
      <c r="U1950" s="28">
        <f t="array" ref="U1950">IFERROR(VLOOKUP($T1950,'Nghi hoc T12'!$H$7:$I$160,2,0),0)</f>
        <v>0</v>
      </c>
      <c r="V1950" s="28" t="str">
        <f t="shared" si="162"/>
        <v>204.C11</v>
      </c>
      <c r="W1950" s="28">
        <f t="shared" si="165"/>
        <v>0</v>
      </c>
      <c r="X1950" s="333">
        <f t="shared" si="166"/>
        <v>0</v>
      </c>
      <c r="Y1950" s="333">
        <f t="shared" si="167"/>
        <v>0</v>
      </c>
    </row>
    <row r="1951" spans="1:25" s="2" customFormat="1" ht="21.95" customHeight="1">
      <c r="A1951" s="82">
        <v>6</v>
      </c>
      <c r="B1951" s="91" t="s">
        <v>3339</v>
      </c>
      <c r="C1951" s="83" t="s">
        <v>366</v>
      </c>
      <c r="D1951" s="81" t="s">
        <v>2203</v>
      </c>
      <c r="E1951" s="48">
        <v>400298</v>
      </c>
      <c r="F1951" s="30" t="s">
        <v>167</v>
      </c>
      <c r="G1951" s="29" t="s">
        <v>70</v>
      </c>
      <c r="H1951" s="30" t="s">
        <v>2322</v>
      </c>
      <c r="I1951" s="78"/>
      <c r="J1951" s="20"/>
      <c r="K1951" s="20"/>
      <c r="L1951" s="20"/>
      <c r="M1951" s="20"/>
      <c r="N1951" s="320" t="s">
        <v>2685</v>
      </c>
      <c r="O1951" s="70">
        <v>0</v>
      </c>
      <c r="P1951" s="70">
        <v>0</v>
      </c>
      <c r="Q1951" s="70">
        <f t="shared" si="163"/>
        <v>0</v>
      </c>
      <c r="R1951" s="70"/>
      <c r="S1951" s="67"/>
      <c r="T1951" s="2" t="str">
        <f t="shared" si="164"/>
        <v>Trần Thanh Phong_11VH2</v>
      </c>
      <c r="U1951" s="28">
        <f t="array" ref="U1951">IFERROR(VLOOKUP($T1951,'Nghi hoc T12'!$H$7:$I$160,2,0),0)</f>
        <v>0</v>
      </c>
      <c r="V1951" s="28" t="str">
        <f t="shared" si="162"/>
        <v>204.C11</v>
      </c>
      <c r="W1951" s="28">
        <f t="shared" si="165"/>
        <v>0</v>
      </c>
      <c r="X1951" s="333">
        <f t="shared" si="166"/>
        <v>0</v>
      </c>
      <c r="Y1951" s="333">
        <f t="shared" si="167"/>
        <v>0</v>
      </c>
    </row>
    <row r="1952" spans="1:25" s="2" customFormat="1" ht="21.95" customHeight="1">
      <c r="A1952" s="82">
        <v>7</v>
      </c>
      <c r="B1952" s="91" t="s">
        <v>3339</v>
      </c>
      <c r="C1952" s="83" t="s">
        <v>366</v>
      </c>
      <c r="D1952" s="81" t="s">
        <v>2203</v>
      </c>
      <c r="E1952" s="48">
        <v>400299</v>
      </c>
      <c r="F1952" s="30" t="s">
        <v>176</v>
      </c>
      <c r="G1952" s="29" t="s">
        <v>103</v>
      </c>
      <c r="H1952" s="30" t="s">
        <v>2322</v>
      </c>
      <c r="I1952" s="78"/>
      <c r="J1952" s="20"/>
      <c r="K1952" s="20"/>
      <c r="L1952" s="20"/>
      <c r="M1952" s="20"/>
      <c r="N1952" s="320" t="s">
        <v>2685</v>
      </c>
      <c r="O1952" s="70">
        <v>0</v>
      </c>
      <c r="P1952" s="70">
        <v>0</v>
      </c>
      <c r="Q1952" s="70">
        <f t="shared" si="163"/>
        <v>0</v>
      </c>
      <c r="R1952" s="70"/>
      <c r="S1952" s="67"/>
      <c r="T1952" s="2" t="str">
        <f t="shared" si="164"/>
        <v>Trần Đức Phú_11VH2</v>
      </c>
      <c r="U1952" s="28">
        <f t="array" ref="U1952">IFERROR(VLOOKUP($T1952,'Nghi hoc T12'!$H$7:$I$160,2,0),0)</f>
        <v>0</v>
      </c>
      <c r="V1952" s="28" t="str">
        <f t="shared" si="162"/>
        <v>204.C11</v>
      </c>
      <c r="W1952" s="28">
        <f t="shared" si="165"/>
        <v>0</v>
      </c>
      <c r="X1952" s="333">
        <f t="shared" si="166"/>
        <v>0</v>
      </c>
      <c r="Y1952" s="333">
        <f t="shared" si="167"/>
        <v>0</v>
      </c>
    </row>
    <row r="1953" spans="1:25" s="2" customFormat="1" ht="21.95" customHeight="1">
      <c r="A1953" s="82">
        <v>8</v>
      </c>
      <c r="B1953" s="91" t="s">
        <v>3339</v>
      </c>
      <c r="C1953" s="83" t="s">
        <v>366</v>
      </c>
      <c r="D1953" s="81" t="s">
        <v>2203</v>
      </c>
      <c r="E1953" s="48">
        <v>400300</v>
      </c>
      <c r="F1953" s="30" t="s">
        <v>2363</v>
      </c>
      <c r="G1953" s="29" t="s">
        <v>71</v>
      </c>
      <c r="H1953" s="30" t="s">
        <v>2324</v>
      </c>
      <c r="I1953" s="78"/>
      <c r="J1953" s="20"/>
      <c r="K1953" s="20"/>
      <c r="L1953" s="20"/>
      <c r="M1953" s="20"/>
      <c r="N1953" s="320" t="s">
        <v>2685</v>
      </c>
      <c r="O1953" s="70">
        <v>0</v>
      </c>
      <c r="P1953" s="70">
        <v>0</v>
      </c>
      <c r="Q1953" s="70">
        <f t="shared" si="163"/>
        <v>0</v>
      </c>
      <c r="R1953" s="70"/>
      <c r="S1953" s="67"/>
      <c r="T1953" s="2" t="str">
        <f t="shared" si="164"/>
        <v>Thân Hoàng Thiên Phúc_11VH1</v>
      </c>
      <c r="U1953" s="28">
        <f t="array" ref="U1953">IFERROR(VLOOKUP($T1953,'Nghi hoc T12'!$H$7:$I$160,2,0),0)</f>
        <v>0</v>
      </c>
      <c r="V1953" s="28" t="str">
        <f t="shared" si="162"/>
        <v>204.C11</v>
      </c>
      <c r="W1953" s="28">
        <f t="shared" si="165"/>
        <v>0</v>
      </c>
      <c r="X1953" s="333">
        <f t="shared" si="166"/>
        <v>0</v>
      </c>
      <c r="Y1953" s="333">
        <f t="shared" si="167"/>
        <v>0</v>
      </c>
    </row>
    <row r="1954" spans="1:25" s="2" customFormat="1" ht="21.95" customHeight="1">
      <c r="A1954" s="82">
        <v>9</v>
      </c>
      <c r="B1954" s="91" t="s">
        <v>3339</v>
      </c>
      <c r="C1954" s="83" t="s">
        <v>366</v>
      </c>
      <c r="D1954" s="81" t="s">
        <v>2203</v>
      </c>
      <c r="E1954" s="48">
        <v>400301</v>
      </c>
      <c r="F1954" s="30" t="s">
        <v>2364</v>
      </c>
      <c r="G1954" s="29" t="s">
        <v>71</v>
      </c>
      <c r="H1954" s="30" t="s">
        <v>2322</v>
      </c>
      <c r="I1954" s="78"/>
      <c r="J1954" s="20"/>
      <c r="K1954" s="20"/>
      <c r="L1954" s="20"/>
      <c r="M1954" s="20"/>
      <c r="N1954" s="320" t="s">
        <v>2685</v>
      </c>
      <c r="O1954" s="70">
        <v>0</v>
      </c>
      <c r="P1954" s="70">
        <v>0</v>
      </c>
      <c r="Q1954" s="70">
        <f t="shared" si="163"/>
        <v>0</v>
      </c>
      <c r="R1954" s="70"/>
      <c r="S1954" s="67"/>
      <c r="T1954" s="2" t="str">
        <f t="shared" si="164"/>
        <v>Tô Bảo Phúc_11VH2</v>
      </c>
      <c r="U1954" s="28">
        <f t="array" ref="U1954">IFERROR(VLOOKUP($T1954,'Nghi hoc T12'!$H$7:$I$160,2,0),0)</f>
        <v>0</v>
      </c>
      <c r="V1954" s="28" t="str">
        <f t="shared" si="162"/>
        <v>204.C11</v>
      </c>
      <c r="W1954" s="28">
        <f t="shared" si="165"/>
        <v>0</v>
      </c>
      <c r="X1954" s="333">
        <f t="shared" si="166"/>
        <v>0</v>
      </c>
      <c r="Y1954" s="333">
        <f t="shared" si="167"/>
        <v>0</v>
      </c>
    </row>
    <row r="1955" spans="1:25" s="2" customFormat="1" ht="21.95" customHeight="1">
      <c r="A1955" s="82">
        <v>10</v>
      </c>
      <c r="B1955" s="91" t="s">
        <v>3339</v>
      </c>
      <c r="C1955" s="83" t="s">
        <v>366</v>
      </c>
      <c r="D1955" s="81" t="s">
        <v>2203</v>
      </c>
      <c r="E1955" s="48">
        <v>400302</v>
      </c>
      <c r="F1955" s="30" t="s">
        <v>2365</v>
      </c>
      <c r="G1955" s="29" t="s">
        <v>1537</v>
      </c>
      <c r="H1955" s="30" t="s">
        <v>2322</v>
      </c>
      <c r="I1955" s="78"/>
      <c r="J1955" s="20"/>
      <c r="K1955" s="20"/>
      <c r="L1955" s="20"/>
      <c r="M1955" s="20"/>
      <c r="N1955" s="320" t="s">
        <v>2685</v>
      </c>
      <c r="O1955" s="70">
        <v>0</v>
      </c>
      <c r="P1955" s="70">
        <v>0</v>
      </c>
      <c r="Q1955" s="70">
        <f t="shared" si="163"/>
        <v>0</v>
      </c>
      <c r="R1955" s="70"/>
      <c r="S1955" s="67"/>
      <c r="T1955" s="2" t="str">
        <f t="shared" si="164"/>
        <v>Trần Hoàng Ánh Phụng_11VH2</v>
      </c>
      <c r="U1955" s="28">
        <f t="array" ref="U1955">IFERROR(VLOOKUP($T1955,'Nghi hoc T12'!$H$7:$I$160,2,0),0)</f>
        <v>0</v>
      </c>
      <c r="V1955" s="28" t="str">
        <f t="shared" ref="V1955:V2018" si="168">B1955&amp;1</f>
        <v>204.C11</v>
      </c>
      <c r="W1955" s="28">
        <f t="shared" si="165"/>
        <v>0</v>
      </c>
      <c r="X1955" s="333">
        <f t="shared" si="166"/>
        <v>0</v>
      </c>
      <c r="Y1955" s="333">
        <f t="shared" si="167"/>
        <v>0</v>
      </c>
    </row>
    <row r="1956" spans="1:25" s="2" customFormat="1" ht="21.95" customHeight="1">
      <c r="A1956" s="82">
        <v>11</v>
      </c>
      <c r="B1956" s="91" t="s">
        <v>3339</v>
      </c>
      <c r="C1956" s="83" t="s">
        <v>366</v>
      </c>
      <c r="D1956" s="81" t="s">
        <v>2203</v>
      </c>
      <c r="E1956" s="48">
        <v>400303</v>
      </c>
      <c r="F1956" s="30" t="s">
        <v>2366</v>
      </c>
      <c r="G1956" s="29" t="s">
        <v>284</v>
      </c>
      <c r="H1956" s="30" t="s">
        <v>2322</v>
      </c>
      <c r="I1956" s="78"/>
      <c r="J1956" s="20"/>
      <c r="K1956" s="20"/>
      <c r="L1956" s="20"/>
      <c r="M1956" s="20"/>
      <c r="N1956" s="320" t="s">
        <v>2685</v>
      </c>
      <c r="O1956" s="70">
        <v>0</v>
      </c>
      <c r="P1956" s="70">
        <v>0</v>
      </c>
      <c r="Q1956" s="70">
        <f t="shared" si="163"/>
        <v>0</v>
      </c>
      <c r="R1956" s="70"/>
      <c r="S1956" s="67"/>
      <c r="T1956" s="2" t="str">
        <f t="shared" si="164"/>
        <v>Hồ Hữu Phước_11VH2</v>
      </c>
      <c r="U1956" s="28">
        <f t="array" ref="U1956">IFERROR(VLOOKUP($T1956,'Nghi hoc T12'!$H$7:$I$160,2,0),0)</f>
        <v>0</v>
      </c>
      <c r="V1956" s="28" t="str">
        <f t="shared" si="168"/>
        <v>204.C11</v>
      </c>
      <c r="W1956" s="28">
        <f t="shared" si="165"/>
        <v>0</v>
      </c>
      <c r="X1956" s="333">
        <f t="shared" si="166"/>
        <v>0</v>
      </c>
      <c r="Y1956" s="333">
        <f t="shared" si="167"/>
        <v>0</v>
      </c>
    </row>
    <row r="1957" spans="1:25" s="2" customFormat="1" ht="21.95" customHeight="1">
      <c r="A1957" s="82">
        <v>12</v>
      </c>
      <c r="B1957" s="91" t="s">
        <v>3339</v>
      </c>
      <c r="C1957" s="83" t="s">
        <v>366</v>
      </c>
      <c r="D1957" s="81" t="s">
        <v>2203</v>
      </c>
      <c r="E1957" s="48">
        <v>400304</v>
      </c>
      <c r="F1957" s="30" t="s">
        <v>2367</v>
      </c>
      <c r="G1957" s="29" t="s">
        <v>2368</v>
      </c>
      <c r="H1957" s="30" t="s">
        <v>2322</v>
      </c>
      <c r="I1957" s="78"/>
      <c r="J1957" s="20"/>
      <c r="K1957" s="20"/>
      <c r="L1957" s="20"/>
      <c r="M1957" s="20"/>
      <c r="N1957" s="320" t="s">
        <v>2685</v>
      </c>
      <c r="O1957" s="70">
        <v>0</v>
      </c>
      <c r="P1957" s="70">
        <v>0</v>
      </c>
      <c r="Q1957" s="70">
        <f t="shared" si="163"/>
        <v>0</v>
      </c>
      <c r="R1957" s="70"/>
      <c r="S1957" s="67"/>
      <c r="T1957" s="2" t="str">
        <f t="shared" si="164"/>
        <v>Đặng Ngọc Gia Quy_11VH2</v>
      </c>
      <c r="U1957" s="28">
        <f t="array" ref="U1957">IFERROR(VLOOKUP($T1957,'Nghi hoc T12'!$H$7:$I$160,2,0),0)</f>
        <v>0</v>
      </c>
      <c r="V1957" s="28" t="str">
        <f t="shared" si="168"/>
        <v>204.C11</v>
      </c>
      <c r="W1957" s="28">
        <f t="shared" si="165"/>
        <v>0</v>
      </c>
      <c r="X1957" s="333">
        <f t="shared" si="166"/>
        <v>0</v>
      </c>
      <c r="Y1957" s="333">
        <f t="shared" si="167"/>
        <v>0</v>
      </c>
    </row>
    <row r="1958" spans="1:25" s="2" customFormat="1" ht="21.95" customHeight="1">
      <c r="A1958" s="82">
        <v>13</v>
      </c>
      <c r="B1958" s="91" t="s">
        <v>3339</v>
      </c>
      <c r="C1958" s="83" t="s">
        <v>366</v>
      </c>
      <c r="D1958" s="81" t="s">
        <v>2203</v>
      </c>
      <c r="E1958" s="48">
        <v>400305</v>
      </c>
      <c r="F1958" s="30" t="s">
        <v>2369</v>
      </c>
      <c r="G1958" s="29" t="s">
        <v>22</v>
      </c>
      <c r="H1958" s="30" t="s">
        <v>2322</v>
      </c>
      <c r="I1958" s="78"/>
      <c r="J1958" s="20"/>
      <c r="K1958" s="20"/>
      <c r="L1958" s="20"/>
      <c r="M1958" s="20"/>
      <c r="N1958" s="320" t="s">
        <v>2685</v>
      </c>
      <c r="O1958" s="70">
        <v>0</v>
      </c>
      <c r="P1958" s="70">
        <v>0</v>
      </c>
      <c r="Q1958" s="70">
        <f t="shared" si="163"/>
        <v>0</v>
      </c>
      <c r="R1958" s="70"/>
      <c r="S1958" s="67"/>
      <c r="T1958" s="2" t="str">
        <f t="shared" si="164"/>
        <v>Phạm Ngọc Mai Quỳnh_11VH2</v>
      </c>
      <c r="U1958" s="28">
        <f t="array" ref="U1958">IFERROR(VLOOKUP($T1958,'Nghi hoc T12'!$H$7:$I$160,2,0),0)</f>
        <v>0</v>
      </c>
      <c r="V1958" s="28" t="str">
        <f t="shared" si="168"/>
        <v>204.C11</v>
      </c>
      <c r="W1958" s="28">
        <f t="shared" si="165"/>
        <v>0</v>
      </c>
      <c r="X1958" s="333">
        <f t="shared" si="166"/>
        <v>0</v>
      </c>
      <c r="Y1958" s="333">
        <f t="shared" si="167"/>
        <v>0</v>
      </c>
    </row>
    <row r="1959" spans="1:25" s="2" customFormat="1" ht="21.95" customHeight="1">
      <c r="A1959" s="82">
        <v>14</v>
      </c>
      <c r="B1959" s="91" t="s">
        <v>3339</v>
      </c>
      <c r="C1959" s="83" t="s">
        <v>366</v>
      </c>
      <c r="D1959" s="81" t="s">
        <v>2203</v>
      </c>
      <c r="E1959" s="48">
        <v>400306</v>
      </c>
      <c r="F1959" s="30" t="s">
        <v>157</v>
      </c>
      <c r="G1959" s="29" t="s">
        <v>47</v>
      </c>
      <c r="H1959" s="30" t="s">
        <v>2324</v>
      </c>
      <c r="I1959" s="78"/>
      <c r="J1959" s="20"/>
      <c r="K1959" s="20"/>
      <c r="L1959" s="20"/>
      <c r="M1959" s="20"/>
      <c r="N1959" s="320" t="s">
        <v>2685</v>
      </c>
      <c r="O1959" s="70">
        <v>0</v>
      </c>
      <c r="P1959" s="70">
        <v>0</v>
      </c>
      <c r="Q1959" s="70">
        <f t="shared" si="163"/>
        <v>0</v>
      </c>
      <c r="R1959" s="70"/>
      <c r="S1959" s="67"/>
      <c r="T1959" s="2" t="str">
        <f t="shared" si="164"/>
        <v>Lê Hoàng Sang_11VH1</v>
      </c>
      <c r="U1959" s="28">
        <f t="array" ref="U1959">IFERROR(VLOOKUP($T1959,'Nghi hoc T12'!$H$7:$I$160,2,0),0)</f>
        <v>0</v>
      </c>
      <c r="V1959" s="28" t="str">
        <f t="shared" si="168"/>
        <v>204.C11</v>
      </c>
      <c r="W1959" s="28">
        <f t="shared" si="165"/>
        <v>0</v>
      </c>
      <c r="X1959" s="333">
        <f t="shared" si="166"/>
        <v>0</v>
      </c>
      <c r="Y1959" s="333">
        <f t="shared" si="167"/>
        <v>0</v>
      </c>
    </row>
    <row r="1960" spans="1:25" s="2" customFormat="1" ht="21.95" customHeight="1">
      <c r="A1960" s="82">
        <v>15</v>
      </c>
      <c r="B1960" s="91" t="s">
        <v>3339</v>
      </c>
      <c r="C1960" s="83" t="s">
        <v>366</v>
      </c>
      <c r="D1960" s="81" t="s">
        <v>2203</v>
      </c>
      <c r="E1960" s="48">
        <v>400307</v>
      </c>
      <c r="F1960" s="30" t="s">
        <v>230</v>
      </c>
      <c r="G1960" s="29" t="s">
        <v>47</v>
      </c>
      <c r="H1960" s="30" t="s">
        <v>2322</v>
      </c>
      <c r="I1960" s="78"/>
      <c r="J1960" s="20"/>
      <c r="K1960" s="20"/>
      <c r="L1960" s="20"/>
      <c r="M1960" s="20"/>
      <c r="N1960" s="320" t="s">
        <v>2685</v>
      </c>
      <c r="O1960" s="70">
        <v>0</v>
      </c>
      <c r="P1960" s="70">
        <v>0</v>
      </c>
      <c r="Q1960" s="70">
        <f t="shared" si="163"/>
        <v>0</v>
      </c>
      <c r="R1960" s="70"/>
      <c r="S1960" s="67"/>
      <c r="T1960" s="2" t="str">
        <f t="shared" si="164"/>
        <v>Nguyễn Hoàng Thanh Sang_11VH2</v>
      </c>
      <c r="U1960" s="28">
        <f t="array" ref="U1960">IFERROR(VLOOKUP($T1960,'Nghi hoc T12'!$H$7:$I$160,2,0),0)</f>
        <v>0</v>
      </c>
      <c r="V1960" s="28" t="str">
        <f t="shared" si="168"/>
        <v>204.C11</v>
      </c>
      <c r="W1960" s="28">
        <f t="shared" si="165"/>
        <v>0</v>
      </c>
      <c r="X1960" s="333">
        <f t="shared" si="166"/>
        <v>0</v>
      </c>
      <c r="Y1960" s="333">
        <f t="shared" si="167"/>
        <v>0</v>
      </c>
    </row>
    <row r="1961" spans="1:25" s="2" customFormat="1" ht="21.95" customHeight="1">
      <c r="A1961" s="82">
        <v>16</v>
      </c>
      <c r="B1961" s="91" t="s">
        <v>3339</v>
      </c>
      <c r="C1961" s="83" t="s">
        <v>366</v>
      </c>
      <c r="D1961" s="81" t="s">
        <v>2203</v>
      </c>
      <c r="E1961" s="48">
        <v>400308</v>
      </c>
      <c r="F1961" s="30" t="s">
        <v>2370</v>
      </c>
      <c r="G1961" s="29" t="s">
        <v>256</v>
      </c>
      <c r="H1961" s="30" t="s">
        <v>2324</v>
      </c>
      <c r="I1961" s="78"/>
      <c r="J1961" s="20"/>
      <c r="K1961" s="20"/>
      <c r="L1961" s="20"/>
      <c r="M1961" s="20"/>
      <c r="N1961" s="320" t="s">
        <v>2685</v>
      </c>
      <c r="O1961" s="70">
        <v>0</v>
      </c>
      <c r="P1961" s="70">
        <v>0</v>
      </c>
      <c r="Q1961" s="70">
        <f t="shared" si="163"/>
        <v>0</v>
      </c>
      <c r="R1961" s="70"/>
      <c r="S1961" s="67"/>
      <c r="T1961" s="2" t="str">
        <f t="shared" si="164"/>
        <v>Nguyễn Phạm Quang Sáng_11VH1</v>
      </c>
      <c r="U1961" s="28">
        <f t="array" ref="U1961">IFERROR(VLOOKUP($T1961,'Nghi hoc T12'!$H$7:$I$160,2,0),0)</f>
        <v>0</v>
      </c>
      <c r="V1961" s="28" t="str">
        <f t="shared" si="168"/>
        <v>204.C11</v>
      </c>
      <c r="W1961" s="28">
        <f t="shared" si="165"/>
        <v>0</v>
      </c>
      <c r="X1961" s="333">
        <f t="shared" si="166"/>
        <v>0</v>
      </c>
      <c r="Y1961" s="333">
        <f t="shared" si="167"/>
        <v>0</v>
      </c>
    </row>
    <row r="1962" spans="1:25" s="2" customFormat="1" ht="21.95" customHeight="1">
      <c r="A1962" s="82">
        <v>17</v>
      </c>
      <c r="B1962" s="91" t="s">
        <v>3339</v>
      </c>
      <c r="C1962" s="83" t="s">
        <v>366</v>
      </c>
      <c r="D1962" s="81" t="s">
        <v>2203</v>
      </c>
      <c r="E1962" s="48">
        <v>400309</v>
      </c>
      <c r="F1962" s="30" t="s">
        <v>2256</v>
      </c>
      <c r="G1962" s="29" t="s">
        <v>2371</v>
      </c>
      <c r="H1962" s="30" t="s">
        <v>2324</v>
      </c>
      <c r="I1962" s="78"/>
      <c r="J1962" s="20"/>
      <c r="K1962" s="20"/>
      <c r="L1962" s="20"/>
      <c r="M1962" s="20"/>
      <c r="N1962" s="320" t="s">
        <v>2685</v>
      </c>
      <c r="O1962" s="70">
        <v>0</v>
      </c>
      <c r="P1962" s="70">
        <v>0</v>
      </c>
      <c r="Q1962" s="70">
        <f t="shared" si="163"/>
        <v>0</v>
      </c>
      <c r="R1962" s="70"/>
      <c r="S1962" s="67"/>
      <c r="T1962" s="2" t="str">
        <f t="shared" si="164"/>
        <v>Đào Xuân Sắc_11VH1</v>
      </c>
      <c r="U1962" s="28">
        <f t="array" ref="U1962">IFERROR(VLOOKUP($T1962,'Nghi hoc T12'!$H$7:$I$160,2,0),0)</f>
        <v>0</v>
      </c>
      <c r="V1962" s="28" t="str">
        <f t="shared" si="168"/>
        <v>204.C11</v>
      </c>
      <c r="W1962" s="28">
        <f t="shared" si="165"/>
        <v>0</v>
      </c>
      <c r="X1962" s="333">
        <f t="shared" si="166"/>
        <v>0</v>
      </c>
      <c r="Y1962" s="333">
        <f t="shared" si="167"/>
        <v>0</v>
      </c>
    </row>
    <row r="1963" spans="1:25" s="2" customFormat="1" ht="21.95" customHeight="1">
      <c r="A1963" s="82">
        <v>18</v>
      </c>
      <c r="B1963" s="91" t="s">
        <v>3339</v>
      </c>
      <c r="C1963" s="83" t="s">
        <v>366</v>
      </c>
      <c r="D1963" s="81" t="s">
        <v>2203</v>
      </c>
      <c r="E1963" s="48">
        <v>400310</v>
      </c>
      <c r="F1963" s="30" t="s">
        <v>2372</v>
      </c>
      <c r="G1963" s="29" t="s">
        <v>25</v>
      </c>
      <c r="H1963" s="30" t="s">
        <v>2324</v>
      </c>
      <c r="I1963" s="78"/>
      <c r="J1963" s="20"/>
      <c r="K1963" s="20"/>
      <c r="L1963" s="20"/>
      <c r="M1963" s="20"/>
      <c r="N1963" s="320" t="s">
        <v>2685</v>
      </c>
      <c r="O1963" s="70">
        <v>0</v>
      </c>
      <c r="P1963" s="70">
        <v>0</v>
      </c>
      <c r="Q1963" s="70">
        <f t="shared" si="163"/>
        <v>0</v>
      </c>
      <c r="R1963" s="70"/>
      <c r="S1963" s="67"/>
      <c r="T1963" s="2" t="str">
        <f t="shared" si="164"/>
        <v>Trương Quốc Thái_11VH1</v>
      </c>
      <c r="U1963" s="28">
        <f t="array" ref="U1963">IFERROR(VLOOKUP($T1963,'Nghi hoc T12'!$H$7:$I$160,2,0),0)</f>
        <v>0</v>
      </c>
      <c r="V1963" s="28" t="str">
        <f t="shared" si="168"/>
        <v>204.C11</v>
      </c>
      <c r="W1963" s="28">
        <f t="shared" si="165"/>
        <v>0</v>
      </c>
      <c r="X1963" s="333">
        <f t="shared" si="166"/>
        <v>0</v>
      </c>
      <c r="Y1963" s="333">
        <f t="shared" si="167"/>
        <v>0</v>
      </c>
    </row>
    <row r="1964" spans="1:25" s="2" customFormat="1" ht="21.95" customHeight="1">
      <c r="A1964" s="82">
        <v>19</v>
      </c>
      <c r="B1964" s="91" t="s">
        <v>3339</v>
      </c>
      <c r="C1964" s="83" t="s">
        <v>366</v>
      </c>
      <c r="D1964" s="81" t="s">
        <v>2203</v>
      </c>
      <c r="E1964" s="48">
        <v>400311</v>
      </c>
      <c r="F1964" s="30" t="s">
        <v>2373</v>
      </c>
      <c r="G1964" s="29" t="s">
        <v>27</v>
      </c>
      <c r="H1964" s="30" t="s">
        <v>2322</v>
      </c>
      <c r="I1964" s="78"/>
      <c r="J1964" s="20"/>
      <c r="K1964" s="20"/>
      <c r="L1964" s="20"/>
      <c r="M1964" s="20"/>
      <c r="N1964" s="320" t="s">
        <v>2685</v>
      </c>
      <c r="O1964" s="70">
        <v>0</v>
      </c>
      <c r="P1964" s="70">
        <v>0</v>
      </c>
      <c r="Q1964" s="70">
        <f t="shared" si="163"/>
        <v>0</v>
      </c>
      <c r="R1964" s="70"/>
      <c r="S1964" s="67"/>
      <c r="T1964" s="2" t="str">
        <f t="shared" si="164"/>
        <v>Lê Công Thành_11VH2</v>
      </c>
      <c r="U1964" s="28">
        <f t="array" ref="U1964">IFERROR(VLOOKUP($T1964,'Nghi hoc T12'!$H$7:$I$160,2,0),0)</f>
        <v>0</v>
      </c>
      <c r="V1964" s="28" t="str">
        <f t="shared" si="168"/>
        <v>204.C11</v>
      </c>
      <c r="W1964" s="28">
        <f t="shared" si="165"/>
        <v>0</v>
      </c>
      <c r="X1964" s="333">
        <f t="shared" si="166"/>
        <v>0</v>
      </c>
      <c r="Y1964" s="333">
        <f t="shared" si="167"/>
        <v>0</v>
      </c>
    </row>
    <row r="1965" spans="1:25" s="2" customFormat="1" ht="21.95" customHeight="1">
      <c r="A1965" s="82">
        <v>20</v>
      </c>
      <c r="B1965" s="91" t="s">
        <v>3339</v>
      </c>
      <c r="C1965" s="83" t="s">
        <v>366</v>
      </c>
      <c r="D1965" s="81" t="s">
        <v>2203</v>
      </c>
      <c r="E1965" s="48">
        <v>400312</v>
      </c>
      <c r="F1965" s="30" t="s">
        <v>1216</v>
      </c>
      <c r="G1965" s="29" t="s">
        <v>27</v>
      </c>
      <c r="H1965" s="30" t="s">
        <v>2324</v>
      </c>
      <c r="I1965" s="78"/>
      <c r="J1965" s="20"/>
      <c r="K1965" s="20"/>
      <c r="L1965" s="20"/>
      <c r="M1965" s="20"/>
      <c r="N1965" s="320" t="s">
        <v>2685</v>
      </c>
      <c r="O1965" s="70">
        <v>0</v>
      </c>
      <c r="P1965" s="70">
        <v>0</v>
      </c>
      <c r="Q1965" s="70">
        <f t="shared" si="163"/>
        <v>0</v>
      </c>
      <c r="R1965" s="70"/>
      <c r="S1965" s="67"/>
      <c r="T1965" s="2" t="str">
        <f t="shared" si="164"/>
        <v>Nguyễn Việt Thành_11VH1</v>
      </c>
      <c r="U1965" s="28">
        <f t="array" ref="U1965">IFERROR(VLOOKUP($T1965,'Nghi hoc T12'!$H$7:$I$160,2,0),0)</f>
        <v>0</v>
      </c>
      <c r="V1965" s="28" t="str">
        <f t="shared" si="168"/>
        <v>204.C11</v>
      </c>
      <c r="W1965" s="28">
        <f t="shared" si="165"/>
        <v>0</v>
      </c>
      <c r="X1965" s="333">
        <f t="shared" si="166"/>
        <v>0</v>
      </c>
      <c r="Y1965" s="333">
        <f t="shared" si="167"/>
        <v>0</v>
      </c>
    </row>
    <row r="1966" spans="1:25" s="2" customFormat="1" ht="21.95" customHeight="1">
      <c r="A1966" s="82">
        <v>21</v>
      </c>
      <c r="B1966" s="91" t="s">
        <v>3339</v>
      </c>
      <c r="C1966" s="83" t="s">
        <v>366</v>
      </c>
      <c r="D1966" s="81" t="s">
        <v>2203</v>
      </c>
      <c r="E1966" s="48">
        <v>400313</v>
      </c>
      <c r="F1966" s="30" t="s">
        <v>226</v>
      </c>
      <c r="G1966" s="29" t="s">
        <v>49</v>
      </c>
      <c r="H1966" s="30" t="s">
        <v>2322</v>
      </c>
      <c r="I1966" s="78"/>
      <c r="J1966" s="20"/>
      <c r="K1966" s="20"/>
      <c r="L1966" s="20"/>
      <c r="M1966" s="20"/>
      <c r="N1966" s="320" t="s">
        <v>2685</v>
      </c>
      <c r="O1966" s="70">
        <v>0</v>
      </c>
      <c r="P1966" s="70">
        <v>0</v>
      </c>
      <c r="Q1966" s="70">
        <f t="shared" si="163"/>
        <v>0</v>
      </c>
      <c r="R1966" s="70"/>
      <c r="S1966" s="67"/>
      <c r="T1966" s="2" t="str">
        <f t="shared" si="164"/>
        <v>Nguyễn Thị Thanh Thảo_11VH2</v>
      </c>
      <c r="U1966" s="28">
        <f t="array" ref="U1966">IFERROR(VLOOKUP($T1966,'Nghi hoc T12'!$H$7:$I$160,2,0),0)</f>
        <v>0</v>
      </c>
      <c r="V1966" s="28" t="str">
        <f t="shared" si="168"/>
        <v>204.C11</v>
      </c>
      <c r="W1966" s="28">
        <f t="shared" si="165"/>
        <v>0</v>
      </c>
      <c r="X1966" s="333">
        <f t="shared" si="166"/>
        <v>0</v>
      </c>
      <c r="Y1966" s="333">
        <f t="shared" si="167"/>
        <v>0</v>
      </c>
    </row>
    <row r="1967" spans="1:25" s="2" customFormat="1" ht="21.95" customHeight="1">
      <c r="A1967" s="82">
        <v>22</v>
      </c>
      <c r="B1967" s="91" t="s">
        <v>3339</v>
      </c>
      <c r="C1967" s="83" t="s">
        <v>366</v>
      </c>
      <c r="D1967" s="81" t="s">
        <v>2203</v>
      </c>
      <c r="E1967" s="48">
        <v>400314</v>
      </c>
      <c r="F1967" s="30" t="s">
        <v>41</v>
      </c>
      <c r="G1967" s="29" t="s">
        <v>211</v>
      </c>
      <c r="H1967" s="30" t="s">
        <v>2324</v>
      </c>
      <c r="I1967" s="78"/>
      <c r="J1967" s="20"/>
      <c r="K1967" s="20"/>
      <c r="L1967" s="20"/>
      <c r="M1967" s="20"/>
      <c r="N1967" s="320" t="s">
        <v>2685</v>
      </c>
      <c r="O1967" s="70">
        <v>0</v>
      </c>
      <c r="P1967" s="70">
        <v>0</v>
      </c>
      <c r="Q1967" s="70">
        <f t="shared" si="163"/>
        <v>0</v>
      </c>
      <c r="R1967" s="70"/>
      <c r="S1967" s="67"/>
      <c r="T1967" s="2" t="str">
        <f t="shared" si="164"/>
        <v>Nguyễn Thị Hồng Thắm_11VH1</v>
      </c>
      <c r="U1967" s="28">
        <f t="array" ref="U1967">IFERROR(VLOOKUP($T1967,'Nghi hoc T12'!$H$7:$I$160,2,0),0)</f>
        <v>0</v>
      </c>
      <c r="V1967" s="28" t="str">
        <f t="shared" si="168"/>
        <v>204.C11</v>
      </c>
      <c r="W1967" s="28">
        <f t="shared" si="165"/>
        <v>0</v>
      </c>
      <c r="X1967" s="333">
        <f t="shared" si="166"/>
        <v>0</v>
      </c>
      <c r="Y1967" s="333">
        <f t="shared" si="167"/>
        <v>0</v>
      </c>
    </row>
    <row r="1968" spans="1:25" s="2" customFormat="1" ht="21.95" customHeight="1">
      <c r="A1968" s="82">
        <v>23</v>
      </c>
      <c r="B1968" s="91" t="s">
        <v>3339</v>
      </c>
      <c r="C1968" s="83" t="s">
        <v>366</v>
      </c>
      <c r="D1968" s="81" t="s">
        <v>2203</v>
      </c>
      <c r="E1968" s="48">
        <v>400315</v>
      </c>
      <c r="F1968" s="30" t="s">
        <v>118</v>
      </c>
      <c r="G1968" s="29" t="s">
        <v>48</v>
      </c>
      <c r="H1968" s="30" t="s">
        <v>2324</v>
      </c>
      <c r="I1968" s="78"/>
      <c r="J1968" s="20"/>
      <c r="K1968" s="20"/>
      <c r="L1968" s="20"/>
      <c r="M1968" s="20"/>
      <c r="N1968" s="320" t="s">
        <v>2685</v>
      </c>
      <c r="O1968" s="70">
        <v>0</v>
      </c>
      <c r="P1968" s="70">
        <v>0</v>
      </c>
      <c r="Q1968" s="70">
        <f t="shared" si="163"/>
        <v>0</v>
      </c>
      <c r="R1968" s="70"/>
      <c r="S1968" s="67"/>
      <c r="T1968" s="2" t="str">
        <f t="shared" si="164"/>
        <v>Nguyễn Quốc Thắng_11VH1</v>
      </c>
      <c r="U1968" s="28">
        <f t="array" ref="U1968">IFERROR(VLOOKUP($T1968,'Nghi hoc T12'!$H$7:$I$160,2,0),0)</f>
        <v>0</v>
      </c>
      <c r="V1968" s="28" t="str">
        <f t="shared" si="168"/>
        <v>204.C11</v>
      </c>
      <c r="W1968" s="28">
        <f t="shared" si="165"/>
        <v>0</v>
      </c>
      <c r="X1968" s="333">
        <f t="shared" si="166"/>
        <v>0</v>
      </c>
      <c r="Y1968" s="333">
        <f t="shared" si="167"/>
        <v>0</v>
      </c>
    </row>
    <row r="1969" spans="1:25" s="2" customFormat="1" ht="21.95" customHeight="1">
      <c r="A1969" s="82">
        <v>24</v>
      </c>
      <c r="B1969" s="91" t="s">
        <v>3339</v>
      </c>
      <c r="C1969" s="83" t="s">
        <v>366</v>
      </c>
      <c r="D1969" s="81" t="s">
        <v>2203</v>
      </c>
      <c r="E1969" s="48">
        <v>400316</v>
      </c>
      <c r="F1969" s="30" t="s">
        <v>2374</v>
      </c>
      <c r="G1969" s="29" t="s">
        <v>48</v>
      </c>
      <c r="H1969" s="30" t="s">
        <v>2322</v>
      </c>
      <c r="I1969" s="78"/>
      <c r="J1969" s="20"/>
      <c r="K1969" s="20"/>
      <c r="L1969" s="20"/>
      <c r="M1969" s="20"/>
      <c r="N1969" s="320" t="s">
        <v>2685</v>
      </c>
      <c r="O1969" s="70">
        <v>0</v>
      </c>
      <c r="P1969" s="70">
        <v>0</v>
      </c>
      <c r="Q1969" s="70">
        <f t="shared" si="163"/>
        <v>0</v>
      </c>
      <c r="R1969" s="70"/>
      <c r="S1969" s="67"/>
      <c r="T1969" s="2" t="str">
        <f t="shared" si="164"/>
        <v>Tạ Ngọc Thắng_11VH2</v>
      </c>
      <c r="U1969" s="28">
        <f t="array" ref="U1969">IFERROR(VLOOKUP($T1969,'Nghi hoc T12'!$H$7:$I$160,2,0),0)</f>
        <v>0</v>
      </c>
      <c r="V1969" s="28" t="str">
        <f t="shared" si="168"/>
        <v>204.C11</v>
      </c>
      <c r="W1969" s="28">
        <f t="shared" si="165"/>
        <v>0</v>
      </c>
      <c r="X1969" s="333">
        <f t="shared" si="166"/>
        <v>0</v>
      </c>
      <c r="Y1969" s="333">
        <f t="shared" si="167"/>
        <v>0</v>
      </c>
    </row>
    <row r="1970" spans="1:25" s="2" customFormat="1" ht="21.95" customHeight="1">
      <c r="A1970" s="82">
        <v>25</v>
      </c>
      <c r="B1970" s="91" t="s">
        <v>3339</v>
      </c>
      <c r="C1970" s="83" t="s">
        <v>366</v>
      </c>
      <c r="D1970" s="81" t="s">
        <v>2203</v>
      </c>
      <c r="E1970" s="48">
        <v>400317</v>
      </c>
      <c r="F1970" s="30" t="s">
        <v>2375</v>
      </c>
      <c r="G1970" s="29" t="s">
        <v>58</v>
      </c>
      <c r="H1970" s="30" t="s">
        <v>2324</v>
      </c>
      <c r="I1970" s="78"/>
      <c r="J1970" s="20"/>
      <c r="K1970" s="20"/>
      <c r="L1970" s="20"/>
      <c r="M1970" s="20"/>
      <c r="N1970" s="320" t="s">
        <v>2685</v>
      </c>
      <c r="O1970" s="70">
        <v>0</v>
      </c>
      <c r="P1970" s="70">
        <v>0</v>
      </c>
      <c r="Q1970" s="70">
        <f t="shared" si="163"/>
        <v>0</v>
      </c>
      <c r="R1970" s="70"/>
      <c r="S1970" s="67"/>
      <c r="T1970" s="2" t="str">
        <f t="shared" si="164"/>
        <v>Đỗ Phú Thịnh_11VH1</v>
      </c>
      <c r="U1970" s="28">
        <f t="array" ref="U1970">IFERROR(VLOOKUP($T1970,'Nghi hoc T12'!$H$7:$I$160,2,0),0)</f>
        <v>0</v>
      </c>
      <c r="V1970" s="28" t="str">
        <f t="shared" si="168"/>
        <v>204.C11</v>
      </c>
      <c r="W1970" s="28">
        <f t="shared" si="165"/>
        <v>0</v>
      </c>
      <c r="X1970" s="333">
        <f t="shared" si="166"/>
        <v>0</v>
      </c>
      <c r="Y1970" s="333">
        <f t="shared" si="167"/>
        <v>0</v>
      </c>
    </row>
    <row r="1971" spans="1:25" s="2" customFormat="1" ht="21.95" customHeight="1">
      <c r="A1971" s="82">
        <v>26</v>
      </c>
      <c r="B1971" s="91" t="s">
        <v>3339</v>
      </c>
      <c r="C1971" s="83" t="s">
        <v>366</v>
      </c>
      <c r="D1971" s="81" t="s">
        <v>2203</v>
      </c>
      <c r="E1971" s="48">
        <v>400318</v>
      </c>
      <c r="F1971" s="30" t="s">
        <v>2376</v>
      </c>
      <c r="G1971" s="29" t="s">
        <v>58</v>
      </c>
      <c r="H1971" s="30" t="s">
        <v>2322</v>
      </c>
      <c r="I1971" s="78"/>
      <c r="J1971" s="20"/>
      <c r="K1971" s="20"/>
      <c r="L1971" s="20"/>
      <c r="M1971" s="20"/>
      <c r="N1971" s="320" t="s">
        <v>2685</v>
      </c>
      <c r="O1971" s="70">
        <v>0</v>
      </c>
      <c r="P1971" s="70">
        <v>0</v>
      </c>
      <c r="Q1971" s="70">
        <f t="shared" si="163"/>
        <v>0</v>
      </c>
      <c r="R1971" s="70"/>
      <c r="S1971" s="67"/>
      <c r="T1971" s="2" t="str">
        <f t="shared" si="164"/>
        <v>Lê Trần Cường Thịnh_11VH2</v>
      </c>
      <c r="U1971" s="28">
        <f t="array" ref="U1971">IFERROR(VLOOKUP($T1971,'Nghi hoc T12'!$H$7:$I$160,2,0),0)</f>
        <v>0</v>
      </c>
      <c r="V1971" s="28" t="str">
        <f t="shared" si="168"/>
        <v>204.C11</v>
      </c>
      <c r="W1971" s="28">
        <f t="shared" si="165"/>
        <v>0</v>
      </c>
      <c r="X1971" s="333">
        <f t="shared" si="166"/>
        <v>0</v>
      </c>
      <c r="Y1971" s="333">
        <f t="shared" si="167"/>
        <v>0</v>
      </c>
    </row>
    <row r="1972" spans="1:25" s="2" customFormat="1" ht="21.95" customHeight="1">
      <c r="A1972" s="82">
        <v>27</v>
      </c>
      <c r="B1972" s="91" t="s">
        <v>3339</v>
      </c>
      <c r="C1972" s="83" t="s">
        <v>366</v>
      </c>
      <c r="D1972" s="81" t="s">
        <v>2203</v>
      </c>
      <c r="E1972" s="48">
        <v>400319</v>
      </c>
      <c r="F1972" s="30" t="s">
        <v>2377</v>
      </c>
      <c r="G1972" s="29" t="s">
        <v>59</v>
      </c>
      <c r="H1972" s="30" t="s">
        <v>2322</v>
      </c>
      <c r="I1972" s="78"/>
      <c r="J1972" s="20"/>
      <c r="K1972" s="20"/>
      <c r="L1972" s="20"/>
      <c r="M1972" s="20"/>
      <c r="N1972" s="320" t="s">
        <v>2685</v>
      </c>
      <c r="O1972" s="70">
        <v>0</v>
      </c>
      <c r="P1972" s="70">
        <v>0</v>
      </c>
      <c r="Q1972" s="70">
        <f t="shared" si="163"/>
        <v>0</v>
      </c>
      <c r="R1972" s="70"/>
      <c r="S1972" s="67"/>
      <c r="T1972" s="2" t="str">
        <f t="shared" si="164"/>
        <v>Đỗ Thái Hoàng Thuận_11VH2</v>
      </c>
      <c r="U1972" s="28">
        <f t="array" ref="U1972">IFERROR(VLOOKUP($T1972,'Nghi hoc T12'!$H$7:$I$160,2,0),0)</f>
        <v>0</v>
      </c>
      <c r="V1972" s="28" t="str">
        <f t="shared" si="168"/>
        <v>204.C11</v>
      </c>
      <c r="W1972" s="28">
        <f t="shared" si="165"/>
        <v>0</v>
      </c>
      <c r="X1972" s="333">
        <f t="shared" si="166"/>
        <v>0</v>
      </c>
      <c r="Y1972" s="333">
        <f t="shared" si="167"/>
        <v>0</v>
      </c>
    </row>
    <row r="1973" spans="1:25" s="2" customFormat="1" ht="21.95" customHeight="1">
      <c r="A1973" s="82">
        <v>28</v>
      </c>
      <c r="B1973" s="91" t="s">
        <v>3339</v>
      </c>
      <c r="C1973" s="83" t="s">
        <v>366</v>
      </c>
      <c r="D1973" s="81" t="s">
        <v>2203</v>
      </c>
      <c r="E1973" s="48">
        <v>400320</v>
      </c>
      <c r="F1973" s="30" t="s">
        <v>453</v>
      </c>
      <c r="G1973" s="29" t="s">
        <v>162</v>
      </c>
      <c r="H1973" s="30" t="s">
        <v>2324</v>
      </c>
      <c r="I1973" s="78"/>
      <c r="J1973" s="20"/>
      <c r="K1973" s="20"/>
      <c r="L1973" s="20"/>
      <c r="M1973" s="20"/>
      <c r="N1973" s="320" t="s">
        <v>2685</v>
      </c>
      <c r="O1973" s="70">
        <v>0</v>
      </c>
      <c r="P1973" s="70">
        <v>0</v>
      </c>
      <c r="Q1973" s="70">
        <f t="shared" si="163"/>
        <v>0</v>
      </c>
      <c r="R1973" s="70"/>
      <c r="S1973" s="67"/>
      <c r="T1973" s="2" t="str">
        <f t="shared" si="164"/>
        <v>Phan Minh Thùy_11VH1</v>
      </c>
      <c r="U1973" s="28">
        <f t="array" ref="U1973">IFERROR(VLOOKUP($T1973,'Nghi hoc T12'!$H$7:$I$160,2,0),0)</f>
        <v>0</v>
      </c>
      <c r="V1973" s="28" t="str">
        <f t="shared" si="168"/>
        <v>204.C11</v>
      </c>
      <c r="W1973" s="28">
        <f t="shared" si="165"/>
        <v>0</v>
      </c>
      <c r="X1973" s="333">
        <f t="shared" si="166"/>
        <v>0</v>
      </c>
      <c r="Y1973" s="333">
        <f t="shared" si="167"/>
        <v>0</v>
      </c>
    </row>
    <row r="1974" spans="1:25" s="2" customFormat="1" ht="21.95" customHeight="1">
      <c r="A1974" s="321">
        <v>1</v>
      </c>
      <c r="B1974" s="91" t="s">
        <v>3340</v>
      </c>
      <c r="C1974" s="185" t="s">
        <v>366</v>
      </c>
      <c r="D1974" s="186" t="s">
        <v>2218</v>
      </c>
      <c r="E1974" s="187">
        <v>400321</v>
      </c>
      <c r="F1974" s="188" t="s">
        <v>2314</v>
      </c>
      <c r="G1974" s="189" t="s">
        <v>28</v>
      </c>
      <c r="H1974" s="188" t="s">
        <v>2324</v>
      </c>
      <c r="I1974" s="190"/>
      <c r="J1974" s="191"/>
      <c r="K1974" s="191"/>
      <c r="L1974" s="191"/>
      <c r="M1974" s="191"/>
      <c r="N1974" s="320" t="s">
        <v>2685</v>
      </c>
      <c r="O1974" s="70">
        <v>0</v>
      </c>
      <c r="P1974" s="70">
        <v>0</v>
      </c>
      <c r="Q1974" s="70">
        <f t="shared" si="163"/>
        <v>0</v>
      </c>
      <c r="R1974" s="70"/>
      <c r="S1974" s="67"/>
      <c r="T1974" s="2" t="str">
        <f t="shared" si="164"/>
        <v>Nguyễn Lê Anh Thư_11VH1</v>
      </c>
      <c r="U1974" s="28">
        <f t="array" ref="U1974">IFERROR(VLOOKUP($T1974,'Nghi hoc T12'!$H$7:$I$160,2,0),0)</f>
        <v>0</v>
      </c>
      <c r="V1974" s="28" t="str">
        <f t="shared" si="168"/>
        <v>205.C11</v>
      </c>
      <c r="W1974" s="28">
        <f t="shared" si="165"/>
        <v>0</v>
      </c>
      <c r="X1974" s="333">
        <f t="shared" si="166"/>
        <v>0</v>
      </c>
      <c r="Y1974" s="333">
        <f t="shared" si="167"/>
        <v>0</v>
      </c>
    </row>
    <row r="1975" spans="1:25" s="2" customFormat="1" ht="21.95" customHeight="1">
      <c r="A1975" s="82">
        <v>2</v>
      </c>
      <c r="B1975" s="91" t="s">
        <v>3340</v>
      </c>
      <c r="C1975" s="83" t="s">
        <v>366</v>
      </c>
      <c r="D1975" s="81" t="s">
        <v>2218</v>
      </c>
      <c r="E1975" s="48">
        <v>400322</v>
      </c>
      <c r="F1975" s="30" t="s">
        <v>462</v>
      </c>
      <c r="G1975" s="29" t="s">
        <v>28</v>
      </c>
      <c r="H1975" s="30" t="s">
        <v>2324</v>
      </c>
      <c r="I1975" s="78"/>
      <c r="J1975" s="20"/>
      <c r="K1975" s="20"/>
      <c r="L1975" s="20"/>
      <c r="M1975" s="20"/>
      <c r="N1975" s="320" t="s">
        <v>2685</v>
      </c>
      <c r="O1975" s="70">
        <v>0</v>
      </c>
      <c r="P1975" s="70">
        <v>0</v>
      </c>
      <c r="Q1975" s="70">
        <f t="shared" si="163"/>
        <v>0</v>
      </c>
      <c r="R1975" s="70"/>
      <c r="S1975" s="67"/>
      <c r="T1975" s="2" t="str">
        <f t="shared" si="164"/>
        <v>Nguyễn Thị Minh Thư_11VH1</v>
      </c>
      <c r="U1975" s="28">
        <f t="array" ref="U1975">IFERROR(VLOOKUP($T1975,'Nghi hoc T12'!$H$7:$I$160,2,0),0)</f>
        <v>0</v>
      </c>
      <c r="V1975" s="28" t="str">
        <f t="shared" si="168"/>
        <v>205.C11</v>
      </c>
      <c r="W1975" s="28">
        <f t="shared" si="165"/>
        <v>0</v>
      </c>
      <c r="X1975" s="333">
        <f t="shared" si="166"/>
        <v>0</v>
      </c>
      <c r="Y1975" s="333">
        <f t="shared" si="167"/>
        <v>0</v>
      </c>
    </row>
    <row r="1976" spans="1:25" s="2" customFormat="1" ht="21.95" customHeight="1">
      <c r="A1976" s="82">
        <v>3</v>
      </c>
      <c r="B1976" s="91" t="s">
        <v>3340</v>
      </c>
      <c r="C1976" s="83" t="s">
        <v>366</v>
      </c>
      <c r="D1976" s="81" t="s">
        <v>2218</v>
      </c>
      <c r="E1976" s="48">
        <v>400323</v>
      </c>
      <c r="F1976" s="30" t="s">
        <v>2378</v>
      </c>
      <c r="G1976" s="29" t="s">
        <v>28</v>
      </c>
      <c r="H1976" s="30" t="s">
        <v>2322</v>
      </c>
      <c r="I1976" s="78"/>
      <c r="J1976" s="20"/>
      <c r="K1976" s="20"/>
      <c r="L1976" s="20"/>
      <c r="M1976" s="20"/>
      <c r="N1976" s="320" t="s">
        <v>2685</v>
      </c>
      <c r="O1976" s="70">
        <v>0</v>
      </c>
      <c r="P1976" s="70">
        <v>0</v>
      </c>
      <c r="Q1976" s="70">
        <f t="shared" si="163"/>
        <v>0</v>
      </c>
      <c r="R1976" s="70"/>
      <c r="S1976" s="67"/>
      <c r="T1976" s="2" t="str">
        <f t="shared" si="164"/>
        <v>Nguyễn Võ Thanh Thư_11VH2</v>
      </c>
      <c r="U1976" s="28">
        <f t="array" ref="U1976">IFERROR(VLOOKUP($T1976,'Nghi hoc T12'!$H$7:$I$160,2,0),0)</f>
        <v>0</v>
      </c>
      <c r="V1976" s="28" t="str">
        <f t="shared" si="168"/>
        <v>205.C11</v>
      </c>
      <c r="W1976" s="28">
        <f t="shared" si="165"/>
        <v>0</v>
      </c>
      <c r="X1976" s="333">
        <f t="shared" si="166"/>
        <v>0</v>
      </c>
      <c r="Y1976" s="333">
        <f t="shared" si="167"/>
        <v>0</v>
      </c>
    </row>
    <row r="1977" spans="1:25" s="2" customFormat="1" ht="21.95" customHeight="1">
      <c r="A1977" s="82">
        <v>4</v>
      </c>
      <c r="B1977" s="91" t="s">
        <v>3340</v>
      </c>
      <c r="C1977" s="83" t="s">
        <v>366</v>
      </c>
      <c r="D1977" s="81" t="s">
        <v>2218</v>
      </c>
      <c r="E1977" s="48">
        <v>400324</v>
      </c>
      <c r="F1977" s="30" t="s">
        <v>2379</v>
      </c>
      <c r="G1977" s="29" t="s">
        <v>213</v>
      </c>
      <c r="H1977" s="30" t="s">
        <v>2324</v>
      </c>
      <c r="I1977" s="78"/>
      <c r="J1977" s="20"/>
      <c r="K1977" s="20"/>
      <c r="L1977" s="20"/>
      <c r="M1977" s="20"/>
      <c r="N1977" s="320" t="s">
        <v>2685</v>
      </c>
      <c r="O1977" s="70">
        <v>0</v>
      </c>
      <c r="P1977" s="70">
        <v>0</v>
      </c>
      <c r="Q1977" s="70">
        <f t="shared" si="163"/>
        <v>0</v>
      </c>
      <c r="R1977" s="70"/>
      <c r="S1977" s="67"/>
      <c r="T1977" s="2" t="str">
        <f t="shared" si="164"/>
        <v>Văn Thụy Mai Thy_11VH1</v>
      </c>
      <c r="U1977" s="28">
        <f t="array" ref="U1977">IFERROR(VLOOKUP($T1977,'Nghi hoc T12'!$H$7:$I$160,2,0),0)</f>
        <v>0</v>
      </c>
      <c r="V1977" s="28" t="str">
        <f t="shared" si="168"/>
        <v>205.C11</v>
      </c>
      <c r="W1977" s="28">
        <f t="shared" si="165"/>
        <v>0</v>
      </c>
      <c r="X1977" s="333">
        <f t="shared" si="166"/>
        <v>0</v>
      </c>
      <c r="Y1977" s="333">
        <f t="shared" si="167"/>
        <v>0</v>
      </c>
    </row>
    <row r="1978" spans="1:25" s="2" customFormat="1" ht="21.95" customHeight="1">
      <c r="A1978" s="82">
        <v>5</v>
      </c>
      <c r="B1978" s="91" t="s">
        <v>3340</v>
      </c>
      <c r="C1978" s="83" t="s">
        <v>366</v>
      </c>
      <c r="D1978" s="81" t="s">
        <v>2218</v>
      </c>
      <c r="E1978" s="48">
        <v>400325</v>
      </c>
      <c r="F1978" s="30" t="s">
        <v>2380</v>
      </c>
      <c r="G1978" s="29" t="s">
        <v>80</v>
      </c>
      <c r="H1978" s="30" t="s">
        <v>2322</v>
      </c>
      <c r="I1978" s="78"/>
      <c r="J1978" s="20"/>
      <c r="K1978" s="20"/>
      <c r="L1978" s="20"/>
      <c r="M1978" s="20"/>
      <c r="N1978" s="320" t="s">
        <v>2685</v>
      </c>
      <c r="O1978" s="70">
        <v>0</v>
      </c>
      <c r="P1978" s="70">
        <v>0</v>
      </c>
      <c r="Q1978" s="70">
        <f t="shared" si="163"/>
        <v>0</v>
      </c>
      <c r="R1978" s="70"/>
      <c r="S1978" s="67"/>
      <c r="T1978" s="2" t="str">
        <f t="shared" si="164"/>
        <v>Lê Ngọc Bảo Tiên_11VH2</v>
      </c>
      <c r="U1978" s="28">
        <f t="array" ref="U1978">IFERROR(VLOOKUP($T1978,'Nghi hoc T12'!$H$7:$I$160,2,0),0)</f>
        <v>0</v>
      </c>
      <c r="V1978" s="28" t="str">
        <f t="shared" si="168"/>
        <v>205.C11</v>
      </c>
      <c r="W1978" s="28">
        <f t="shared" si="165"/>
        <v>0</v>
      </c>
      <c r="X1978" s="333">
        <f t="shared" si="166"/>
        <v>0</v>
      </c>
      <c r="Y1978" s="333">
        <f t="shared" si="167"/>
        <v>0</v>
      </c>
    </row>
    <row r="1979" spans="1:25" s="2" customFormat="1" ht="21.95" customHeight="1">
      <c r="A1979" s="82">
        <v>6</v>
      </c>
      <c r="B1979" s="91" t="s">
        <v>3340</v>
      </c>
      <c r="C1979" s="83" t="s">
        <v>366</v>
      </c>
      <c r="D1979" s="81" t="s">
        <v>2218</v>
      </c>
      <c r="E1979" s="48">
        <v>400326</v>
      </c>
      <c r="F1979" s="30" t="s">
        <v>2025</v>
      </c>
      <c r="G1979" s="29" t="s">
        <v>80</v>
      </c>
      <c r="H1979" s="30" t="s">
        <v>2324</v>
      </c>
      <c r="I1979" s="78"/>
      <c r="J1979" s="20"/>
      <c r="K1979" s="20"/>
      <c r="L1979" s="20"/>
      <c r="M1979" s="20"/>
      <c r="N1979" s="320" t="s">
        <v>2685</v>
      </c>
      <c r="O1979" s="70">
        <v>0</v>
      </c>
      <c r="P1979" s="70">
        <v>0</v>
      </c>
      <c r="Q1979" s="70">
        <f t="shared" si="163"/>
        <v>0</v>
      </c>
      <c r="R1979" s="70"/>
      <c r="S1979" s="67"/>
      <c r="T1979" s="2" t="str">
        <f t="shared" si="164"/>
        <v>Nguyễn Thị Thủy Tiên_11VH1</v>
      </c>
      <c r="U1979" s="28">
        <f t="array" ref="U1979">IFERROR(VLOOKUP($T1979,'Nghi hoc T12'!$H$7:$I$160,2,0),0)</f>
        <v>0</v>
      </c>
      <c r="V1979" s="28" t="str">
        <f t="shared" si="168"/>
        <v>205.C11</v>
      </c>
      <c r="W1979" s="28">
        <f t="shared" si="165"/>
        <v>0</v>
      </c>
      <c r="X1979" s="333">
        <f t="shared" si="166"/>
        <v>0</v>
      </c>
      <c r="Y1979" s="333">
        <f t="shared" si="167"/>
        <v>0</v>
      </c>
    </row>
    <row r="1980" spans="1:25" s="2" customFormat="1" ht="21.95" customHeight="1">
      <c r="A1980" s="82">
        <v>7</v>
      </c>
      <c r="B1980" s="91" t="s">
        <v>3340</v>
      </c>
      <c r="C1980" s="83" t="s">
        <v>366</v>
      </c>
      <c r="D1980" s="81" t="s">
        <v>2218</v>
      </c>
      <c r="E1980" s="48">
        <v>400327</v>
      </c>
      <c r="F1980" s="30" t="s">
        <v>1536</v>
      </c>
      <c r="G1980" s="29" t="s">
        <v>215</v>
      </c>
      <c r="H1980" s="30" t="s">
        <v>2322</v>
      </c>
      <c r="I1980" s="78"/>
      <c r="J1980" s="20"/>
      <c r="K1980" s="20"/>
      <c r="L1980" s="20"/>
      <c r="M1980" s="20"/>
      <c r="N1980" s="320" t="s">
        <v>2685</v>
      </c>
      <c r="O1980" s="70">
        <v>0</v>
      </c>
      <c r="P1980" s="70">
        <v>0</v>
      </c>
      <c r="Q1980" s="70">
        <f t="shared" si="163"/>
        <v>0</v>
      </c>
      <c r="R1980" s="70"/>
      <c r="S1980" s="67"/>
      <c r="T1980" s="2" t="str">
        <f t="shared" si="164"/>
        <v>Dương Hoàng Tiến_11VH2</v>
      </c>
      <c r="U1980" s="28">
        <f t="array" ref="U1980">IFERROR(VLOOKUP($T1980,'Nghi hoc T12'!$H$7:$I$160,2,0),0)</f>
        <v>0</v>
      </c>
      <c r="V1980" s="28" t="str">
        <f t="shared" si="168"/>
        <v>205.C11</v>
      </c>
      <c r="W1980" s="28">
        <f t="shared" si="165"/>
        <v>0</v>
      </c>
      <c r="X1980" s="333">
        <f t="shared" si="166"/>
        <v>0</v>
      </c>
      <c r="Y1980" s="333">
        <f t="shared" si="167"/>
        <v>0</v>
      </c>
    </row>
    <row r="1981" spans="1:25" s="2" customFormat="1" ht="21.95" customHeight="1">
      <c r="A1981" s="82">
        <v>8</v>
      </c>
      <c r="B1981" s="91" t="s">
        <v>3340</v>
      </c>
      <c r="C1981" s="83" t="s">
        <v>366</v>
      </c>
      <c r="D1981" s="81" t="s">
        <v>2218</v>
      </c>
      <c r="E1981" s="48">
        <v>400328</v>
      </c>
      <c r="F1981" s="30" t="s">
        <v>2381</v>
      </c>
      <c r="G1981" s="29" t="s">
        <v>215</v>
      </c>
      <c r="H1981" s="30" t="s">
        <v>2322</v>
      </c>
      <c r="I1981" s="78"/>
      <c r="J1981" s="20"/>
      <c r="K1981" s="20"/>
      <c r="L1981" s="20"/>
      <c r="M1981" s="20"/>
      <c r="N1981" s="320" t="s">
        <v>2685</v>
      </c>
      <c r="O1981" s="70">
        <v>0</v>
      </c>
      <c r="P1981" s="70">
        <v>0</v>
      </c>
      <c r="Q1981" s="70">
        <f t="shared" si="163"/>
        <v>0</v>
      </c>
      <c r="R1981" s="70"/>
      <c r="S1981" s="67"/>
      <c r="T1981" s="2" t="str">
        <f t="shared" si="164"/>
        <v>Lê Trần Tiến_11VH2</v>
      </c>
      <c r="U1981" s="28">
        <f t="array" ref="U1981">IFERROR(VLOOKUP($T1981,'Nghi hoc T12'!$H$7:$I$160,2,0),0)</f>
        <v>0</v>
      </c>
      <c r="V1981" s="28" t="str">
        <f t="shared" si="168"/>
        <v>205.C11</v>
      </c>
      <c r="W1981" s="28">
        <f t="shared" si="165"/>
        <v>0</v>
      </c>
      <c r="X1981" s="333">
        <f t="shared" si="166"/>
        <v>0</v>
      </c>
      <c r="Y1981" s="333">
        <f t="shared" si="167"/>
        <v>0</v>
      </c>
    </row>
    <row r="1982" spans="1:25" s="2" customFormat="1" ht="21.95" customHeight="1">
      <c r="A1982" s="82">
        <v>9</v>
      </c>
      <c r="B1982" s="91" t="s">
        <v>3340</v>
      </c>
      <c r="C1982" s="83" t="s">
        <v>366</v>
      </c>
      <c r="D1982" s="81" t="s">
        <v>2218</v>
      </c>
      <c r="E1982" s="48">
        <v>400329</v>
      </c>
      <c r="F1982" s="30" t="s">
        <v>1631</v>
      </c>
      <c r="G1982" s="29" t="s">
        <v>30</v>
      </c>
      <c r="H1982" s="30" t="s">
        <v>2324</v>
      </c>
      <c r="I1982" s="78"/>
      <c r="J1982" s="20"/>
      <c r="K1982" s="20"/>
      <c r="L1982" s="20"/>
      <c r="M1982" s="20"/>
      <c r="N1982" s="320" t="s">
        <v>2685</v>
      </c>
      <c r="O1982" s="70">
        <v>0</v>
      </c>
      <c r="P1982" s="70">
        <v>0</v>
      </c>
      <c r="Q1982" s="70">
        <f t="shared" si="163"/>
        <v>0</v>
      </c>
      <c r="R1982" s="70"/>
      <c r="S1982" s="67"/>
      <c r="T1982" s="2" t="str">
        <f t="shared" si="164"/>
        <v>Nguyễn Thị Huyền Trang_11VH1</v>
      </c>
      <c r="U1982" s="28">
        <f t="array" ref="U1982">IFERROR(VLOOKUP($T1982,'Nghi hoc T12'!$H$7:$I$160,2,0),0)</f>
        <v>0</v>
      </c>
      <c r="V1982" s="28" t="str">
        <f t="shared" si="168"/>
        <v>205.C11</v>
      </c>
      <c r="W1982" s="28">
        <f t="shared" si="165"/>
        <v>0</v>
      </c>
      <c r="X1982" s="333">
        <f t="shared" si="166"/>
        <v>0</v>
      </c>
      <c r="Y1982" s="333">
        <f t="shared" si="167"/>
        <v>0</v>
      </c>
    </row>
    <row r="1983" spans="1:25" s="2" customFormat="1" ht="21.95" customHeight="1">
      <c r="A1983" s="82">
        <v>10</v>
      </c>
      <c r="B1983" s="91" t="s">
        <v>3340</v>
      </c>
      <c r="C1983" s="83" t="s">
        <v>366</v>
      </c>
      <c r="D1983" s="81" t="s">
        <v>2218</v>
      </c>
      <c r="E1983" s="48">
        <v>400330</v>
      </c>
      <c r="F1983" s="30" t="s">
        <v>242</v>
      </c>
      <c r="G1983" s="29" t="s">
        <v>81</v>
      </c>
      <c r="H1983" s="30" t="s">
        <v>2322</v>
      </c>
      <c r="I1983" s="78"/>
      <c r="J1983" s="20"/>
      <c r="K1983" s="20"/>
      <c r="L1983" s="20"/>
      <c r="M1983" s="20"/>
      <c r="N1983" s="320" t="s">
        <v>2685</v>
      </c>
      <c r="O1983" s="70">
        <v>0</v>
      </c>
      <c r="P1983" s="70">
        <v>0</v>
      </c>
      <c r="Q1983" s="70">
        <f t="shared" si="163"/>
        <v>0</v>
      </c>
      <c r="R1983" s="70"/>
      <c r="S1983" s="67"/>
      <c r="T1983" s="2" t="str">
        <f t="shared" si="164"/>
        <v>Nguyễn Ngọc Bảo Trân_11VH2</v>
      </c>
      <c r="U1983" s="28">
        <f t="array" ref="U1983">IFERROR(VLOOKUP($T1983,'Nghi hoc T12'!$H$7:$I$160,2,0),0)</f>
        <v>0</v>
      </c>
      <c r="V1983" s="28" t="str">
        <f t="shared" si="168"/>
        <v>205.C11</v>
      </c>
      <c r="W1983" s="28">
        <f t="shared" si="165"/>
        <v>0</v>
      </c>
      <c r="X1983" s="333">
        <f t="shared" si="166"/>
        <v>0</v>
      </c>
      <c r="Y1983" s="333">
        <f t="shared" si="167"/>
        <v>0</v>
      </c>
    </row>
    <row r="1984" spans="1:25" s="2" customFormat="1" ht="21.95" customHeight="1">
      <c r="A1984" s="82">
        <v>11</v>
      </c>
      <c r="B1984" s="91" t="s">
        <v>3340</v>
      </c>
      <c r="C1984" s="83" t="s">
        <v>366</v>
      </c>
      <c r="D1984" s="81" t="s">
        <v>2218</v>
      </c>
      <c r="E1984" s="48">
        <v>400331</v>
      </c>
      <c r="F1984" s="30" t="s">
        <v>2382</v>
      </c>
      <c r="G1984" s="29" t="s">
        <v>81</v>
      </c>
      <c r="H1984" s="30" t="s">
        <v>2324</v>
      </c>
      <c r="I1984" s="78"/>
      <c r="J1984" s="20"/>
      <c r="K1984" s="20"/>
      <c r="L1984" s="20"/>
      <c r="M1984" s="20"/>
      <c r="N1984" s="320" t="s">
        <v>2685</v>
      </c>
      <c r="O1984" s="70">
        <v>0</v>
      </c>
      <c r="P1984" s="70">
        <v>0</v>
      </c>
      <c r="Q1984" s="70">
        <f t="shared" si="163"/>
        <v>0</v>
      </c>
      <c r="R1984" s="70"/>
      <c r="S1984" s="67"/>
      <c r="T1984" s="2" t="str">
        <f t="shared" si="164"/>
        <v>Trương Hồ Bảo Trân_11VH1</v>
      </c>
      <c r="U1984" s="28">
        <f t="array" ref="U1984">IFERROR(VLOOKUP($T1984,'Nghi hoc T12'!$H$7:$I$160,2,0),0)</f>
        <v>0</v>
      </c>
      <c r="V1984" s="28" t="str">
        <f t="shared" si="168"/>
        <v>205.C11</v>
      </c>
      <c r="W1984" s="28">
        <f t="shared" si="165"/>
        <v>0</v>
      </c>
      <c r="X1984" s="333">
        <f t="shared" si="166"/>
        <v>0</v>
      </c>
      <c r="Y1984" s="333">
        <f t="shared" si="167"/>
        <v>0</v>
      </c>
    </row>
    <row r="1985" spans="1:25" s="2" customFormat="1" ht="21.95" customHeight="1">
      <c r="A1985" s="82">
        <v>12</v>
      </c>
      <c r="B1985" s="91" t="s">
        <v>3340</v>
      </c>
      <c r="C1985" s="83" t="s">
        <v>366</v>
      </c>
      <c r="D1985" s="81" t="s">
        <v>2218</v>
      </c>
      <c r="E1985" s="48">
        <v>400332</v>
      </c>
      <c r="F1985" s="30" t="s">
        <v>2383</v>
      </c>
      <c r="G1985" s="29" t="s">
        <v>206</v>
      </c>
      <c r="H1985" s="30" t="s">
        <v>2324</v>
      </c>
      <c r="I1985" s="78"/>
      <c r="J1985" s="20"/>
      <c r="K1985" s="20"/>
      <c r="L1985" s="20"/>
      <c r="M1985" s="20"/>
      <c r="N1985" s="320" t="s">
        <v>2685</v>
      </c>
      <c r="O1985" s="70">
        <v>0</v>
      </c>
      <c r="P1985" s="70">
        <v>0</v>
      </c>
      <c r="Q1985" s="70">
        <f t="shared" si="163"/>
        <v>0</v>
      </c>
      <c r="R1985" s="70"/>
      <c r="S1985" s="67"/>
      <c r="T1985" s="2" t="str">
        <f t="shared" si="164"/>
        <v>Lý Trần Bảo Trí_11VH1</v>
      </c>
      <c r="U1985" s="28">
        <f t="array" ref="U1985">IFERROR(VLOOKUP($T1985,'Nghi hoc T12'!$H$7:$I$160,2,0),0)</f>
        <v>0</v>
      </c>
      <c r="V1985" s="28" t="str">
        <f t="shared" si="168"/>
        <v>205.C11</v>
      </c>
      <c r="W1985" s="28">
        <f t="shared" si="165"/>
        <v>0</v>
      </c>
      <c r="X1985" s="333">
        <f t="shared" si="166"/>
        <v>0</v>
      </c>
      <c r="Y1985" s="333">
        <f t="shared" si="167"/>
        <v>0</v>
      </c>
    </row>
    <row r="1986" spans="1:25" s="2" customFormat="1" ht="21.95" customHeight="1">
      <c r="A1986" s="82">
        <v>13</v>
      </c>
      <c r="B1986" s="91" t="s">
        <v>3340</v>
      </c>
      <c r="C1986" s="83" t="s">
        <v>366</v>
      </c>
      <c r="D1986" s="81" t="s">
        <v>2218</v>
      </c>
      <c r="E1986" s="48">
        <v>400333</v>
      </c>
      <c r="F1986" s="30" t="s">
        <v>2384</v>
      </c>
      <c r="G1986" s="29" t="s">
        <v>206</v>
      </c>
      <c r="H1986" s="30" t="s">
        <v>2322</v>
      </c>
      <c r="I1986" s="78"/>
      <c r="J1986" s="20"/>
      <c r="K1986" s="20"/>
      <c r="L1986" s="20"/>
      <c r="M1986" s="20"/>
      <c r="N1986" s="320" t="s">
        <v>2685</v>
      </c>
      <c r="O1986" s="70">
        <v>0</v>
      </c>
      <c r="P1986" s="70">
        <v>0</v>
      </c>
      <c r="Q1986" s="70">
        <f t="shared" si="163"/>
        <v>0</v>
      </c>
      <c r="R1986" s="70"/>
      <c r="S1986" s="67"/>
      <c r="T1986" s="2" t="str">
        <f t="shared" si="164"/>
        <v>Phạm Nguyễn Minh Trí_11VH2</v>
      </c>
      <c r="U1986" s="28">
        <f t="array" ref="U1986">IFERROR(VLOOKUP($T1986,'Nghi hoc T12'!$H$7:$I$160,2,0),0)</f>
        <v>0</v>
      </c>
      <c r="V1986" s="28" t="str">
        <f t="shared" si="168"/>
        <v>205.C11</v>
      </c>
      <c r="W1986" s="28">
        <f t="shared" si="165"/>
        <v>0</v>
      </c>
      <c r="X1986" s="333">
        <f t="shared" si="166"/>
        <v>0</v>
      </c>
      <c r="Y1986" s="333">
        <f t="shared" si="167"/>
        <v>0</v>
      </c>
    </row>
    <row r="1987" spans="1:25" s="2" customFormat="1" ht="21.95" customHeight="1">
      <c r="A1987" s="82">
        <v>14</v>
      </c>
      <c r="B1987" s="91" t="s">
        <v>3340</v>
      </c>
      <c r="C1987" s="83" t="s">
        <v>366</v>
      </c>
      <c r="D1987" s="81" t="s">
        <v>2218</v>
      </c>
      <c r="E1987" s="48">
        <v>400334</v>
      </c>
      <c r="F1987" s="30" t="s">
        <v>2385</v>
      </c>
      <c r="G1987" s="29" t="s">
        <v>206</v>
      </c>
      <c r="H1987" s="30" t="s">
        <v>2324</v>
      </c>
      <c r="I1987" s="78"/>
      <c r="J1987" s="20"/>
      <c r="K1987" s="20"/>
      <c r="L1987" s="20"/>
      <c r="M1987" s="20"/>
      <c r="N1987" s="320" t="s">
        <v>2685</v>
      </c>
      <c r="O1987" s="70">
        <v>0</v>
      </c>
      <c r="P1987" s="70">
        <v>0</v>
      </c>
      <c r="Q1987" s="70">
        <f t="shared" si="163"/>
        <v>0</v>
      </c>
      <c r="R1987" s="70"/>
      <c r="S1987" s="67"/>
      <c r="T1987" s="2" t="str">
        <f t="shared" si="164"/>
        <v>Thái Thanh Trí_11VH1</v>
      </c>
      <c r="U1987" s="28">
        <f t="array" ref="U1987">IFERROR(VLOOKUP($T1987,'Nghi hoc T12'!$H$7:$I$160,2,0),0)</f>
        <v>0</v>
      </c>
      <c r="V1987" s="28" t="str">
        <f t="shared" si="168"/>
        <v>205.C11</v>
      </c>
      <c r="W1987" s="28">
        <f t="shared" si="165"/>
        <v>0</v>
      </c>
      <c r="X1987" s="333">
        <f t="shared" si="166"/>
        <v>0</v>
      </c>
      <c r="Y1987" s="333">
        <f t="shared" si="167"/>
        <v>0</v>
      </c>
    </row>
    <row r="1988" spans="1:25" s="2" customFormat="1" ht="21.95" customHeight="1">
      <c r="A1988" s="82">
        <v>15</v>
      </c>
      <c r="B1988" s="91" t="s">
        <v>3340</v>
      </c>
      <c r="C1988" s="83" t="s">
        <v>366</v>
      </c>
      <c r="D1988" s="81" t="s">
        <v>2218</v>
      </c>
      <c r="E1988" s="48">
        <v>400335</v>
      </c>
      <c r="F1988" s="30" t="s">
        <v>2386</v>
      </c>
      <c r="G1988" s="29" t="s">
        <v>98</v>
      </c>
      <c r="H1988" s="30" t="s">
        <v>2322</v>
      </c>
      <c r="I1988" s="78"/>
      <c r="J1988" s="20"/>
      <c r="K1988" s="20"/>
      <c r="L1988" s="20"/>
      <c r="M1988" s="20"/>
      <c r="N1988" s="320" t="s">
        <v>2685</v>
      </c>
      <c r="O1988" s="70">
        <v>0</v>
      </c>
      <c r="P1988" s="70">
        <v>0</v>
      </c>
      <c r="Q1988" s="70">
        <f t="shared" si="163"/>
        <v>0</v>
      </c>
      <c r="R1988" s="70"/>
      <c r="S1988" s="67"/>
      <c r="T1988" s="2" t="str">
        <f t="shared" si="164"/>
        <v>Hồ Thị Ngọc Trinh_11VH2</v>
      </c>
      <c r="U1988" s="28">
        <f t="array" ref="U1988">IFERROR(VLOOKUP($T1988,'Nghi hoc T12'!$H$7:$I$160,2,0),0)</f>
        <v>0</v>
      </c>
      <c r="V1988" s="28" t="str">
        <f t="shared" si="168"/>
        <v>205.C11</v>
      </c>
      <c r="W1988" s="28">
        <f t="shared" si="165"/>
        <v>0</v>
      </c>
      <c r="X1988" s="333">
        <f t="shared" si="166"/>
        <v>0</v>
      </c>
      <c r="Y1988" s="333">
        <f t="shared" si="167"/>
        <v>0</v>
      </c>
    </row>
    <row r="1989" spans="1:25" s="2" customFormat="1" ht="21.95" customHeight="1">
      <c r="A1989" s="82">
        <v>16</v>
      </c>
      <c r="B1989" s="91" t="s">
        <v>3340</v>
      </c>
      <c r="C1989" s="83" t="s">
        <v>366</v>
      </c>
      <c r="D1989" s="81" t="s">
        <v>2218</v>
      </c>
      <c r="E1989" s="48">
        <v>400336</v>
      </c>
      <c r="F1989" s="30" t="s">
        <v>2387</v>
      </c>
      <c r="G1989" s="29" t="s">
        <v>31</v>
      </c>
      <c r="H1989" s="30" t="s">
        <v>2324</v>
      </c>
      <c r="I1989" s="78"/>
      <c r="J1989" s="20"/>
      <c r="K1989" s="20"/>
      <c r="L1989" s="20"/>
      <c r="M1989" s="20"/>
      <c r="N1989" s="320" t="s">
        <v>2685</v>
      </c>
      <c r="O1989" s="70">
        <v>0</v>
      </c>
      <c r="P1989" s="70">
        <v>0</v>
      </c>
      <c r="Q1989" s="70">
        <f t="shared" si="163"/>
        <v>0</v>
      </c>
      <c r="R1989" s="70"/>
      <c r="S1989" s="67"/>
      <c r="T1989" s="2" t="str">
        <f t="shared" si="164"/>
        <v>Nguyễn Dương Thanh Trúc_11VH1</v>
      </c>
      <c r="U1989" s="28">
        <f t="array" ref="U1989">IFERROR(VLOOKUP($T1989,'Nghi hoc T12'!$H$7:$I$160,2,0),0)</f>
        <v>0</v>
      </c>
      <c r="V1989" s="28" t="str">
        <f t="shared" si="168"/>
        <v>205.C11</v>
      </c>
      <c r="W1989" s="28">
        <f t="shared" si="165"/>
        <v>0</v>
      </c>
      <c r="X1989" s="333">
        <f t="shared" si="166"/>
        <v>0</v>
      </c>
      <c r="Y1989" s="333">
        <f t="shared" si="167"/>
        <v>0</v>
      </c>
    </row>
    <row r="1990" spans="1:25" s="2" customFormat="1" ht="21.95" customHeight="1">
      <c r="A1990" s="82">
        <v>17</v>
      </c>
      <c r="B1990" s="91" t="s">
        <v>3340</v>
      </c>
      <c r="C1990" s="83" t="s">
        <v>366</v>
      </c>
      <c r="D1990" s="81" t="s">
        <v>2218</v>
      </c>
      <c r="E1990" s="48">
        <v>400337</v>
      </c>
      <c r="F1990" s="30" t="s">
        <v>230</v>
      </c>
      <c r="G1990" s="29" t="s">
        <v>31</v>
      </c>
      <c r="H1990" s="30" t="s">
        <v>2322</v>
      </c>
      <c r="I1990" s="78"/>
      <c r="J1990" s="20"/>
      <c r="K1990" s="20"/>
      <c r="L1990" s="20"/>
      <c r="M1990" s="20"/>
      <c r="N1990" s="320" t="s">
        <v>2685</v>
      </c>
      <c r="O1990" s="70">
        <v>0</v>
      </c>
      <c r="P1990" s="70">
        <v>0</v>
      </c>
      <c r="Q1990" s="70">
        <f t="shared" si="163"/>
        <v>0</v>
      </c>
      <c r="R1990" s="70"/>
      <c r="S1990" s="67"/>
      <c r="T1990" s="2" t="str">
        <f t="shared" si="164"/>
        <v>Nguyễn Hoàng Thanh Trúc_11VH2</v>
      </c>
      <c r="U1990" s="28">
        <f t="array" ref="U1990">IFERROR(VLOOKUP($T1990,'Nghi hoc T12'!$H$7:$I$160,2,0),0)</f>
        <v>0</v>
      </c>
      <c r="V1990" s="28" t="str">
        <f t="shared" si="168"/>
        <v>205.C11</v>
      </c>
      <c r="W1990" s="28">
        <f t="shared" si="165"/>
        <v>0</v>
      </c>
      <c r="X1990" s="333">
        <f t="shared" si="166"/>
        <v>0</v>
      </c>
      <c r="Y1990" s="333">
        <f t="shared" si="167"/>
        <v>0</v>
      </c>
    </row>
    <row r="1991" spans="1:25" s="2" customFormat="1" ht="21.95" customHeight="1">
      <c r="A1991" s="82">
        <v>18</v>
      </c>
      <c r="B1991" s="91" t="s">
        <v>3340</v>
      </c>
      <c r="C1991" s="83" t="s">
        <v>366</v>
      </c>
      <c r="D1991" s="81" t="s">
        <v>2218</v>
      </c>
      <c r="E1991" s="48">
        <v>400338</v>
      </c>
      <c r="F1991" s="30" t="s">
        <v>2388</v>
      </c>
      <c r="G1991" s="29" t="s">
        <v>32</v>
      </c>
      <c r="H1991" s="30" t="s">
        <v>2324</v>
      </c>
      <c r="I1991" s="78"/>
      <c r="J1991" s="20"/>
      <c r="K1991" s="20"/>
      <c r="L1991" s="20"/>
      <c r="M1991" s="20"/>
      <c r="N1991" s="320" t="s">
        <v>2685</v>
      </c>
      <c r="O1991" s="70">
        <v>0</v>
      </c>
      <c r="P1991" s="70">
        <v>0</v>
      </c>
      <c r="Q1991" s="70">
        <f t="shared" si="163"/>
        <v>0</v>
      </c>
      <c r="R1991" s="70"/>
      <c r="S1991" s="67"/>
      <c r="T1991" s="2" t="str">
        <f t="shared" si="164"/>
        <v>Hà Quang Trung_11VH1</v>
      </c>
      <c r="U1991" s="28">
        <f t="array" ref="U1991">IFERROR(VLOOKUP($T1991,'Nghi hoc T12'!$H$7:$I$160,2,0),0)</f>
        <v>0</v>
      </c>
      <c r="V1991" s="28" t="str">
        <f t="shared" si="168"/>
        <v>205.C11</v>
      </c>
      <c r="W1991" s="28">
        <f t="shared" si="165"/>
        <v>0</v>
      </c>
      <c r="X1991" s="333">
        <f t="shared" si="166"/>
        <v>0</v>
      </c>
      <c r="Y1991" s="333">
        <f t="shared" si="167"/>
        <v>0</v>
      </c>
    </row>
    <row r="1992" spans="1:25" s="2" customFormat="1" ht="21.95" customHeight="1">
      <c r="A1992" s="82">
        <v>19</v>
      </c>
      <c r="B1992" s="91" t="s">
        <v>3340</v>
      </c>
      <c r="C1992" s="83" t="s">
        <v>366</v>
      </c>
      <c r="D1992" s="81" t="s">
        <v>2218</v>
      </c>
      <c r="E1992" s="48">
        <v>400339</v>
      </c>
      <c r="F1992" s="30" t="s">
        <v>2389</v>
      </c>
      <c r="G1992" s="29" t="s">
        <v>110</v>
      </c>
      <c r="H1992" s="30" t="s">
        <v>2324</v>
      </c>
      <c r="I1992" s="78"/>
      <c r="J1992" s="20"/>
      <c r="K1992" s="20"/>
      <c r="L1992" s="20"/>
      <c r="M1992" s="20"/>
      <c r="N1992" s="320" t="s">
        <v>2685</v>
      </c>
      <c r="O1992" s="70">
        <v>0</v>
      </c>
      <c r="P1992" s="70">
        <v>0</v>
      </c>
      <c r="Q1992" s="70">
        <f t="shared" si="163"/>
        <v>0</v>
      </c>
      <c r="R1992" s="70"/>
      <c r="S1992" s="67"/>
      <c r="T1992" s="2" t="str">
        <f t="shared" si="164"/>
        <v>Võ Nguyễn Bão Tùng_11VH1</v>
      </c>
      <c r="U1992" s="28">
        <f t="array" ref="U1992">IFERROR(VLOOKUP($T1992,'Nghi hoc T12'!$H$7:$I$160,2,0),0)</f>
        <v>0</v>
      </c>
      <c r="V1992" s="28" t="str">
        <f t="shared" si="168"/>
        <v>205.C11</v>
      </c>
      <c r="W1992" s="28">
        <f t="shared" si="165"/>
        <v>0</v>
      </c>
      <c r="X1992" s="333">
        <f t="shared" si="166"/>
        <v>0</v>
      </c>
      <c r="Y1992" s="333">
        <f t="shared" si="167"/>
        <v>0</v>
      </c>
    </row>
    <row r="1993" spans="1:25" s="2" customFormat="1" ht="21.95" customHeight="1">
      <c r="A1993" s="82">
        <v>20</v>
      </c>
      <c r="B1993" s="91" t="s">
        <v>3340</v>
      </c>
      <c r="C1993" s="83" t="s">
        <v>366</v>
      </c>
      <c r="D1993" s="81" t="s">
        <v>2218</v>
      </c>
      <c r="E1993" s="48">
        <v>400340</v>
      </c>
      <c r="F1993" s="30" t="s">
        <v>229</v>
      </c>
      <c r="G1993" s="29" t="s">
        <v>73</v>
      </c>
      <c r="H1993" s="30" t="s">
        <v>2322</v>
      </c>
      <c r="I1993" s="78"/>
      <c r="J1993" s="20"/>
      <c r="K1993" s="20"/>
      <c r="L1993" s="20"/>
      <c r="M1993" s="20"/>
      <c r="N1993" s="320" t="s">
        <v>2685</v>
      </c>
      <c r="O1993" s="70">
        <v>0</v>
      </c>
      <c r="P1993" s="70">
        <v>0</v>
      </c>
      <c r="Q1993" s="70">
        <f t="shared" si="163"/>
        <v>0</v>
      </c>
      <c r="R1993" s="70"/>
      <c r="S1993" s="67"/>
      <c r="T1993" s="2" t="str">
        <f t="shared" si="164"/>
        <v>Nguyễn Trần Thanh Tuyền_11VH2</v>
      </c>
      <c r="U1993" s="28">
        <f t="array" ref="U1993">IFERROR(VLOOKUP($T1993,'Nghi hoc T12'!$H$7:$I$160,2,0),0)</f>
        <v>0</v>
      </c>
      <c r="V1993" s="28" t="str">
        <f t="shared" si="168"/>
        <v>205.C11</v>
      </c>
      <c r="W1993" s="28">
        <f t="shared" si="165"/>
        <v>0</v>
      </c>
      <c r="X1993" s="333">
        <f t="shared" si="166"/>
        <v>0</v>
      </c>
      <c r="Y1993" s="333">
        <f t="shared" si="167"/>
        <v>0</v>
      </c>
    </row>
    <row r="1994" spans="1:25" s="2" customFormat="1" ht="21.95" customHeight="1">
      <c r="A1994" s="82">
        <v>21</v>
      </c>
      <c r="B1994" s="91" t="s">
        <v>3340</v>
      </c>
      <c r="C1994" s="83" t="s">
        <v>366</v>
      </c>
      <c r="D1994" s="81" t="s">
        <v>2218</v>
      </c>
      <c r="E1994" s="48">
        <v>400341</v>
      </c>
      <c r="F1994" s="30" t="s">
        <v>2390</v>
      </c>
      <c r="G1994" s="29" t="s">
        <v>117</v>
      </c>
      <c r="H1994" s="30" t="s">
        <v>2322</v>
      </c>
      <c r="I1994" s="78"/>
      <c r="J1994" s="20"/>
      <c r="K1994" s="20"/>
      <c r="L1994" s="20"/>
      <c r="M1994" s="20"/>
      <c r="N1994" s="320" t="s">
        <v>2685</v>
      </c>
      <c r="O1994" s="70">
        <v>0</v>
      </c>
      <c r="P1994" s="70">
        <v>0</v>
      </c>
      <c r="Q1994" s="70">
        <f t="shared" ref="Q1994:Q2057" si="169">U1994</f>
        <v>0</v>
      </c>
      <c r="R1994" s="70"/>
      <c r="S1994" s="67"/>
      <c r="T1994" s="2" t="str">
        <f t="shared" ref="T1994:T2057" si="170">TRIM(F1994&amp;" "&amp;G1994&amp;"_"&amp;H1994)</f>
        <v>Trần Quân Tường_11VH2</v>
      </c>
      <c r="U1994" s="28">
        <f t="array" ref="U1994">IFERROR(VLOOKUP($T1994,'Nghi hoc T12'!$H$7:$I$160,2,0),0)</f>
        <v>0</v>
      </c>
      <c r="V1994" s="28" t="str">
        <f t="shared" si="168"/>
        <v>205.C11</v>
      </c>
      <c r="W1994" s="28">
        <f t="shared" ref="W1994:W2057" si="171">I1994</f>
        <v>0</v>
      </c>
      <c r="X1994" s="333">
        <f t="shared" ref="X1994:X2057" si="172">O1994</f>
        <v>0</v>
      </c>
      <c r="Y1994" s="333">
        <f t="shared" ref="Y1994:Y2057" si="173">P1994</f>
        <v>0</v>
      </c>
    </row>
    <row r="1995" spans="1:25" s="2" customFormat="1" ht="21.95" customHeight="1">
      <c r="A1995" s="82">
        <v>22</v>
      </c>
      <c r="B1995" s="91" t="s">
        <v>3340</v>
      </c>
      <c r="C1995" s="83" t="s">
        <v>366</v>
      </c>
      <c r="D1995" s="81" t="s">
        <v>2218</v>
      </c>
      <c r="E1995" s="48">
        <v>400342</v>
      </c>
      <c r="F1995" s="30" t="s">
        <v>2391</v>
      </c>
      <c r="G1995" s="29" t="s">
        <v>33</v>
      </c>
      <c r="H1995" s="30" t="s">
        <v>2324</v>
      </c>
      <c r="I1995" s="78"/>
      <c r="J1995" s="20"/>
      <c r="K1995" s="20"/>
      <c r="L1995" s="20"/>
      <c r="M1995" s="20"/>
      <c r="N1995" s="320" t="s">
        <v>2685</v>
      </c>
      <c r="O1995" s="70">
        <v>0</v>
      </c>
      <c r="P1995" s="70">
        <v>0</v>
      </c>
      <c r="Q1995" s="70">
        <f t="shared" si="169"/>
        <v>0</v>
      </c>
      <c r="R1995" s="70"/>
      <c r="S1995" s="67"/>
      <c r="T1995" s="2" t="str">
        <f t="shared" si="170"/>
        <v>Phạm Hoàng Việt_11VH1</v>
      </c>
      <c r="U1995" s="28">
        <f t="array" ref="U1995">IFERROR(VLOOKUP($T1995,'Nghi hoc T12'!$H$7:$I$160,2,0),0)</f>
        <v>0</v>
      </c>
      <c r="V1995" s="28" t="str">
        <f t="shared" si="168"/>
        <v>205.C11</v>
      </c>
      <c r="W1995" s="28">
        <f t="shared" si="171"/>
        <v>0</v>
      </c>
      <c r="X1995" s="333">
        <f t="shared" si="172"/>
        <v>0</v>
      </c>
      <c r="Y1995" s="333">
        <f t="shared" si="173"/>
        <v>0</v>
      </c>
    </row>
    <row r="1996" spans="1:25" s="2" customFormat="1" ht="21.95" customHeight="1">
      <c r="A1996" s="82">
        <v>23</v>
      </c>
      <c r="B1996" s="91" t="s">
        <v>3340</v>
      </c>
      <c r="C1996" s="83" t="s">
        <v>366</v>
      </c>
      <c r="D1996" s="81" t="s">
        <v>2218</v>
      </c>
      <c r="E1996" s="48">
        <v>400343</v>
      </c>
      <c r="F1996" s="30" t="s">
        <v>122</v>
      </c>
      <c r="G1996" s="29" t="s">
        <v>1337</v>
      </c>
      <c r="H1996" s="30" t="s">
        <v>2322</v>
      </c>
      <c r="I1996" s="78"/>
      <c r="J1996" s="20"/>
      <c r="K1996" s="20"/>
      <c r="L1996" s="20"/>
      <c r="M1996" s="20"/>
      <c r="N1996" s="320" t="s">
        <v>2685</v>
      </c>
      <c r="O1996" s="70">
        <v>0</v>
      </c>
      <c r="P1996" s="70">
        <v>0</v>
      </c>
      <c r="Q1996" s="70">
        <f t="shared" si="169"/>
        <v>0</v>
      </c>
      <c r="R1996" s="70"/>
      <c r="S1996" s="67"/>
      <c r="T1996" s="2" t="str">
        <f t="shared" si="170"/>
        <v>Đặng Minh Vương_11VH2</v>
      </c>
      <c r="U1996" s="28">
        <f t="array" ref="U1996">IFERROR(VLOOKUP($T1996,'Nghi hoc T12'!$H$7:$I$160,2,0),0)</f>
        <v>0</v>
      </c>
      <c r="V1996" s="28" t="str">
        <f t="shared" si="168"/>
        <v>205.C11</v>
      </c>
      <c r="W1996" s="28">
        <f t="shared" si="171"/>
        <v>0</v>
      </c>
      <c r="X1996" s="333">
        <f t="shared" si="172"/>
        <v>0</v>
      </c>
      <c r="Y1996" s="333">
        <f t="shared" si="173"/>
        <v>0</v>
      </c>
    </row>
    <row r="1997" spans="1:25" s="2" customFormat="1" ht="21.95" customHeight="1">
      <c r="A1997" s="82">
        <v>24</v>
      </c>
      <c r="B1997" s="91" t="s">
        <v>3340</v>
      </c>
      <c r="C1997" s="83" t="s">
        <v>366</v>
      </c>
      <c r="D1997" s="81" t="s">
        <v>2218</v>
      </c>
      <c r="E1997" s="48">
        <v>400344</v>
      </c>
      <c r="F1997" s="30" t="s">
        <v>2392</v>
      </c>
      <c r="G1997" s="29" t="s">
        <v>34</v>
      </c>
      <c r="H1997" s="30" t="s">
        <v>2324</v>
      </c>
      <c r="I1997" s="78"/>
      <c r="J1997" s="20"/>
      <c r="K1997" s="20"/>
      <c r="L1997" s="20"/>
      <c r="M1997" s="20"/>
      <c r="N1997" s="320" t="s">
        <v>2685</v>
      </c>
      <c r="O1997" s="70">
        <v>0</v>
      </c>
      <c r="P1997" s="70">
        <v>0</v>
      </c>
      <c r="Q1997" s="70">
        <f t="shared" si="169"/>
        <v>0</v>
      </c>
      <c r="R1997" s="70"/>
      <c r="S1997" s="67"/>
      <c r="T1997" s="2" t="str">
        <f t="shared" si="170"/>
        <v>Đỗ Ngọc Thảo Vy_11VH1</v>
      </c>
      <c r="U1997" s="28">
        <f t="array" ref="U1997">IFERROR(VLOOKUP($T1997,'Nghi hoc T12'!$H$7:$I$160,2,0),0)</f>
        <v>0</v>
      </c>
      <c r="V1997" s="28" t="str">
        <f t="shared" si="168"/>
        <v>205.C11</v>
      </c>
      <c r="W1997" s="28">
        <f t="shared" si="171"/>
        <v>0</v>
      </c>
      <c r="X1997" s="333">
        <f t="shared" si="172"/>
        <v>0</v>
      </c>
      <c r="Y1997" s="333">
        <f t="shared" si="173"/>
        <v>0</v>
      </c>
    </row>
    <row r="1998" spans="1:25" s="2" customFormat="1" ht="21.95" customHeight="1">
      <c r="A1998" s="82">
        <v>25</v>
      </c>
      <c r="B1998" s="91" t="s">
        <v>3340</v>
      </c>
      <c r="C1998" s="83" t="s">
        <v>366</v>
      </c>
      <c r="D1998" s="81" t="s">
        <v>2218</v>
      </c>
      <c r="E1998" s="48">
        <v>400345</v>
      </c>
      <c r="F1998" s="30" t="s">
        <v>2393</v>
      </c>
      <c r="G1998" s="29" t="s">
        <v>75</v>
      </c>
      <c r="H1998" s="30" t="s">
        <v>2322</v>
      </c>
      <c r="I1998" s="78"/>
      <c r="J1998" s="20"/>
      <c r="K1998" s="20"/>
      <c r="L1998" s="20"/>
      <c r="M1998" s="20"/>
      <c r="N1998" s="320" t="s">
        <v>2685</v>
      </c>
      <c r="O1998" s="70">
        <v>0</v>
      </c>
      <c r="P1998" s="70">
        <v>0</v>
      </c>
      <c r="Q1998" s="70">
        <f t="shared" si="169"/>
        <v>0</v>
      </c>
      <c r="R1998" s="70"/>
      <c r="S1998" s="67"/>
      <c r="T1998" s="2" t="str">
        <f t="shared" si="170"/>
        <v>Hoàng Thị Như Ý_11VH2</v>
      </c>
      <c r="U1998" s="28">
        <f t="array" ref="U1998">IFERROR(VLOOKUP($T1998,'Nghi hoc T12'!$H$7:$I$160,2,0),0)</f>
        <v>0</v>
      </c>
      <c r="V1998" s="28" t="str">
        <f t="shared" si="168"/>
        <v>205.C11</v>
      </c>
      <c r="W1998" s="28">
        <f t="shared" si="171"/>
        <v>0</v>
      </c>
      <c r="X1998" s="333">
        <f t="shared" si="172"/>
        <v>0</v>
      </c>
      <c r="Y1998" s="333">
        <f t="shared" si="173"/>
        <v>0</v>
      </c>
    </row>
    <row r="1999" spans="1:25" s="2" customFormat="1" ht="21.95" customHeight="1">
      <c r="A1999" s="82">
        <v>26</v>
      </c>
      <c r="B1999" s="91" t="s">
        <v>3340</v>
      </c>
      <c r="C1999" s="83" t="s">
        <v>366</v>
      </c>
      <c r="D1999" s="81" t="s">
        <v>2218</v>
      </c>
      <c r="E1999" s="48">
        <v>400346</v>
      </c>
      <c r="F1999" s="30" t="s">
        <v>2394</v>
      </c>
      <c r="G1999" s="29" t="s">
        <v>75</v>
      </c>
      <c r="H1999" s="30" t="s">
        <v>2324</v>
      </c>
      <c r="I1999" s="78"/>
      <c r="J1999" s="20"/>
      <c r="K1999" s="20"/>
      <c r="L1999" s="20"/>
      <c r="M1999" s="20"/>
      <c r="N1999" s="320" t="s">
        <v>2685</v>
      </c>
      <c r="O1999" s="70">
        <v>0</v>
      </c>
      <c r="P1999" s="70">
        <v>0</v>
      </c>
      <c r="Q1999" s="70">
        <f t="shared" si="169"/>
        <v>0</v>
      </c>
      <c r="R1999" s="70"/>
      <c r="S1999" s="67"/>
      <c r="T1999" s="2" t="str">
        <f t="shared" si="170"/>
        <v>Lê Ngọc Như Ý_11VH1</v>
      </c>
      <c r="U1999" s="28">
        <f t="array" ref="U1999">IFERROR(VLOOKUP($T1999,'Nghi hoc T12'!$H$7:$I$160,2,0),0)</f>
        <v>0</v>
      </c>
      <c r="V1999" s="28" t="str">
        <f t="shared" si="168"/>
        <v>205.C11</v>
      </c>
      <c r="W1999" s="28">
        <f t="shared" si="171"/>
        <v>0</v>
      </c>
      <c r="X1999" s="333">
        <f t="shared" si="172"/>
        <v>0</v>
      </c>
      <c r="Y1999" s="333">
        <f t="shared" si="173"/>
        <v>0</v>
      </c>
    </row>
    <row r="2000" spans="1:25" s="2" customFormat="1" ht="21.95" customHeight="1">
      <c r="A2000" s="82">
        <v>27</v>
      </c>
      <c r="B2000" s="91" t="s">
        <v>3340</v>
      </c>
      <c r="C2000" s="83" t="s">
        <v>366</v>
      </c>
      <c r="D2000" s="81" t="s">
        <v>2218</v>
      </c>
      <c r="E2000" s="48">
        <v>400347</v>
      </c>
      <c r="F2000" s="30" t="s">
        <v>484</v>
      </c>
      <c r="G2000" s="29" t="s">
        <v>62</v>
      </c>
      <c r="H2000" s="30" t="s">
        <v>2324</v>
      </c>
      <c r="I2000" s="78"/>
      <c r="J2000" s="20"/>
      <c r="K2000" s="20"/>
      <c r="L2000" s="20"/>
      <c r="M2000" s="20"/>
      <c r="N2000" s="320" t="s">
        <v>2685</v>
      </c>
      <c r="O2000" s="70">
        <v>0</v>
      </c>
      <c r="P2000" s="70">
        <v>0</v>
      </c>
      <c r="Q2000" s="70">
        <f t="shared" si="169"/>
        <v>0</v>
      </c>
      <c r="R2000" s="70"/>
      <c r="S2000" s="67"/>
      <c r="T2000" s="2" t="str">
        <f t="shared" si="170"/>
        <v>Nguyễn Trần Hoàng Yến_11VH1</v>
      </c>
      <c r="U2000" s="28">
        <f t="array" ref="U2000">IFERROR(VLOOKUP($T2000,'Nghi hoc T12'!$H$7:$I$160,2,0),0)</f>
        <v>0</v>
      </c>
      <c r="V2000" s="28" t="str">
        <f t="shared" si="168"/>
        <v>205.C11</v>
      </c>
      <c r="W2000" s="28">
        <f t="shared" si="171"/>
        <v>0</v>
      </c>
      <c r="X2000" s="333">
        <f t="shared" si="172"/>
        <v>0</v>
      </c>
      <c r="Y2000" s="333">
        <f t="shared" si="173"/>
        <v>0</v>
      </c>
    </row>
    <row r="2001" spans="1:25" s="2" customFormat="1" ht="21.95" customHeight="1">
      <c r="A2001" s="321">
        <v>1</v>
      </c>
      <c r="B2001" s="91" t="s">
        <v>3341</v>
      </c>
      <c r="C2001" s="185" t="s">
        <v>365</v>
      </c>
      <c r="D2001" s="186" t="s">
        <v>2238</v>
      </c>
      <c r="E2001" s="187">
        <v>400348</v>
      </c>
      <c r="F2001" s="188" t="s">
        <v>2395</v>
      </c>
      <c r="G2001" s="189" t="s">
        <v>63</v>
      </c>
      <c r="H2001" s="188" t="s">
        <v>2396</v>
      </c>
      <c r="I2001" s="190"/>
      <c r="J2001" s="191"/>
      <c r="K2001" s="191"/>
      <c r="L2001" s="191"/>
      <c r="M2001" s="191"/>
      <c r="N2001" s="320" t="s">
        <v>2685</v>
      </c>
      <c r="O2001" s="70">
        <v>0</v>
      </c>
      <c r="P2001" s="70">
        <v>0</v>
      </c>
      <c r="Q2001" s="70">
        <f t="shared" si="169"/>
        <v>0</v>
      </c>
      <c r="R2001" s="70"/>
      <c r="S2001" s="67"/>
      <c r="T2001" s="2" t="str">
        <f t="shared" si="170"/>
        <v>Lê Khắc Đại An_11VH3</v>
      </c>
      <c r="U2001" s="28">
        <f t="array" ref="U2001">IFERROR(VLOOKUP($T2001,'Nghi hoc T12'!$H$7:$I$160,2,0),0)</f>
        <v>0</v>
      </c>
      <c r="V2001" s="28" t="str">
        <f t="shared" si="168"/>
        <v>206.C11</v>
      </c>
      <c r="W2001" s="28">
        <f t="shared" si="171"/>
        <v>0</v>
      </c>
      <c r="X2001" s="333">
        <f t="shared" si="172"/>
        <v>0</v>
      </c>
      <c r="Y2001" s="333">
        <f t="shared" si="173"/>
        <v>0</v>
      </c>
    </row>
    <row r="2002" spans="1:25" s="2" customFormat="1" ht="21.95" customHeight="1">
      <c r="A2002" s="82">
        <v>2</v>
      </c>
      <c r="B2002" s="91" t="s">
        <v>3341</v>
      </c>
      <c r="C2002" s="83" t="s">
        <v>365</v>
      </c>
      <c r="D2002" s="81" t="s">
        <v>2238</v>
      </c>
      <c r="E2002" s="48">
        <v>400349</v>
      </c>
      <c r="F2002" s="30" t="s">
        <v>2397</v>
      </c>
      <c r="G2002" s="29" t="s">
        <v>5</v>
      </c>
      <c r="H2002" s="30" t="s">
        <v>2398</v>
      </c>
      <c r="I2002" s="78"/>
      <c r="J2002" s="20"/>
      <c r="K2002" s="20"/>
      <c r="L2002" s="20"/>
      <c r="M2002" s="20"/>
      <c r="N2002" s="320" t="s">
        <v>2685</v>
      </c>
      <c r="O2002" s="70">
        <v>0</v>
      </c>
      <c r="P2002" s="70">
        <v>0</v>
      </c>
      <c r="Q2002" s="70">
        <f t="shared" si="169"/>
        <v>0</v>
      </c>
      <c r="R2002" s="70"/>
      <c r="S2002" s="67"/>
      <c r="T2002" s="2" t="str">
        <f t="shared" si="170"/>
        <v>Lã Hồng Anh_11VH4</v>
      </c>
      <c r="U2002" s="28">
        <f t="array" ref="U2002">IFERROR(VLOOKUP($T2002,'Nghi hoc T12'!$H$7:$I$160,2,0),0)</f>
        <v>0</v>
      </c>
      <c r="V2002" s="28" t="str">
        <f t="shared" si="168"/>
        <v>206.C11</v>
      </c>
      <c r="W2002" s="28">
        <f t="shared" si="171"/>
        <v>0</v>
      </c>
      <c r="X2002" s="333">
        <f t="shared" si="172"/>
        <v>0</v>
      </c>
      <c r="Y2002" s="333">
        <f t="shared" si="173"/>
        <v>0</v>
      </c>
    </row>
    <row r="2003" spans="1:25" s="2" customFormat="1" ht="21.95" customHeight="1">
      <c r="A2003" s="82">
        <v>3</v>
      </c>
      <c r="B2003" s="91" t="s">
        <v>3341</v>
      </c>
      <c r="C2003" s="83" t="s">
        <v>365</v>
      </c>
      <c r="D2003" s="81" t="s">
        <v>2238</v>
      </c>
      <c r="E2003" s="48">
        <v>400350</v>
      </c>
      <c r="F2003" s="30" t="s">
        <v>150</v>
      </c>
      <c r="G2003" s="29" t="s">
        <v>5</v>
      </c>
      <c r="H2003" s="30" t="s">
        <v>2399</v>
      </c>
      <c r="I2003" s="78"/>
      <c r="J2003" s="20"/>
      <c r="K2003" s="20"/>
      <c r="L2003" s="20"/>
      <c r="M2003" s="20"/>
      <c r="N2003" s="320" t="s">
        <v>2685</v>
      </c>
      <c r="O2003" s="70">
        <v>0</v>
      </c>
      <c r="P2003" s="70">
        <v>0</v>
      </c>
      <c r="Q2003" s="70">
        <f t="shared" si="169"/>
        <v>0</v>
      </c>
      <c r="R2003" s="70"/>
      <c r="S2003" s="67"/>
      <c r="T2003" s="2" t="str">
        <f t="shared" si="170"/>
        <v>Trần Tuấn Anh_11VH5</v>
      </c>
      <c r="U2003" s="28">
        <f t="array" ref="U2003">IFERROR(VLOOKUP($T2003,'Nghi hoc T12'!$H$7:$I$160,2,0),0)</f>
        <v>0</v>
      </c>
      <c r="V2003" s="28" t="str">
        <f t="shared" si="168"/>
        <v>206.C11</v>
      </c>
      <c r="W2003" s="28">
        <f t="shared" si="171"/>
        <v>0</v>
      </c>
      <c r="X2003" s="333">
        <f t="shared" si="172"/>
        <v>0</v>
      </c>
      <c r="Y2003" s="333">
        <f t="shared" si="173"/>
        <v>0</v>
      </c>
    </row>
    <row r="2004" spans="1:25" s="2" customFormat="1" ht="21.95" customHeight="1">
      <c r="A2004" s="82">
        <v>4</v>
      </c>
      <c r="B2004" s="91" t="s">
        <v>3341</v>
      </c>
      <c r="C2004" s="83" t="s">
        <v>365</v>
      </c>
      <c r="D2004" s="81" t="s">
        <v>2238</v>
      </c>
      <c r="E2004" s="48">
        <v>400351</v>
      </c>
      <c r="F2004" s="30" t="s">
        <v>1277</v>
      </c>
      <c r="G2004" s="29" t="s">
        <v>5</v>
      </c>
      <c r="H2004" s="30" t="s">
        <v>2396</v>
      </c>
      <c r="I2004" s="78"/>
      <c r="J2004" s="20"/>
      <c r="K2004" s="20"/>
      <c r="L2004" s="20"/>
      <c r="M2004" s="20"/>
      <c r="N2004" s="320" t="s">
        <v>2685</v>
      </c>
      <c r="O2004" s="70">
        <v>0</v>
      </c>
      <c r="P2004" s="70">
        <v>0</v>
      </c>
      <c r="Q2004" s="70">
        <f t="shared" si="169"/>
        <v>0</v>
      </c>
      <c r="R2004" s="70"/>
      <c r="S2004" s="67"/>
      <c r="T2004" s="2" t="str">
        <f t="shared" si="170"/>
        <v>Võ Hoàng Anh_11VH3</v>
      </c>
      <c r="U2004" s="28">
        <f t="array" ref="U2004">IFERROR(VLOOKUP($T2004,'Nghi hoc T12'!$H$7:$I$160,2,0),0)</f>
        <v>0</v>
      </c>
      <c r="V2004" s="28" t="str">
        <f t="shared" si="168"/>
        <v>206.C11</v>
      </c>
      <c r="W2004" s="28">
        <f t="shared" si="171"/>
        <v>0</v>
      </c>
      <c r="X2004" s="333">
        <f t="shared" si="172"/>
        <v>0</v>
      </c>
      <c r="Y2004" s="333">
        <f t="shared" si="173"/>
        <v>0</v>
      </c>
    </row>
    <row r="2005" spans="1:25" s="2" customFormat="1" ht="21.95" customHeight="1">
      <c r="A2005" s="82">
        <v>5</v>
      </c>
      <c r="B2005" s="91" t="s">
        <v>3341</v>
      </c>
      <c r="C2005" s="83" t="s">
        <v>365</v>
      </c>
      <c r="D2005" s="81" t="s">
        <v>2238</v>
      </c>
      <c r="E2005" s="48">
        <v>400352</v>
      </c>
      <c r="F2005" s="30" t="s">
        <v>2400</v>
      </c>
      <c r="G2005" s="29" t="s">
        <v>2401</v>
      </c>
      <c r="H2005" s="30" t="s">
        <v>2399</v>
      </c>
      <c r="I2005" s="78"/>
      <c r="J2005" s="20"/>
      <c r="K2005" s="20"/>
      <c r="L2005" s="20"/>
      <c r="M2005" s="20"/>
      <c r="N2005" s="320" t="s">
        <v>2685</v>
      </c>
      <c r="O2005" s="70">
        <v>0</v>
      </c>
      <c r="P2005" s="70">
        <v>0</v>
      </c>
      <c r="Q2005" s="70">
        <f t="shared" si="169"/>
        <v>0</v>
      </c>
      <c r="R2005" s="70"/>
      <c r="S2005" s="67"/>
      <c r="T2005" s="2" t="str">
        <f t="shared" si="170"/>
        <v>Lê Hữu Bá_11VH5</v>
      </c>
      <c r="U2005" s="28">
        <f t="array" ref="U2005">IFERROR(VLOOKUP($T2005,'Nghi hoc T12'!$H$7:$I$160,2,0),0)</f>
        <v>0</v>
      </c>
      <c r="V2005" s="28" t="str">
        <f t="shared" si="168"/>
        <v>206.C11</v>
      </c>
      <c r="W2005" s="28">
        <f t="shared" si="171"/>
        <v>0</v>
      </c>
      <c r="X2005" s="333">
        <f t="shared" si="172"/>
        <v>0</v>
      </c>
      <c r="Y2005" s="333">
        <f t="shared" si="173"/>
        <v>0</v>
      </c>
    </row>
    <row r="2006" spans="1:25" s="2" customFormat="1" ht="21.95" customHeight="1">
      <c r="A2006" s="82">
        <v>6</v>
      </c>
      <c r="B2006" s="91" t="s">
        <v>3341</v>
      </c>
      <c r="C2006" s="83" t="s">
        <v>365</v>
      </c>
      <c r="D2006" s="81" t="s">
        <v>2238</v>
      </c>
      <c r="E2006" s="48">
        <v>400353</v>
      </c>
      <c r="F2006" s="30" t="s">
        <v>2402</v>
      </c>
      <c r="G2006" s="29" t="s">
        <v>2403</v>
      </c>
      <c r="H2006" s="30" t="s">
        <v>2396</v>
      </c>
      <c r="I2006" s="78"/>
      <c r="J2006" s="20"/>
      <c r="K2006" s="20"/>
      <c r="L2006" s="20"/>
      <c r="M2006" s="20"/>
      <c r="N2006" s="320" t="s">
        <v>2685</v>
      </c>
      <c r="O2006" s="70">
        <v>0</v>
      </c>
      <c r="P2006" s="70">
        <v>0</v>
      </c>
      <c r="Q2006" s="70">
        <f t="shared" si="169"/>
        <v>0</v>
      </c>
      <c r="R2006" s="70"/>
      <c r="S2006" s="67"/>
      <c r="T2006" s="2" t="str">
        <f t="shared" si="170"/>
        <v>Chung Hoàng Bách_11VH3</v>
      </c>
      <c r="U2006" s="28">
        <f t="array" ref="U2006">IFERROR(VLOOKUP($T2006,'Nghi hoc T12'!$H$7:$I$160,2,0),0)</f>
        <v>0</v>
      </c>
      <c r="V2006" s="28" t="str">
        <f t="shared" si="168"/>
        <v>206.C11</v>
      </c>
      <c r="W2006" s="28">
        <f t="shared" si="171"/>
        <v>0</v>
      </c>
      <c r="X2006" s="333">
        <f t="shared" si="172"/>
        <v>0</v>
      </c>
      <c r="Y2006" s="333">
        <f t="shared" si="173"/>
        <v>0</v>
      </c>
    </row>
    <row r="2007" spans="1:25" s="2" customFormat="1" ht="21.95" customHeight="1">
      <c r="A2007" s="82">
        <v>7</v>
      </c>
      <c r="B2007" s="91" t="s">
        <v>3341</v>
      </c>
      <c r="C2007" s="83" t="s">
        <v>365</v>
      </c>
      <c r="D2007" s="81" t="s">
        <v>2238</v>
      </c>
      <c r="E2007" s="48">
        <v>400354</v>
      </c>
      <c r="F2007" s="30" t="s">
        <v>2404</v>
      </c>
      <c r="G2007" s="29" t="s">
        <v>83</v>
      </c>
      <c r="H2007" s="30" t="s">
        <v>2398</v>
      </c>
      <c r="I2007" s="78"/>
      <c r="J2007" s="20"/>
      <c r="K2007" s="20"/>
      <c r="L2007" s="20"/>
      <c r="M2007" s="20"/>
      <c r="N2007" s="320" t="s">
        <v>2685</v>
      </c>
      <c r="O2007" s="70">
        <v>0</v>
      </c>
      <c r="P2007" s="70">
        <v>0</v>
      </c>
      <c r="Q2007" s="70">
        <f t="shared" si="169"/>
        <v>0</v>
      </c>
      <c r="R2007" s="70"/>
      <c r="S2007" s="67"/>
      <c r="T2007" s="2" t="str">
        <f t="shared" si="170"/>
        <v>Bùi Ngọc Gia Bảo_11VH4</v>
      </c>
      <c r="U2007" s="28">
        <f t="array" ref="U2007">IFERROR(VLOOKUP($T2007,'Nghi hoc T12'!$H$7:$I$160,2,0),0)</f>
        <v>0</v>
      </c>
      <c r="V2007" s="28" t="str">
        <f t="shared" si="168"/>
        <v>206.C11</v>
      </c>
      <c r="W2007" s="28">
        <f t="shared" si="171"/>
        <v>0</v>
      </c>
      <c r="X2007" s="333">
        <f t="shared" si="172"/>
        <v>0</v>
      </c>
      <c r="Y2007" s="333">
        <f t="shared" si="173"/>
        <v>0</v>
      </c>
    </row>
    <row r="2008" spans="1:25" s="2" customFormat="1" ht="21.95" customHeight="1">
      <c r="A2008" s="82">
        <v>8</v>
      </c>
      <c r="B2008" s="91" t="s">
        <v>3341</v>
      </c>
      <c r="C2008" s="83" t="s">
        <v>365</v>
      </c>
      <c r="D2008" s="81" t="s">
        <v>2238</v>
      </c>
      <c r="E2008" s="48">
        <v>400355</v>
      </c>
      <c r="F2008" s="30" t="s">
        <v>277</v>
      </c>
      <c r="G2008" s="29" t="s">
        <v>83</v>
      </c>
      <c r="H2008" s="30" t="s">
        <v>2399</v>
      </c>
      <c r="I2008" s="78"/>
      <c r="J2008" s="20"/>
      <c r="K2008" s="20"/>
      <c r="L2008" s="20"/>
      <c r="M2008" s="20"/>
      <c r="N2008" s="320" t="s">
        <v>2685</v>
      </c>
      <c r="O2008" s="70">
        <v>0</v>
      </c>
      <c r="P2008" s="70">
        <v>0</v>
      </c>
      <c r="Q2008" s="70">
        <f t="shared" si="169"/>
        <v>0</v>
      </c>
      <c r="R2008" s="70"/>
      <c r="S2008" s="67"/>
      <c r="T2008" s="2" t="str">
        <f t="shared" si="170"/>
        <v>Ngô Gia Bảo_11VH5</v>
      </c>
      <c r="U2008" s="28">
        <f t="array" ref="U2008">IFERROR(VLOOKUP($T2008,'Nghi hoc T12'!$H$7:$I$160,2,0),0)</f>
        <v>0</v>
      </c>
      <c r="V2008" s="28" t="str">
        <f t="shared" si="168"/>
        <v>206.C11</v>
      </c>
      <c r="W2008" s="28">
        <f t="shared" si="171"/>
        <v>0</v>
      </c>
      <c r="X2008" s="333">
        <f t="shared" si="172"/>
        <v>0</v>
      </c>
      <c r="Y2008" s="333">
        <f t="shared" si="173"/>
        <v>0</v>
      </c>
    </row>
    <row r="2009" spans="1:25" s="2" customFormat="1" ht="21.95" customHeight="1">
      <c r="A2009" s="82">
        <v>9</v>
      </c>
      <c r="B2009" s="91" t="s">
        <v>3341</v>
      </c>
      <c r="C2009" s="83" t="s">
        <v>365</v>
      </c>
      <c r="D2009" s="81" t="s">
        <v>2238</v>
      </c>
      <c r="E2009" s="48">
        <v>400356</v>
      </c>
      <c r="F2009" s="30" t="s">
        <v>158</v>
      </c>
      <c r="G2009" s="29" t="s">
        <v>83</v>
      </c>
      <c r="H2009" s="30" t="s">
        <v>2396</v>
      </c>
      <c r="I2009" s="78"/>
      <c r="J2009" s="20"/>
      <c r="K2009" s="20"/>
      <c r="L2009" s="20"/>
      <c r="M2009" s="20"/>
      <c r="N2009" s="320" t="s">
        <v>2685</v>
      </c>
      <c r="O2009" s="70">
        <v>0</v>
      </c>
      <c r="P2009" s="70">
        <v>0</v>
      </c>
      <c r="Q2009" s="70">
        <f t="shared" si="169"/>
        <v>0</v>
      </c>
      <c r="R2009" s="70"/>
      <c r="S2009" s="67"/>
      <c r="T2009" s="2" t="str">
        <f t="shared" si="170"/>
        <v>Nguyễn Hoàng Gia Bảo_11VH3</v>
      </c>
      <c r="U2009" s="28">
        <f t="array" ref="U2009">IFERROR(VLOOKUP($T2009,'Nghi hoc T12'!$H$7:$I$160,2,0),0)</f>
        <v>0</v>
      </c>
      <c r="V2009" s="28" t="str">
        <f t="shared" si="168"/>
        <v>206.C11</v>
      </c>
      <c r="W2009" s="28">
        <f t="shared" si="171"/>
        <v>0</v>
      </c>
      <c r="X2009" s="333">
        <f t="shared" si="172"/>
        <v>0</v>
      </c>
      <c r="Y2009" s="333">
        <f t="shared" si="173"/>
        <v>0</v>
      </c>
    </row>
    <row r="2010" spans="1:25" s="2" customFormat="1" ht="21.95" customHeight="1">
      <c r="A2010" s="82">
        <v>10</v>
      </c>
      <c r="B2010" s="91" t="s">
        <v>3341</v>
      </c>
      <c r="C2010" s="83" t="s">
        <v>365</v>
      </c>
      <c r="D2010" s="81" t="s">
        <v>2238</v>
      </c>
      <c r="E2010" s="48">
        <v>400357</v>
      </c>
      <c r="F2010" s="30" t="s">
        <v>196</v>
      </c>
      <c r="G2010" s="29" t="s">
        <v>83</v>
      </c>
      <c r="H2010" s="30" t="s">
        <v>2398</v>
      </c>
      <c r="I2010" s="78"/>
      <c r="J2010" s="20"/>
      <c r="K2010" s="20"/>
      <c r="L2010" s="20"/>
      <c r="M2010" s="20"/>
      <c r="N2010" s="320" t="s">
        <v>2685</v>
      </c>
      <c r="O2010" s="70">
        <v>0</v>
      </c>
      <c r="P2010" s="70">
        <v>0</v>
      </c>
      <c r="Q2010" s="70">
        <f t="shared" si="169"/>
        <v>0</v>
      </c>
      <c r="R2010" s="70"/>
      <c r="S2010" s="67"/>
      <c r="T2010" s="2" t="str">
        <f t="shared" si="170"/>
        <v>Trần Gia Bảo_11VH4</v>
      </c>
      <c r="U2010" s="28">
        <f t="array" ref="U2010">IFERROR(VLOOKUP($T2010,'Nghi hoc T12'!$H$7:$I$160,2,0),0)</f>
        <v>0</v>
      </c>
      <c r="V2010" s="28" t="str">
        <f t="shared" si="168"/>
        <v>206.C11</v>
      </c>
      <c r="W2010" s="28">
        <f t="shared" si="171"/>
        <v>0</v>
      </c>
      <c r="X2010" s="333">
        <f t="shared" si="172"/>
        <v>0</v>
      </c>
      <c r="Y2010" s="333">
        <f t="shared" si="173"/>
        <v>0</v>
      </c>
    </row>
    <row r="2011" spans="1:25" s="2" customFormat="1" ht="21.95" customHeight="1">
      <c r="A2011" s="82">
        <v>11</v>
      </c>
      <c r="B2011" s="91" t="s">
        <v>3341</v>
      </c>
      <c r="C2011" s="83" t="s">
        <v>365</v>
      </c>
      <c r="D2011" s="81" t="s">
        <v>2238</v>
      </c>
      <c r="E2011" s="48">
        <v>400358</v>
      </c>
      <c r="F2011" s="30" t="s">
        <v>2405</v>
      </c>
      <c r="G2011" s="29" t="s">
        <v>77</v>
      </c>
      <c r="H2011" s="30" t="s">
        <v>2399</v>
      </c>
      <c r="I2011" s="78"/>
      <c r="J2011" s="20"/>
      <c r="K2011" s="20"/>
      <c r="L2011" s="20"/>
      <c r="M2011" s="20"/>
      <c r="N2011" s="320" t="s">
        <v>2685</v>
      </c>
      <c r="O2011" s="70">
        <v>0</v>
      </c>
      <c r="P2011" s="70">
        <v>0</v>
      </c>
      <c r="Q2011" s="70">
        <f t="shared" si="169"/>
        <v>0</v>
      </c>
      <c r="R2011" s="70"/>
      <c r="S2011" s="67"/>
      <c r="T2011" s="2" t="str">
        <f t="shared" si="170"/>
        <v>Bùi Thanh Bình_11VH5</v>
      </c>
      <c r="U2011" s="28">
        <f t="array" ref="U2011">IFERROR(VLOOKUP($T2011,'Nghi hoc T12'!$H$7:$I$160,2,0),0)</f>
        <v>0</v>
      </c>
      <c r="V2011" s="28" t="str">
        <f t="shared" si="168"/>
        <v>206.C11</v>
      </c>
      <c r="W2011" s="28">
        <f t="shared" si="171"/>
        <v>0</v>
      </c>
      <c r="X2011" s="333">
        <f t="shared" si="172"/>
        <v>0</v>
      </c>
      <c r="Y2011" s="333">
        <f t="shared" si="173"/>
        <v>0</v>
      </c>
    </row>
    <row r="2012" spans="1:25" s="2" customFormat="1" ht="21.95" customHeight="1">
      <c r="A2012" s="82">
        <v>12</v>
      </c>
      <c r="B2012" s="91" t="s">
        <v>3341</v>
      </c>
      <c r="C2012" s="83" t="s">
        <v>365</v>
      </c>
      <c r="D2012" s="81" t="s">
        <v>2238</v>
      </c>
      <c r="E2012" s="48">
        <v>400359</v>
      </c>
      <c r="F2012" s="30" t="s">
        <v>2406</v>
      </c>
      <c r="G2012" s="29" t="s">
        <v>77</v>
      </c>
      <c r="H2012" s="30" t="s">
        <v>2396</v>
      </c>
      <c r="I2012" s="78"/>
      <c r="J2012" s="20"/>
      <c r="K2012" s="20"/>
      <c r="L2012" s="20"/>
      <c r="M2012" s="20"/>
      <c r="N2012" s="320" t="s">
        <v>2685</v>
      </c>
      <c r="O2012" s="70">
        <v>0</v>
      </c>
      <c r="P2012" s="70">
        <v>0</v>
      </c>
      <c r="Q2012" s="70">
        <f t="shared" si="169"/>
        <v>0</v>
      </c>
      <c r="R2012" s="70"/>
      <c r="S2012" s="67"/>
      <c r="T2012" s="2" t="str">
        <f t="shared" si="170"/>
        <v>Nguyễn Phước Bình_11VH3</v>
      </c>
      <c r="U2012" s="28">
        <f t="array" ref="U2012">IFERROR(VLOOKUP($T2012,'Nghi hoc T12'!$H$7:$I$160,2,0),0)</f>
        <v>0</v>
      </c>
      <c r="V2012" s="28" t="str">
        <f t="shared" si="168"/>
        <v>206.C11</v>
      </c>
      <c r="W2012" s="28">
        <f t="shared" si="171"/>
        <v>0</v>
      </c>
      <c r="X2012" s="333">
        <f t="shared" si="172"/>
        <v>0</v>
      </c>
      <c r="Y2012" s="333">
        <f t="shared" si="173"/>
        <v>0</v>
      </c>
    </row>
    <row r="2013" spans="1:25" s="2" customFormat="1" ht="21.95" customHeight="1">
      <c r="A2013" s="82">
        <v>13</v>
      </c>
      <c r="B2013" s="91" t="s">
        <v>3341</v>
      </c>
      <c r="C2013" s="83" t="s">
        <v>365</v>
      </c>
      <c r="D2013" s="81" t="s">
        <v>2238</v>
      </c>
      <c r="E2013" s="48">
        <v>400360</v>
      </c>
      <c r="F2013" s="30" t="s">
        <v>2407</v>
      </c>
      <c r="G2013" s="29" t="s">
        <v>77</v>
      </c>
      <c r="H2013" s="30" t="s">
        <v>2398</v>
      </c>
      <c r="I2013" s="78"/>
      <c r="J2013" s="20"/>
      <c r="K2013" s="20"/>
      <c r="L2013" s="20"/>
      <c r="M2013" s="20"/>
      <c r="N2013" s="320" t="s">
        <v>2685</v>
      </c>
      <c r="O2013" s="70">
        <v>0</v>
      </c>
      <c r="P2013" s="70">
        <v>0</v>
      </c>
      <c r="Q2013" s="70">
        <f t="shared" si="169"/>
        <v>0</v>
      </c>
      <c r="R2013" s="70"/>
      <c r="S2013" s="67"/>
      <c r="T2013" s="2" t="str">
        <f t="shared" si="170"/>
        <v>Quách Vương Bình_11VH4</v>
      </c>
      <c r="U2013" s="28">
        <f t="array" ref="U2013">IFERROR(VLOOKUP($T2013,'Nghi hoc T12'!$H$7:$I$160,2,0),0)</f>
        <v>0</v>
      </c>
      <c r="V2013" s="28" t="str">
        <f t="shared" si="168"/>
        <v>206.C11</v>
      </c>
      <c r="W2013" s="28">
        <f t="shared" si="171"/>
        <v>0</v>
      </c>
      <c r="X2013" s="333">
        <f t="shared" si="172"/>
        <v>0</v>
      </c>
      <c r="Y2013" s="333">
        <f t="shared" si="173"/>
        <v>0</v>
      </c>
    </row>
    <row r="2014" spans="1:25" s="2" customFormat="1" ht="21.95" customHeight="1">
      <c r="A2014" s="82">
        <v>14</v>
      </c>
      <c r="B2014" s="91" t="s">
        <v>3341</v>
      </c>
      <c r="C2014" s="83" t="s">
        <v>365</v>
      </c>
      <c r="D2014" s="81" t="s">
        <v>2238</v>
      </c>
      <c r="E2014" s="48">
        <v>400361</v>
      </c>
      <c r="F2014" s="30" t="s">
        <v>2408</v>
      </c>
      <c r="G2014" s="29" t="s">
        <v>89</v>
      </c>
      <c r="H2014" s="30" t="s">
        <v>2398</v>
      </c>
      <c r="I2014" s="78"/>
      <c r="J2014" s="20"/>
      <c r="K2014" s="20"/>
      <c r="L2014" s="20"/>
      <c r="M2014" s="20"/>
      <c r="N2014" s="320" t="s">
        <v>2685</v>
      </c>
      <c r="O2014" s="70">
        <v>0</v>
      </c>
      <c r="P2014" s="70">
        <v>0</v>
      </c>
      <c r="Q2014" s="70">
        <f t="shared" si="169"/>
        <v>0</v>
      </c>
      <c r="R2014" s="70"/>
      <c r="S2014" s="67"/>
      <c r="T2014" s="2" t="str">
        <f t="shared" si="170"/>
        <v>Nguyễn Quý Danh_11VH4</v>
      </c>
      <c r="U2014" s="28">
        <f t="array" ref="U2014">IFERROR(VLOOKUP($T2014,'Nghi hoc T12'!$H$7:$I$160,2,0),0)</f>
        <v>0</v>
      </c>
      <c r="V2014" s="28" t="str">
        <f t="shared" si="168"/>
        <v>206.C11</v>
      </c>
      <c r="W2014" s="28">
        <f t="shared" si="171"/>
        <v>0</v>
      </c>
      <c r="X2014" s="333">
        <f t="shared" si="172"/>
        <v>0</v>
      </c>
      <c r="Y2014" s="333">
        <f t="shared" si="173"/>
        <v>0</v>
      </c>
    </row>
    <row r="2015" spans="1:25" s="2" customFormat="1" ht="21.95" customHeight="1">
      <c r="A2015" s="82">
        <v>15</v>
      </c>
      <c r="B2015" s="91" t="s">
        <v>3341</v>
      </c>
      <c r="C2015" s="83" t="s">
        <v>365</v>
      </c>
      <c r="D2015" s="81" t="s">
        <v>2238</v>
      </c>
      <c r="E2015" s="48">
        <v>400362</v>
      </c>
      <c r="F2015" s="30" t="s">
        <v>2409</v>
      </c>
      <c r="G2015" s="29" t="s">
        <v>2410</v>
      </c>
      <c r="H2015" s="30" t="s">
        <v>2399</v>
      </c>
      <c r="I2015" s="78"/>
      <c r="J2015" s="20"/>
      <c r="K2015" s="20"/>
      <c r="L2015" s="20"/>
      <c r="M2015" s="20"/>
      <c r="N2015" s="320" t="s">
        <v>2685</v>
      </c>
      <c r="O2015" s="70">
        <v>0</v>
      </c>
      <c r="P2015" s="70">
        <v>0</v>
      </c>
      <c r="Q2015" s="70">
        <f t="shared" si="169"/>
        <v>0</v>
      </c>
      <c r="R2015" s="70"/>
      <c r="S2015" s="67"/>
      <c r="T2015" s="2" t="str">
        <f t="shared" si="170"/>
        <v>Trần Khả Di_11VH5</v>
      </c>
      <c r="U2015" s="28">
        <f t="array" ref="U2015">IFERROR(VLOOKUP($T2015,'Nghi hoc T12'!$H$7:$I$160,2,0),0)</f>
        <v>0</v>
      </c>
      <c r="V2015" s="28" t="str">
        <f t="shared" si="168"/>
        <v>206.C11</v>
      </c>
      <c r="W2015" s="28">
        <f t="shared" si="171"/>
        <v>0</v>
      </c>
      <c r="X2015" s="333">
        <f t="shared" si="172"/>
        <v>0</v>
      </c>
      <c r="Y2015" s="333">
        <f t="shared" si="173"/>
        <v>0</v>
      </c>
    </row>
    <row r="2016" spans="1:25" s="2" customFormat="1" ht="21.95" customHeight="1">
      <c r="A2016" s="82">
        <v>16</v>
      </c>
      <c r="B2016" s="91" t="s">
        <v>3341</v>
      </c>
      <c r="C2016" s="83" t="s">
        <v>365</v>
      </c>
      <c r="D2016" s="81" t="s">
        <v>2238</v>
      </c>
      <c r="E2016" s="48">
        <v>400363</v>
      </c>
      <c r="F2016" s="30" t="s">
        <v>1280</v>
      </c>
      <c r="G2016" s="29" t="s">
        <v>2411</v>
      </c>
      <c r="H2016" s="30" t="s">
        <v>2398</v>
      </c>
      <c r="I2016" s="78"/>
      <c r="J2016" s="20"/>
      <c r="K2016" s="20"/>
      <c r="L2016" s="20"/>
      <c r="M2016" s="20"/>
      <c r="N2016" s="320" t="s">
        <v>2685</v>
      </c>
      <c r="O2016" s="70">
        <v>0</v>
      </c>
      <c r="P2016" s="70">
        <v>0</v>
      </c>
      <c r="Q2016" s="70">
        <f t="shared" si="169"/>
        <v>0</v>
      </c>
      <c r="R2016" s="70"/>
      <c r="S2016" s="67"/>
      <c r="T2016" s="2" t="str">
        <f t="shared" si="170"/>
        <v>Lê Anh Dũ_11VH4</v>
      </c>
      <c r="U2016" s="28">
        <f t="array" ref="U2016">IFERROR(VLOOKUP($T2016,'Nghi hoc T12'!$H$7:$I$160,2,0),0)</f>
        <v>0</v>
      </c>
      <c r="V2016" s="28" t="str">
        <f t="shared" si="168"/>
        <v>206.C11</v>
      </c>
      <c r="W2016" s="28">
        <f t="shared" si="171"/>
        <v>0</v>
      </c>
      <c r="X2016" s="333">
        <f t="shared" si="172"/>
        <v>0</v>
      </c>
      <c r="Y2016" s="333">
        <f t="shared" si="173"/>
        <v>0</v>
      </c>
    </row>
    <row r="2017" spans="1:25" s="2" customFormat="1" ht="21.95" customHeight="1">
      <c r="A2017" s="82">
        <v>17</v>
      </c>
      <c r="B2017" s="91" t="s">
        <v>3341</v>
      </c>
      <c r="C2017" s="83" t="s">
        <v>365</v>
      </c>
      <c r="D2017" s="81" t="s">
        <v>2238</v>
      </c>
      <c r="E2017" s="48">
        <v>400364</v>
      </c>
      <c r="F2017" s="30" t="s">
        <v>2412</v>
      </c>
      <c r="G2017" s="29" t="s">
        <v>6</v>
      </c>
      <c r="H2017" s="30" t="s">
        <v>2398</v>
      </c>
      <c r="I2017" s="78"/>
      <c r="J2017" s="20"/>
      <c r="K2017" s="20"/>
      <c r="L2017" s="20"/>
      <c r="M2017" s="20"/>
      <c r="N2017" s="320" t="s">
        <v>2685</v>
      </c>
      <c r="O2017" s="70">
        <v>0</v>
      </c>
      <c r="P2017" s="70">
        <v>0</v>
      </c>
      <c r="Q2017" s="70">
        <f t="shared" si="169"/>
        <v>0</v>
      </c>
      <c r="R2017" s="70"/>
      <c r="S2017" s="67"/>
      <c r="T2017" s="2" t="str">
        <f t="shared" si="170"/>
        <v>Hồ Đỗ Trí Dũng_11VH4</v>
      </c>
      <c r="U2017" s="28">
        <f t="array" ref="U2017">IFERROR(VLOOKUP($T2017,'Nghi hoc T12'!$H$7:$I$160,2,0),0)</f>
        <v>0</v>
      </c>
      <c r="V2017" s="28" t="str">
        <f t="shared" si="168"/>
        <v>206.C11</v>
      </c>
      <c r="W2017" s="28">
        <f t="shared" si="171"/>
        <v>0</v>
      </c>
      <c r="X2017" s="333">
        <f t="shared" si="172"/>
        <v>0</v>
      </c>
      <c r="Y2017" s="333">
        <f t="shared" si="173"/>
        <v>0</v>
      </c>
    </row>
    <row r="2018" spans="1:25" s="2" customFormat="1" ht="21.95" customHeight="1">
      <c r="A2018" s="82">
        <v>18</v>
      </c>
      <c r="B2018" s="91" t="s">
        <v>3341</v>
      </c>
      <c r="C2018" s="83" t="s">
        <v>365</v>
      </c>
      <c r="D2018" s="81" t="s">
        <v>2238</v>
      </c>
      <c r="E2018" s="48">
        <v>400365</v>
      </c>
      <c r="F2018" s="30" t="s">
        <v>2413</v>
      </c>
      <c r="G2018" s="29" t="s">
        <v>65</v>
      </c>
      <c r="H2018" s="30" t="s">
        <v>2399</v>
      </c>
      <c r="I2018" s="78"/>
      <c r="J2018" s="20"/>
      <c r="K2018" s="20"/>
      <c r="L2018" s="20"/>
      <c r="M2018" s="20"/>
      <c r="N2018" s="320" t="s">
        <v>2685</v>
      </c>
      <c r="O2018" s="70">
        <v>0</v>
      </c>
      <c r="P2018" s="70">
        <v>0</v>
      </c>
      <c r="Q2018" s="70">
        <f t="shared" si="169"/>
        <v>0</v>
      </c>
      <c r="R2018" s="70"/>
      <c r="S2018" s="67"/>
      <c r="T2018" s="2" t="str">
        <f t="shared" si="170"/>
        <v>Nguyễn Mạnh Duy_11VH5</v>
      </c>
      <c r="U2018" s="28">
        <f t="array" ref="U2018">IFERROR(VLOOKUP($T2018,'Nghi hoc T12'!$H$7:$I$160,2,0),0)</f>
        <v>0</v>
      </c>
      <c r="V2018" s="28" t="str">
        <f t="shared" si="168"/>
        <v>206.C11</v>
      </c>
      <c r="W2018" s="28">
        <f t="shared" si="171"/>
        <v>0</v>
      </c>
      <c r="X2018" s="333">
        <f t="shared" si="172"/>
        <v>0</v>
      </c>
      <c r="Y2018" s="333">
        <f t="shared" si="173"/>
        <v>0</v>
      </c>
    </row>
    <row r="2019" spans="1:25" s="2" customFormat="1" ht="21.95" customHeight="1">
      <c r="A2019" s="82">
        <v>19</v>
      </c>
      <c r="B2019" s="91" t="s">
        <v>3341</v>
      </c>
      <c r="C2019" s="83" t="s">
        <v>365</v>
      </c>
      <c r="D2019" s="81" t="s">
        <v>2238</v>
      </c>
      <c r="E2019" s="48">
        <v>400366</v>
      </c>
      <c r="F2019" s="30" t="s">
        <v>2414</v>
      </c>
      <c r="G2019" s="29" t="s">
        <v>65</v>
      </c>
      <c r="H2019" s="30" t="s">
        <v>2396</v>
      </c>
      <c r="I2019" s="78"/>
      <c r="J2019" s="20"/>
      <c r="K2019" s="20"/>
      <c r="L2019" s="20"/>
      <c r="M2019" s="20"/>
      <c r="N2019" s="320" t="s">
        <v>2685</v>
      </c>
      <c r="O2019" s="70">
        <v>0</v>
      </c>
      <c r="P2019" s="70">
        <v>0</v>
      </c>
      <c r="Q2019" s="70">
        <f t="shared" si="169"/>
        <v>0</v>
      </c>
      <c r="R2019" s="70"/>
      <c r="S2019" s="67"/>
      <c r="T2019" s="2" t="str">
        <f t="shared" si="170"/>
        <v>Nguyễn Nhựt Hoàng Duy_11VH3</v>
      </c>
      <c r="U2019" s="28">
        <f t="array" ref="U2019">IFERROR(VLOOKUP($T2019,'Nghi hoc T12'!$H$7:$I$160,2,0),0)</f>
        <v>0</v>
      </c>
      <c r="V2019" s="28" t="str">
        <f t="shared" ref="V2019:V2082" si="174">B2019&amp;1</f>
        <v>206.C11</v>
      </c>
      <c r="W2019" s="28">
        <f t="shared" si="171"/>
        <v>0</v>
      </c>
      <c r="X2019" s="333">
        <f t="shared" si="172"/>
        <v>0</v>
      </c>
      <c r="Y2019" s="333">
        <f t="shared" si="173"/>
        <v>0</v>
      </c>
    </row>
    <row r="2020" spans="1:25" s="2" customFormat="1" ht="21.95" customHeight="1">
      <c r="A2020" s="82">
        <v>20</v>
      </c>
      <c r="B2020" s="91" t="s">
        <v>3341</v>
      </c>
      <c r="C2020" s="83" t="s">
        <v>365</v>
      </c>
      <c r="D2020" s="81" t="s">
        <v>2238</v>
      </c>
      <c r="E2020" s="48">
        <v>400367</v>
      </c>
      <c r="F2020" s="30" t="s">
        <v>2415</v>
      </c>
      <c r="G2020" s="29" t="s">
        <v>65</v>
      </c>
      <c r="H2020" s="30" t="s">
        <v>2398</v>
      </c>
      <c r="I2020" s="78"/>
      <c r="J2020" s="20"/>
      <c r="K2020" s="20"/>
      <c r="L2020" s="20"/>
      <c r="M2020" s="20"/>
      <c r="N2020" s="320" t="s">
        <v>2685</v>
      </c>
      <c r="O2020" s="70">
        <v>0</v>
      </c>
      <c r="P2020" s="70">
        <v>0</v>
      </c>
      <c r="Q2020" s="70">
        <f t="shared" si="169"/>
        <v>0</v>
      </c>
      <c r="R2020" s="70"/>
      <c r="S2020" s="67"/>
      <c r="T2020" s="2" t="str">
        <f t="shared" si="170"/>
        <v>Văn Ngọc Duy_11VH4</v>
      </c>
      <c r="U2020" s="28">
        <f t="array" ref="U2020">IFERROR(VLOOKUP($T2020,'Nghi hoc T12'!$H$7:$I$160,2,0),0)</f>
        <v>0</v>
      </c>
      <c r="V2020" s="28" t="str">
        <f t="shared" si="174"/>
        <v>206.C11</v>
      </c>
      <c r="W2020" s="28">
        <f t="shared" si="171"/>
        <v>0</v>
      </c>
      <c r="X2020" s="333">
        <f t="shared" si="172"/>
        <v>0</v>
      </c>
      <c r="Y2020" s="333">
        <f t="shared" si="173"/>
        <v>0</v>
      </c>
    </row>
    <row r="2021" spans="1:25" s="2" customFormat="1" ht="21.95" customHeight="1">
      <c r="A2021" s="82">
        <v>21</v>
      </c>
      <c r="B2021" s="91" t="s">
        <v>3341</v>
      </c>
      <c r="C2021" s="83" t="s">
        <v>365</v>
      </c>
      <c r="D2021" s="81" t="s">
        <v>2238</v>
      </c>
      <c r="E2021" s="48">
        <v>400368</v>
      </c>
      <c r="F2021" s="30" t="s">
        <v>2416</v>
      </c>
      <c r="G2021" s="29" t="s">
        <v>53</v>
      </c>
      <c r="H2021" s="30" t="s">
        <v>2399</v>
      </c>
      <c r="I2021" s="78"/>
      <c r="J2021" s="20"/>
      <c r="K2021" s="20"/>
      <c r="L2021" s="20"/>
      <c r="M2021" s="20"/>
      <c r="N2021" s="320" t="s">
        <v>2685</v>
      </c>
      <c r="O2021" s="70">
        <v>0</v>
      </c>
      <c r="P2021" s="70">
        <v>0</v>
      </c>
      <c r="Q2021" s="70">
        <f t="shared" si="169"/>
        <v>0</v>
      </c>
      <c r="R2021" s="70"/>
      <c r="S2021" s="67"/>
      <c r="T2021" s="2" t="str">
        <f t="shared" si="170"/>
        <v>Nguyễn Phạm Hải Dương_11VH5</v>
      </c>
      <c r="U2021" s="28">
        <f t="array" ref="U2021">IFERROR(VLOOKUP($T2021,'Nghi hoc T12'!$H$7:$I$160,2,0),0)</f>
        <v>0</v>
      </c>
      <c r="V2021" s="28" t="str">
        <f t="shared" si="174"/>
        <v>206.C11</v>
      </c>
      <c r="W2021" s="28">
        <f t="shared" si="171"/>
        <v>0</v>
      </c>
      <c r="X2021" s="333">
        <f t="shared" si="172"/>
        <v>0</v>
      </c>
      <c r="Y2021" s="333">
        <f t="shared" si="173"/>
        <v>0</v>
      </c>
    </row>
    <row r="2022" spans="1:25" s="2" customFormat="1" ht="21.95" customHeight="1">
      <c r="A2022" s="82">
        <v>22</v>
      </c>
      <c r="B2022" s="91" t="s">
        <v>3341</v>
      </c>
      <c r="C2022" s="83" t="s">
        <v>365</v>
      </c>
      <c r="D2022" s="81" t="s">
        <v>2238</v>
      </c>
      <c r="E2022" s="48">
        <v>400369</v>
      </c>
      <c r="F2022" s="30" t="s">
        <v>37</v>
      </c>
      <c r="G2022" s="29" t="s">
        <v>109</v>
      </c>
      <c r="H2022" s="30" t="s">
        <v>2398</v>
      </c>
      <c r="I2022" s="78"/>
      <c r="J2022" s="20"/>
      <c r="K2022" s="20"/>
      <c r="L2022" s="20"/>
      <c r="M2022" s="20"/>
      <c r="N2022" s="320" t="s">
        <v>2685</v>
      </c>
      <c r="O2022" s="70">
        <v>0</v>
      </c>
      <c r="P2022" s="70">
        <v>0</v>
      </c>
      <c r="Q2022" s="70">
        <f t="shared" si="169"/>
        <v>0</v>
      </c>
      <c r="R2022" s="70"/>
      <c r="S2022" s="67"/>
      <c r="T2022" s="2" t="str">
        <f t="shared" si="170"/>
        <v>Nguyễn Trường Đại_11VH4</v>
      </c>
      <c r="U2022" s="28">
        <f t="array" ref="U2022">IFERROR(VLOOKUP($T2022,'Nghi hoc T12'!$H$7:$I$160,2,0),0)</f>
        <v>0</v>
      </c>
      <c r="V2022" s="28" t="str">
        <f t="shared" si="174"/>
        <v>206.C11</v>
      </c>
      <c r="W2022" s="28">
        <f t="shared" si="171"/>
        <v>0</v>
      </c>
      <c r="X2022" s="333">
        <f t="shared" si="172"/>
        <v>0</v>
      </c>
      <c r="Y2022" s="333">
        <f t="shared" si="173"/>
        <v>0</v>
      </c>
    </row>
    <row r="2023" spans="1:25" s="2" customFormat="1" ht="21.95" customHeight="1">
      <c r="A2023" s="82">
        <v>23</v>
      </c>
      <c r="B2023" s="91" t="s">
        <v>3341</v>
      </c>
      <c r="C2023" s="83" t="s">
        <v>365</v>
      </c>
      <c r="D2023" s="81" t="s">
        <v>2238</v>
      </c>
      <c r="E2023" s="48">
        <v>400370</v>
      </c>
      <c r="F2023" s="30" t="s">
        <v>2417</v>
      </c>
      <c r="G2023" s="29" t="s">
        <v>7</v>
      </c>
      <c r="H2023" s="30" t="s">
        <v>2399</v>
      </c>
      <c r="I2023" s="78"/>
      <c r="J2023" s="20"/>
      <c r="K2023" s="20"/>
      <c r="L2023" s="20"/>
      <c r="M2023" s="20"/>
      <c r="N2023" s="320" t="s">
        <v>2685</v>
      </c>
      <c r="O2023" s="70">
        <v>0</v>
      </c>
      <c r="P2023" s="70">
        <v>0</v>
      </c>
      <c r="Q2023" s="70">
        <f t="shared" si="169"/>
        <v>0</v>
      </c>
      <c r="R2023" s="70"/>
      <c r="S2023" s="67"/>
      <c r="T2023" s="2" t="str">
        <f t="shared" si="170"/>
        <v>Chung Thành Đạt_11VH5</v>
      </c>
      <c r="U2023" s="28">
        <f t="array" ref="U2023">IFERROR(VLOOKUP($T2023,'Nghi hoc T12'!$H$7:$I$160,2,0),0)</f>
        <v>0</v>
      </c>
      <c r="V2023" s="28" t="str">
        <f t="shared" si="174"/>
        <v>206.C11</v>
      </c>
      <c r="W2023" s="28">
        <f t="shared" si="171"/>
        <v>0</v>
      </c>
      <c r="X2023" s="333">
        <f t="shared" si="172"/>
        <v>0</v>
      </c>
      <c r="Y2023" s="333">
        <f t="shared" si="173"/>
        <v>0</v>
      </c>
    </row>
    <row r="2024" spans="1:25" s="2" customFormat="1" ht="21.95" customHeight="1">
      <c r="A2024" s="82">
        <v>24</v>
      </c>
      <c r="B2024" s="91" t="s">
        <v>3341</v>
      </c>
      <c r="C2024" s="83" t="s">
        <v>365</v>
      </c>
      <c r="D2024" s="81" t="s">
        <v>2238</v>
      </c>
      <c r="E2024" s="48">
        <v>400371</v>
      </c>
      <c r="F2024" s="30" t="s">
        <v>2418</v>
      </c>
      <c r="G2024" s="29" t="s">
        <v>7</v>
      </c>
      <c r="H2024" s="30" t="s">
        <v>2398</v>
      </c>
      <c r="I2024" s="78" t="s">
        <v>408</v>
      </c>
      <c r="J2024" s="20"/>
      <c r="K2024" s="20"/>
      <c r="L2024" s="20"/>
      <c r="M2024" s="20"/>
      <c r="N2024" s="320" t="s">
        <v>2685</v>
      </c>
      <c r="O2024" s="70" t="s">
        <v>400</v>
      </c>
      <c r="P2024" s="70" t="s">
        <v>401</v>
      </c>
      <c r="Q2024" s="70">
        <f t="shared" si="169"/>
        <v>0</v>
      </c>
      <c r="R2024" s="70"/>
      <c r="S2024" s="67"/>
      <c r="T2024" s="2" t="str">
        <f t="shared" si="170"/>
        <v>Nông Trần Tiến Đạt_11VH4</v>
      </c>
      <c r="U2024" s="28">
        <f t="array" ref="U2024">IFERROR(VLOOKUP($T2024,'Nghi hoc T12'!$H$7:$I$160,2,0),0)</f>
        <v>0</v>
      </c>
      <c r="V2024" s="28" t="str">
        <f t="shared" si="174"/>
        <v>206.C11</v>
      </c>
      <c r="W2024" s="28" t="str">
        <f t="shared" si="171"/>
        <v>HN</v>
      </c>
      <c r="X2024" s="333" t="str">
        <f t="shared" si="172"/>
        <v>Trí tuệ</v>
      </c>
      <c r="Y2024" s="333" t="str">
        <f t="shared" si="173"/>
        <v>Nhẹ</v>
      </c>
    </row>
    <row r="2025" spans="1:25" s="2" customFormat="1" ht="21.95" customHeight="1">
      <c r="A2025" s="82">
        <v>25</v>
      </c>
      <c r="B2025" s="91" t="s">
        <v>3341</v>
      </c>
      <c r="C2025" s="83" t="s">
        <v>365</v>
      </c>
      <c r="D2025" s="81" t="s">
        <v>2238</v>
      </c>
      <c r="E2025" s="48">
        <v>400372</v>
      </c>
      <c r="F2025" s="30" t="s">
        <v>1515</v>
      </c>
      <c r="G2025" s="29" t="s">
        <v>311</v>
      </c>
      <c r="H2025" s="30" t="s">
        <v>2399</v>
      </c>
      <c r="I2025" s="78" t="s">
        <v>408</v>
      </c>
      <c r="J2025" s="20"/>
      <c r="K2025" s="20"/>
      <c r="L2025" s="20"/>
      <c r="M2025" s="20"/>
      <c r="N2025" s="320" t="s">
        <v>2685</v>
      </c>
      <c r="O2025" s="70" t="s">
        <v>2686</v>
      </c>
      <c r="P2025" s="70" t="s">
        <v>2123</v>
      </c>
      <c r="Q2025" s="70">
        <f t="shared" si="169"/>
        <v>0</v>
      </c>
      <c r="R2025" s="70"/>
      <c r="S2025" s="67"/>
      <c r="T2025" s="2" t="str">
        <f t="shared" si="170"/>
        <v>Nguyễn Trần Minh Kỳ_11VH5</v>
      </c>
      <c r="U2025" s="28">
        <f t="array" ref="U2025">IFERROR(VLOOKUP($T2025,'Nghi hoc T12'!$H$7:$I$160,2,0),0)</f>
        <v>0</v>
      </c>
      <c r="V2025" s="28" t="str">
        <f t="shared" si="174"/>
        <v>206.C11</v>
      </c>
      <c r="W2025" s="28" t="str">
        <f t="shared" si="171"/>
        <v>HN</v>
      </c>
      <c r="X2025" s="333" t="str">
        <f t="shared" si="172"/>
        <v>Vận động</v>
      </c>
      <c r="Y2025" s="333" t="str">
        <f t="shared" si="173"/>
        <v>Nặng</v>
      </c>
    </row>
    <row r="2026" spans="1:25" s="2" customFormat="1" ht="21.95" customHeight="1">
      <c r="A2026" s="321">
        <v>1</v>
      </c>
      <c r="B2026" s="91" t="s">
        <v>3342</v>
      </c>
      <c r="C2026" s="185" t="s">
        <v>365</v>
      </c>
      <c r="D2026" s="186" t="s">
        <v>2252</v>
      </c>
      <c r="E2026" s="187">
        <v>400373</v>
      </c>
      <c r="F2026" s="188" t="s">
        <v>160</v>
      </c>
      <c r="G2026" s="189" t="s">
        <v>7</v>
      </c>
      <c r="H2026" s="188" t="s">
        <v>2396</v>
      </c>
      <c r="I2026" s="190"/>
      <c r="J2026" s="191"/>
      <c r="K2026" s="191"/>
      <c r="L2026" s="191"/>
      <c r="M2026" s="191"/>
      <c r="N2026" s="320" t="s">
        <v>2685</v>
      </c>
      <c r="O2026" s="70">
        <v>0</v>
      </c>
      <c r="P2026" s="70">
        <v>0</v>
      </c>
      <c r="Q2026" s="70">
        <f t="shared" si="169"/>
        <v>0</v>
      </c>
      <c r="R2026" s="70"/>
      <c r="S2026" s="67"/>
      <c r="T2026" s="2" t="str">
        <f t="shared" si="170"/>
        <v>Nguyễn Thành Đạt_11VH3</v>
      </c>
      <c r="U2026" s="28">
        <f t="array" ref="U2026">IFERROR(VLOOKUP($T2026,'Nghi hoc T12'!$H$7:$I$160,2,0),0)</f>
        <v>0</v>
      </c>
      <c r="V2026" s="28" t="str">
        <f t="shared" si="174"/>
        <v>302.C11</v>
      </c>
      <c r="W2026" s="28">
        <f t="shared" si="171"/>
        <v>0</v>
      </c>
      <c r="X2026" s="333">
        <f t="shared" si="172"/>
        <v>0</v>
      </c>
      <c r="Y2026" s="333">
        <f t="shared" si="173"/>
        <v>0</v>
      </c>
    </row>
    <row r="2027" spans="1:25" s="2" customFormat="1" ht="21.95" customHeight="1">
      <c r="A2027" s="82">
        <v>2</v>
      </c>
      <c r="B2027" s="91" t="s">
        <v>3342</v>
      </c>
      <c r="C2027" s="83" t="s">
        <v>365</v>
      </c>
      <c r="D2027" s="81" t="s">
        <v>2252</v>
      </c>
      <c r="E2027" s="48">
        <v>400374</v>
      </c>
      <c r="F2027" s="30" t="s">
        <v>221</v>
      </c>
      <c r="G2027" s="29" t="s">
        <v>7</v>
      </c>
      <c r="H2027" s="30" t="s">
        <v>2398</v>
      </c>
      <c r="I2027" s="78"/>
      <c r="J2027" s="20"/>
      <c r="K2027" s="20"/>
      <c r="L2027" s="20"/>
      <c r="M2027" s="20"/>
      <c r="N2027" s="320" t="s">
        <v>2685</v>
      </c>
      <c r="O2027" s="70">
        <v>0</v>
      </c>
      <c r="P2027" s="70">
        <v>0</v>
      </c>
      <c r="Q2027" s="70">
        <f t="shared" si="169"/>
        <v>0</v>
      </c>
      <c r="R2027" s="70"/>
      <c r="S2027" s="67"/>
      <c r="T2027" s="2" t="str">
        <f t="shared" si="170"/>
        <v>Nguyễn Tiến Đạt_11VH4</v>
      </c>
      <c r="U2027" s="28">
        <f t="array" ref="U2027">IFERROR(VLOOKUP($T2027,'Nghi hoc T12'!$H$7:$I$160,2,0),0)</f>
        <v>0</v>
      </c>
      <c r="V2027" s="28" t="str">
        <f t="shared" si="174"/>
        <v>302.C11</v>
      </c>
      <c r="W2027" s="28">
        <f t="shared" si="171"/>
        <v>0</v>
      </c>
      <c r="X2027" s="333">
        <f t="shared" si="172"/>
        <v>0</v>
      </c>
      <c r="Y2027" s="333">
        <f t="shared" si="173"/>
        <v>0</v>
      </c>
    </row>
    <row r="2028" spans="1:25" s="2" customFormat="1" ht="21.95" customHeight="1">
      <c r="A2028" s="82">
        <v>3</v>
      </c>
      <c r="B2028" s="91" t="s">
        <v>3342</v>
      </c>
      <c r="C2028" s="83" t="s">
        <v>365</v>
      </c>
      <c r="D2028" s="81" t="s">
        <v>2252</v>
      </c>
      <c r="E2028" s="48">
        <v>400375</v>
      </c>
      <c r="F2028" s="30" t="s">
        <v>315</v>
      </c>
      <c r="G2028" s="29" t="s">
        <v>7</v>
      </c>
      <c r="H2028" s="30" t="s">
        <v>2399</v>
      </c>
      <c r="I2028" s="78"/>
      <c r="J2028" s="20"/>
      <c r="K2028" s="20"/>
      <c r="L2028" s="20"/>
      <c r="M2028" s="20"/>
      <c r="N2028" s="320" t="s">
        <v>2685</v>
      </c>
      <c r="O2028" s="70">
        <v>0</v>
      </c>
      <c r="P2028" s="70">
        <v>0</v>
      </c>
      <c r="Q2028" s="70">
        <f t="shared" si="169"/>
        <v>0</v>
      </c>
      <c r="R2028" s="70"/>
      <c r="S2028" s="67"/>
      <c r="T2028" s="2" t="str">
        <f t="shared" si="170"/>
        <v>Nguyễn Tuấn Đạt_11VH5</v>
      </c>
      <c r="U2028" s="28">
        <f t="array" ref="U2028">IFERROR(VLOOKUP($T2028,'Nghi hoc T12'!$H$7:$I$160,2,0),0)</f>
        <v>0</v>
      </c>
      <c r="V2028" s="28" t="str">
        <f t="shared" si="174"/>
        <v>302.C11</v>
      </c>
      <c r="W2028" s="28">
        <f t="shared" si="171"/>
        <v>0</v>
      </c>
      <c r="X2028" s="333">
        <f t="shared" si="172"/>
        <v>0</v>
      </c>
      <c r="Y2028" s="333">
        <f t="shared" si="173"/>
        <v>0</v>
      </c>
    </row>
    <row r="2029" spans="1:25" s="2" customFormat="1" ht="21.95" customHeight="1">
      <c r="A2029" s="82">
        <v>4</v>
      </c>
      <c r="B2029" s="91" t="s">
        <v>3342</v>
      </c>
      <c r="C2029" s="83" t="s">
        <v>365</v>
      </c>
      <c r="D2029" s="81" t="s">
        <v>2252</v>
      </c>
      <c r="E2029" s="48">
        <v>400376</v>
      </c>
      <c r="F2029" s="30" t="s">
        <v>2419</v>
      </c>
      <c r="G2029" s="29" t="s">
        <v>7</v>
      </c>
      <c r="H2029" s="30" t="s">
        <v>2398</v>
      </c>
      <c r="I2029" s="78"/>
      <c r="J2029" s="20"/>
      <c r="K2029" s="20"/>
      <c r="L2029" s="20"/>
      <c r="M2029" s="20"/>
      <c r="N2029" s="320" t="s">
        <v>2685</v>
      </c>
      <c r="O2029" s="70">
        <v>0</v>
      </c>
      <c r="P2029" s="70">
        <v>0</v>
      </c>
      <c r="Q2029" s="70">
        <f t="shared" si="169"/>
        <v>0</v>
      </c>
      <c r="R2029" s="70"/>
      <c r="S2029" s="67"/>
      <c r="T2029" s="2" t="str">
        <f t="shared" si="170"/>
        <v>Vũ Cao Đạt_11VH4</v>
      </c>
      <c r="U2029" s="28">
        <f t="array" ref="U2029">IFERROR(VLOOKUP($T2029,'Nghi hoc T12'!$H$7:$I$160,2,0),0)</f>
        <v>0</v>
      </c>
      <c r="V2029" s="28" t="str">
        <f t="shared" si="174"/>
        <v>302.C11</v>
      </c>
      <c r="W2029" s="28">
        <f t="shared" si="171"/>
        <v>0</v>
      </c>
      <c r="X2029" s="333">
        <f t="shared" si="172"/>
        <v>0</v>
      </c>
      <c r="Y2029" s="333">
        <f t="shared" si="173"/>
        <v>0</v>
      </c>
    </row>
    <row r="2030" spans="1:25" s="2" customFormat="1" ht="21.95" customHeight="1">
      <c r="A2030" s="82">
        <v>5</v>
      </c>
      <c r="B2030" s="91" t="s">
        <v>3342</v>
      </c>
      <c r="C2030" s="83" t="s">
        <v>365</v>
      </c>
      <c r="D2030" s="81" t="s">
        <v>2252</v>
      </c>
      <c r="E2030" s="48">
        <v>400377</v>
      </c>
      <c r="F2030" s="30" t="s">
        <v>2420</v>
      </c>
      <c r="G2030" s="29" t="s">
        <v>171</v>
      </c>
      <c r="H2030" s="30" t="s">
        <v>2399</v>
      </c>
      <c r="I2030" s="78"/>
      <c r="J2030" s="20"/>
      <c r="K2030" s="20"/>
      <c r="L2030" s="20"/>
      <c r="M2030" s="20"/>
      <c r="N2030" s="320" t="s">
        <v>2685</v>
      </c>
      <c r="O2030" s="70">
        <v>0</v>
      </c>
      <c r="P2030" s="70">
        <v>0</v>
      </c>
      <c r="Q2030" s="70">
        <f t="shared" si="169"/>
        <v>0</v>
      </c>
      <c r="R2030" s="70"/>
      <c r="S2030" s="67"/>
      <c r="T2030" s="2" t="str">
        <f t="shared" si="170"/>
        <v>Nguyễn Hà Thanh Hải_11VH5</v>
      </c>
      <c r="U2030" s="28">
        <f t="array" ref="U2030">IFERROR(VLOOKUP($T2030,'Nghi hoc T12'!$H$7:$I$160,2,0),0)</f>
        <v>0</v>
      </c>
      <c r="V2030" s="28" t="str">
        <f t="shared" si="174"/>
        <v>302.C11</v>
      </c>
      <c r="W2030" s="28">
        <f t="shared" si="171"/>
        <v>0</v>
      </c>
      <c r="X2030" s="333">
        <f t="shared" si="172"/>
        <v>0</v>
      </c>
      <c r="Y2030" s="333">
        <f t="shared" si="173"/>
        <v>0</v>
      </c>
    </row>
    <row r="2031" spans="1:25" s="2" customFormat="1" ht="21.95" customHeight="1">
      <c r="A2031" s="82">
        <v>6</v>
      </c>
      <c r="B2031" s="91" t="s">
        <v>3342</v>
      </c>
      <c r="C2031" s="83" t="s">
        <v>365</v>
      </c>
      <c r="D2031" s="81" t="s">
        <v>2252</v>
      </c>
      <c r="E2031" s="48">
        <v>400378</v>
      </c>
      <c r="F2031" s="30" t="s">
        <v>2421</v>
      </c>
      <c r="G2031" s="29" t="s">
        <v>171</v>
      </c>
      <c r="H2031" s="30" t="s">
        <v>2396</v>
      </c>
      <c r="I2031" s="78"/>
      <c r="J2031" s="20"/>
      <c r="K2031" s="20"/>
      <c r="L2031" s="20"/>
      <c r="M2031" s="20"/>
      <c r="N2031" s="320" t="s">
        <v>2685</v>
      </c>
      <c r="O2031" s="70">
        <v>0</v>
      </c>
      <c r="P2031" s="70">
        <v>0</v>
      </c>
      <c r="Q2031" s="70">
        <f t="shared" si="169"/>
        <v>0</v>
      </c>
      <c r="R2031" s="70"/>
      <c r="S2031" s="67"/>
      <c r="T2031" s="2" t="str">
        <f t="shared" si="170"/>
        <v>Nguyễn Phạm Đình Hải_11VH3</v>
      </c>
      <c r="U2031" s="28">
        <f t="array" ref="U2031">IFERROR(VLOOKUP($T2031,'Nghi hoc T12'!$H$7:$I$160,2,0),0)</f>
        <v>0</v>
      </c>
      <c r="V2031" s="28" t="str">
        <f t="shared" si="174"/>
        <v>302.C11</v>
      </c>
      <c r="W2031" s="28">
        <f t="shared" si="171"/>
        <v>0</v>
      </c>
      <c r="X2031" s="333">
        <f t="shared" si="172"/>
        <v>0</v>
      </c>
      <c r="Y2031" s="333">
        <f t="shared" si="173"/>
        <v>0</v>
      </c>
    </row>
    <row r="2032" spans="1:25" s="2" customFormat="1" ht="21.95" customHeight="1">
      <c r="A2032" s="82">
        <v>7</v>
      </c>
      <c r="B2032" s="91" t="s">
        <v>3342</v>
      </c>
      <c r="C2032" s="83" t="s">
        <v>365</v>
      </c>
      <c r="D2032" s="81" t="s">
        <v>2252</v>
      </c>
      <c r="E2032" s="48">
        <v>400379</v>
      </c>
      <c r="F2032" s="30" t="s">
        <v>2422</v>
      </c>
      <c r="G2032" s="29" t="s">
        <v>2423</v>
      </c>
      <c r="H2032" s="30" t="s">
        <v>2398</v>
      </c>
      <c r="I2032" s="78"/>
      <c r="J2032" s="20"/>
      <c r="K2032" s="20"/>
      <c r="L2032" s="20"/>
      <c r="M2032" s="20"/>
      <c r="N2032" s="320" t="s">
        <v>2685</v>
      </c>
      <c r="O2032" s="70">
        <v>0</v>
      </c>
      <c r="P2032" s="70">
        <v>0</v>
      </c>
      <c r="Q2032" s="70">
        <f t="shared" si="169"/>
        <v>0</v>
      </c>
      <c r="R2032" s="70"/>
      <c r="S2032" s="67"/>
      <c r="T2032" s="2" t="str">
        <f t="shared" si="170"/>
        <v>Tạ Đình Hảo_11VH4</v>
      </c>
      <c r="U2032" s="28">
        <f t="array" ref="U2032">IFERROR(VLOOKUP($T2032,'Nghi hoc T12'!$H$7:$I$160,2,0),0)</f>
        <v>0</v>
      </c>
      <c r="V2032" s="28" t="str">
        <f t="shared" si="174"/>
        <v>302.C11</v>
      </c>
      <c r="W2032" s="28">
        <f t="shared" si="171"/>
        <v>0</v>
      </c>
      <c r="X2032" s="333">
        <f t="shared" si="172"/>
        <v>0</v>
      </c>
      <c r="Y2032" s="333">
        <f t="shared" si="173"/>
        <v>0</v>
      </c>
    </row>
    <row r="2033" spans="1:25" s="2" customFormat="1" ht="21.95" customHeight="1">
      <c r="A2033" s="82">
        <v>8</v>
      </c>
      <c r="B2033" s="91" t="s">
        <v>3342</v>
      </c>
      <c r="C2033" s="83" t="s">
        <v>365</v>
      </c>
      <c r="D2033" s="81" t="s">
        <v>2252</v>
      </c>
      <c r="E2033" s="48">
        <v>400380</v>
      </c>
      <c r="F2033" s="30" t="s">
        <v>2258</v>
      </c>
      <c r="G2033" s="29" t="s">
        <v>84</v>
      </c>
      <c r="H2033" s="30" t="s">
        <v>2398</v>
      </c>
      <c r="I2033" s="78"/>
      <c r="J2033" s="20"/>
      <c r="K2033" s="20"/>
      <c r="L2033" s="20"/>
      <c r="M2033" s="20"/>
      <c r="N2033" s="320" t="s">
        <v>2685</v>
      </c>
      <c r="O2033" s="70">
        <v>0</v>
      </c>
      <c r="P2033" s="70">
        <v>0</v>
      </c>
      <c r="Q2033" s="70">
        <f t="shared" si="169"/>
        <v>0</v>
      </c>
      <c r="R2033" s="70"/>
      <c r="S2033" s="67"/>
      <c r="T2033" s="2" t="str">
        <f t="shared" si="170"/>
        <v>Lê Ngọc Hân_11VH4</v>
      </c>
      <c r="U2033" s="28">
        <f t="array" ref="U2033">IFERROR(VLOOKUP($T2033,'Nghi hoc T12'!$H$7:$I$160,2,0),0)</f>
        <v>0</v>
      </c>
      <c r="V2033" s="28" t="str">
        <f t="shared" si="174"/>
        <v>302.C11</v>
      </c>
      <c r="W2033" s="28">
        <f t="shared" si="171"/>
        <v>0</v>
      </c>
      <c r="X2033" s="333">
        <f t="shared" si="172"/>
        <v>0</v>
      </c>
      <c r="Y2033" s="333">
        <f t="shared" si="173"/>
        <v>0</v>
      </c>
    </row>
    <row r="2034" spans="1:25" s="2" customFormat="1" ht="21.95" customHeight="1">
      <c r="A2034" s="82">
        <v>9</v>
      </c>
      <c r="B2034" s="91" t="s">
        <v>3342</v>
      </c>
      <c r="C2034" s="83" t="s">
        <v>365</v>
      </c>
      <c r="D2034" s="81" t="s">
        <v>2252</v>
      </c>
      <c r="E2034" s="48">
        <v>400381</v>
      </c>
      <c r="F2034" s="30" t="s">
        <v>2424</v>
      </c>
      <c r="G2034" s="29" t="s">
        <v>84</v>
      </c>
      <c r="H2034" s="30" t="s">
        <v>2399</v>
      </c>
      <c r="I2034" s="78"/>
      <c r="J2034" s="20"/>
      <c r="K2034" s="20"/>
      <c r="L2034" s="20"/>
      <c r="M2034" s="20"/>
      <c r="N2034" s="320" t="s">
        <v>2685</v>
      </c>
      <c r="O2034" s="70">
        <v>0</v>
      </c>
      <c r="P2034" s="70">
        <v>0</v>
      </c>
      <c r="Q2034" s="70">
        <f t="shared" si="169"/>
        <v>0</v>
      </c>
      <c r="R2034" s="70"/>
      <c r="S2034" s="67"/>
      <c r="T2034" s="2" t="str">
        <f t="shared" si="170"/>
        <v>Trần Ngô Bảo Hân_11VH5</v>
      </c>
      <c r="U2034" s="28">
        <f t="array" ref="U2034">IFERROR(VLOOKUP($T2034,'Nghi hoc T12'!$H$7:$I$160,2,0),0)</f>
        <v>0</v>
      </c>
      <c r="V2034" s="28" t="str">
        <f t="shared" si="174"/>
        <v>302.C11</v>
      </c>
      <c r="W2034" s="28">
        <f t="shared" si="171"/>
        <v>0</v>
      </c>
      <c r="X2034" s="333">
        <f t="shared" si="172"/>
        <v>0</v>
      </c>
      <c r="Y2034" s="333">
        <f t="shared" si="173"/>
        <v>0</v>
      </c>
    </row>
    <row r="2035" spans="1:25" s="2" customFormat="1" ht="21.95" customHeight="1">
      <c r="A2035" s="82">
        <v>10</v>
      </c>
      <c r="B2035" s="91" t="s">
        <v>3342</v>
      </c>
      <c r="C2035" s="83" t="s">
        <v>365</v>
      </c>
      <c r="D2035" s="81" t="s">
        <v>2252</v>
      </c>
      <c r="E2035" s="48">
        <v>400382</v>
      </c>
      <c r="F2035" s="30" t="s">
        <v>2425</v>
      </c>
      <c r="G2035" s="29" t="s">
        <v>104</v>
      </c>
      <c r="H2035" s="30" t="s">
        <v>2399</v>
      </c>
      <c r="I2035" s="78"/>
      <c r="J2035" s="20"/>
      <c r="K2035" s="20"/>
      <c r="L2035" s="20"/>
      <c r="M2035" s="20"/>
      <c r="N2035" s="320" t="s">
        <v>2685</v>
      </c>
      <c r="O2035" s="70">
        <v>0</v>
      </c>
      <c r="P2035" s="70">
        <v>0</v>
      </c>
      <c r="Q2035" s="70">
        <f t="shared" si="169"/>
        <v>0</v>
      </c>
      <c r="R2035" s="70"/>
      <c r="S2035" s="67"/>
      <c r="T2035" s="2" t="str">
        <f t="shared" si="170"/>
        <v>Dương Thị Thanh Hậu_11VH5</v>
      </c>
      <c r="U2035" s="28">
        <f t="array" ref="U2035">IFERROR(VLOOKUP($T2035,'Nghi hoc T12'!$H$7:$I$160,2,0),0)</f>
        <v>0</v>
      </c>
      <c r="V2035" s="28" t="str">
        <f t="shared" si="174"/>
        <v>302.C11</v>
      </c>
      <c r="W2035" s="28">
        <f t="shared" si="171"/>
        <v>0</v>
      </c>
      <c r="X2035" s="333">
        <f t="shared" si="172"/>
        <v>0</v>
      </c>
      <c r="Y2035" s="333">
        <f t="shared" si="173"/>
        <v>0</v>
      </c>
    </row>
    <row r="2036" spans="1:25" s="2" customFormat="1" ht="21.95" customHeight="1">
      <c r="A2036" s="82">
        <v>11</v>
      </c>
      <c r="B2036" s="91" t="s">
        <v>3342</v>
      </c>
      <c r="C2036" s="83" t="s">
        <v>365</v>
      </c>
      <c r="D2036" s="81" t="s">
        <v>2252</v>
      </c>
      <c r="E2036" s="48">
        <v>400383</v>
      </c>
      <c r="F2036" s="30" t="s">
        <v>2426</v>
      </c>
      <c r="G2036" s="29" t="s">
        <v>104</v>
      </c>
      <c r="H2036" s="30" t="s">
        <v>2398</v>
      </c>
      <c r="I2036" s="78"/>
      <c r="J2036" s="20"/>
      <c r="K2036" s="20"/>
      <c r="L2036" s="20"/>
      <c r="M2036" s="20"/>
      <c r="N2036" s="320" t="s">
        <v>2685</v>
      </c>
      <c r="O2036" s="70">
        <v>0</v>
      </c>
      <c r="P2036" s="70">
        <v>0</v>
      </c>
      <c r="Q2036" s="70">
        <f t="shared" si="169"/>
        <v>0</v>
      </c>
      <c r="R2036" s="70"/>
      <c r="S2036" s="67"/>
      <c r="T2036" s="2" t="str">
        <f t="shared" si="170"/>
        <v>Lý Công Hậu_11VH4</v>
      </c>
      <c r="U2036" s="28">
        <f t="array" ref="U2036">IFERROR(VLOOKUP($T2036,'Nghi hoc T12'!$H$7:$I$160,2,0),0)</f>
        <v>0</v>
      </c>
      <c r="V2036" s="28" t="str">
        <f t="shared" si="174"/>
        <v>302.C11</v>
      </c>
      <c r="W2036" s="28">
        <f t="shared" si="171"/>
        <v>0</v>
      </c>
      <c r="X2036" s="333">
        <f t="shared" si="172"/>
        <v>0</v>
      </c>
      <c r="Y2036" s="333">
        <f t="shared" si="173"/>
        <v>0</v>
      </c>
    </row>
    <row r="2037" spans="1:25" s="2" customFormat="1" ht="21.95" customHeight="1">
      <c r="A2037" s="82">
        <v>12</v>
      </c>
      <c r="B2037" s="91" t="s">
        <v>3342</v>
      </c>
      <c r="C2037" s="83" t="s">
        <v>365</v>
      </c>
      <c r="D2037" s="81" t="s">
        <v>2252</v>
      </c>
      <c r="E2037" s="48">
        <v>400384</v>
      </c>
      <c r="F2037" s="30" t="s">
        <v>2427</v>
      </c>
      <c r="G2037" s="29" t="s">
        <v>8</v>
      </c>
      <c r="H2037" s="30" t="s">
        <v>2399</v>
      </c>
      <c r="I2037" s="78"/>
      <c r="J2037" s="20"/>
      <c r="K2037" s="20"/>
      <c r="L2037" s="20"/>
      <c r="M2037" s="20"/>
      <c r="N2037" s="320" t="s">
        <v>2685</v>
      </c>
      <c r="O2037" s="70">
        <v>0</v>
      </c>
      <c r="P2037" s="70">
        <v>0</v>
      </c>
      <c r="Q2037" s="70">
        <f t="shared" si="169"/>
        <v>0</v>
      </c>
      <c r="R2037" s="70"/>
      <c r="S2037" s="67"/>
      <c r="T2037" s="2" t="str">
        <f t="shared" si="170"/>
        <v>Nguyễn Hoàng Hiếu Hiền_11VH5</v>
      </c>
      <c r="U2037" s="28">
        <f t="array" ref="U2037">IFERROR(VLOOKUP($T2037,'Nghi hoc T12'!$H$7:$I$160,2,0),0)</f>
        <v>0</v>
      </c>
      <c r="V2037" s="28" t="str">
        <f t="shared" si="174"/>
        <v>302.C11</v>
      </c>
      <c r="W2037" s="28">
        <f t="shared" si="171"/>
        <v>0</v>
      </c>
      <c r="X2037" s="333">
        <f t="shared" si="172"/>
        <v>0</v>
      </c>
      <c r="Y2037" s="333">
        <f t="shared" si="173"/>
        <v>0</v>
      </c>
    </row>
    <row r="2038" spans="1:25" s="2" customFormat="1" ht="21.95" customHeight="1">
      <c r="A2038" s="82">
        <v>13</v>
      </c>
      <c r="B2038" s="91" t="s">
        <v>3342</v>
      </c>
      <c r="C2038" s="83" t="s">
        <v>365</v>
      </c>
      <c r="D2038" s="81" t="s">
        <v>2252</v>
      </c>
      <c r="E2038" s="48">
        <v>400385</v>
      </c>
      <c r="F2038" s="30" t="s">
        <v>2428</v>
      </c>
      <c r="G2038" s="29" t="s">
        <v>9</v>
      </c>
      <c r="H2038" s="30" t="s">
        <v>2399</v>
      </c>
      <c r="I2038" s="78"/>
      <c r="J2038" s="20"/>
      <c r="K2038" s="20"/>
      <c r="L2038" s="20"/>
      <c r="M2038" s="20"/>
      <c r="N2038" s="320" t="s">
        <v>2685</v>
      </c>
      <c r="O2038" s="70">
        <v>0</v>
      </c>
      <c r="P2038" s="70">
        <v>0</v>
      </c>
      <c r="Q2038" s="70">
        <f t="shared" si="169"/>
        <v>0</v>
      </c>
      <c r="R2038" s="70"/>
      <c r="S2038" s="67"/>
      <c r="T2038" s="2" t="str">
        <f t="shared" si="170"/>
        <v>Châu Trung Hiếu_11VH5</v>
      </c>
      <c r="U2038" s="28">
        <f t="array" ref="U2038">IFERROR(VLOOKUP($T2038,'Nghi hoc T12'!$H$7:$I$160,2,0),0)</f>
        <v>0</v>
      </c>
      <c r="V2038" s="28" t="str">
        <f t="shared" si="174"/>
        <v>302.C11</v>
      </c>
      <c r="W2038" s="28">
        <f t="shared" si="171"/>
        <v>0</v>
      </c>
      <c r="X2038" s="333">
        <f t="shared" si="172"/>
        <v>0</v>
      </c>
      <c r="Y2038" s="333">
        <f t="shared" si="173"/>
        <v>0</v>
      </c>
    </row>
    <row r="2039" spans="1:25" s="2" customFormat="1" ht="21.95" customHeight="1">
      <c r="A2039" s="82">
        <v>14</v>
      </c>
      <c r="B2039" s="91" t="s">
        <v>3342</v>
      </c>
      <c r="C2039" s="83" t="s">
        <v>365</v>
      </c>
      <c r="D2039" s="81" t="s">
        <v>2252</v>
      </c>
      <c r="E2039" s="48">
        <v>400386</v>
      </c>
      <c r="F2039" s="30" t="s">
        <v>2429</v>
      </c>
      <c r="G2039" s="29" t="s">
        <v>9</v>
      </c>
      <c r="H2039" s="30" t="s">
        <v>2396</v>
      </c>
      <c r="I2039" s="78"/>
      <c r="J2039" s="20"/>
      <c r="K2039" s="20"/>
      <c r="L2039" s="20"/>
      <c r="M2039" s="20"/>
      <c r="N2039" s="320" t="s">
        <v>2685</v>
      </c>
      <c r="O2039" s="70">
        <v>0</v>
      </c>
      <c r="P2039" s="70">
        <v>0</v>
      </c>
      <c r="Q2039" s="70">
        <f t="shared" si="169"/>
        <v>0</v>
      </c>
      <c r="R2039" s="70"/>
      <c r="S2039" s="67"/>
      <c r="T2039" s="2" t="str">
        <f t="shared" si="170"/>
        <v>Đặng Ngô Đông Hiếu_11VH3</v>
      </c>
      <c r="U2039" s="28">
        <f t="array" ref="U2039">IFERROR(VLOOKUP($T2039,'Nghi hoc T12'!$H$7:$I$160,2,0),0)</f>
        <v>0</v>
      </c>
      <c r="V2039" s="28" t="str">
        <f t="shared" si="174"/>
        <v>302.C11</v>
      </c>
      <c r="W2039" s="28">
        <f t="shared" si="171"/>
        <v>0</v>
      </c>
      <c r="X2039" s="333">
        <f t="shared" si="172"/>
        <v>0</v>
      </c>
      <c r="Y2039" s="333">
        <f t="shared" si="173"/>
        <v>0</v>
      </c>
    </row>
    <row r="2040" spans="1:25" s="2" customFormat="1" ht="21.95" customHeight="1">
      <c r="A2040" s="82">
        <v>15</v>
      </c>
      <c r="B2040" s="91" t="s">
        <v>3342</v>
      </c>
      <c r="C2040" s="83" t="s">
        <v>365</v>
      </c>
      <c r="D2040" s="81" t="s">
        <v>2252</v>
      </c>
      <c r="E2040" s="48">
        <v>400387</v>
      </c>
      <c r="F2040" s="30" t="s">
        <v>2035</v>
      </c>
      <c r="G2040" s="29" t="s">
        <v>10</v>
      </c>
      <c r="H2040" s="30" t="s">
        <v>2398</v>
      </c>
      <c r="I2040" s="78"/>
      <c r="J2040" s="20"/>
      <c r="K2040" s="20"/>
      <c r="L2040" s="20"/>
      <c r="M2040" s="20"/>
      <c r="N2040" s="320" t="s">
        <v>2685</v>
      </c>
      <c r="O2040" s="70">
        <v>0</v>
      </c>
      <c r="P2040" s="70">
        <v>0</v>
      </c>
      <c r="Q2040" s="70">
        <f t="shared" si="169"/>
        <v>0</v>
      </c>
      <c r="R2040" s="70"/>
      <c r="S2040" s="67"/>
      <c r="T2040" s="2" t="str">
        <f t="shared" si="170"/>
        <v>Nguyễn Huy Hoàng_11VH4</v>
      </c>
      <c r="U2040" s="28">
        <f t="array" ref="U2040">IFERROR(VLOOKUP($T2040,'Nghi hoc T12'!$H$7:$I$160,2,0),0)</f>
        <v>0</v>
      </c>
      <c r="V2040" s="28" t="str">
        <f t="shared" si="174"/>
        <v>302.C11</v>
      </c>
      <c r="W2040" s="28">
        <f t="shared" si="171"/>
        <v>0</v>
      </c>
      <c r="X2040" s="333">
        <f t="shared" si="172"/>
        <v>0</v>
      </c>
      <c r="Y2040" s="333">
        <f t="shared" si="173"/>
        <v>0</v>
      </c>
    </row>
    <row r="2041" spans="1:25" s="2" customFormat="1" ht="21.95" customHeight="1">
      <c r="A2041" s="82">
        <v>16</v>
      </c>
      <c r="B2041" s="91" t="s">
        <v>3342</v>
      </c>
      <c r="C2041" s="83" t="s">
        <v>365</v>
      </c>
      <c r="D2041" s="81" t="s">
        <v>2252</v>
      </c>
      <c r="E2041" s="48">
        <v>400388</v>
      </c>
      <c r="F2041" s="30" t="s">
        <v>2430</v>
      </c>
      <c r="G2041" s="29" t="s">
        <v>10</v>
      </c>
      <c r="H2041" s="30" t="s">
        <v>2399</v>
      </c>
      <c r="I2041" s="78"/>
      <c r="J2041" s="20"/>
      <c r="K2041" s="20"/>
      <c r="L2041" s="20"/>
      <c r="M2041" s="20"/>
      <c r="N2041" s="320" t="s">
        <v>2685</v>
      </c>
      <c r="O2041" s="70">
        <v>0</v>
      </c>
      <c r="P2041" s="70">
        <v>0</v>
      </c>
      <c r="Q2041" s="70">
        <f t="shared" si="169"/>
        <v>0</v>
      </c>
      <c r="R2041" s="70"/>
      <c r="S2041" s="67"/>
      <c r="T2041" s="2" t="str">
        <f t="shared" si="170"/>
        <v>Nguyễn Trương Minh Hoàng_11VH5</v>
      </c>
      <c r="U2041" s="28">
        <f t="array" ref="U2041">IFERROR(VLOOKUP($T2041,'Nghi hoc T12'!$H$7:$I$160,2,0),0)</f>
        <v>0</v>
      </c>
      <c r="V2041" s="28" t="str">
        <f t="shared" si="174"/>
        <v>302.C11</v>
      </c>
      <c r="W2041" s="28">
        <f t="shared" si="171"/>
        <v>0</v>
      </c>
      <c r="X2041" s="333">
        <f t="shared" si="172"/>
        <v>0</v>
      </c>
      <c r="Y2041" s="333">
        <f t="shared" si="173"/>
        <v>0</v>
      </c>
    </row>
    <row r="2042" spans="1:25" s="2" customFormat="1" ht="21.95" customHeight="1">
      <c r="A2042" s="82">
        <v>17</v>
      </c>
      <c r="B2042" s="91" t="s">
        <v>3342</v>
      </c>
      <c r="C2042" s="83" t="s">
        <v>365</v>
      </c>
      <c r="D2042" s="81" t="s">
        <v>2252</v>
      </c>
      <c r="E2042" s="48">
        <v>400389</v>
      </c>
      <c r="F2042" s="30" t="s">
        <v>2431</v>
      </c>
      <c r="G2042" s="29" t="s">
        <v>100</v>
      </c>
      <c r="H2042" s="30" t="s">
        <v>2399</v>
      </c>
      <c r="I2042" s="78"/>
      <c r="J2042" s="20"/>
      <c r="K2042" s="20"/>
      <c r="L2042" s="20"/>
      <c r="M2042" s="20"/>
      <c r="N2042" s="320" t="s">
        <v>2685</v>
      </c>
      <c r="O2042" s="70">
        <v>0</v>
      </c>
      <c r="P2042" s="70">
        <v>0</v>
      </c>
      <c r="Q2042" s="70">
        <f t="shared" si="169"/>
        <v>0</v>
      </c>
      <c r="R2042" s="70"/>
      <c r="S2042" s="67"/>
      <c r="T2042" s="2" t="str">
        <f t="shared" si="170"/>
        <v>Nguyễn Lê Hùng_11VH5</v>
      </c>
      <c r="U2042" s="28">
        <f t="array" ref="U2042">IFERROR(VLOOKUP($T2042,'Nghi hoc T12'!$H$7:$I$160,2,0),0)</f>
        <v>0</v>
      </c>
      <c r="V2042" s="28" t="str">
        <f t="shared" si="174"/>
        <v>302.C11</v>
      </c>
      <c r="W2042" s="28">
        <f t="shared" si="171"/>
        <v>0</v>
      </c>
      <c r="X2042" s="333">
        <f t="shared" si="172"/>
        <v>0</v>
      </c>
      <c r="Y2042" s="333">
        <f t="shared" si="173"/>
        <v>0</v>
      </c>
    </row>
    <row r="2043" spans="1:25" s="2" customFormat="1" ht="21.95" customHeight="1">
      <c r="A2043" s="82">
        <v>18</v>
      </c>
      <c r="B2043" s="91" t="s">
        <v>3342</v>
      </c>
      <c r="C2043" s="83" t="s">
        <v>365</v>
      </c>
      <c r="D2043" s="81" t="s">
        <v>2252</v>
      </c>
      <c r="E2043" s="48">
        <v>400390</v>
      </c>
      <c r="F2043" s="30" t="s">
        <v>2391</v>
      </c>
      <c r="G2043" s="29" t="s">
        <v>11</v>
      </c>
      <c r="H2043" s="30" t="s">
        <v>2396</v>
      </c>
      <c r="I2043" s="78"/>
      <c r="J2043" s="20"/>
      <c r="K2043" s="20"/>
      <c r="L2043" s="20"/>
      <c r="M2043" s="20"/>
      <c r="N2043" s="320" t="s">
        <v>2685</v>
      </c>
      <c r="O2043" s="70">
        <v>0</v>
      </c>
      <c r="P2043" s="70">
        <v>0</v>
      </c>
      <c r="Q2043" s="70">
        <f t="shared" si="169"/>
        <v>0</v>
      </c>
      <c r="R2043" s="70"/>
      <c r="S2043" s="67"/>
      <c r="T2043" s="2" t="str">
        <f t="shared" si="170"/>
        <v>Phạm Hoàng Huy_11VH3</v>
      </c>
      <c r="U2043" s="28">
        <f t="array" ref="U2043">IFERROR(VLOOKUP($T2043,'Nghi hoc T12'!$H$7:$I$160,2,0),0)</f>
        <v>0</v>
      </c>
      <c r="V2043" s="28" t="str">
        <f t="shared" si="174"/>
        <v>302.C11</v>
      </c>
      <c r="W2043" s="28">
        <f t="shared" si="171"/>
        <v>0</v>
      </c>
      <c r="X2043" s="333">
        <f t="shared" si="172"/>
        <v>0</v>
      </c>
      <c r="Y2043" s="333">
        <f t="shared" si="173"/>
        <v>0</v>
      </c>
    </row>
    <row r="2044" spans="1:25" s="2" customFormat="1" ht="21.95" customHeight="1">
      <c r="A2044" s="82">
        <v>19</v>
      </c>
      <c r="B2044" s="91" t="s">
        <v>3342</v>
      </c>
      <c r="C2044" s="83" t="s">
        <v>365</v>
      </c>
      <c r="D2044" s="81" t="s">
        <v>2252</v>
      </c>
      <c r="E2044" s="48">
        <v>400391</v>
      </c>
      <c r="F2044" s="30" t="s">
        <v>1272</v>
      </c>
      <c r="G2044" s="29" t="s">
        <v>11</v>
      </c>
      <c r="H2044" s="30" t="s">
        <v>2399</v>
      </c>
      <c r="I2044" s="78"/>
      <c r="J2044" s="20"/>
      <c r="K2044" s="20"/>
      <c r="L2044" s="20"/>
      <c r="M2044" s="20"/>
      <c r="N2044" s="320" t="s">
        <v>2685</v>
      </c>
      <c r="O2044" s="70">
        <v>0</v>
      </c>
      <c r="P2044" s="70">
        <v>0</v>
      </c>
      <c r="Q2044" s="70">
        <f t="shared" si="169"/>
        <v>0</v>
      </c>
      <c r="R2044" s="70"/>
      <c r="S2044" s="67"/>
      <c r="T2044" s="2" t="str">
        <f t="shared" si="170"/>
        <v>Phan Bảo Huy_11VH5</v>
      </c>
      <c r="U2044" s="28">
        <f t="array" ref="U2044">IFERROR(VLOOKUP($T2044,'Nghi hoc T12'!$H$7:$I$160,2,0),0)</f>
        <v>0</v>
      </c>
      <c r="V2044" s="28" t="str">
        <f t="shared" si="174"/>
        <v>302.C11</v>
      </c>
      <c r="W2044" s="28">
        <f t="shared" si="171"/>
        <v>0</v>
      </c>
      <c r="X2044" s="333">
        <f t="shared" si="172"/>
        <v>0</v>
      </c>
      <c r="Y2044" s="333">
        <f t="shared" si="173"/>
        <v>0</v>
      </c>
    </row>
    <row r="2045" spans="1:25" s="2" customFormat="1" ht="21.95" customHeight="1">
      <c r="A2045" s="82">
        <v>20</v>
      </c>
      <c r="B2045" s="91" t="s">
        <v>3342</v>
      </c>
      <c r="C2045" s="83" t="s">
        <v>365</v>
      </c>
      <c r="D2045" s="81" t="s">
        <v>2252</v>
      </c>
      <c r="E2045" s="48">
        <v>400392</v>
      </c>
      <c r="F2045" s="30" t="s">
        <v>1277</v>
      </c>
      <c r="G2045" s="29" t="s">
        <v>11</v>
      </c>
      <c r="H2045" s="30" t="s">
        <v>2399</v>
      </c>
      <c r="I2045" s="78"/>
      <c r="J2045" s="20"/>
      <c r="K2045" s="20"/>
      <c r="L2045" s="20"/>
      <c r="M2045" s="20"/>
      <c r="N2045" s="320" t="s">
        <v>2685</v>
      </c>
      <c r="O2045" s="70">
        <v>0</v>
      </c>
      <c r="P2045" s="70">
        <v>0</v>
      </c>
      <c r="Q2045" s="70">
        <f t="shared" si="169"/>
        <v>0</v>
      </c>
      <c r="R2045" s="70"/>
      <c r="S2045" s="67"/>
      <c r="T2045" s="2" t="str">
        <f t="shared" si="170"/>
        <v>Võ Hoàng Huy_11VH5</v>
      </c>
      <c r="U2045" s="28">
        <f t="array" ref="U2045">IFERROR(VLOOKUP($T2045,'Nghi hoc T12'!$H$7:$I$160,2,0),0)</f>
        <v>0</v>
      </c>
      <c r="V2045" s="28" t="str">
        <f t="shared" si="174"/>
        <v>302.C11</v>
      </c>
      <c r="W2045" s="28">
        <f t="shared" si="171"/>
        <v>0</v>
      </c>
      <c r="X2045" s="333">
        <f t="shared" si="172"/>
        <v>0</v>
      </c>
      <c r="Y2045" s="333">
        <f t="shared" si="173"/>
        <v>0</v>
      </c>
    </row>
    <row r="2046" spans="1:25" s="2" customFormat="1" ht="21.95" customHeight="1">
      <c r="A2046" s="82">
        <v>21</v>
      </c>
      <c r="B2046" s="91" t="s">
        <v>3342</v>
      </c>
      <c r="C2046" s="83" t="s">
        <v>365</v>
      </c>
      <c r="D2046" s="81" t="s">
        <v>2252</v>
      </c>
      <c r="E2046" s="48">
        <v>400393</v>
      </c>
      <c r="F2046" s="30" t="s">
        <v>2394</v>
      </c>
      <c r="G2046" s="29" t="s">
        <v>1721</v>
      </c>
      <c r="H2046" s="30" t="s">
        <v>2396</v>
      </c>
      <c r="I2046" s="78"/>
      <c r="J2046" s="20"/>
      <c r="K2046" s="20"/>
      <c r="L2046" s="20"/>
      <c r="M2046" s="20"/>
      <c r="N2046" s="320" t="s">
        <v>2685</v>
      </c>
      <c r="O2046" s="70">
        <v>0</v>
      </c>
      <c r="P2046" s="70">
        <v>0</v>
      </c>
      <c r="Q2046" s="70">
        <f t="shared" si="169"/>
        <v>0</v>
      </c>
      <c r="R2046" s="70"/>
      <c r="S2046" s="67"/>
      <c r="T2046" s="2" t="str">
        <f t="shared" si="170"/>
        <v>Lê Ngọc Như Huỳnh_11VH3</v>
      </c>
      <c r="U2046" s="28">
        <f t="array" ref="U2046">IFERROR(VLOOKUP($T2046,'Nghi hoc T12'!$H$7:$I$160,2,0),0)</f>
        <v>0</v>
      </c>
      <c r="V2046" s="28" t="str">
        <f t="shared" si="174"/>
        <v>302.C11</v>
      </c>
      <c r="W2046" s="28">
        <f t="shared" si="171"/>
        <v>0</v>
      </c>
      <c r="X2046" s="333">
        <f t="shared" si="172"/>
        <v>0</v>
      </c>
      <c r="Y2046" s="333">
        <f t="shared" si="173"/>
        <v>0</v>
      </c>
    </row>
    <row r="2047" spans="1:25" s="2" customFormat="1" ht="21.95" customHeight="1">
      <c r="A2047" s="82">
        <v>22</v>
      </c>
      <c r="B2047" s="91" t="s">
        <v>3342</v>
      </c>
      <c r="C2047" s="83" t="s">
        <v>365</v>
      </c>
      <c r="D2047" s="81" t="s">
        <v>2252</v>
      </c>
      <c r="E2047" s="48">
        <v>400394</v>
      </c>
      <c r="F2047" s="30" t="s">
        <v>2432</v>
      </c>
      <c r="G2047" s="29" t="s">
        <v>12</v>
      </c>
      <c r="H2047" s="30" t="s">
        <v>2396</v>
      </c>
      <c r="I2047" s="78"/>
      <c r="J2047" s="20"/>
      <c r="K2047" s="20"/>
      <c r="L2047" s="20"/>
      <c r="M2047" s="20"/>
      <c r="N2047" s="320" t="s">
        <v>2685</v>
      </c>
      <c r="O2047" s="70">
        <v>0</v>
      </c>
      <c r="P2047" s="70">
        <v>0</v>
      </c>
      <c r="Q2047" s="70">
        <f t="shared" si="169"/>
        <v>0</v>
      </c>
      <c r="R2047" s="70"/>
      <c r="S2047" s="67"/>
      <c r="T2047" s="2" t="str">
        <f t="shared" si="170"/>
        <v>Trần Minh Anh Trạch Khải_11VH3</v>
      </c>
      <c r="U2047" s="28">
        <f t="array" ref="U2047">IFERROR(VLOOKUP($T2047,'Nghi hoc T12'!$H$7:$I$160,2,0),0)</f>
        <v>0</v>
      </c>
      <c r="V2047" s="28" t="str">
        <f t="shared" si="174"/>
        <v>302.C11</v>
      </c>
      <c r="W2047" s="28">
        <f t="shared" si="171"/>
        <v>0</v>
      </c>
      <c r="X2047" s="333">
        <f t="shared" si="172"/>
        <v>0</v>
      </c>
      <c r="Y2047" s="333">
        <f t="shared" si="173"/>
        <v>0</v>
      </c>
    </row>
    <row r="2048" spans="1:25" s="2" customFormat="1" ht="21.95" customHeight="1">
      <c r="A2048" s="82">
        <v>23</v>
      </c>
      <c r="B2048" s="91" t="s">
        <v>3342</v>
      </c>
      <c r="C2048" s="83" t="s">
        <v>365</v>
      </c>
      <c r="D2048" s="81" t="s">
        <v>2252</v>
      </c>
      <c r="E2048" s="48">
        <v>400395</v>
      </c>
      <c r="F2048" s="30" t="s">
        <v>2433</v>
      </c>
      <c r="G2048" s="29" t="s">
        <v>79</v>
      </c>
      <c r="H2048" s="30" t="s">
        <v>2396</v>
      </c>
      <c r="I2048" s="78"/>
      <c r="J2048" s="20"/>
      <c r="K2048" s="20"/>
      <c r="L2048" s="20"/>
      <c r="M2048" s="20"/>
      <c r="N2048" s="320" t="s">
        <v>2685</v>
      </c>
      <c r="O2048" s="70">
        <v>0</v>
      </c>
      <c r="P2048" s="70">
        <v>0</v>
      </c>
      <c r="Q2048" s="70">
        <f t="shared" si="169"/>
        <v>0</v>
      </c>
      <c r="R2048" s="70"/>
      <c r="S2048" s="67"/>
      <c r="T2048" s="2" t="str">
        <f t="shared" si="170"/>
        <v>Huỳnh Đoàn Minh Khang_11VH3</v>
      </c>
      <c r="U2048" s="28">
        <f t="array" ref="U2048">IFERROR(VLOOKUP($T2048,'Nghi hoc T12'!$H$7:$I$160,2,0),0)</f>
        <v>0</v>
      </c>
      <c r="V2048" s="28" t="str">
        <f t="shared" si="174"/>
        <v>302.C11</v>
      </c>
      <c r="W2048" s="28">
        <f t="shared" si="171"/>
        <v>0</v>
      </c>
      <c r="X2048" s="333">
        <f t="shared" si="172"/>
        <v>0</v>
      </c>
      <c r="Y2048" s="333">
        <f t="shared" si="173"/>
        <v>0</v>
      </c>
    </row>
    <row r="2049" spans="1:25" s="2" customFormat="1" ht="21.95" customHeight="1">
      <c r="A2049" s="82">
        <v>24</v>
      </c>
      <c r="B2049" s="91" t="s">
        <v>3342</v>
      </c>
      <c r="C2049" s="83" t="s">
        <v>365</v>
      </c>
      <c r="D2049" s="81" t="s">
        <v>2252</v>
      </c>
      <c r="E2049" s="48">
        <v>400396</v>
      </c>
      <c r="F2049" s="30" t="s">
        <v>184</v>
      </c>
      <c r="G2049" s="29" t="s">
        <v>79</v>
      </c>
      <c r="H2049" s="30" t="s">
        <v>2398</v>
      </c>
      <c r="I2049" s="78"/>
      <c r="J2049" s="20"/>
      <c r="K2049" s="20"/>
      <c r="L2049" s="20"/>
      <c r="M2049" s="20"/>
      <c r="N2049" s="320" t="s">
        <v>2685</v>
      </c>
      <c r="O2049" s="70">
        <v>0</v>
      </c>
      <c r="P2049" s="70">
        <v>0</v>
      </c>
      <c r="Q2049" s="70">
        <f t="shared" si="169"/>
        <v>0</v>
      </c>
      <c r="R2049" s="70"/>
      <c r="S2049" s="67"/>
      <c r="T2049" s="2" t="str">
        <f t="shared" si="170"/>
        <v>Nguyễn Duy Khang_11VH4</v>
      </c>
      <c r="U2049" s="28">
        <f t="array" ref="U2049">IFERROR(VLOOKUP($T2049,'Nghi hoc T12'!$H$7:$I$160,2,0),0)</f>
        <v>0</v>
      </c>
      <c r="V2049" s="28" t="str">
        <f t="shared" si="174"/>
        <v>302.C11</v>
      </c>
      <c r="W2049" s="28">
        <f t="shared" si="171"/>
        <v>0</v>
      </c>
      <c r="X2049" s="333">
        <f t="shared" si="172"/>
        <v>0</v>
      </c>
      <c r="Y2049" s="333">
        <f t="shared" si="173"/>
        <v>0</v>
      </c>
    </row>
    <row r="2050" spans="1:25" s="2" customFormat="1" ht="21.95" customHeight="1">
      <c r="A2050" s="82">
        <v>25</v>
      </c>
      <c r="B2050" s="91" t="s">
        <v>3342</v>
      </c>
      <c r="C2050" s="83" t="s">
        <v>365</v>
      </c>
      <c r="D2050" s="81" t="s">
        <v>2252</v>
      </c>
      <c r="E2050" s="48">
        <v>400397</v>
      </c>
      <c r="F2050" s="30" t="s">
        <v>2434</v>
      </c>
      <c r="G2050" s="29" t="s">
        <v>1196</v>
      </c>
      <c r="H2050" s="30" t="s">
        <v>2396</v>
      </c>
      <c r="I2050" s="78"/>
      <c r="J2050" s="20"/>
      <c r="K2050" s="20"/>
      <c r="L2050" s="20"/>
      <c r="M2050" s="20"/>
      <c r="N2050" s="320" t="s">
        <v>2685</v>
      </c>
      <c r="O2050" s="70">
        <v>0</v>
      </c>
      <c r="P2050" s="70">
        <v>0</v>
      </c>
      <c r="Q2050" s="70">
        <f t="shared" si="169"/>
        <v>0</v>
      </c>
      <c r="R2050" s="70"/>
      <c r="S2050" s="67"/>
      <c r="T2050" s="2" t="str">
        <f t="shared" si="170"/>
        <v>Phạm Ngọc Tuấn Khanh_11VH3</v>
      </c>
      <c r="U2050" s="28">
        <f t="array" ref="U2050">IFERROR(VLOOKUP($T2050,'Nghi hoc T12'!$H$7:$I$160,2,0),0)</f>
        <v>0</v>
      </c>
      <c r="V2050" s="28" t="str">
        <f t="shared" si="174"/>
        <v>302.C11</v>
      </c>
      <c r="W2050" s="28">
        <f t="shared" si="171"/>
        <v>0</v>
      </c>
      <c r="X2050" s="333">
        <f t="shared" si="172"/>
        <v>0</v>
      </c>
      <c r="Y2050" s="333">
        <f t="shared" si="173"/>
        <v>0</v>
      </c>
    </row>
    <row r="2051" spans="1:25" s="2" customFormat="1" ht="21.95" customHeight="1">
      <c r="A2051" s="321">
        <v>1</v>
      </c>
      <c r="B2051" s="91" t="s">
        <v>3343</v>
      </c>
      <c r="C2051" s="185" t="s">
        <v>365</v>
      </c>
      <c r="D2051" s="186" t="s">
        <v>2269</v>
      </c>
      <c r="E2051" s="187">
        <v>400398</v>
      </c>
      <c r="F2051" s="188" t="s">
        <v>165</v>
      </c>
      <c r="G2051" s="189" t="s">
        <v>94</v>
      </c>
      <c r="H2051" s="188" t="s">
        <v>2396</v>
      </c>
      <c r="I2051" s="190"/>
      <c r="J2051" s="191"/>
      <c r="K2051" s="191"/>
      <c r="L2051" s="191"/>
      <c r="M2051" s="191"/>
      <c r="N2051" s="320" t="s">
        <v>2685</v>
      </c>
      <c r="O2051" s="70">
        <v>0</v>
      </c>
      <c r="P2051" s="70">
        <v>0</v>
      </c>
      <c r="Q2051" s="70">
        <f t="shared" si="169"/>
        <v>0</v>
      </c>
      <c r="R2051" s="70"/>
      <c r="S2051" s="67"/>
      <c r="T2051" s="2" t="str">
        <f t="shared" si="170"/>
        <v>Nguyễn Đức Khánh_11VH3</v>
      </c>
      <c r="U2051" s="28">
        <f t="array" ref="U2051">IFERROR(VLOOKUP($T2051,'Nghi hoc T12'!$H$7:$I$160,2,0),0)</f>
        <v>0</v>
      </c>
      <c r="V2051" s="28" t="str">
        <f t="shared" si="174"/>
        <v>303.C11</v>
      </c>
      <c r="W2051" s="28">
        <f t="shared" si="171"/>
        <v>0</v>
      </c>
      <c r="X2051" s="333">
        <f t="shared" si="172"/>
        <v>0</v>
      </c>
      <c r="Y2051" s="333">
        <f t="shared" si="173"/>
        <v>0</v>
      </c>
    </row>
    <row r="2052" spans="1:25" s="2" customFormat="1" ht="21.95" customHeight="1">
      <c r="A2052" s="82">
        <v>2</v>
      </c>
      <c r="B2052" s="91" t="s">
        <v>3343</v>
      </c>
      <c r="C2052" s="83" t="s">
        <v>365</v>
      </c>
      <c r="D2052" s="81" t="s">
        <v>2269</v>
      </c>
      <c r="E2052" s="48">
        <v>400399</v>
      </c>
      <c r="F2052" s="30" t="s">
        <v>222</v>
      </c>
      <c r="G2052" s="29" t="s">
        <v>94</v>
      </c>
      <c r="H2052" s="30" t="s">
        <v>2398</v>
      </c>
      <c r="I2052" s="78"/>
      <c r="J2052" s="20"/>
      <c r="K2052" s="20"/>
      <c r="L2052" s="20"/>
      <c r="M2052" s="20"/>
      <c r="N2052" s="320" t="s">
        <v>2685</v>
      </c>
      <c r="O2052" s="70">
        <v>0</v>
      </c>
      <c r="P2052" s="70">
        <v>0</v>
      </c>
      <c r="Q2052" s="70">
        <f t="shared" si="169"/>
        <v>0</v>
      </c>
      <c r="R2052" s="70"/>
      <c r="S2052" s="67"/>
      <c r="T2052" s="2" t="str">
        <f t="shared" si="170"/>
        <v>Nguyễn Ngọc Khánh_11VH4</v>
      </c>
      <c r="U2052" s="28">
        <f t="array" ref="U2052">IFERROR(VLOOKUP($T2052,'Nghi hoc T12'!$H$7:$I$160,2,0),0)</f>
        <v>0</v>
      </c>
      <c r="V2052" s="28" t="str">
        <f t="shared" si="174"/>
        <v>303.C11</v>
      </c>
      <c r="W2052" s="28">
        <f t="shared" si="171"/>
        <v>0</v>
      </c>
      <c r="X2052" s="333">
        <f t="shared" si="172"/>
        <v>0</v>
      </c>
      <c r="Y2052" s="333">
        <f t="shared" si="173"/>
        <v>0</v>
      </c>
    </row>
    <row r="2053" spans="1:25" s="2" customFormat="1" ht="21.95" customHeight="1">
      <c r="A2053" s="82">
        <v>3</v>
      </c>
      <c r="B2053" s="91" t="s">
        <v>3343</v>
      </c>
      <c r="C2053" s="83" t="s">
        <v>365</v>
      </c>
      <c r="D2053" s="81" t="s">
        <v>2269</v>
      </c>
      <c r="E2053" s="48">
        <v>400400</v>
      </c>
      <c r="F2053" s="30" t="s">
        <v>2435</v>
      </c>
      <c r="G2053" s="29" t="s">
        <v>13</v>
      </c>
      <c r="H2053" s="30" t="s">
        <v>2399</v>
      </c>
      <c r="I2053" s="78"/>
      <c r="J2053" s="20"/>
      <c r="K2053" s="20"/>
      <c r="L2053" s="20"/>
      <c r="M2053" s="20"/>
      <c r="N2053" s="320" t="s">
        <v>2685</v>
      </c>
      <c r="O2053" s="70">
        <v>0</v>
      </c>
      <c r="P2053" s="70">
        <v>0</v>
      </c>
      <c r="Q2053" s="70">
        <f t="shared" si="169"/>
        <v>0</v>
      </c>
      <c r="R2053" s="70"/>
      <c r="S2053" s="67"/>
      <c r="T2053" s="2" t="str">
        <f t="shared" si="170"/>
        <v>Hà Nguyễn Anh Khôi_11VH5</v>
      </c>
      <c r="U2053" s="28">
        <f t="array" ref="U2053">IFERROR(VLOOKUP($T2053,'Nghi hoc T12'!$H$7:$I$160,2,0),0)</f>
        <v>0</v>
      </c>
      <c r="V2053" s="28" t="str">
        <f t="shared" si="174"/>
        <v>303.C11</v>
      </c>
      <c r="W2053" s="28">
        <f t="shared" si="171"/>
        <v>0</v>
      </c>
      <c r="X2053" s="333">
        <f t="shared" si="172"/>
        <v>0</v>
      </c>
      <c r="Y2053" s="333">
        <f t="shared" si="173"/>
        <v>0</v>
      </c>
    </row>
    <row r="2054" spans="1:25" s="2" customFormat="1" ht="21.95" customHeight="1">
      <c r="A2054" s="82">
        <v>4</v>
      </c>
      <c r="B2054" s="91" t="s">
        <v>3343</v>
      </c>
      <c r="C2054" s="83" t="s">
        <v>365</v>
      </c>
      <c r="D2054" s="81" t="s">
        <v>2269</v>
      </c>
      <c r="E2054" s="48">
        <v>400401</v>
      </c>
      <c r="F2054" s="30" t="s">
        <v>149</v>
      </c>
      <c r="G2054" s="29" t="s">
        <v>13</v>
      </c>
      <c r="H2054" s="30" t="s">
        <v>2396</v>
      </c>
      <c r="I2054" s="78"/>
      <c r="J2054" s="20"/>
      <c r="K2054" s="20"/>
      <c r="L2054" s="20"/>
      <c r="M2054" s="20"/>
      <c r="N2054" s="320" t="s">
        <v>2685</v>
      </c>
      <c r="O2054" s="70">
        <v>0</v>
      </c>
      <c r="P2054" s="70">
        <v>0</v>
      </c>
      <c r="Q2054" s="70">
        <f t="shared" si="169"/>
        <v>0</v>
      </c>
      <c r="R2054" s="70"/>
      <c r="S2054" s="67"/>
      <c r="T2054" s="2" t="str">
        <f t="shared" si="170"/>
        <v>Hoàng Anh Khôi_11VH3</v>
      </c>
      <c r="U2054" s="28">
        <f t="array" ref="U2054">IFERROR(VLOOKUP($T2054,'Nghi hoc T12'!$H$7:$I$160,2,0),0)</f>
        <v>0</v>
      </c>
      <c r="V2054" s="28" t="str">
        <f t="shared" si="174"/>
        <v>303.C11</v>
      </c>
      <c r="W2054" s="28">
        <f t="shared" si="171"/>
        <v>0</v>
      </c>
      <c r="X2054" s="333">
        <f t="shared" si="172"/>
        <v>0</v>
      </c>
      <c r="Y2054" s="333">
        <f t="shared" si="173"/>
        <v>0</v>
      </c>
    </row>
    <row r="2055" spans="1:25" s="2" customFormat="1" ht="21.95" customHeight="1">
      <c r="A2055" s="82">
        <v>5</v>
      </c>
      <c r="B2055" s="91" t="s">
        <v>3343</v>
      </c>
      <c r="C2055" s="83" t="s">
        <v>365</v>
      </c>
      <c r="D2055" s="81" t="s">
        <v>2269</v>
      </c>
      <c r="E2055" s="48">
        <v>400402</v>
      </c>
      <c r="F2055" s="30" t="s">
        <v>151</v>
      </c>
      <c r="G2055" s="29" t="s">
        <v>13</v>
      </c>
      <c r="H2055" s="30" t="s">
        <v>2398</v>
      </c>
      <c r="I2055" s="78"/>
      <c r="J2055" s="20"/>
      <c r="K2055" s="20"/>
      <c r="L2055" s="20"/>
      <c r="M2055" s="20"/>
      <c r="N2055" s="320" t="s">
        <v>2685</v>
      </c>
      <c r="O2055" s="70">
        <v>0</v>
      </c>
      <c r="P2055" s="70">
        <v>0</v>
      </c>
      <c r="Q2055" s="70">
        <f t="shared" si="169"/>
        <v>0</v>
      </c>
      <c r="R2055" s="70"/>
      <c r="S2055" s="67"/>
      <c r="T2055" s="2" t="str">
        <f t="shared" si="170"/>
        <v>Nguyễn Hoàng Khôi_11VH4</v>
      </c>
      <c r="U2055" s="28">
        <f t="array" ref="U2055">IFERROR(VLOOKUP($T2055,'Nghi hoc T12'!$H$7:$I$160,2,0),0)</f>
        <v>0</v>
      </c>
      <c r="V2055" s="28" t="str">
        <f t="shared" si="174"/>
        <v>303.C11</v>
      </c>
      <c r="W2055" s="28">
        <f t="shared" si="171"/>
        <v>0</v>
      </c>
      <c r="X2055" s="333">
        <f t="shared" si="172"/>
        <v>0</v>
      </c>
      <c r="Y2055" s="333">
        <f t="shared" si="173"/>
        <v>0</v>
      </c>
    </row>
    <row r="2056" spans="1:25" s="2" customFormat="1" ht="21.95" customHeight="1">
      <c r="A2056" s="82">
        <v>6</v>
      </c>
      <c r="B2056" s="91" t="s">
        <v>3343</v>
      </c>
      <c r="C2056" s="83" t="s">
        <v>365</v>
      </c>
      <c r="D2056" s="81" t="s">
        <v>2269</v>
      </c>
      <c r="E2056" s="48">
        <v>400403</v>
      </c>
      <c r="F2056" s="30" t="s">
        <v>2436</v>
      </c>
      <c r="G2056" s="29" t="s">
        <v>1132</v>
      </c>
      <c r="H2056" s="30" t="s">
        <v>2398</v>
      </c>
      <c r="I2056" s="78"/>
      <c r="J2056" s="20"/>
      <c r="K2056" s="20"/>
      <c r="L2056" s="20"/>
      <c r="M2056" s="20"/>
      <c r="N2056" s="320" t="s">
        <v>2685</v>
      </c>
      <c r="O2056" s="70">
        <v>0</v>
      </c>
      <c r="P2056" s="70">
        <v>0</v>
      </c>
      <c r="Q2056" s="70">
        <f t="shared" si="169"/>
        <v>0</v>
      </c>
      <c r="R2056" s="70"/>
      <c r="S2056" s="67"/>
      <c r="T2056" s="2" t="str">
        <f t="shared" si="170"/>
        <v>Trần Hồng Kiên_11VH4</v>
      </c>
      <c r="U2056" s="28">
        <f t="array" ref="U2056">IFERROR(VLOOKUP($T2056,'Nghi hoc T12'!$H$7:$I$160,2,0),0)</f>
        <v>0</v>
      </c>
      <c r="V2056" s="28" t="str">
        <f t="shared" si="174"/>
        <v>303.C11</v>
      </c>
      <c r="W2056" s="28">
        <f t="shared" si="171"/>
        <v>0</v>
      </c>
      <c r="X2056" s="333">
        <f t="shared" si="172"/>
        <v>0</v>
      </c>
      <c r="Y2056" s="333">
        <f t="shared" si="173"/>
        <v>0</v>
      </c>
    </row>
    <row r="2057" spans="1:25" s="2" customFormat="1" ht="21.95" customHeight="1">
      <c r="A2057" s="82">
        <v>7</v>
      </c>
      <c r="B2057" s="91" t="s">
        <v>3343</v>
      </c>
      <c r="C2057" s="83" t="s">
        <v>365</v>
      </c>
      <c r="D2057" s="81" t="s">
        <v>2269</v>
      </c>
      <c r="E2057" s="48">
        <v>400404</v>
      </c>
      <c r="F2057" s="30" t="s">
        <v>268</v>
      </c>
      <c r="G2057" s="29" t="s">
        <v>68</v>
      </c>
      <c r="H2057" s="30" t="s">
        <v>2399</v>
      </c>
      <c r="I2057" s="78"/>
      <c r="J2057" s="20"/>
      <c r="K2057" s="20"/>
      <c r="L2057" s="20"/>
      <c r="M2057" s="20"/>
      <c r="N2057" s="320" t="s">
        <v>2685</v>
      </c>
      <c r="O2057" s="70">
        <v>0</v>
      </c>
      <c r="P2057" s="70">
        <v>0</v>
      </c>
      <c r="Q2057" s="70">
        <f t="shared" si="169"/>
        <v>0</v>
      </c>
      <c r="R2057" s="70"/>
      <c r="S2057" s="67"/>
      <c r="T2057" s="2" t="str">
        <f t="shared" si="170"/>
        <v>Nguyễn Văn Kiệt_11VH5</v>
      </c>
      <c r="U2057" s="28">
        <f t="array" ref="U2057">IFERROR(VLOOKUP($T2057,'Nghi hoc T12'!$H$7:$I$160,2,0),0)</f>
        <v>0</v>
      </c>
      <c r="V2057" s="28" t="str">
        <f t="shared" si="174"/>
        <v>303.C11</v>
      </c>
      <c r="W2057" s="28">
        <f t="shared" si="171"/>
        <v>0</v>
      </c>
      <c r="X2057" s="333">
        <f t="shared" si="172"/>
        <v>0</v>
      </c>
      <c r="Y2057" s="333">
        <f t="shared" si="173"/>
        <v>0</v>
      </c>
    </row>
    <row r="2058" spans="1:25" s="2" customFormat="1" ht="21.95" customHeight="1">
      <c r="A2058" s="82">
        <v>8</v>
      </c>
      <c r="B2058" s="91" t="s">
        <v>3343</v>
      </c>
      <c r="C2058" s="83" t="s">
        <v>365</v>
      </c>
      <c r="D2058" s="81" t="s">
        <v>2269</v>
      </c>
      <c r="E2058" s="48">
        <v>400405</v>
      </c>
      <c r="F2058" s="30" t="s">
        <v>2434</v>
      </c>
      <c r="G2058" s="29" t="s">
        <v>68</v>
      </c>
      <c r="H2058" s="30" t="s">
        <v>2396</v>
      </c>
      <c r="I2058" s="78"/>
      <c r="J2058" s="20"/>
      <c r="K2058" s="20"/>
      <c r="L2058" s="20"/>
      <c r="M2058" s="20"/>
      <c r="N2058" s="320" t="s">
        <v>2685</v>
      </c>
      <c r="O2058" s="70">
        <v>0</v>
      </c>
      <c r="P2058" s="70">
        <v>0</v>
      </c>
      <c r="Q2058" s="70">
        <f t="shared" ref="Q2058:Q2121" si="175">U2058</f>
        <v>0</v>
      </c>
      <c r="R2058" s="70"/>
      <c r="S2058" s="67"/>
      <c r="T2058" s="2" t="str">
        <f t="shared" ref="T2058:T2121" si="176">TRIM(F2058&amp;" "&amp;G2058&amp;"_"&amp;H2058)</f>
        <v>Phạm Ngọc Tuấn Kiệt_11VH3</v>
      </c>
      <c r="U2058" s="28">
        <f t="array" ref="U2058">IFERROR(VLOOKUP($T2058,'Nghi hoc T12'!$H$7:$I$160,2,0),0)</f>
        <v>0</v>
      </c>
      <c r="V2058" s="28" t="str">
        <f t="shared" si="174"/>
        <v>303.C11</v>
      </c>
      <c r="W2058" s="28">
        <f t="shared" ref="W2058:W2121" si="177">I2058</f>
        <v>0</v>
      </c>
      <c r="X2058" s="333">
        <f t="shared" ref="X2058:X2121" si="178">O2058</f>
        <v>0</v>
      </c>
      <c r="Y2058" s="333">
        <f t="shared" ref="Y2058:Y2121" si="179">P2058</f>
        <v>0</v>
      </c>
    </row>
    <row r="2059" spans="1:25" s="2" customFormat="1" ht="21.95" customHeight="1">
      <c r="A2059" s="82">
        <v>9</v>
      </c>
      <c r="B2059" s="91" t="s">
        <v>3343</v>
      </c>
      <c r="C2059" s="83" t="s">
        <v>365</v>
      </c>
      <c r="D2059" s="81" t="s">
        <v>2269</v>
      </c>
      <c r="E2059" s="48">
        <v>400406</v>
      </c>
      <c r="F2059" s="30" t="s">
        <v>2437</v>
      </c>
      <c r="G2059" s="29" t="s">
        <v>311</v>
      </c>
      <c r="H2059" s="30" t="s">
        <v>2398</v>
      </c>
      <c r="I2059" s="78"/>
      <c r="J2059" s="20"/>
      <c r="K2059" s="20"/>
      <c r="L2059" s="20"/>
      <c r="M2059" s="20"/>
      <c r="N2059" s="320" t="s">
        <v>2685</v>
      </c>
      <c r="O2059" s="70">
        <v>0</v>
      </c>
      <c r="P2059" s="70">
        <v>0</v>
      </c>
      <c r="Q2059" s="70">
        <f t="shared" si="175"/>
        <v>0</v>
      </c>
      <c r="R2059" s="70"/>
      <c r="S2059" s="67"/>
      <c r="T2059" s="2" t="str">
        <f t="shared" si="176"/>
        <v>Đặng Thiện Minh Kỳ_11VH4</v>
      </c>
      <c r="U2059" s="28">
        <f t="array" ref="U2059">IFERROR(VLOOKUP($T2059,'Nghi hoc T12'!$H$7:$I$160,2,0),0)</f>
        <v>0</v>
      </c>
      <c r="V2059" s="28" t="str">
        <f t="shared" si="174"/>
        <v>303.C11</v>
      </c>
      <c r="W2059" s="28">
        <f t="shared" si="177"/>
        <v>0</v>
      </c>
      <c r="X2059" s="333">
        <f t="shared" si="178"/>
        <v>0</v>
      </c>
      <c r="Y2059" s="333">
        <f t="shared" si="179"/>
        <v>0</v>
      </c>
    </row>
    <row r="2060" spans="1:25" s="2" customFormat="1" ht="21.95" customHeight="1">
      <c r="A2060" s="82">
        <v>10</v>
      </c>
      <c r="B2060" s="91" t="s">
        <v>3343</v>
      </c>
      <c r="C2060" s="83" t="s">
        <v>365</v>
      </c>
      <c r="D2060" s="81" t="s">
        <v>2269</v>
      </c>
      <c r="E2060" s="48">
        <v>400407</v>
      </c>
      <c r="F2060" s="30" t="s">
        <v>2438</v>
      </c>
      <c r="G2060" s="29" t="s">
        <v>92</v>
      </c>
      <c r="H2060" s="30" t="s">
        <v>2398</v>
      </c>
      <c r="I2060" s="78"/>
      <c r="J2060" s="20"/>
      <c r="K2060" s="20"/>
      <c r="L2060" s="20"/>
      <c r="M2060" s="20"/>
      <c r="N2060" s="320" t="s">
        <v>2685</v>
      </c>
      <c r="O2060" s="70">
        <v>0</v>
      </c>
      <c r="P2060" s="70">
        <v>0</v>
      </c>
      <c r="Q2060" s="70">
        <f t="shared" si="175"/>
        <v>0</v>
      </c>
      <c r="R2060" s="70"/>
      <c r="S2060" s="67"/>
      <c r="T2060" s="2" t="str">
        <f t="shared" si="176"/>
        <v>Lâm Ái Lâm_11VH4</v>
      </c>
      <c r="U2060" s="28">
        <f t="array" ref="U2060">IFERROR(VLOOKUP($T2060,'Nghi hoc T12'!$H$7:$I$160,2,0),0)</f>
        <v>0</v>
      </c>
      <c r="V2060" s="28" t="str">
        <f t="shared" si="174"/>
        <v>303.C11</v>
      </c>
      <c r="W2060" s="28">
        <f t="shared" si="177"/>
        <v>0</v>
      </c>
      <c r="X2060" s="333">
        <f t="shared" si="178"/>
        <v>0</v>
      </c>
      <c r="Y2060" s="333">
        <f t="shared" si="179"/>
        <v>0</v>
      </c>
    </row>
    <row r="2061" spans="1:25" s="2" customFormat="1" ht="21.95" customHeight="1">
      <c r="A2061" s="82">
        <v>11</v>
      </c>
      <c r="B2061" s="91" t="s">
        <v>3343</v>
      </c>
      <c r="C2061" s="83" t="s">
        <v>365</v>
      </c>
      <c r="D2061" s="81" t="s">
        <v>2269</v>
      </c>
      <c r="E2061" s="48">
        <v>400408</v>
      </c>
      <c r="F2061" s="30" t="s">
        <v>2439</v>
      </c>
      <c r="G2061" s="29" t="s">
        <v>38</v>
      </c>
      <c r="H2061" s="30" t="s">
        <v>2396</v>
      </c>
      <c r="I2061" s="78"/>
      <c r="J2061" s="20"/>
      <c r="K2061" s="20"/>
      <c r="L2061" s="20"/>
      <c r="M2061" s="20"/>
      <c r="N2061" s="320" t="s">
        <v>2685</v>
      </c>
      <c r="O2061" s="70">
        <v>0</v>
      </c>
      <c r="P2061" s="70">
        <v>0</v>
      </c>
      <c r="Q2061" s="70">
        <f t="shared" si="175"/>
        <v>0</v>
      </c>
      <c r="R2061" s="70"/>
      <c r="S2061" s="67"/>
      <c r="T2061" s="2" t="str">
        <f t="shared" si="176"/>
        <v>Hồ Ngọc Ánh Linh_11VH3</v>
      </c>
      <c r="U2061" s="28">
        <f t="array" ref="U2061">IFERROR(VLOOKUP($T2061,'Nghi hoc T12'!$H$7:$I$160,2,0),0)</f>
        <v>0</v>
      </c>
      <c r="V2061" s="28" t="str">
        <f t="shared" si="174"/>
        <v>303.C11</v>
      </c>
      <c r="W2061" s="28">
        <f t="shared" si="177"/>
        <v>0</v>
      </c>
      <c r="X2061" s="333">
        <f t="shared" si="178"/>
        <v>0</v>
      </c>
      <c r="Y2061" s="333">
        <f t="shared" si="179"/>
        <v>0</v>
      </c>
    </row>
    <row r="2062" spans="1:25" s="2" customFormat="1" ht="21.95" customHeight="1">
      <c r="A2062" s="82">
        <v>12</v>
      </c>
      <c r="B2062" s="91" t="s">
        <v>3343</v>
      </c>
      <c r="C2062" s="83" t="s">
        <v>365</v>
      </c>
      <c r="D2062" s="81" t="s">
        <v>2269</v>
      </c>
      <c r="E2062" s="48">
        <v>400409</v>
      </c>
      <c r="F2062" s="30" t="s">
        <v>2440</v>
      </c>
      <c r="G2062" s="29" t="s">
        <v>38</v>
      </c>
      <c r="H2062" s="30" t="s">
        <v>2399</v>
      </c>
      <c r="I2062" s="78"/>
      <c r="J2062" s="20"/>
      <c r="K2062" s="20"/>
      <c r="L2062" s="20"/>
      <c r="M2062" s="20"/>
      <c r="N2062" s="320" t="s">
        <v>2685</v>
      </c>
      <c r="O2062" s="70">
        <v>0</v>
      </c>
      <c r="P2062" s="70">
        <v>0</v>
      </c>
      <c r="Q2062" s="70">
        <f t="shared" si="175"/>
        <v>0</v>
      </c>
      <c r="R2062" s="70"/>
      <c r="S2062" s="67"/>
      <c r="T2062" s="2" t="str">
        <f t="shared" si="176"/>
        <v>Nguyễn Thị Nhật Linh_11VH5</v>
      </c>
      <c r="U2062" s="28">
        <f t="array" ref="U2062">IFERROR(VLOOKUP($T2062,'Nghi hoc T12'!$H$7:$I$160,2,0),0)</f>
        <v>0</v>
      </c>
      <c r="V2062" s="28" t="str">
        <f t="shared" si="174"/>
        <v>303.C11</v>
      </c>
      <c r="W2062" s="28">
        <f t="shared" si="177"/>
        <v>0</v>
      </c>
      <c r="X2062" s="333">
        <f t="shared" si="178"/>
        <v>0</v>
      </c>
      <c r="Y2062" s="333">
        <f t="shared" si="179"/>
        <v>0</v>
      </c>
    </row>
    <row r="2063" spans="1:25" s="2" customFormat="1" ht="21.95" customHeight="1">
      <c r="A2063" s="82">
        <v>13</v>
      </c>
      <c r="B2063" s="91" t="s">
        <v>3343</v>
      </c>
      <c r="C2063" s="83" t="s">
        <v>365</v>
      </c>
      <c r="D2063" s="81" t="s">
        <v>2269</v>
      </c>
      <c r="E2063" s="48">
        <v>400410</v>
      </c>
      <c r="F2063" s="30" t="s">
        <v>1287</v>
      </c>
      <c r="G2063" s="29" t="s">
        <v>14</v>
      </c>
      <c r="H2063" s="30" t="s">
        <v>2399</v>
      </c>
      <c r="I2063" s="78"/>
      <c r="J2063" s="20"/>
      <c r="K2063" s="20"/>
      <c r="L2063" s="20"/>
      <c r="M2063" s="20"/>
      <c r="N2063" s="320" t="s">
        <v>2685</v>
      </c>
      <c r="O2063" s="70">
        <v>0</v>
      </c>
      <c r="P2063" s="70">
        <v>0</v>
      </c>
      <c r="Q2063" s="70">
        <f t="shared" si="175"/>
        <v>0</v>
      </c>
      <c r="R2063" s="70"/>
      <c r="S2063" s="67"/>
      <c r="T2063" s="2" t="str">
        <f t="shared" si="176"/>
        <v>Huỳnh Thanh Long_11VH5</v>
      </c>
      <c r="U2063" s="28">
        <f t="array" ref="U2063">IFERROR(VLOOKUP($T2063,'Nghi hoc T12'!$H$7:$I$160,2,0),0)</f>
        <v>0</v>
      </c>
      <c r="V2063" s="28" t="str">
        <f t="shared" si="174"/>
        <v>303.C11</v>
      </c>
      <c r="W2063" s="28">
        <f t="shared" si="177"/>
        <v>0</v>
      </c>
      <c r="X2063" s="333">
        <f t="shared" si="178"/>
        <v>0</v>
      </c>
      <c r="Y2063" s="333">
        <f t="shared" si="179"/>
        <v>0</v>
      </c>
    </row>
    <row r="2064" spans="1:25" s="2" customFormat="1" ht="21.95" customHeight="1">
      <c r="A2064" s="82">
        <v>14</v>
      </c>
      <c r="B2064" s="91" t="s">
        <v>3343</v>
      </c>
      <c r="C2064" s="83" t="s">
        <v>365</v>
      </c>
      <c r="D2064" s="81" t="s">
        <v>2269</v>
      </c>
      <c r="E2064" s="48">
        <v>400411</v>
      </c>
      <c r="F2064" s="30" t="s">
        <v>142</v>
      </c>
      <c r="G2064" s="29" t="s">
        <v>2441</v>
      </c>
      <c r="H2064" s="30" t="s">
        <v>2399</v>
      </c>
      <c r="I2064" s="78"/>
      <c r="J2064" s="20"/>
      <c r="K2064" s="20"/>
      <c r="L2064" s="20"/>
      <c r="M2064" s="20"/>
      <c r="N2064" s="320" t="s">
        <v>2685</v>
      </c>
      <c r="O2064" s="70">
        <v>0</v>
      </c>
      <c r="P2064" s="70">
        <v>0</v>
      </c>
      <c r="Q2064" s="70">
        <f t="shared" si="175"/>
        <v>0</v>
      </c>
      <c r="R2064" s="70"/>
      <c r="S2064" s="67"/>
      <c r="T2064" s="2" t="str">
        <f t="shared" si="176"/>
        <v>Nguyễn Tấn Lực_11VH5</v>
      </c>
      <c r="U2064" s="28">
        <f t="array" ref="U2064">IFERROR(VLOOKUP($T2064,'Nghi hoc T12'!$H$7:$I$160,2,0),0)</f>
        <v>0</v>
      </c>
      <c r="V2064" s="28" t="str">
        <f t="shared" si="174"/>
        <v>303.C11</v>
      </c>
      <c r="W2064" s="28">
        <f t="shared" si="177"/>
        <v>0</v>
      </c>
      <c r="X2064" s="333">
        <f t="shared" si="178"/>
        <v>0</v>
      </c>
      <c r="Y2064" s="333">
        <f t="shared" si="179"/>
        <v>0</v>
      </c>
    </row>
    <row r="2065" spans="1:25" s="2" customFormat="1" ht="21.95" customHeight="1">
      <c r="A2065" s="82">
        <v>15</v>
      </c>
      <c r="B2065" s="91" t="s">
        <v>3343</v>
      </c>
      <c r="C2065" s="83" t="s">
        <v>365</v>
      </c>
      <c r="D2065" s="81" t="s">
        <v>2269</v>
      </c>
      <c r="E2065" s="48">
        <v>400412</v>
      </c>
      <c r="F2065" s="30" t="s">
        <v>2442</v>
      </c>
      <c r="G2065" s="29" t="s">
        <v>233</v>
      </c>
      <c r="H2065" s="30" t="s">
        <v>2396</v>
      </c>
      <c r="I2065" s="78"/>
      <c r="J2065" s="20"/>
      <c r="K2065" s="20"/>
      <c r="L2065" s="20"/>
      <c r="M2065" s="20"/>
      <c r="N2065" s="320" t="s">
        <v>2685</v>
      </c>
      <c r="O2065" s="70">
        <v>0</v>
      </c>
      <c r="P2065" s="70">
        <v>0</v>
      </c>
      <c r="Q2065" s="70">
        <f t="shared" si="175"/>
        <v>0</v>
      </c>
      <c r="R2065" s="70"/>
      <c r="S2065" s="67"/>
      <c r="T2065" s="2" t="str">
        <f t="shared" si="176"/>
        <v>Kim Vũ Mạnh_11VH3</v>
      </c>
      <c r="U2065" s="28">
        <f t="array" ref="U2065">IFERROR(VLOOKUP($T2065,'Nghi hoc T12'!$H$7:$I$160,2,0),0)</f>
        <v>0</v>
      </c>
      <c r="V2065" s="28" t="str">
        <f t="shared" si="174"/>
        <v>303.C11</v>
      </c>
      <c r="W2065" s="28">
        <f t="shared" si="177"/>
        <v>0</v>
      </c>
      <c r="X2065" s="333">
        <f t="shared" si="178"/>
        <v>0</v>
      </c>
      <c r="Y2065" s="333">
        <f t="shared" si="179"/>
        <v>0</v>
      </c>
    </row>
    <row r="2066" spans="1:25" s="2" customFormat="1" ht="21.95" customHeight="1">
      <c r="A2066" s="82">
        <v>16</v>
      </c>
      <c r="B2066" s="91" t="s">
        <v>3343</v>
      </c>
      <c r="C2066" s="83" t="s">
        <v>365</v>
      </c>
      <c r="D2066" s="81" t="s">
        <v>2269</v>
      </c>
      <c r="E2066" s="48">
        <v>400413</v>
      </c>
      <c r="F2066" s="30" t="s">
        <v>1706</v>
      </c>
      <c r="G2066" s="29" t="s">
        <v>16</v>
      </c>
      <c r="H2066" s="30" t="s">
        <v>2399</v>
      </c>
      <c r="I2066" s="78"/>
      <c r="J2066" s="20"/>
      <c r="K2066" s="20"/>
      <c r="L2066" s="20"/>
      <c r="M2066" s="20"/>
      <c r="N2066" s="320" t="s">
        <v>2685</v>
      </c>
      <c r="O2066" s="70">
        <v>0</v>
      </c>
      <c r="P2066" s="70">
        <v>0</v>
      </c>
      <c r="Q2066" s="70">
        <f t="shared" si="175"/>
        <v>0</v>
      </c>
      <c r="R2066" s="70"/>
      <c r="S2066" s="67"/>
      <c r="T2066" s="2" t="str">
        <f t="shared" si="176"/>
        <v>Lê Nhật Minh_11VH5</v>
      </c>
      <c r="U2066" s="28">
        <f t="array" ref="U2066">IFERROR(VLOOKUP($T2066,'Nghi hoc T12'!$H$7:$I$160,2,0),0)</f>
        <v>0</v>
      </c>
      <c r="V2066" s="28" t="str">
        <f t="shared" si="174"/>
        <v>303.C11</v>
      </c>
      <c r="W2066" s="28">
        <f t="shared" si="177"/>
        <v>0</v>
      </c>
      <c r="X2066" s="333">
        <f t="shared" si="178"/>
        <v>0</v>
      </c>
      <c r="Y2066" s="333">
        <f t="shared" si="179"/>
        <v>0</v>
      </c>
    </row>
    <row r="2067" spans="1:25" s="2" customFormat="1" ht="21.95" customHeight="1">
      <c r="A2067" s="82">
        <v>17</v>
      </c>
      <c r="B2067" s="91" t="s">
        <v>3343</v>
      </c>
      <c r="C2067" s="83" t="s">
        <v>365</v>
      </c>
      <c r="D2067" s="81" t="s">
        <v>2269</v>
      </c>
      <c r="E2067" s="48">
        <v>400414</v>
      </c>
      <c r="F2067" s="30" t="s">
        <v>45</v>
      </c>
      <c r="G2067" s="29" t="s">
        <v>16</v>
      </c>
      <c r="H2067" s="30" t="s">
        <v>2396</v>
      </c>
      <c r="I2067" s="78"/>
      <c r="J2067" s="20"/>
      <c r="K2067" s="20"/>
      <c r="L2067" s="20"/>
      <c r="M2067" s="20"/>
      <c r="N2067" s="320" t="s">
        <v>2685</v>
      </c>
      <c r="O2067" s="70">
        <v>0</v>
      </c>
      <c r="P2067" s="70">
        <v>0</v>
      </c>
      <c r="Q2067" s="70">
        <f t="shared" si="175"/>
        <v>0</v>
      </c>
      <c r="R2067" s="70"/>
      <c r="S2067" s="67"/>
      <c r="T2067" s="2" t="str">
        <f t="shared" si="176"/>
        <v>Nguyễn Quang Minh_11VH3</v>
      </c>
      <c r="U2067" s="28">
        <f t="array" ref="U2067">IFERROR(VLOOKUP($T2067,'Nghi hoc T12'!$H$7:$I$160,2,0),0)</f>
        <v>0</v>
      </c>
      <c r="V2067" s="28" t="str">
        <f t="shared" si="174"/>
        <v>303.C11</v>
      </c>
      <c r="W2067" s="28">
        <f t="shared" si="177"/>
        <v>0</v>
      </c>
      <c r="X2067" s="333">
        <f t="shared" si="178"/>
        <v>0</v>
      </c>
      <c r="Y2067" s="333">
        <f t="shared" si="179"/>
        <v>0</v>
      </c>
    </row>
    <row r="2068" spans="1:25" s="2" customFormat="1" ht="21.95" customHeight="1">
      <c r="A2068" s="82">
        <v>18</v>
      </c>
      <c r="B2068" s="91" t="s">
        <v>3343</v>
      </c>
      <c r="C2068" s="83" t="s">
        <v>365</v>
      </c>
      <c r="D2068" s="81" t="s">
        <v>2269</v>
      </c>
      <c r="E2068" s="48">
        <v>400415</v>
      </c>
      <c r="F2068" s="30" t="s">
        <v>2443</v>
      </c>
      <c r="G2068" s="29" t="s">
        <v>40</v>
      </c>
      <c r="H2068" s="30" t="s">
        <v>2398</v>
      </c>
      <c r="I2068" s="78"/>
      <c r="J2068" s="20"/>
      <c r="K2068" s="20"/>
      <c r="L2068" s="20"/>
      <c r="M2068" s="20"/>
      <c r="N2068" s="320" t="s">
        <v>2685</v>
      </c>
      <c r="O2068" s="70">
        <v>0</v>
      </c>
      <c r="P2068" s="70">
        <v>0</v>
      </c>
      <c r="Q2068" s="70">
        <f t="shared" si="175"/>
        <v>0</v>
      </c>
      <c r="R2068" s="70"/>
      <c r="S2068" s="67"/>
      <c r="T2068" s="2" t="str">
        <f t="shared" si="176"/>
        <v>Võ Ngọc Trà My_11VH4</v>
      </c>
      <c r="U2068" s="28">
        <f t="array" ref="U2068">IFERROR(VLOOKUP($T2068,'Nghi hoc T12'!$H$7:$I$160,2,0),0)</f>
        <v>0</v>
      </c>
      <c r="V2068" s="28" t="str">
        <f t="shared" si="174"/>
        <v>303.C11</v>
      </c>
      <c r="W2068" s="28">
        <f t="shared" si="177"/>
        <v>0</v>
      </c>
      <c r="X2068" s="333">
        <f t="shared" si="178"/>
        <v>0</v>
      </c>
      <c r="Y2068" s="333">
        <f t="shared" si="179"/>
        <v>0</v>
      </c>
    </row>
    <row r="2069" spans="1:25" s="2" customFormat="1" ht="21.95" customHeight="1">
      <c r="A2069" s="82">
        <v>19</v>
      </c>
      <c r="B2069" s="91" t="s">
        <v>3343</v>
      </c>
      <c r="C2069" s="83" t="s">
        <v>365</v>
      </c>
      <c r="D2069" s="81" t="s">
        <v>2269</v>
      </c>
      <c r="E2069" s="48">
        <v>400416</v>
      </c>
      <c r="F2069" s="30" t="s">
        <v>1535</v>
      </c>
      <c r="G2069" s="29" t="s">
        <v>339</v>
      </c>
      <c r="H2069" s="30" t="s">
        <v>2399</v>
      </c>
      <c r="I2069" s="78"/>
      <c r="J2069" s="20"/>
      <c r="K2069" s="20"/>
      <c r="L2069" s="20"/>
      <c r="M2069" s="20"/>
      <c r="N2069" s="320" t="s">
        <v>2685</v>
      </c>
      <c r="O2069" s="70">
        <v>0</v>
      </c>
      <c r="P2069" s="70">
        <v>0</v>
      </c>
      <c r="Q2069" s="70">
        <f t="shared" si="175"/>
        <v>0</v>
      </c>
      <c r="R2069" s="70"/>
      <c r="S2069" s="67"/>
      <c r="T2069" s="2" t="str">
        <f t="shared" si="176"/>
        <v>Trần Nam Mỹ_11VH5</v>
      </c>
      <c r="U2069" s="28">
        <f t="array" ref="U2069">IFERROR(VLOOKUP($T2069,'Nghi hoc T12'!$H$7:$I$160,2,0),0)</f>
        <v>0</v>
      </c>
      <c r="V2069" s="28" t="str">
        <f t="shared" si="174"/>
        <v>303.C11</v>
      </c>
      <c r="W2069" s="28">
        <f t="shared" si="177"/>
        <v>0</v>
      </c>
      <c r="X2069" s="333">
        <f t="shared" si="178"/>
        <v>0</v>
      </c>
      <c r="Y2069" s="333">
        <f t="shared" si="179"/>
        <v>0</v>
      </c>
    </row>
    <row r="2070" spans="1:25" s="2" customFormat="1" ht="21.95" customHeight="1">
      <c r="A2070" s="82">
        <v>20</v>
      </c>
      <c r="B2070" s="91" t="s">
        <v>3343</v>
      </c>
      <c r="C2070" s="83" t="s">
        <v>365</v>
      </c>
      <c r="D2070" s="81" t="s">
        <v>2269</v>
      </c>
      <c r="E2070" s="48">
        <v>400417</v>
      </c>
      <c r="F2070" s="30" t="s">
        <v>142</v>
      </c>
      <c r="G2070" s="29" t="s">
        <v>17</v>
      </c>
      <c r="H2070" s="30" t="s">
        <v>2399</v>
      </c>
      <c r="I2070" s="78"/>
      <c r="J2070" s="20"/>
      <c r="K2070" s="20"/>
      <c r="L2070" s="20"/>
      <c r="M2070" s="20"/>
      <c r="N2070" s="320" t="s">
        <v>2685</v>
      </c>
      <c r="O2070" s="70">
        <v>0</v>
      </c>
      <c r="P2070" s="70">
        <v>0</v>
      </c>
      <c r="Q2070" s="70">
        <f t="shared" si="175"/>
        <v>0</v>
      </c>
      <c r="R2070" s="70"/>
      <c r="S2070" s="67"/>
      <c r="T2070" s="2" t="str">
        <f t="shared" si="176"/>
        <v>Nguyễn Tấn Nam_11VH5</v>
      </c>
      <c r="U2070" s="28">
        <f t="array" ref="U2070">IFERROR(VLOOKUP($T2070,'Nghi hoc T12'!$H$7:$I$160,2,0),0)</f>
        <v>0</v>
      </c>
      <c r="V2070" s="28" t="str">
        <f t="shared" si="174"/>
        <v>303.C11</v>
      </c>
      <c r="W2070" s="28">
        <f t="shared" si="177"/>
        <v>0</v>
      </c>
      <c r="X2070" s="333">
        <f t="shared" si="178"/>
        <v>0</v>
      </c>
      <c r="Y2070" s="333">
        <f t="shared" si="179"/>
        <v>0</v>
      </c>
    </row>
    <row r="2071" spans="1:25" s="2" customFormat="1" ht="21.95" customHeight="1">
      <c r="A2071" s="82">
        <v>21</v>
      </c>
      <c r="B2071" s="91" t="s">
        <v>3343</v>
      </c>
      <c r="C2071" s="83" t="s">
        <v>365</v>
      </c>
      <c r="D2071" s="81" t="s">
        <v>2269</v>
      </c>
      <c r="E2071" s="48">
        <v>400418</v>
      </c>
      <c r="F2071" s="30" t="s">
        <v>2444</v>
      </c>
      <c r="G2071" s="29" t="s">
        <v>17</v>
      </c>
      <c r="H2071" s="30" t="s">
        <v>2396</v>
      </c>
      <c r="I2071" s="78"/>
      <c r="J2071" s="20"/>
      <c r="K2071" s="20"/>
      <c r="L2071" s="20"/>
      <c r="M2071" s="20"/>
      <c r="N2071" s="320" t="s">
        <v>2685</v>
      </c>
      <c r="O2071" s="70">
        <v>0</v>
      </c>
      <c r="P2071" s="70">
        <v>0</v>
      </c>
      <c r="Q2071" s="70">
        <f t="shared" si="175"/>
        <v>0</v>
      </c>
      <c r="R2071" s="70"/>
      <c r="S2071" s="67"/>
      <c r="T2071" s="2" t="str">
        <f t="shared" si="176"/>
        <v>Phùng Hồ Hải Nam_11VH3</v>
      </c>
      <c r="U2071" s="28">
        <f t="array" ref="U2071">IFERROR(VLOOKUP($T2071,'Nghi hoc T12'!$H$7:$I$160,2,0),0)</f>
        <v>0</v>
      </c>
      <c r="V2071" s="28" t="str">
        <f t="shared" si="174"/>
        <v>303.C11</v>
      </c>
      <c r="W2071" s="28">
        <f t="shared" si="177"/>
        <v>0</v>
      </c>
      <c r="X2071" s="333">
        <f t="shared" si="178"/>
        <v>0</v>
      </c>
      <c r="Y2071" s="333">
        <f t="shared" si="179"/>
        <v>0</v>
      </c>
    </row>
    <row r="2072" spans="1:25" s="2" customFormat="1" ht="21.95" customHeight="1">
      <c r="A2072" s="82">
        <v>22</v>
      </c>
      <c r="B2072" s="91" t="s">
        <v>3343</v>
      </c>
      <c r="C2072" s="83" t="s">
        <v>365</v>
      </c>
      <c r="D2072" s="81" t="s">
        <v>2269</v>
      </c>
      <c r="E2072" s="48">
        <v>400419</v>
      </c>
      <c r="F2072" s="30" t="s">
        <v>469</v>
      </c>
      <c r="G2072" s="29" t="s">
        <v>101</v>
      </c>
      <c r="H2072" s="30" t="s">
        <v>2398</v>
      </c>
      <c r="I2072" s="78"/>
      <c r="J2072" s="20"/>
      <c r="K2072" s="20"/>
      <c r="L2072" s="20"/>
      <c r="M2072" s="20"/>
      <c r="N2072" s="320" t="s">
        <v>2685</v>
      </c>
      <c r="O2072" s="70">
        <v>0</v>
      </c>
      <c r="P2072" s="70">
        <v>0</v>
      </c>
      <c r="Q2072" s="70">
        <f t="shared" si="175"/>
        <v>0</v>
      </c>
      <c r="R2072" s="70"/>
      <c r="S2072" s="67"/>
      <c r="T2072" s="2" t="str">
        <f t="shared" si="176"/>
        <v>Bùi Gia Nghi_11VH4</v>
      </c>
      <c r="U2072" s="28">
        <f t="array" ref="U2072">IFERROR(VLOOKUP($T2072,'Nghi hoc T12'!$H$7:$I$160,2,0),0)</f>
        <v>0</v>
      </c>
      <c r="V2072" s="28" t="str">
        <f t="shared" si="174"/>
        <v>303.C11</v>
      </c>
      <c r="W2072" s="28">
        <f t="shared" si="177"/>
        <v>0</v>
      </c>
      <c r="X2072" s="333">
        <f t="shared" si="178"/>
        <v>0</v>
      </c>
      <c r="Y2072" s="333">
        <f t="shared" si="179"/>
        <v>0</v>
      </c>
    </row>
    <row r="2073" spans="1:25" s="2" customFormat="1" ht="21.95" customHeight="1">
      <c r="A2073" s="82">
        <v>23</v>
      </c>
      <c r="B2073" s="91" t="s">
        <v>3343</v>
      </c>
      <c r="C2073" s="83" t="s">
        <v>365</v>
      </c>
      <c r="D2073" s="81" t="s">
        <v>2269</v>
      </c>
      <c r="E2073" s="48">
        <v>400420</v>
      </c>
      <c r="F2073" s="30" t="s">
        <v>237</v>
      </c>
      <c r="G2073" s="29" t="s">
        <v>19</v>
      </c>
      <c r="H2073" s="30" t="s">
        <v>2399</v>
      </c>
      <c r="I2073" s="78"/>
      <c r="J2073" s="20"/>
      <c r="K2073" s="20"/>
      <c r="L2073" s="20"/>
      <c r="M2073" s="20"/>
      <c r="N2073" s="320" t="s">
        <v>2685</v>
      </c>
      <c r="O2073" s="70">
        <v>0</v>
      </c>
      <c r="P2073" s="70">
        <v>0</v>
      </c>
      <c r="Q2073" s="70">
        <f t="shared" si="175"/>
        <v>0</v>
      </c>
      <c r="R2073" s="70"/>
      <c r="S2073" s="67"/>
      <c r="T2073" s="2" t="str">
        <f t="shared" si="176"/>
        <v>Lê Bảo Ngọc_11VH5</v>
      </c>
      <c r="U2073" s="28">
        <f t="array" ref="U2073">IFERROR(VLOOKUP($T2073,'Nghi hoc T12'!$H$7:$I$160,2,0),0)</f>
        <v>0</v>
      </c>
      <c r="V2073" s="28" t="str">
        <f t="shared" si="174"/>
        <v>303.C11</v>
      </c>
      <c r="W2073" s="28">
        <f t="shared" si="177"/>
        <v>0</v>
      </c>
      <c r="X2073" s="333">
        <f t="shared" si="178"/>
        <v>0</v>
      </c>
      <c r="Y2073" s="333">
        <f t="shared" si="179"/>
        <v>0</v>
      </c>
    </row>
    <row r="2074" spans="1:25" s="2" customFormat="1" ht="21.95" customHeight="1">
      <c r="A2074" s="82">
        <v>24</v>
      </c>
      <c r="B2074" s="91" t="s">
        <v>3343</v>
      </c>
      <c r="C2074" s="83" t="s">
        <v>365</v>
      </c>
      <c r="D2074" s="81" t="s">
        <v>2269</v>
      </c>
      <c r="E2074" s="48">
        <v>400421</v>
      </c>
      <c r="F2074" s="30" t="s">
        <v>1679</v>
      </c>
      <c r="G2074" s="29" t="s">
        <v>19</v>
      </c>
      <c r="H2074" s="30" t="s">
        <v>2398</v>
      </c>
      <c r="I2074" s="78"/>
      <c r="J2074" s="20"/>
      <c r="K2074" s="20"/>
      <c r="L2074" s="20"/>
      <c r="M2074" s="20"/>
      <c r="N2074" s="320" t="s">
        <v>2685</v>
      </c>
      <c r="O2074" s="70">
        <v>0</v>
      </c>
      <c r="P2074" s="70">
        <v>0</v>
      </c>
      <c r="Q2074" s="70">
        <f t="shared" si="175"/>
        <v>0</v>
      </c>
      <c r="R2074" s="70"/>
      <c r="S2074" s="67"/>
      <c r="T2074" s="2" t="str">
        <f t="shared" si="176"/>
        <v>Lê Thị Ánh Ngọc_11VH4</v>
      </c>
      <c r="U2074" s="28">
        <f t="array" ref="U2074">IFERROR(VLOOKUP($T2074,'Nghi hoc T12'!$H$7:$I$160,2,0),0)</f>
        <v>0</v>
      </c>
      <c r="V2074" s="28" t="str">
        <f t="shared" si="174"/>
        <v>303.C11</v>
      </c>
      <c r="W2074" s="28">
        <f t="shared" si="177"/>
        <v>0</v>
      </c>
      <c r="X2074" s="333">
        <f t="shared" si="178"/>
        <v>0</v>
      </c>
      <c r="Y2074" s="333">
        <f t="shared" si="179"/>
        <v>0</v>
      </c>
    </row>
    <row r="2075" spans="1:25" s="2" customFormat="1" ht="21.95" customHeight="1">
      <c r="A2075" s="82">
        <v>25</v>
      </c>
      <c r="B2075" s="91" t="s">
        <v>3343</v>
      </c>
      <c r="C2075" s="83" t="s">
        <v>365</v>
      </c>
      <c r="D2075" s="81" t="s">
        <v>2269</v>
      </c>
      <c r="E2075" s="48">
        <v>400422</v>
      </c>
      <c r="F2075" s="30" t="s">
        <v>2445</v>
      </c>
      <c r="G2075" s="29" t="s">
        <v>87</v>
      </c>
      <c r="H2075" s="30" t="s">
        <v>2398</v>
      </c>
      <c r="I2075" s="78"/>
      <c r="J2075" s="20"/>
      <c r="K2075" s="20"/>
      <c r="L2075" s="20"/>
      <c r="M2075" s="20"/>
      <c r="N2075" s="320" t="s">
        <v>2685</v>
      </c>
      <c r="O2075" s="70">
        <v>0</v>
      </c>
      <c r="P2075" s="70">
        <v>0</v>
      </c>
      <c r="Q2075" s="70">
        <f t="shared" si="175"/>
        <v>0</v>
      </c>
      <c r="R2075" s="70"/>
      <c r="S2075" s="67"/>
      <c r="T2075" s="2" t="str">
        <f t="shared" si="176"/>
        <v>Cao Nguyễn Gia Nguyên_11VH4</v>
      </c>
      <c r="U2075" s="28">
        <f t="array" ref="U2075">IFERROR(VLOOKUP($T2075,'Nghi hoc T12'!$H$7:$I$160,2,0),0)</f>
        <v>0</v>
      </c>
      <c r="V2075" s="28" t="str">
        <f t="shared" si="174"/>
        <v>303.C11</v>
      </c>
      <c r="W2075" s="28">
        <f t="shared" si="177"/>
        <v>0</v>
      </c>
      <c r="X2075" s="333">
        <f t="shared" si="178"/>
        <v>0</v>
      </c>
      <c r="Y2075" s="333">
        <f t="shared" si="179"/>
        <v>0</v>
      </c>
    </row>
    <row r="2076" spans="1:25" s="2" customFormat="1" ht="21.95" customHeight="1">
      <c r="A2076" s="321">
        <v>1</v>
      </c>
      <c r="B2076" s="91" t="s">
        <v>3344</v>
      </c>
      <c r="C2076" s="185" t="s">
        <v>365</v>
      </c>
      <c r="D2076" s="186" t="s">
        <v>2282</v>
      </c>
      <c r="E2076" s="187">
        <v>400423</v>
      </c>
      <c r="F2076" s="188" t="s">
        <v>2446</v>
      </c>
      <c r="G2076" s="189" t="s">
        <v>102</v>
      </c>
      <c r="H2076" s="188" t="s">
        <v>2396</v>
      </c>
      <c r="I2076" s="190"/>
      <c r="J2076" s="191"/>
      <c r="K2076" s="191"/>
      <c r="L2076" s="191"/>
      <c r="M2076" s="191"/>
      <c r="N2076" s="320" t="s">
        <v>2685</v>
      </c>
      <c r="O2076" s="70">
        <v>0</v>
      </c>
      <c r="P2076" s="70">
        <v>0</v>
      </c>
      <c r="Q2076" s="70">
        <f t="shared" si="175"/>
        <v>0</v>
      </c>
      <c r="R2076" s="70"/>
      <c r="S2076" s="67"/>
      <c r="T2076" s="2" t="str">
        <f t="shared" si="176"/>
        <v>Lê Huỳnh Thiện Nhân_11VH3</v>
      </c>
      <c r="U2076" s="28">
        <f t="array" ref="U2076">IFERROR(VLOOKUP($T2076,'Nghi hoc T12'!$H$7:$I$160,2,0),0)</f>
        <v>0</v>
      </c>
      <c r="V2076" s="28" t="str">
        <f t="shared" si="174"/>
        <v>304.C11</v>
      </c>
      <c r="W2076" s="28">
        <f t="shared" si="177"/>
        <v>0</v>
      </c>
      <c r="X2076" s="333">
        <f t="shared" si="178"/>
        <v>0</v>
      </c>
      <c r="Y2076" s="333">
        <f t="shared" si="179"/>
        <v>0</v>
      </c>
    </row>
    <row r="2077" spans="1:25" s="2" customFormat="1" ht="21.95" customHeight="1">
      <c r="A2077" s="82">
        <v>2</v>
      </c>
      <c r="B2077" s="91" t="s">
        <v>3344</v>
      </c>
      <c r="C2077" s="83" t="s">
        <v>365</v>
      </c>
      <c r="D2077" s="81" t="s">
        <v>2282</v>
      </c>
      <c r="E2077" s="48">
        <v>400424</v>
      </c>
      <c r="F2077" s="30" t="s">
        <v>2437</v>
      </c>
      <c r="G2077" s="29" t="s">
        <v>254</v>
      </c>
      <c r="H2077" s="30" t="s">
        <v>2396</v>
      </c>
      <c r="I2077" s="78"/>
      <c r="J2077" s="20"/>
      <c r="K2077" s="20"/>
      <c r="L2077" s="20"/>
      <c r="M2077" s="20"/>
      <c r="N2077" s="320" t="s">
        <v>2685</v>
      </c>
      <c r="O2077" s="70">
        <v>0</v>
      </c>
      <c r="P2077" s="70">
        <v>0</v>
      </c>
      <c r="Q2077" s="70">
        <f t="shared" si="175"/>
        <v>0</v>
      </c>
      <c r="R2077" s="70"/>
      <c r="S2077" s="67"/>
      <c r="T2077" s="2" t="str">
        <f t="shared" si="176"/>
        <v>Đặng Thiện Minh Nhật_11VH3</v>
      </c>
      <c r="U2077" s="28">
        <f t="array" ref="U2077">IFERROR(VLOOKUP($T2077,'Nghi hoc T12'!$H$7:$I$160,2,0),0)</f>
        <v>0</v>
      </c>
      <c r="V2077" s="28" t="str">
        <f t="shared" si="174"/>
        <v>304.C11</v>
      </c>
      <c r="W2077" s="28">
        <f t="shared" si="177"/>
        <v>0</v>
      </c>
      <c r="X2077" s="333">
        <f t="shared" si="178"/>
        <v>0</v>
      </c>
      <c r="Y2077" s="333">
        <f t="shared" si="179"/>
        <v>0</v>
      </c>
    </row>
    <row r="2078" spans="1:25" s="2" customFormat="1" ht="21.95" customHeight="1">
      <c r="A2078" s="82">
        <v>3</v>
      </c>
      <c r="B2078" s="91" t="s">
        <v>3344</v>
      </c>
      <c r="C2078" s="83" t="s">
        <v>365</v>
      </c>
      <c r="D2078" s="81" t="s">
        <v>2282</v>
      </c>
      <c r="E2078" s="48">
        <v>400425</v>
      </c>
      <c r="F2078" s="30" t="s">
        <v>2447</v>
      </c>
      <c r="G2078" s="29" t="s">
        <v>254</v>
      </c>
      <c r="H2078" s="30" t="s">
        <v>2398</v>
      </c>
      <c r="I2078" s="78"/>
      <c r="J2078" s="20"/>
      <c r="K2078" s="20"/>
      <c r="L2078" s="20"/>
      <c r="M2078" s="20"/>
      <c r="N2078" s="320" t="s">
        <v>2685</v>
      </c>
      <c r="O2078" s="70">
        <v>0</v>
      </c>
      <c r="P2078" s="70">
        <v>0</v>
      </c>
      <c r="Q2078" s="70">
        <f t="shared" si="175"/>
        <v>0</v>
      </c>
      <c r="R2078" s="70"/>
      <c r="S2078" s="67"/>
      <c r="T2078" s="2" t="str">
        <f t="shared" si="176"/>
        <v>Trần Dương Hải Nhật_11VH4</v>
      </c>
      <c r="U2078" s="28">
        <f t="array" ref="U2078">IFERROR(VLOOKUP($T2078,'Nghi hoc T12'!$H$7:$I$160,2,0),0)</f>
        <v>0</v>
      </c>
      <c r="V2078" s="28" t="str">
        <f t="shared" si="174"/>
        <v>304.C11</v>
      </c>
      <c r="W2078" s="28">
        <f t="shared" si="177"/>
        <v>0</v>
      </c>
      <c r="X2078" s="333">
        <f t="shared" si="178"/>
        <v>0</v>
      </c>
      <c r="Y2078" s="333">
        <f t="shared" si="179"/>
        <v>0</v>
      </c>
    </row>
    <row r="2079" spans="1:25" s="2" customFormat="1" ht="21.95" customHeight="1">
      <c r="A2079" s="82">
        <v>4</v>
      </c>
      <c r="B2079" s="91" t="s">
        <v>3344</v>
      </c>
      <c r="C2079" s="83" t="s">
        <v>365</v>
      </c>
      <c r="D2079" s="81" t="s">
        <v>2282</v>
      </c>
      <c r="E2079" s="48">
        <v>400426</v>
      </c>
      <c r="F2079" s="30" t="s">
        <v>2448</v>
      </c>
      <c r="G2079" s="29" t="s">
        <v>20</v>
      </c>
      <c r="H2079" s="30" t="s">
        <v>2399</v>
      </c>
      <c r="I2079" s="78"/>
      <c r="J2079" s="20"/>
      <c r="K2079" s="20"/>
      <c r="L2079" s="20"/>
      <c r="M2079" s="20"/>
      <c r="N2079" s="320" t="s">
        <v>2685</v>
      </c>
      <c r="O2079" s="70">
        <v>0</v>
      </c>
      <c r="P2079" s="70">
        <v>0</v>
      </c>
      <c r="Q2079" s="70">
        <f t="shared" si="175"/>
        <v>0</v>
      </c>
      <c r="R2079" s="70"/>
      <c r="S2079" s="67"/>
      <c r="T2079" s="2" t="str">
        <f t="shared" si="176"/>
        <v>Hồ Nguyễn Yến Nhi_11VH5</v>
      </c>
      <c r="U2079" s="28">
        <f t="array" ref="U2079">IFERROR(VLOOKUP($T2079,'Nghi hoc T12'!$H$7:$I$160,2,0),0)</f>
        <v>0</v>
      </c>
      <c r="V2079" s="28" t="str">
        <f t="shared" si="174"/>
        <v>304.C11</v>
      </c>
      <c r="W2079" s="28">
        <f t="shared" si="177"/>
        <v>0</v>
      </c>
      <c r="X2079" s="333">
        <f t="shared" si="178"/>
        <v>0</v>
      </c>
      <c r="Y2079" s="333">
        <f t="shared" si="179"/>
        <v>0</v>
      </c>
    </row>
    <row r="2080" spans="1:25" s="2" customFormat="1" ht="21.95" customHeight="1">
      <c r="A2080" s="82">
        <v>5</v>
      </c>
      <c r="B2080" s="91" t="s">
        <v>3344</v>
      </c>
      <c r="C2080" s="83" t="s">
        <v>365</v>
      </c>
      <c r="D2080" s="81" t="s">
        <v>2282</v>
      </c>
      <c r="E2080" s="48">
        <v>400427</v>
      </c>
      <c r="F2080" s="30" t="s">
        <v>2449</v>
      </c>
      <c r="G2080" s="29" t="s">
        <v>20</v>
      </c>
      <c r="H2080" s="30" t="s">
        <v>2396</v>
      </c>
      <c r="I2080" s="78"/>
      <c r="J2080" s="20"/>
      <c r="K2080" s="20"/>
      <c r="L2080" s="20"/>
      <c r="M2080" s="20"/>
      <c r="N2080" s="320" t="s">
        <v>2685</v>
      </c>
      <c r="O2080" s="70">
        <v>0</v>
      </c>
      <c r="P2080" s="70">
        <v>0</v>
      </c>
      <c r="Q2080" s="70">
        <f t="shared" si="175"/>
        <v>0</v>
      </c>
      <c r="R2080" s="70"/>
      <c r="S2080" s="67"/>
      <c r="T2080" s="2" t="str">
        <f t="shared" si="176"/>
        <v>Trương Ngọc Yến Nhi_11VH3</v>
      </c>
      <c r="U2080" s="28">
        <f t="array" ref="U2080">IFERROR(VLOOKUP($T2080,'Nghi hoc T12'!$H$7:$I$160,2,0),0)</f>
        <v>0</v>
      </c>
      <c r="V2080" s="28" t="str">
        <f t="shared" si="174"/>
        <v>304.C11</v>
      </c>
      <c r="W2080" s="28">
        <f t="shared" si="177"/>
        <v>0</v>
      </c>
      <c r="X2080" s="333">
        <f t="shared" si="178"/>
        <v>0</v>
      </c>
      <c r="Y2080" s="333">
        <f t="shared" si="179"/>
        <v>0</v>
      </c>
    </row>
    <row r="2081" spans="1:25" s="2" customFormat="1" ht="21.95" customHeight="1">
      <c r="A2081" s="82">
        <v>6</v>
      </c>
      <c r="B2081" s="91" t="s">
        <v>3344</v>
      </c>
      <c r="C2081" s="83" t="s">
        <v>365</v>
      </c>
      <c r="D2081" s="81" t="s">
        <v>2282</v>
      </c>
      <c r="E2081" s="48">
        <v>400428</v>
      </c>
      <c r="F2081" s="30" t="s">
        <v>2450</v>
      </c>
      <c r="G2081" s="29" t="s">
        <v>20</v>
      </c>
      <c r="H2081" s="30" t="s">
        <v>2398</v>
      </c>
      <c r="I2081" s="78"/>
      <c r="J2081" s="20"/>
      <c r="K2081" s="20"/>
      <c r="L2081" s="20"/>
      <c r="M2081" s="20"/>
      <c r="N2081" s="320" t="s">
        <v>2685</v>
      </c>
      <c r="O2081" s="70">
        <v>0</v>
      </c>
      <c r="P2081" s="70">
        <v>0</v>
      </c>
      <c r="Q2081" s="70">
        <f t="shared" si="175"/>
        <v>0</v>
      </c>
      <c r="R2081" s="70"/>
      <c r="S2081" s="67"/>
      <c r="T2081" s="2" t="str">
        <f t="shared" si="176"/>
        <v>Trương Nguyễn Ý Nhi_11VH4</v>
      </c>
      <c r="U2081" s="28">
        <f t="array" ref="U2081">IFERROR(VLOOKUP($T2081,'Nghi hoc T12'!$H$7:$I$160,2,0),0)</f>
        <v>0</v>
      </c>
      <c r="V2081" s="28" t="str">
        <f t="shared" si="174"/>
        <v>304.C11</v>
      </c>
      <c r="W2081" s="28">
        <f t="shared" si="177"/>
        <v>0</v>
      </c>
      <c r="X2081" s="333">
        <f t="shared" si="178"/>
        <v>0</v>
      </c>
      <c r="Y2081" s="333">
        <f t="shared" si="179"/>
        <v>0</v>
      </c>
    </row>
    <row r="2082" spans="1:25" s="2" customFormat="1" ht="21.95" customHeight="1">
      <c r="A2082" s="82">
        <v>7</v>
      </c>
      <c r="B2082" s="91" t="s">
        <v>3344</v>
      </c>
      <c r="C2082" s="83" t="s">
        <v>365</v>
      </c>
      <c r="D2082" s="81" t="s">
        <v>2282</v>
      </c>
      <c r="E2082" s="48">
        <v>400429</v>
      </c>
      <c r="F2082" s="30" t="s">
        <v>2451</v>
      </c>
      <c r="G2082" s="29" t="s">
        <v>88</v>
      </c>
      <c r="H2082" s="30" t="s">
        <v>2396</v>
      </c>
      <c r="I2082" s="78"/>
      <c r="J2082" s="20"/>
      <c r="K2082" s="20"/>
      <c r="L2082" s="20"/>
      <c r="M2082" s="20"/>
      <c r="N2082" s="320" t="s">
        <v>2685</v>
      </c>
      <c r="O2082" s="70">
        <v>0</v>
      </c>
      <c r="P2082" s="70">
        <v>0</v>
      </c>
      <c r="Q2082" s="70">
        <f t="shared" si="175"/>
        <v>0</v>
      </c>
      <c r="R2082" s="70"/>
      <c r="S2082" s="67"/>
      <c r="T2082" s="2" t="str">
        <f t="shared" si="176"/>
        <v>Trần Nguyễn Hồng Nhung_11VH3</v>
      </c>
      <c r="U2082" s="28">
        <f t="array" ref="U2082">IFERROR(VLOOKUP($T2082,'Nghi hoc T12'!$H$7:$I$160,2,0),0)</f>
        <v>0</v>
      </c>
      <c r="V2082" s="28" t="str">
        <f t="shared" si="174"/>
        <v>304.C11</v>
      </c>
      <c r="W2082" s="28">
        <f t="shared" si="177"/>
        <v>0</v>
      </c>
      <c r="X2082" s="333">
        <f t="shared" si="178"/>
        <v>0</v>
      </c>
      <c r="Y2082" s="333">
        <f t="shared" si="179"/>
        <v>0</v>
      </c>
    </row>
    <row r="2083" spans="1:25" s="2" customFormat="1" ht="21.95" customHeight="1">
      <c r="A2083" s="82">
        <v>8</v>
      </c>
      <c r="B2083" s="91" t="s">
        <v>3344</v>
      </c>
      <c r="C2083" s="83" t="s">
        <v>365</v>
      </c>
      <c r="D2083" s="81" t="s">
        <v>2282</v>
      </c>
      <c r="E2083" s="48">
        <v>400430</v>
      </c>
      <c r="F2083" s="30" t="s">
        <v>2452</v>
      </c>
      <c r="G2083" s="29" t="s">
        <v>21</v>
      </c>
      <c r="H2083" s="30" t="s">
        <v>2398</v>
      </c>
      <c r="I2083" s="78"/>
      <c r="J2083" s="20"/>
      <c r="K2083" s="20"/>
      <c r="L2083" s="20"/>
      <c r="M2083" s="20"/>
      <c r="N2083" s="320" t="s">
        <v>2685</v>
      </c>
      <c r="O2083" s="70">
        <v>0</v>
      </c>
      <c r="P2083" s="70">
        <v>0</v>
      </c>
      <c r="Q2083" s="70">
        <f t="shared" si="175"/>
        <v>0</v>
      </c>
      <c r="R2083" s="70"/>
      <c r="S2083" s="67"/>
      <c r="T2083" s="2" t="str">
        <f t="shared" si="176"/>
        <v>Bùi Thị Quỳnh Như_11VH4</v>
      </c>
      <c r="U2083" s="28">
        <f t="array" ref="U2083">IFERROR(VLOOKUP($T2083,'Nghi hoc T12'!$H$7:$I$160,2,0),0)</f>
        <v>0</v>
      </c>
      <c r="V2083" s="28" t="str">
        <f t="shared" ref="V2083:V2146" si="180">B2083&amp;1</f>
        <v>304.C11</v>
      </c>
      <c r="W2083" s="28">
        <f t="shared" si="177"/>
        <v>0</v>
      </c>
      <c r="X2083" s="333">
        <f t="shared" si="178"/>
        <v>0</v>
      </c>
      <c r="Y2083" s="333">
        <f t="shared" si="179"/>
        <v>0</v>
      </c>
    </row>
    <row r="2084" spans="1:25" s="2" customFormat="1" ht="21.95" customHeight="1">
      <c r="A2084" s="82">
        <v>9</v>
      </c>
      <c r="B2084" s="91" t="s">
        <v>3344</v>
      </c>
      <c r="C2084" s="83" t="s">
        <v>365</v>
      </c>
      <c r="D2084" s="81" t="s">
        <v>2282</v>
      </c>
      <c r="E2084" s="48">
        <v>400431</v>
      </c>
      <c r="F2084" s="30" t="s">
        <v>2453</v>
      </c>
      <c r="G2084" s="29" t="s">
        <v>42</v>
      </c>
      <c r="H2084" s="30" t="s">
        <v>2398</v>
      </c>
      <c r="I2084" s="78"/>
      <c r="J2084" s="20"/>
      <c r="K2084" s="20"/>
      <c r="L2084" s="20"/>
      <c r="M2084" s="20"/>
      <c r="N2084" s="320" t="s">
        <v>2685</v>
      </c>
      <c r="O2084" s="70">
        <v>0</v>
      </c>
      <c r="P2084" s="70">
        <v>0</v>
      </c>
      <c r="Q2084" s="70">
        <f t="shared" si="175"/>
        <v>0</v>
      </c>
      <c r="R2084" s="70"/>
      <c r="S2084" s="67"/>
      <c r="T2084" s="2" t="str">
        <f t="shared" si="176"/>
        <v>Châu Minh Phát_11VH4</v>
      </c>
      <c r="U2084" s="28">
        <f t="array" ref="U2084">IFERROR(VLOOKUP($T2084,'Nghi hoc T12'!$H$7:$I$160,2,0),0)</f>
        <v>0</v>
      </c>
      <c r="V2084" s="28" t="str">
        <f t="shared" si="180"/>
        <v>304.C11</v>
      </c>
      <c r="W2084" s="28">
        <f t="shared" si="177"/>
        <v>0</v>
      </c>
      <c r="X2084" s="333">
        <f t="shared" si="178"/>
        <v>0</v>
      </c>
      <c r="Y2084" s="333">
        <f t="shared" si="179"/>
        <v>0</v>
      </c>
    </row>
    <row r="2085" spans="1:25" s="2" customFormat="1" ht="21.95" customHeight="1">
      <c r="A2085" s="82">
        <v>10</v>
      </c>
      <c r="B2085" s="91" t="s">
        <v>3344</v>
      </c>
      <c r="C2085" s="83" t="s">
        <v>365</v>
      </c>
      <c r="D2085" s="81" t="s">
        <v>2282</v>
      </c>
      <c r="E2085" s="48">
        <v>400432</v>
      </c>
      <c r="F2085" s="30" t="s">
        <v>2454</v>
      </c>
      <c r="G2085" s="29" t="s">
        <v>42</v>
      </c>
      <c r="H2085" s="30" t="s">
        <v>2399</v>
      </c>
      <c r="I2085" s="78"/>
      <c r="J2085" s="20"/>
      <c r="K2085" s="20"/>
      <c r="L2085" s="20"/>
      <c r="M2085" s="20"/>
      <c r="N2085" s="320" t="s">
        <v>2685</v>
      </c>
      <c r="O2085" s="70">
        <v>0</v>
      </c>
      <c r="P2085" s="70">
        <v>0</v>
      </c>
      <c r="Q2085" s="70">
        <f t="shared" si="175"/>
        <v>0</v>
      </c>
      <c r="R2085" s="70"/>
      <c r="S2085" s="67"/>
      <c r="T2085" s="2" t="str">
        <f t="shared" si="176"/>
        <v>Phan Tấn Phát_11VH5</v>
      </c>
      <c r="U2085" s="28">
        <f t="array" ref="U2085">IFERROR(VLOOKUP($T2085,'Nghi hoc T12'!$H$7:$I$160,2,0),0)</f>
        <v>0</v>
      </c>
      <c r="V2085" s="28" t="str">
        <f t="shared" si="180"/>
        <v>304.C11</v>
      </c>
      <c r="W2085" s="28">
        <f t="shared" si="177"/>
        <v>0</v>
      </c>
      <c r="X2085" s="333">
        <f t="shared" si="178"/>
        <v>0</v>
      </c>
      <c r="Y2085" s="333">
        <f t="shared" si="179"/>
        <v>0</v>
      </c>
    </row>
    <row r="2086" spans="1:25" s="2" customFormat="1" ht="21.95" customHeight="1">
      <c r="A2086" s="82">
        <v>11</v>
      </c>
      <c r="B2086" s="91" t="s">
        <v>3344</v>
      </c>
      <c r="C2086" s="83" t="s">
        <v>365</v>
      </c>
      <c r="D2086" s="81" t="s">
        <v>2282</v>
      </c>
      <c r="E2086" s="48">
        <v>400433</v>
      </c>
      <c r="F2086" s="30" t="s">
        <v>337</v>
      </c>
      <c r="G2086" s="29" t="s">
        <v>271</v>
      </c>
      <c r="H2086" s="30" t="s">
        <v>2398</v>
      </c>
      <c r="I2086" s="78" t="s">
        <v>529</v>
      </c>
      <c r="J2086" s="20"/>
      <c r="K2086" s="20"/>
      <c r="L2086" s="20"/>
      <c r="M2086" s="20"/>
      <c r="N2086" s="320" t="s">
        <v>2685</v>
      </c>
      <c r="O2086" s="70">
        <v>0</v>
      </c>
      <c r="P2086" s="70">
        <v>0</v>
      </c>
      <c r="Q2086" s="70" t="str">
        <f t="shared" si="175"/>
        <v>NgiH</v>
      </c>
      <c r="R2086" s="70"/>
      <c r="S2086" s="67"/>
      <c r="T2086" s="2" t="str">
        <f t="shared" si="176"/>
        <v>Trần Anh Phi_11VH4</v>
      </c>
      <c r="U2086" s="28" t="s">
        <v>3334</v>
      </c>
      <c r="V2086" s="28" t="str">
        <f t="shared" si="180"/>
        <v>304.C11</v>
      </c>
      <c r="W2086" s="28" t="str">
        <f t="shared" si="177"/>
        <v>Nghỉ học</v>
      </c>
      <c r="X2086" s="333">
        <f t="shared" si="178"/>
        <v>0</v>
      </c>
      <c r="Y2086" s="333">
        <f t="shared" si="179"/>
        <v>0</v>
      </c>
    </row>
    <row r="2087" spans="1:25" s="2" customFormat="1" ht="21.95" customHeight="1">
      <c r="A2087" s="82">
        <v>12</v>
      </c>
      <c r="B2087" s="91" t="s">
        <v>3344</v>
      </c>
      <c r="C2087" s="83" t="s">
        <v>365</v>
      </c>
      <c r="D2087" s="81" t="s">
        <v>2282</v>
      </c>
      <c r="E2087" s="48">
        <v>400434</v>
      </c>
      <c r="F2087" s="30" t="s">
        <v>210</v>
      </c>
      <c r="G2087" s="29" t="s">
        <v>103</v>
      </c>
      <c r="H2087" s="30" t="s">
        <v>2396</v>
      </c>
      <c r="I2087" s="78"/>
      <c r="J2087" s="20"/>
      <c r="K2087" s="20"/>
      <c r="L2087" s="20"/>
      <c r="M2087" s="20"/>
      <c r="N2087" s="320" t="s">
        <v>2685</v>
      </c>
      <c r="O2087" s="70">
        <v>0</v>
      </c>
      <c r="P2087" s="70">
        <v>0</v>
      </c>
      <c r="Q2087" s="70">
        <f t="shared" si="175"/>
        <v>0</v>
      </c>
      <c r="R2087" s="70"/>
      <c r="S2087" s="67"/>
      <c r="T2087" s="2" t="str">
        <f t="shared" si="176"/>
        <v>Võ Minh Phú_11VH3</v>
      </c>
      <c r="U2087" s="28">
        <f t="array" ref="U2087">IFERROR(VLOOKUP($T2087,'Nghi hoc T12'!$H$7:$I$160,2,0),0)</f>
        <v>0</v>
      </c>
      <c r="V2087" s="28" t="str">
        <f t="shared" si="180"/>
        <v>304.C11</v>
      </c>
      <c r="W2087" s="28">
        <f t="shared" si="177"/>
        <v>0</v>
      </c>
      <c r="X2087" s="333">
        <f t="shared" si="178"/>
        <v>0</v>
      </c>
      <c r="Y2087" s="333">
        <f t="shared" si="179"/>
        <v>0</v>
      </c>
    </row>
    <row r="2088" spans="1:25" s="2" customFormat="1" ht="21.95" customHeight="1">
      <c r="A2088" s="82">
        <v>13</v>
      </c>
      <c r="B2088" s="91" t="s">
        <v>3344</v>
      </c>
      <c r="C2088" s="83" t="s">
        <v>365</v>
      </c>
      <c r="D2088" s="81" t="s">
        <v>2282</v>
      </c>
      <c r="E2088" s="48">
        <v>400435</v>
      </c>
      <c r="F2088" s="30" t="s">
        <v>2455</v>
      </c>
      <c r="G2088" s="29" t="s">
        <v>71</v>
      </c>
      <c r="H2088" s="30" t="s">
        <v>2398</v>
      </c>
      <c r="I2088" s="78"/>
      <c r="J2088" s="20"/>
      <c r="K2088" s="20"/>
      <c r="L2088" s="20"/>
      <c r="M2088" s="20"/>
      <c r="N2088" s="320" t="s">
        <v>2685</v>
      </c>
      <c r="O2088" s="70">
        <v>0</v>
      </c>
      <c r="P2088" s="70">
        <v>0</v>
      </c>
      <c r="Q2088" s="70">
        <f t="shared" si="175"/>
        <v>0</v>
      </c>
      <c r="R2088" s="70"/>
      <c r="S2088" s="67"/>
      <c r="T2088" s="2" t="str">
        <f t="shared" si="176"/>
        <v>Lê Tạ Tấn Phúc_11VH4</v>
      </c>
      <c r="U2088" s="28">
        <f t="array" ref="U2088">IFERROR(VLOOKUP($T2088,'Nghi hoc T12'!$H$7:$I$160,2,0),0)</f>
        <v>0</v>
      </c>
      <c r="V2088" s="28" t="str">
        <f t="shared" si="180"/>
        <v>304.C11</v>
      </c>
      <c r="W2088" s="28">
        <f t="shared" si="177"/>
        <v>0</v>
      </c>
      <c r="X2088" s="333">
        <f t="shared" si="178"/>
        <v>0</v>
      </c>
      <c r="Y2088" s="333">
        <f t="shared" si="179"/>
        <v>0</v>
      </c>
    </row>
    <row r="2089" spans="1:25" s="2" customFormat="1" ht="21.95" customHeight="1">
      <c r="A2089" s="82">
        <v>14</v>
      </c>
      <c r="B2089" s="91" t="s">
        <v>3344</v>
      </c>
      <c r="C2089" s="83" t="s">
        <v>365</v>
      </c>
      <c r="D2089" s="81" t="s">
        <v>2282</v>
      </c>
      <c r="E2089" s="48">
        <v>400436</v>
      </c>
      <c r="F2089" s="30" t="s">
        <v>2456</v>
      </c>
      <c r="G2089" s="29" t="s">
        <v>71</v>
      </c>
      <c r="H2089" s="30" t="s">
        <v>2399</v>
      </c>
      <c r="I2089" s="78"/>
      <c r="J2089" s="20"/>
      <c r="K2089" s="20"/>
      <c r="L2089" s="20"/>
      <c r="M2089" s="20"/>
      <c r="N2089" s="320" t="s">
        <v>2685</v>
      </c>
      <c r="O2089" s="70">
        <v>0</v>
      </c>
      <c r="P2089" s="70">
        <v>0</v>
      </c>
      <c r="Q2089" s="70">
        <f t="shared" si="175"/>
        <v>0</v>
      </c>
      <c r="R2089" s="70"/>
      <c r="S2089" s="67"/>
      <c r="T2089" s="2" t="str">
        <f t="shared" si="176"/>
        <v>Nghiêm Tuấn Phúc_11VH5</v>
      </c>
      <c r="U2089" s="28">
        <f t="array" ref="U2089">IFERROR(VLOOKUP($T2089,'Nghi hoc T12'!$H$7:$I$160,2,0),0)</f>
        <v>0</v>
      </c>
      <c r="V2089" s="28" t="str">
        <f t="shared" si="180"/>
        <v>304.C11</v>
      </c>
      <c r="W2089" s="28">
        <f t="shared" si="177"/>
        <v>0</v>
      </c>
      <c r="X2089" s="333">
        <f t="shared" si="178"/>
        <v>0</v>
      </c>
      <c r="Y2089" s="333">
        <f t="shared" si="179"/>
        <v>0</v>
      </c>
    </row>
    <row r="2090" spans="1:25" s="2" customFormat="1" ht="21.95" customHeight="1">
      <c r="A2090" s="82">
        <v>15</v>
      </c>
      <c r="B2090" s="91" t="s">
        <v>3344</v>
      </c>
      <c r="C2090" s="83" t="s">
        <v>365</v>
      </c>
      <c r="D2090" s="81" t="s">
        <v>2282</v>
      </c>
      <c r="E2090" s="48">
        <v>400437</v>
      </c>
      <c r="F2090" s="30" t="s">
        <v>2457</v>
      </c>
      <c r="G2090" s="29" t="s">
        <v>71</v>
      </c>
      <c r="H2090" s="30" t="s">
        <v>2396</v>
      </c>
      <c r="I2090" s="78"/>
      <c r="J2090" s="20"/>
      <c r="K2090" s="20"/>
      <c r="L2090" s="20"/>
      <c r="M2090" s="20"/>
      <c r="N2090" s="320" t="s">
        <v>2685</v>
      </c>
      <c r="O2090" s="70">
        <v>0</v>
      </c>
      <c r="P2090" s="70">
        <v>0</v>
      </c>
      <c r="Q2090" s="70">
        <f t="shared" si="175"/>
        <v>0</v>
      </c>
      <c r="R2090" s="70"/>
      <c r="S2090" s="67"/>
      <c r="T2090" s="2" t="str">
        <f t="shared" si="176"/>
        <v>Nguyễn Chánh Kim Phúc_11VH3</v>
      </c>
      <c r="U2090" s="28">
        <f t="array" ref="U2090">IFERROR(VLOOKUP($T2090,'Nghi hoc T12'!$H$7:$I$160,2,0),0)</f>
        <v>0</v>
      </c>
      <c r="V2090" s="28" t="str">
        <f t="shared" si="180"/>
        <v>304.C11</v>
      </c>
      <c r="W2090" s="28">
        <f t="shared" si="177"/>
        <v>0</v>
      </c>
      <c r="X2090" s="333">
        <f t="shared" si="178"/>
        <v>0</v>
      </c>
      <c r="Y2090" s="333">
        <f t="shared" si="179"/>
        <v>0</v>
      </c>
    </row>
    <row r="2091" spans="1:25" s="2" customFormat="1" ht="21.95" customHeight="1">
      <c r="A2091" s="82">
        <v>16</v>
      </c>
      <c r="B2091" s="91" t="s">
        <v>3344</v>
      </c>
      <c r="C2091" s="83" t="s">
        <v>365</v>
      </c>
      <c r="D2091" s="81" t="s">
        <v>2282</v>
      </c>
      <c r="E2091" s="48">
        <v>400438</v>
      </c>
      <c r="F2091" s="30" t="s">
        <v>2458</v>
      </c>
      <c r="G2091" s="29" t="s">
        <v>71</v>
      </c>
      <c r="H2091" s="30" t="s">
        <v>2398</v>
      </c>
      <c r="I2091" s="78"/>
      <c r="J2091" s="20"/>
      <c r="K2091" s="20"/>
      <c r="L2091" s="20"/>
      <c r="M2091" s="20"/>
      <c r="N2091" s="320" t="s">
        <v>2685</v>
      </c>
      <c r="O2091" s="70">
        <v>0</v>
      </c>
      <c r="P2091" s="70">
        <v>0</v>
      </c>
      <c r="Q2091" s="70">
        <f t="shared" si="175"/>
        <v>0</v>
      </c>
      <c r="R2091" s="70"/>
      <c r="S2091" s="67"/>
      <c r="T2091" s="2" t="str">
        <f t="shared" si="176"/>
        <v>Phạm Duy Phúc_11VH4</v>
      </c>
      <c r="U2091" s="28">
        <f t="array" ref="U2091">IFERROR(VLOOKUP($T2091,'Nghi hoc T12'!$H$7:$I$160,2,0),0)</f>
        <v>0</v>
      </c>
      <c r="V2091" s="28" t="str">
        <f t="shared" si="180"/>
        <v>304.C11</v>
      </c>
      <c r="W2091" s="28">
        <f t="shared" si="177"/>
        <v>0</v>
      </c>
      <c r="X2091" s="333">
        <f t="shared" si="178"/>
        <v>0</v>
      </c>
      <c r="Y2091" s="333">
        <f t="shared" si="179"/>
        <v>0</v>
      </c>
    </row>
    <row r="2092" spans="1:25" s="2" customFormat="1" ht="21.95" customHeight="1">
      <c r="A2092" s="82">
        <v>17</v>
      </c>
      <c r="B2092" s="91" t="s">
        <v>3344</v>
      </c>
      <c r="C2092" s="83" t="s">
        <v>365</v>
      </c>
      <c r="D2092" s="81" t="s">
        <v>2282</v>
      </c>
      <c r="E2092" s="48">
        <v>400439</v>
      </c>
      <c r="F2092" s="30" t="s">
        <v>314</v>
      </c>
      <c r="G2092" s="29" t="s">
        <v>71</v>
      </c>
      <c r="H2092" s="30" t="s">
        <v>2399</v>
      </c>
      <c r="I2092" s="78"/>
      <c r="J2092" s="20"/>
      <c r="K2092" s="20"/>
      <c r="L2092" s="20"/>
      <c r="M2092" s="20"/>
      <c r="N2092" s="320" t="s">
        <v>2685</v>
      </c>
      <c r="O2092" s="70">
        <v>0</v>
      </c>
      <c r="P2092" s="70">
        <v>0</v>
      </c>
      <c r="Q2092" s="70">
        <f t="shared" si="175"/>
        <v>0</v>
      </c>
      <c r="R2092" s="70"/>
      <c r="S2092" s="67"/>
      <c r="T2092" s="2" t="str">
        <f t="shared" si="176"/>
        <v>Phạm Minh Phúc_11VH5</v>
      </c>
      <c r="U2092" s="28">
        <f t="array" ref="U2092">IFERROR(VLOOKUP($T2092,'Nghi hoc T12'!$H$7:$I$160,2,0),0)</f>
        <v>0</v>
      </c>
      <c r="V2092" s="28" t="str">
        <f t="shared" si="180"/>
        <v>304.C11</v>
      </c>
      <c r="W2092" s="28">
        <f t="shared" si="177"/>
        <v>0</v>
      </c>
      <c r="X2092" s="333">
        <f t="shared" si="178"/>
        <v>0</v>
      </c>
      <c r="Y2092" s="333">
        <f t="shared" si="179"/>
        <v>0</v>
      </c>
    </row>
    <row r="2093" spans="1:25" s="2" customFormat="1" ht="21.95" customHeight="1">
      <c r="A2093" s="82">
        <v>18</v>
      </c>
      <c r="B2093" s="91" t="s">
        <v>3344</v>
      </c>
      <c r="C2093" s="83" t="s">
        <v>365</v>
      </c>
      <c r="D2093" s="81" t="s">
        <v>2282</v>
      </c>
      <c r="E2093" s="48">
        <v>400440</v>
      </c>
      <c r="F2093" s="30" t="s">
        <v>2459</v>
      </c>
      <c r="G2093" s="29" t="s">
        <v>43</v>
      </c>
      <c r="H2093" s="30" t="s">
        <v>2399</v>
      </c>
      <c r="I2093" s="78"/>
      <c r="J2093" s="20"/>
      <c r="K2093" s="20"/>
      <c r="L2093" s="20"/>
      <c r="M2093" s="20"/>
      <c r="N2093" s="320" t="s">
        <v>2685</v>
      </c>
      <c r="O2093" s="70">
        <v>0</v>
      </c>
      <c r="P2093" s="70">
        <v>0</v>
      </c>
      <c r="Q2093" s="70">
        <f t="shared" si="175"/>
        <v>0</v>
      </c>
      <c r="R2093" s="70"/>
      <c r="S2093" s="67"/>
      <c r="T2093" s="2" t="str">
        <f t="shared" si="176"/>
        <v>Nguyễn Nhật Trúc Phương_11VH5</v>
      </c>
      <c r="U2093" s="28">
        <f t="array" ref="U2093">IFERROR(VLOOKUP($T2093,'Nghi hoc T12'!$H$7:$I$160,2,0),0)</f>
        <v>0</v>
      </c>
      <c r="V2093" s="28" t="str">
        <f t="shared" si="180"/>
        <v>304.C11</v>
      </c>
      <c r="W2093" s="28">
        <f t="shared" si="177"/>
        <v>0</v>
      </c>
      <c r="X2093" s="333">
        <f t="shared" si="178"/>
        <v>0</v>
      </c>
      <c r="Y2093" s="333">
        <f t="shared" si="179"/>
        <v>0</v>
      </c>
    </row>
    <row r="2094" spans="1:25" s="2" customFormat="1" ht="21.95" customHeight="1">
      <c r="A2094" s="82">
        <v>19</v>
      </c>
      <c r="B2094" s="91" t="s">
        <v>3344</v>
      </c>
      <c r="C2094" s="83" t="s">
        <v>365</v>
      </c>
      <c r="D2094" s="81" t="s">
        <v>2282</v>
      </c>
      <c r="E2094" s="48">
        <v>400441</v>
      </c>
      <c r="F2094" s="30" t="s">
        <v>151</v>
      </c>
      <c r="G2094" s="29" t="s">
        <v>57</v>
      </c>
      <c r="H2094" s="30" t="s">
        <v>2396</v>
      </c>
      <c r="I2094" s="78"/>
      <c r="J2094" s="20"/>
      <c r="K2094" s="20"/>
      <c r="L2094" s="20"/>
      <c r="M2094" s="20"/>
      <c r="N2094" s="320" t="s">
        <v>2685</v>
      </c>
      <c r="O2094" s="70">
        <v>0</v>
      </c>
      <c r="P2094" s="70">
        <v>0</v>
      </c>
      <c r="Q2094" s="70">
        <f t="shared" si="175"/>
        <v>0</v>
      </c>
      <c r="R2094" s="70"/>
      <c r="S2094" s="67"/>
      <c r="T2094" s="2" t="str">
        <f t="shared" si="176"/>
        <v>Nguyễn Hoàng Quân_11VH3</v>
      </c>
      <c r="U2094" s="28">
        <f t="array" ref="U2094">IFERROR(VLOOKUP($T2094,'Nghi hoc T12'!$H$7:$I$160,2,0),0)</f>
        <v>0</v>
      </c>
      <c r="V2094" s="28" t="str">
        <f t="shared" si="180"/>
        <v>304.C11</v>
      </c>
      <c r="W2094" s="28">
        <f t="shared" si="177"/>
        <v>0</v>
      </c>
      <c r="X2094" s="333">
        <f t="shared" si="178"/>
        <v>0</v>
      </c>
      <c r="Y2094" s="333">
        <f t="shared" si="179"/>
        <v>0</v>
      </c>
    </row>
    <row r="2095" spans="1:25" s="2" customFormat="1" ht="21.95" customHeight="1">
      <c r="A2095" s="82">
        <v>20</v>
      </c>
      <c r="B2095" s="91" t="s">
        <v>3344</v>
      </c>
      <c r="C2095" s="83" t="s">
        <v>365</v>
      </c>
      <c r="D2095" s="81" t="s">
        <v>2282</v>
      </c>
      <c r="E2095" s="48">
        <v>400442</v>
      </c>
      <c r="F2095" s="30" t="s">
        <v>2460</v>
      </c>
      <c r="G2095" s="29" t="s">
        <v>57</v>
      </c>
      <c r="H2095" s="30" t="s">
        <v>2398</v>
      </c>
      <c r="I2095" s="78"/>
      <c r="J2095" s="20"/>
      <c r="K2095" s="20"/>
      <c r="L2095" s="20"/>
      <c r="M2095" s="20"/>
      <c r="N2095" s="320" t="s">
        <v>2685</v>
      </c>
      <c r="O2095" s="70">
        <v>0</v>
      </c>
      <c r="P2095" s="70">
        <v>0</v>
      </c>
      <c r="Q2095" s="70">
        <f t="shared" si="175"/>
        <v>0</v>
      </c>
      <c r="R2095" s="70"/>
      <c r="S2095" s="67"/>
      <c r="T2095" s="2" t="str">
        <f t="shared" si="176"/>
        <v>Trương Anh Quân_11VH4</v>
      </c>
      <c r="U2095" s="28">
        <f t="array" ref="U2095">IFERROR(VLOOKUP($T2095,'Nghi hoc T12'!$H$7:$I$160,2,0),0)</f>
        <v>0</v>
      </c>
      <c r="V2095" s="28" t="str">
        <f t="shared" si="180"/>
        <v>304.C11</v>
      </c>
      <c r="W2095" s="28">
        <f t="shared" si="177"/>
        <v>0</v>
      </c>
      <c r="X2095" s="333">
        <f t="shared" si="178"/>
        <v>0</v>
      </c>
      <c r="Y2095" s="333">
        <f t="shared" si="179"/>
        <v>0</v>
      </c>
    </row>
    <row r="2096" spans="1:25" s="2" customFormat="1" ht="21.95" customHeight="1">
      <c r="A2096" s="82">
        <v>21</v>
      </c>
      <c r="B2096" s="91" t="s">
        <v>3344</v>
      </c>
      <c r="C2096" s="83" t="s">
        <v>365</v>
      </c>
      <c r="D2096" s="81" t="s">
        <v>2282</v>
      </c>
      <c r="E2096" s="48">
        <v>400443</v>
      </c>
      <c r="F2096" s="30" t="s">
        <v>2461</v>
      </c>
      <c r="G2096" s="29" t="s">
        <v>305</v>
      </c>
      <c r="H2096" s="30" t="s">
        <v>2398</v>
      </c>
      <c r="I2096" s="78"/>
      <c r="J2096" s="20"/>
      <c r="K2096" s="20"/>
      <c r="L2096" s="20"/>
      <c r="M2096" s="20"/>
      <c r="N2096" s="320" t="s">
        <v>2685</v>
      </c>
      <c r="O2096" s="70">
        <v>0</v>
      </c>
      <c r="P2096" s="70">
        <v>0</v>
      </c>
      <c r="Q2096" s="70">
        <f t="shared" si="175"/>
        <v>0</v>
      </c>
      <c r="R2096" s="70"/>
      <c r="S2096" s="67"/>
      <c r="T2096" s="2" t="str">
        <f t="shared" si="176"/>
        <v>Nguyễn Thành Yến Quyên_11VH4</v>
      </c>
      <c r="U2096" s="28">
        <f t="array" ref="U2096">IFERROR(VLOOKUP($T2096,'Nghi hoc T12'!$H$7:$I$160,2,0),0)</f>
        <v>0</v>
      </c>
      <c r="V2096" s="28" t="str">
        <f t="shared" si="180"/>
        <v>304.C11</v>
      </c>
      <c r="W2096" s="28">
        <f t="shared" si="177"/>
        <v>0</v>
      </c>
      <c r="X2096" s="333">
        <f t="shared" si="178"/>
        <v>0</v>
      </c>
      <c r="Y2096" s="333">
        <f t="shared" si="179"/>
        <v>0</v>
      </c>
    </row>
    <row r="2097" spans="1:25" s="2" customFormat="1" ht="21.95" customHeight="1">
      <c r="A2097" s="82">
        <v>22</v>
      </c>
      <c r="B2097" s="91" t="s">
        <v>3344</v>
      </c>
      <c r="C2097" s="83" t="s">
        <v>365</v>
      </c>
      <c r="D2097" s="81" t="s">
        <v>2282</v>
      </c>
      <c r="E2097" s="48">
        <v>400444</v>
      </c>
      <c r="F2097" s="30" t="s">
        <v>2462</v>
      </c>
      <c r="G2097" s="29" t="s">
        <v>22</v>
      </c>
      <c r="H2097" s="30" t="s">
        <v>2399</v>
      </c>
      <c r="I2097" s="78"/>
      <c r="J2097" s="20"/>
      <c r="K2097" s="20"/>
      <c r="L2097" s="20"/>
      <c r="M2097" s="20"/>
      <c r="N2097" s="320" t="s">
        <v>2685</v>
      </c>
      <c r="O2097" s="70">
        <v>0</v>
      </c>
      <c r="P2097" s="70">
        <v>0</v>
      </c>
      <c r="Q2097" s="70">
        <f t="shared" si="175"/>
        <v>0</v>
      </c>
      <c r="R2097" s="70"/>
      <c r="S2097" s="67"/>
      <c r="T2097" s="2" t="str">
        <f t="shared" si="176"/>
        <v>Phan Ngọc Như Quỳnh_11VH5</v>
      </c>
      <c r="U2097" s="28">
        <f t="array" ref="U2097">IFERROR(VLOOKUP($T2097,'Nghi hoc T12'!$H$7:$I$160,2,0),0)</f>
        <v>0</v>
      </c>
      <c r="V2097" s="28" t="str">
        <f t="shared" si="180"/>
        <v>304.C11</v>
      </c>
      <c r="W2097" s="28">
        <f t="shared" si="177"/>
        <v>0</v>
      </c>
      <c r="X2097" s="333">
        <f t="shared" si="178"/>
        <v>0</v>
      </c>
      <c r="Y2097" s="333">
        <f t="shared" si="179"/>
        <v>0</v>
      </c>
    </row>
    <row r="2098" spans="1:25" s="2" customFormat="1" ht="21.95" customHeight="1">
      <c r="A2098" s="82">
        <v>23</v>
      </c>
      <c r="B2098" s="91" t="s">
        <v>3344</v>
      </c>
      <c r="C2098" s="83" t="s">
        <v>365</v>
      </c>
      <c r="D2098" s="81" t="s">
        <v>2282</v>
      </c>
      <c r="E2098" s="48">
        <v>400445</v>
      </c>
      <c r="F2098" s="30" t="s">
        <v>1302</v>
      </c>
      <c r="G2098" s="29" t="s">
        <v>22</v>
      </c>
      <c r="H2098" s="30" t="s">
        <v>2396</v>
      </c>
      <c r="I2098" s="78"/>
      <c r="J2098" s="20"/>
      <c r="K2098" s="20"/>
      <c r="L2098" s="20"/>
      <c r="M2098" s="20"/>
      <c r="N2098" s="320" t="s">
        <v>2685</v>
      </c>
      <c r="O2098" s="70">
        <v>0</v>
      </c>
      <c r="P2098" s="70">
        <v>0</v>
      </c>
      <c r="Q2098" s="70">
        <f t="shared" si="175"/>
        <v>0</v>
      </c>
      <c r="R2098" s="70"/>
      <c r="S2098" s="67"/>
      <c r="T2098" s="2" t="str">
        <f t="shared" si="176"/>
        <v>Trần Như Quỳnh_11VH3</v>
      </c>
      <c r="U2098" s="28">
        <f t="array" ref="U2098">IFERROR(VLOOKUP($T2098,'Nghi hoc T12'!$H$7:$I$160,2,0),0)</f>
        <v>0</v>
      </c>
      <c r="V2098" s="28" t="str">
        <f t="shared" si="180"/>
        <v>304.C11</v>
      </c>
      <c r="W2098" s="28">
        <f t="shared" si="177"/>
        <v>0</v>
      </c>
      <c r="X2098" s="333">
        <f t="shared" si="178"/>
        <v>0</v>
      </c>
      <c r="Y2098" s="333">
        <f t="shared" si="179"/>
        <v>0</v>
      </c>
    </row>
    <row r="2099" spans="1:25" s="2" customFormat="1" ht="21.95" customHeight="1">
      <c r="A2099" s="82">
        <v>24</v>
      </c>
      <c r="B2099" s="91" t="s">
        <v>3344</v>
      </c>
      <c r="C2099" s="83" t="s">
        <v>365</v>
      </c>
      <c r="D2099" s="81" t="s">
        <v>2282</v>
      </c>
      <c r="E2099" s="48">
        <v>400446</v>
      </c>
      <c r="F2099" s="30" t="s">
        <v>2463</v>
      </c>
      <c r="G2099" s="29" t="s">
        <v>47</v>
      </c>
      <c r="H2099" s="30" t="s">
        <v>2398</v>
      </c>
      <c r="I2099" s="78"/>
      <c r="J2099" s="20"/>
      <c r="K2099" s="20"/>
      <c r="L2099" s="20"/>
      <c r="M2099" s="20"/>
      <c r="N2099" s="320" t="s">
        <v>2685</v>
      </c>
      <c r="O2099" s="70">
        <v>0</v>
      </c>
      <c r="P2099" s="70">
        <v>0</v>
      </c>
      <c r="Q2099" s="70">
        <f t="shared" si="175"/>
        <v>0</v>
      </c>
      <c r="R2099" s="70"/>
      <c r="S2099" s="67"/>
      <c r="T2099" s="2" t="str">
        <f t="shared" si="176"/>
        <v>Bùi Lê Minh Sang_11VH4</v>
      </c>
      <c r="U2099" s="28">
        <f t="array" ref="U2099">IFERROR(VLOOKUP($T2099,'Nghi hoc T12'!$H$7:$I$160,2,0),0)</f>
        <v>0</v>
      </c>
      <c r="V2099" s="28" t="str">
        <f t="shared" si="180"/>
        <v>304.C11</v>
      </c>
      <c r="W2099" s="28">
        <f t="shared" si="177"/>
        <v>0</v>
      </c>
      <c r="X2099" s="333">
        <f t="shared" si="178"/>
        <v>0</v>
      </c>
      <c r="Y2099" s="333">
        <f t="shared" si="179"/>
        <v>0</v>
      </c>
    </row>
    <row r="2100" spans="1:25" s="2" customFormat="1" ht="21.95" customHeight="1">
      <c r="A2100" s="82">
        <v>25</v>
      </c>
      <c r="B2100" s="91" t="s">
        <v>3344</v>
      </c>
      <c r="C2100" s="83" t="s">
        <v>365</v>
      </c>
      <c r="D2100" s="81" t="s">
        <v>2282</v>
      </c>
      <c r="E2100" s="48">
        <v>400447</v>
      </c>
      <c r="F2100" s="30" t="s">
        <v>1212</v>
      </c>
      <c r="G2100" s="29" t="s">
        <v>47</v>
      </c>
      <c r="H2100" s="30" t="s">
        <v>2399</v>
      </c>
      <c r="I2100" s="78"/>
      <c r="J2100" s="20"/>
      <c r="K2100" s="20"/>
      <c r="L2100" s="20"/>
      <c r="M2100" s="20"/>
      <c r="N2100" s="320" t="s">
        <v>2685</v>
      </c>
      <c r="O2100" s="70">
        <v>0</v>
      </c>
      <c r="P2100" s="70">
        <v>0</v>
      </c>
      <c r="Q2100" s="70">
        <f t="shared" si="175"/>
        <v>0</v>
      </c>
      <c r="R2100" s="70"/>
      <c r="S2100" s="67"/>
      <c r="T2100" s="2" t="str">
        <f t="shared" si="176"/>
        <v>Nguyễn Phúc Minh Sang_11VH5</v>
      </c>
      <c r="U2100" s="28">
        <f t="array" ref="U2100">IFERROR(VLOOKUP($T2100,'Nghi hoc T12'!$H$7:$I$160,2,0),0)</f>
        <v>0</v>
      </c>
      <c r="V2100" s="28" t="str">
        <f t="shared" si="180"/>
        <v>304.C11</v>
      </c>
      <c r="W2100" s="28">
        <f t="shared" si="177"/>
        <v>0</v>
      </c>
      <c r="X2100" s="333">
        <f t="shared" si="178"/>
        <v>0</v>
      </c>
      <c r="Y2100" s="333">
        <f t="shared" si="179"/>
        <v>0</v>
      </c>
    </row>
    <row r="2101" spans="1:25" s="2" customFormat="1" ht="21.95" customHeight="1">
      <c r="A2101" s="321">
        <v>1</v>
      </c>
      <c r="B2101" s="91" t="s">
        <v>3345</v>
      </c>
      <c r="C2101" s="185" t="s">
        <v>365</v>
      </c>
      <c r="D2101" s="186" t="s">
        <v>2298</v>
      </c>
      <c r="E2101" s="187">
        <v>400448</v>
      </c>
      <c r="F2101" s="188" t="s">
        <v>2464</v>
      </c>
      <c r="G2101" s="189" t="s">
        <v>93</v>
      </c>
      <c r="H2101" s="188" t="s">
        <v>2396</v>
      </c>
      <c r="I2101" s="190"/>
      <c r="J2101" s="191"/>
      <c r="K2101" s="191"/>
      <c r="L2101" s="191"/>
      <c r="M2101" s="191"/>
      <c r="N2101" s="320" t="s">
        <v>2685</v>
      </c>
      <c r="O2101" s="70">
        <v>0</v>
      </c>
      <c r="P2101" s="70">
        <v>0</v>
      </c>
      <c r="Q2101" s="70">
        <f t="shared" si="175"/>
        <v>0</v>
      </c>
      <c r="R2101" s="70"/>
      <c r="S2101" s="67"/>
      <c r="T2101" s="2" t="str">
        <f t="shared" si="176"/>
        <v>Lê Công Đức Tài_11VH3</v>
      </c>
      <c r="U2101" s="28">
        <f t="array" ref="U2101">IFERROR(VLOOKUP($T2101,'Nghi hoc T12'!$H$7:$I$160,2,0),0)</f>
        <v>0</v>
      </c>
      <c r="V2101" s="28" t="str">
        <f t="shared" si="180"/>
        <v>305.C11</v>
      </c>
      <c r="W2101" s="28">
        <f t="shared" si="177"/>
        <v>0</v>
      </c>
      <c r="X2101" s="333">
        <f t="shared" si="178"/>
        <v>0</v>
      </c>
      <c r="Y2101" s="333">
        <f t="shared" si="179"/>
        <v>0</v>
      </c>
    </row>
    <row r="2102" spans="1:25" s="2" customFormat="1" ht="21.95" customHeight="1">
      <c r="A2102" s="82">
        <v>2</v>
      </c>
      <c r="B2102" s="91" t="s">
        <v>3345</v>
      </c>
      <c r="C2102" s="83" t="s">
        <v>365</v>
      </c>
      <c r="D2102" s="81" t="s">
        <v>2298</v>
      </c>
      <c r="E2102" s="48">
        <v>400449</v>
      </c>
      <c r="F2102" s="30" t="s">
        <v>201</v>
      </c>
      <c r="G2102" s="29" t="s">
        <v>93</v>
      </c>
      <c r="H2102" s="30" t="s">
        <v>2398</v>
      </c>
      <c r="I2102" s="78"/>
      <c r="J2102" s="20"/>
      <c r="K2102" s="20"/>
      <c r="L2102" s="20"/>
      <c r="M2102" s="20"/>
      <c r="N2102" s="320" t="s">
        <v>2685</v>
      </c>
      <c r="O2102" s="70">
        <v>0</v>
      </c>
      <c r="P2102" s="70">
        <v>0</v>
      </c>
      <c r="Q2102" s="70">
        <f t="shared" si="175"/>
        <v>0</v>
      </c>
      <c r="R2102" s="70"/>
      <c r="S2102" s="67"/>
      <c r="T2102" s="2" t="str">
        <f t="shared" si="176"/>
        <v>Nguyễn Hữu Tài_11VH4</v>
      </c>
      <c r="U2102" s="28">
        <f t="array" ref="U2102">IFERROR(VLOOKUP($T2102,'Nghi hoc T12'!$H$7:$I$160,2,0),0)</f>
        <v>0</v>
      </c>
      <c r="V2102" s="28" t="str">
        <f t="shared" si="180"/>
        <v>305.C11</v>
      </c>
      <c r="W2102" s="28">
        <f t="shared" si="177"/>
        <v>0</v>
      </c>
      <c r="X2102" s="333">
        <f t="shared" si="178"/>
        <v>0</v>
      </c>
      <c r="Y2102" s="333">
        <f t="shared" si="179"/>
        <v>0</v>
      </c>
    </row>
    <row r="2103" spans="1:25" s="2" customFormat="1" ht="21.95" customHeight="1">
      <c r="A2103" s="82">
        <v>3</v>
      </c>
      <c r="B2103" s="91" t="s">
        <v>3345</v>
      </c>
      <c r="C2103" s="83" t="s">
        <v>365</v>
      </c>
      <c r="D2103" s="81" t="s">
        <v>2298</v>
      </c>
      <c r="E2103" s="48">
        <v>400450</v>
      </c>
      <c r="F2103" s="30" t="s">
        <v>142</v>
      </c>
      <c r="G2103" s="29" t="s">
        <v>93</v>
      </c>
      <c r="H2103" s="30" t="s">
        <v>2399</v>
      </c>
      <c r="I2103" s="78"/>
      <c r="J2103" s="20"/>
      <c r="K2103" s="20"/>
      <c r="L2103" s="20"/>
      <c r="M2103" s="20"/>
      <c r="N2103" s="320" t="s">
        <v>2685</v>
      </c>
      <c r="O2103" s="70">
        <v>0</v>
      </c>
      <c r="P2103" s="70">
        <v>0</v>
      </c>
      <c r="Q2103" s="70">
        <f t="shared" si="175"/>
        <v>0</v>
      </c>
      <c r="R2103" s="70"/>
      <c r="S2103" s="67"/>
      <c r="T2103" s="2" t="str">
        <f t="shared" si="176"/>
        <v>Nguyễn Tấn Tài_11VH5</v>
      </c>
      <c r="U2103" s="28">
        <f t="array" ref="U2103">IFERROR(VLOOKUP($T2103,'Nghi hoc T12'!$H$7:$I$160,2,0),0)</f>
        <v>0</v>
      </c>
      <c r="V2103" s="28" t="str">
        <f t="shared" si="180"/>
        <v>305.C11</v>
      </c>
      <c r="W2103" s="28">
        <f t="shared" si="177"/>
        <v>0</v>
      </c>
      <c r="X2103" s="333">
        <f t="shared" si="178"/>
        <v>0</v>
      </c>
      <c r="Y2103" s="333">
        <f t="shared" si="179"/>
        <v>0</v>
      </c>
    </row>
    <row r="2104" spans="1:25" s="2" customFormat="1" ht="21.95" customHeight="1">
      <c r="A2104" s="82">
        <v>4</v>
      </c>
      <c r="B2104" s="91" t="s">
        <v>3345</v>
      </c>
      <c r="C2104" s="83" t="s">
        <v>365</v>
      </c>
      <c r="D2104" s="81" t="s">
        <v>2298</v>
      </c>
      <c r="E2104" s="48">
        <v>400451</v>
      </c>
      <c r="F2104" s="30" t="s">
        <v>1651</v>
      </c>
      <c r="G2104" s="29" t="s">
        <v>27</v>
      </c>
      <c r="H2104" s="30" t="s">
        <v>2396</v>
      </c>
      <c r="I2104" s="78" t="s">
        <v>529</v>
      </c>
      <c r="J2104" s="20"/>
      <c r="K2104" s="20"/>
      <c r="L2104" s="20"/>
      <c r="M2104" s="20"/>
      <c r="N2104" s="320" t="s">
        <v>2685</v>
      </c>
      <c r="O2104" s="70">
        <v>0</v>
      </c>
      <c r="P2104" s="70">
        <v>0</v>
      </c>
      <c r="Q2104" s="70" t="str">
        <f t="shared" si="175"/>
        <v>NgiH</v>
      </c>
      <c r="R2104" s="70"/>
      <c r="S2104" s="67"/>
      <c r="T2104" s="2" t="str">
        <f t="shared" si="176"/>
        <v>Trần Đại Thành_11VH3</v>
      </c>
      <c r="U2104" s="28" t="s">
        <v>3334</v>
      </c>
      <c r="V2104" s="28" t="str">
        <f t="shared" si="180"/>
        <v>305.C11</v>
      </c>
      <c r="W2104" s="28" t="str">
        <f t="shared" si="177"/>
        <v>Nghỉ học</v>
      </c>
      <c r="X2104" s="333">
        <f t="shared" si="178"/>
        <v>0</v>
      </c>
      <c r="Y2104" s="333">
        <f t="shared" si="179"/>
        <v>0</v>
      </c>
    </row>
    <row r="2105" spans="1:25" s="2" customFormat="1" ht="21.95" customHeight="1">
      <c r="A2105" s="82">
        <v>5</v>
      </c>
      <c r="B2105" s="91" t="s">
        <v>3345</v>
      </c>
      <c r="C2105" s="83" t="s">
        <v>365</v>
      </c>
      <c r="D2105" s="81" t="s">
        <v>2298</v>
      </c>
      <c r="E2105" s="48">
        <v>400452</v>
      </c>
      <c r="F2105" s="30" t="s">
        <v>2465</v>
      </c>
      <c r="G2105" s="29" t="s">
        <v>49</v>
      </c>
      <c r="H2105" s="30" t="s">
        <v>2396</v>
      </c>
      <c r="I2105" s="78"/>
      <c r="J2105" s="20"/>
      <c r="K2105" s="20"/>
      <c r="L2105" s="20"/>
      <c r="M2105" s="20"/>
      <c r="N2105" s="320" t="s">
        <v>2685</v>
      </c>
      <c r="O2105" s="70">
        <v>0</v>
      </c>
      <c r="P2105" s="70">
        <v>0</v>
      </c>
      <c r="Q2105" s="70">
        <f t="shared" si="175"/>
        <v>0</v>
      </c>
      <c r="R2105" s="70"/>
      <c r="S2105" s="67"/>
      <c r="T2105" s="2" t="str">
        <f t="shared" si="176"/>
        <v>Hồ Đặng Xuân Thảo_11VH3</v>
      </c>
      <c r="U2105" s="28">
        <f t="array" ref="U2105">IFERROR(VLOOKUP($T2105,'Nghi hoc T12'!$H$7:$I$160,2,0),0)</f>
        <v>0</v>
      </c>
      <c r="V2105" s="28" t="str">
        <f t="shared" si="180"/>
        <v>305.C11</v>
      </c>
      <c r="W2105" s="28">
        <f t="shared" si="177"/>
        <v>0</v>
      </c>
      <c r="X2105" s="333">
        <f t="shared" si="178"/>
        <v>0</v>
      </c>
      <c r="Y2105" s="333">
        <f t="shared" si="179"/>
        <v>0</v>
      </c>
    </row>
    <row r="2106" spans="1:25" s="2" customFormat="1" ht="21.95" customHeight="1">
      <c r="A2106" s="82">
        <v>6</v>
      </c>
      <c r="B2106" s="91" t="s">
        <v>3345</v>
      </c>
      <c r="C2106" s="83" t="s">
        <v>365</v>
      </c>
      <c r="D2106" s="81" t="s">
        <v>2298</v>
      </c>
      <c r="E2106" s="48">
        <v>400453</v>
      </c>
      <c r="F2106" s="30" t="s">
        <v>258</v>
      </c>
      <c r="G2106" s="29" t="s">
        <v>49</v>
      </c>
      <c r="H2106" s="30" t="s">
        <v>2398</v>
      </c>
      <c r="I2106" s="78"/>
      <c r="J2106" s="20"/>
      <c r="K2106" s="20"/>
      <c r="L2106" s="20"/>
      <c r="M2106" s="20"/>
      <c r="N2106" s="320" t="s">
        <v>2685</v>
      </c>
      <c r="O2106" s="70">
        <v>0</v>
      </c>
      <c r="P2106" s="70">
        <v>0</v>
      </c>
      <c r="Q2106" s="70">
        <f t="shared" si="175"/>
        <v>0</v>
      </c>
      <c r="R2106" s="70"/>
      <c r="S2106" s="67"/>
      <c r="T2106" s="2" t="str">
        <f t="shared" si="176"/>
        <v>Nguyễn Ngọc Thanh Thảo_11VH4</v>
      </c>
      <c r="U2106" s="28">
        <f t="array" ref="U2106">IFERROR(VLOOKUP($T2106,'Nghi hoc T12'!$H$7:$I$160,2,0),0)</f>
        <v>0</v>
      </c>
      <c r="V2106" s="28" t="str">
        <f t="shared" si="180"/>
        <v>305.C11</v>
      </c>
      <c r="W2106" s="28">
        <f t="shared" si="177"/>
        <v>0</v>
      </c>
      <c r="X2106" s="333">
        <f t="shared" si="178"/>
        <v>0</v>
      </c>
      <c r="Y2106" s="333">
        <f t="shared" si="179"/>
        <v>0</v>
      </c>
    </row>
    <row r="2107" spans="1:25" s="2" customFormat="1" ht="21.95" customHeight="1">
      <c r="A2107" s="82">
        <v>7</v>
      </c>
      <c r="B2107" s="91" t="s">
        <v>3345</v>
      </c>
      <c r="C2107" s="83" t="s">
        <v>365</v>
      </c>
      <c r="D2107" s="81" t="s">
        <v>2298</v>
      </c>
      <c r="E2107" s="48">
        <v>400454</v>
      </c>
      <c r="F2107" s="30" t="s">
        <v>2466</v>
      </c>
      <c r="G2107" s="29" t="s">
        <v>49</v>
      </c>
      <c r="H2107" s="30" t="s">
        <v>2399</v>
      </c>
      <c r="I2107" s="78"/>
      <c r="J2107" s="20"/>
      <c r="K2107" s="20"/>
      <c r="L2107" s="20"/>
      <c r="M2107" s="20"/>
      <c r="N2107" s="320" t="s">
        <v>2685</v>
      </c>
      <c r="O2107" s="70">
        <v>0</v>
      </c>
      <c r="P2107" s="70">
        <v>0</v>
      </c>
      <c r="Q2107" s="70">
        <f t="shared" si="175"/>
        <v>0</v>
      </c>
      <c r="R2107" s="70"/>
      <c r="S2107" s="67"/>
      <c r="T2107" s="2" t="str">
        <f t="shared" si="176"/>
        <v>Nguyễn Thanh Phương Thảo_11VH5</v>
      </c>
      <c r="U2107" s="28">
        <f t="array" ref="U2107">IFERROR(VLOOKUP($T2107,'Nghi hoc T12'!$H$7:$I$160,2,0),0)</f>
        <v>0</v>
      </c>
      <c r="V2107" s="28" t="str">
        <f t="shared" si="180"/>
        <v>305.C11</v>
      </c>
      <c r="W2107" s="28">
        <f t="shared" si="177"/>
        <v>0</v>
      </c>
      <c r="X2107" s="333">
        <f t="shared" si="178"/>
        <v>0</v>
      </c>
      <c r="Y2107" s="333">
        <f t="shared" si="179"/>
        <v>0</v>
      </c>
    </row>
    <row r="2108" spans="1:25" s="2" customFormat="1" ht="21.95" customHeight="1">
      <c r="A2108" s="82">
        <v>8</v>
      </c>
      <c r="B2108" s="91" t="s">
        <v>3345</v>
      </c>
      <c r="C2108" s="83" t="s">
        <v>365</v>
      </c>
      <c r="D2108" s="81" t="s">
        <v>2298</v>
      </c>
      <c r="E2108" s="48">
        <v>400455</v>
      </c>
      <c r="F2108" s="30" t="s">
        <v>2467</v>
      </c>
      <c r="G2108" s="29" t="s">
        <v>48</v>
      </c>
      <c r="H2108" s="30" t="s">
        <v>2396</v>
      </c>
      <c r="I2108" s="78"/>
      <c r="J2108" s="20"/>
      <c r="K2108" s="20"/>
      <c r="L2108" s="20"/>
      <c r="M2108" s="20"/>
      <c r="N2108" s="320" t="s">
        <v>2685</v>
      </c>
      <c r="O2108" s="70">
        <v>0</v>
      </c>
      <c r="P2108" s="70">
        <v>0</v>
      </c>
      <c r="Q2108" s="70">
        <f t="shared" si="175"/>
        <v>0</v>
      </c>
      <c r="R2108" s="70"/>
      <c r="S2108" s="67"/>
      <c r="T2108" s="2" t="str">
        <f t="shared" si="176"/>
        <v>Chềnh Quốc Thắng_11VH3</v>
      </c>
      <c r="U2108" s="28">
        <f t="array" ref="U2108">IFERROR(VLOOKUP($T2108,'Nghi hoc T12'!$H$7:$I$160,2,0),0)</f>
        <v>0</v>
      </c>
      <c r="V2108" s="28" t="str">
        <f t="shared" si="180"/>
        <v>305.C11</v>
      </c>
      <c r="W2108" s="28">
        <f t="shared" si="177"/>
        <v>0</v>
      </c>
      <c r="X2108" s="333">
        <f t="shared" si="178"/>
        <v>0</v>
      </c>
      <c r="Y2108" s="333">
        <f t="shared" si="179"/>
        <v>0</v>
      </c>
    </row>
    <row r="2109" spans="1:25" s="2" customFormat="1" ht="21.95" customHeight="1">
      <c r="A2109" s="82">
        <v>9</v>
      </c>
      <c r="B2109" s="91" t="s">
        <v>3345</v>
      </c>
      <c r="C2109" s="83" t="s">
        <v>365</v>
      </c>
      <c r="D2109" s="81" t="s">
        <v>2298</v>
      </c>
      <c r="E2109" s="48">
        <v>400456</v>
      </c>
      <c r="F2109" s="30" t="s">
        <v>2468</v>
      </c>
      <c r="G2109" s="29" t="s">
        <v>50</v>
      </c>
      <c r="H2109" s="30" t="s">
        <v>2396</v>
      </c>
      <c r="I2109" s="78"/>
      <c r="J2109" s="20"/>
      <c r="K2109" s="20"/>
      <c r="L2109" s="20"/>
      <c r="M2109" s="20"/>
      <c r="N2109" s="320" t="s">
        <v>2685</v>
      </c>
      <c r="O2109" s="70">
        <v>0</v>
      </c>
      <c r="P2109" s="70">
        <v>0</v>
      </c>
      <c r="Q2109" s="70">
        <f t="shared" si="175"/>
        <v>0</v>
      </c>
      <c r="R2109" s="70"/>
      <c r="S2109" s="67"/>
      <c r="T2109" s="2" t="str">
        <f t="shared" si="176"/>
        <v>Bùi Ngọc Thiện_11VH3</v>
      </c>
      <c r="U2109" s="28">
        <f t="array" ref="U2109">IFERROR(VLOOKUP($T2109,'Nghi hoc T12'!$H$7:$I$160,2,0),0)</f>
        <v>0</v>
      </c>
      <c r="V2109" s="28" t="str">
        <f t="shared" si="180"/>
        <v>305.C11</v>
      </c>
      <c r="W2109" s="28">
        <f t="shared" si="177"/>
        <v>0</v>
      </c>
      <c r="X2109" s="333">
        <f t="shared" si="178"/>
        <v>0</v>
      </c>
      <c r="Y2109" s="333">
        <f t="shared" si="179"/>
        <v>0</v>
      </c>
    </row>
    <row r="2110" spans="1:25" s="2" customFormat="1" ht="21.95" customHeight="1">
      <c r="A2110" s="82">
        <v>10</v>
      </c>
      <c r="B2110" s="91" t="s">
        <v>3345</v>
      </c>
      <c r="C2110" s="83" t="s">
        <v>365</v>
      </c>
      <c r="D2110" s="81" t="s">
        <v>2298</v>
      </c>
      <c r="E2110" s="48">
        <v>400457</v>
      </c>
      <c r="F2110" s="30" t="s">
        <v>2469</v>
      </c>
      <c r="G2110" s="29" t="s">
        <v>50</v>
      </c>
      <c r="H2110" s="30" t="s">
        <v>2398</v>
      </c>
      <c r="I2110" s="78"/>
      <c r="J2110" s="20"/>
      <c r="K2110" s="20"/>
      <c r="L2110" s="20"/>
      <c r="M2110" s="20"/>
      <c r="N2110" s="320" t="s">
        <v>2685</v>
      </c>
      <c r="O2110" s="70">
        <v>0</v>
      </c>
      <c r="P2110" s="70">
        <v>0</v>
      </c>
      <c r="Q2110" s="70">
        <f t="shared" si="175"/>
        <v>0</v>
      </c>
      <c r="R2110" s="70"/>
      <c r="S2110" s="67"/>
      <c r="T2110" s="2" t="str">
        <f t="shared" si="176"/>
        <v>Ngô Nguyễn Thanh Thiện_11VH4</v>
      </c>
      <c r="U2110" s="28">
        <f t="array" ref="U2110">IFERROR(VLOOKUP($T2110,'Nghi hoc T12'!$H$7:$I$160,2,0),0)</f>
        <v>0</v>
      </c>
      <c r="V2110" s="28" t="str">
        <f t="shared" si="180"/>
        <v>305.C11</v>
      </c>
      <c r="W2110" s="28">
        <f t="shared" si="177"/>
        <v>0</v>
      </c>
      <c r="X2110" s="333">
        <f t="shared" si="178"/>
        <v>0</v>
      </c>
      <c r="Y2110" s="333">
        <f t="shared" si="179"/>
        <v>0</v>
      </c>
    </row>
    <row r="2111" spans="1:25" s="2" customFormat="1" ht="21.95" customHeight="1">
      <c r="A2111" s="82">
        <v>11</v>
      </c>
      <c r="B2111" s="91" t="s">
        <v>3345</v>
      </c>
      <c r="C2111" s="83" t="s">
        <v>365</v>
      </c>
      <c r="D2111" s="81" t="s">
        <v>2298</v>
      </c>
      <c r="E2111" s="48">
        <v>400458</v>
      </c>
      <c r="F2111" s="30" t="s">
        <v>45</v>
      </c>
      <c r="G2111" s="29" t="s">
        <v>58</v>
      </c>
      <c r="H2111" s="30" t="s">
        <v>2398</v>
      </c>
      <c r="I2111" s="78"/>
      <c r="J2111" s="20"/>
      <c r="K2111" s="20"/>
      <c r="L2111" s="20"/>
      <c r="M2111" s="20"/>
      <c r="N2111" s="320" t="s">
        <v>2685</v>
      </c>
      <c r="O2111" s="70">
        <v>0</v>
      </c>
      <c r="P2111" s="70">
        <v>0</v>
      </c>
      <c r="Q2111" s="70">
        <f t="shared" si="175"/>
        <v>0</v>
      </c>
      <c r="R2111" s="70"/>
      <c r="S2111" s="67"/>
      <c r="T2111" s="2" t="str">
        <f t="shared" si="176"/>
        <v>Nguyễn Quang Thịnh_11VH4</v>
      </c>
      <c r="U2111" s="28">
        <f t="array" ref="U2111">IFERROR(VLOOKUP($T2111,'Nghi hoc T12'!$H$7:$I$160,2,0),0)</f>
        <v>0</v>
      </c>
      <c r="V2111" s="28" t="str">
        <f t="shared" si="180"/>
        <v>305.C11</v>
      </c>
      <c r="W2111" s="28">
        <f t="shared" si="177"/>
        <v>0</v>
      </c>
      <c r="X2111" s="333">
        <f t="shared" si="178"/>
        <v>0</v>
      </c>
      <c r="Y2111" s="333">
        <f t="shared" si="179"/>
        <v>0</v>
      </c>
    </row>
    <row r="2112" spans="1:25" s="2" customFormat="1" ht="21.95" customHeight="1">
      <c r="A2112" s="82">
        <v>12</v>
      </c>
      <c r="B2112" s="91" t="s">
        <v>3345</v>
      </c>
      <c r="C2112" s="83" t="s">
        <v>365</v>
      </c>
      <c r="D2112" s="81" t="s">
        <v>2298</v>
      </c>
      <c r="E2112" s="48">
        <v>400459</v>
      </c>
      <c r="F2112" s="30" t="s">
        <v>331</v>
      </c>
      <c r="G2112" s="29" t="s">
        <v>1750</v>
      </c>
      <c r="H2112" s="30" t="s">
        <v>2396</v>
      </c>
      <c r="I2112" s="78"/>
      <c r="J2112" s="20"/>
      <c r="K2112" s="20"/>
      <c r="L2112" s="20"/>
      <c r="M2112" s="20"/>
      <c r="N2112" s="320" t="s">
        <v>2685</v>
      </c>
      <c r="O2112" s="70">
        <v>0</v>
      </c>
      <c r="P2112" s="70">
        <v>0</v>
      </c>
      <c r="Q2112" s="70">
        <f t="shared" si="175"/>
        <v>0</v>
      </c>
      <c r="R2112" s="70"/>
      <c r="S2112" s="67"/>
      <c r="T2112" s="2" t="str">
        <f t="shared" si="176"/>
        <v>Lê Đức Thọ_11VH3</v>
      </c>
      <c r="U2112" s="28">
        <f t="array" ref="U2112">IFERROR(VLOOKUP($T2112,'Nghi hoc T12'!$H$7:$I$160,2,0),0)</f>
        <v>0</v>
      </c>
      <c r="V2112" s="28" t="str">
        <f t="shared" si="180"/>
        <v>305.C11</v>
      </c>
      <c r="W2112" s="28">
        <f t="shared" si="177"/>
        <v>0</v>
      </c>
      <c r="X2112" s="333">
        <f t="shared" si="178"/>
        <v>0</v>
      </c>
      <c r="Y2112" s="333">
        <f t="shared" si="179"/>
        <v>0</v>
      </c>
    </row>
    <row r="2113" spans="1:25" s="2" customFormat="1" ht="21.95" customHeight="1">
      <c r="A2113" s="82">
        <v>13</v>
      </c>
      <c r="B2113" s="91" t="s">
        <v>3345</v>
      </c>
      <c r="C2113" s="83" t="s">
        <v>365</v>
      </c>
      <c r="D2113" s="81" t="s">
        <v>2298</v>
      </c>
      <c r="E2113" s="48">
        <v>400460</v>
      </c>
      <c r="F2113" s="30" t="s">
        <v>2470</v>
      </c>
      <c r="G2113" s="29" t="s">
        <v>28</v>
      </c>
      <c r="H2113" s="30" t="s">
        <v>2399</v>
      </c>
      <c r="I2113" s="78"/>
      <c r="J2113" s="20"/>
      <c r="K2113" s="20"/>
      <c r="L2113" s="20"/>
      <c r="M2113" s="20"/>
      <c r="N2113" s="320" t="s">
        <v>2685</v>
      </c>
      <c r="O2113" s="70">
        <v>0</v>
      </c>
      <c r="P2113" s="70">
        <v>0</v>
      </c>
      <c r="Q2113" s="70">
        <f t="shared" si="175"/>
        <v>0</v>
      </c>
      <c r="R2113" s="70"/>
      <c r="S2113" s="67"/>
      <c r="T2113" s="2" t="str">
        <f t="shared" si="176"/>
        <v>Đỗ Vũ Minh Thư_11VH5</v>
      </c>
      <c r="U2113" s="28">
        <f t="array" ref="U2113">IFERROR(VLOOKUP($T2113,'Nghi hoc T12'!$H$7:$I$160,2,0),0)</f>
        <v>0</v>
      </c>
      <c r="V2113" s="28" t="str">
        <f t="shared" si="180"/>
        <v>305.C11</v>
      </c>
      <c r="W2113" s="28">
        <f t="shared" si="177"/>
        <v>0</v>
      </c>
      <c r="X2113" s="333">
        <f t="shared" si="178"/>
        <v>0</v>
      </c>
      <c r="Y2113" s="333">
        <f t="shared" si="179"/>
        <v>0</v>
      </c>
    </row>
    <row r="2114" spans="1:25" s="2" customFormat="1" ht="21.95" customHeight="1">
      <c r="A2114" s="82">
        <v>14</v>
      </c>
      <c r="B2114" s="91" t="s">
        <v>3345</v>
      </c>
      <c r="C2114" s="83" t="s">
        <v>365</v>
      </c>
      <c r="D2114" s="81" t="s">
        <v>2298</v>
      </c>
      <c r="E2114" s="48">
        <v>400461</v>
      </c>
      <c r="F2114" s="30" t="s">
        <v>2471</v>
      </c>
      <c r="G2114" s="29" t="s">
        <v>28</v>
      </c>
      <c r="H2114" s="30" t="s">
        <v>2396</v>
      </c>
      <c r="I2114" s="78"/>
      <c r="J2114" s="20"/>
      <c r="K2114" s="20"/>
      <c r="L2114" s="20"/>
      <c r="M2114" s="20"/>
      <c r="N2114" s="320" t="s">
        <v>2685</v>
      </c>
      <c r="O2114" s="70">
        <v>0</v>
      </c>
      <c r="P2114" s="70">
        <v>0</v>
      </c>
      <c r="Q2114" s="70">
        <f t="shared" si="175"/>
        <v>0</v>
      </c>
      <c r="R2114" s="70"/>
      <c r="S2114" s="67"/>
      <c r="T2114" s="2" t="str">
        <f t="shared" si="176"/>
        <v>Đoàn Thị Kim Thư_11VH3</v>
      </c>
      <c r="U2114" s="28">
        <f t="array" ref="U2114">IFERROR(VLOOKUP($T2114,'Nghi hoc T12'!$H$7:$I$160,2,0),0)</f>
        <v>0</v>
      </c>
      <c r="V2114" s="28" t="str">
        <f t="shared" si="180"/>
        <v>305.C11</v>
      </c>
      <c r="W2114" s="28">
        <f t="shared" si="177"/>
        <v>0</v>
      </c>
      <c r="X2114" s="333">
        <f t="shared" si="178"/>
        <v>0</v>
      </c>
      <c r="Y2114" s="333">
        <f t="shared" si="179"/>
        <v>0</v>
      </c>
    </row>
    <row r="2115" spans="1:25" s="2" customFormat="1" ht="21.95" customHeight="1">
      <c r="A2115" s="82">
        <v>15</v>
      </c>
      <c r="B2115" s="91" t="s">
        <v>3345</v>
      </c>
      <c r="C2115" s="83" t="s">
        <v>365</v>
      </c>
      <c r="D2115" s="81" t="s">
        <v>2298</v>
      </c>
      <c r="E2115" s="48">
        <v>400462</v>
      </c>
      <c r="F2115" s="30" t="s">
        <v>1478</v>
      </c>
      <c r="G2115" s="29" t="s">
        <v>28</v>
      </c>
      <c r="H2115" s="30" t="s">
        <v>2398</v>
      </c>
      <c r="I2115" s="78"/>
      <c r="J2115" s="20"/>
      <c r="K2115" s="20"/>
      <c r="L2115" s="20"/>
      <c r="M2115" s="20"/>
      <c r="N2115" s="320" t="s">
        <v>2685</v>
      </c>
      <c r="O2115" s="70">
        <v>0</v>
      </c>
      <c r="P2115" s="70">
        <v>0</v>
      </c>
      <c r="Q2115" s="70">
        <f t="shared" si="175"/>
        <v>0</v>
      </c>
      <c r="R2115" s="70"/>
      <c r="S2115" s="67"/>
      <c r="T2115" s="2" t="str">
        <f t="shared" si="176"/>
        <v>Lê Hà Anh Thư_11VH4</v>
      </c>
      <c r="U2115" s="28">
        <f t="array" ref="U2115">IFERROR(VLOOKUP($T2115,'Nghi hoc T12'!$H$7:$I$160,2,0),0)</f>
        <v>0</v>
      </c>
      <c r="V2115" s="28" t="str">
        <f t="shared" si="180"/>
        <v>305.C11</v>
      </c>
      <c r="W2115" s="28">
        <f t="shared" si="177"/>
        <v>0</v>
      </c>
      <c r="X2115" s="333">
        <f t="shared" si="178"/>
        <v>0</v>
      </c>
      <c r="Y2115" s="333">
        <f t="shared" si="179"/>
        <v>0</v>
      </c>
    </row>
    <row r="2116" spans="1:25" s="2" customFormat="1" ht="21.95" customHeight="1">
      <c r="A2116" s="82">
        <v>16</v>
      </c>
      <c r="B2116" s="91" t="s">
        <v>3345</v>
      </c>
      <c r="C2116" s="83" t="s">
        <v>365</v>
      </c>
      <c r="D2116" s="81" t="s">
        <v>2298</v>
      </c>
      <c r="E2116" s="48">
        <v>400463</v>
      </c>
      <c r="F2116" s="30" t="s">
        <v>1904</v>
      </c>
      <c r="G2116" s="29" t="s">
        <v>28</v>
      </c>
      <c r="H2116" s="30" t="s">
        <v>2399</v>
      </c>
      <c r="I2116" s="78"/>
      <c r="J2116" s="20"/>
      <c r="K2116" s="20"/>
      <c r="L2116" s="20"/>
      <c r="M2116" s="20"/>
      <c r="N2116" s="320" t="s">
        <v>2685</v>
      </c>
      <c r="O2116" s="70">
        <v>0</v>
      </c>
      <c r="P2116" s="70">
        <v>0</v>
      </c>
      <c r="Q2116" s="70">
        <f t="shared" si="175"/>
        <v>0</v>
      </c>
      <c r="R2116" s="70"/>
      <c r="S2116" s="67"/>
      <c r="T2116" s="2" t="str">
        <f t="shared" si="176"/>
        <v>Ngô Anh Thư_11VH5</v>
      </c>
      <c r="U2116" s="28">
        <f t="array" ref="U2116">IFERROR(VLOOKUP($T2116,'Nghi hoc T12'!$H$7:$I$160,2,0),0)</f>
        <v>0</v>
      </c>
      <c r="V2116" s="28" t="str">
        <f t="shared" si="180"/>
        <v>305.C11</v>
      </c>
      <c r="W2116" s="28">
        <f t="shared" si="177"/>
        <v>0</v>
      </c>
      <c r="X2116" s="333">
        <f t="shared" si="178"/>
        <v>0</v>
      </c>
      <c r="Y2116" s="333">
        <f t="shared" si="179"/>
        <v>0</v>
      </c>
    </row>
    <row r="2117" spans="1:25" s="2" customFormat="1" ht="21.95" customHeight="1">
      <c r="A2117" s="82">
        <v>17</v>
      </c>
      <c r="B2117" s="91" t="s">
        <v>3345</v>
      </c>
      <c r="C2117" s="83" t="s">
        <v>365</v>
      </c>
      <c r="D2117" s="81" t="s">
        <v>2298</v>
      </c>
      <c r="E2117" s="48">
        <v>400464</v>
      </c>
      <c r="F2117" s="30" t="s">
        <v>239</v>
      </c>
      <c r="G2117" s="29" t="s">
        <v>28</v>
      </c>
      <c r="H2117" s="30" t="s">
        <v>2396</v>
      </c>
      <c r="I2117" s="78"/>
      <c r="J2117" s="20"/>
      <c r="K2117" s="20"/>
      <c r="L2117" s="20"/>
      <c r="M2117" s="20"/>
      <c r="N2117" s="320" t="s">
        <v>2685</v>
      </c>
      <c r="O2117" s="70">
        <v>0</v>
      </c>
      <c r="P2117" s="70">
        <v>0</v>
      </c>
      <c r="Q2117" s="70">
        <f t="shared" si="175"/>
        <v>0</v>
      </c>
      <c r="R2117" s="70"/>
      <c r="S2117" s="67"/>
      <c r="T2117" s="2" t="str">
        <f t="shared" si="176"/>
        <v>Nguyễn Ngọc Anh Thư_11VH3</v>
      </c>
      <c r="U2117" s="28">
        <f t="array" ref="U2117">IFERROR(VLOOKUP($T2117,'Nghi hoc T12'!$H$7:$I$160,2,0),0)</f>
        <v>0</v>
      </c>
      <c r="V2117" s="28" t="str">
        <f t="shared" si="180"/>
        <v>305.C11</v>
      </c>
      <c r="W2117" s="28">
        <f t="shared" si="177"/>
        <v>0</v>
      </c>
      <c r="X2117" s="333">
        <f t="shared" si="178"/>
        <v>0</v>
      </c>
      <c r="Y2117" s="333">
        <f t="shared" si="179"/>
        <v>0</v>
      </c>
    </row>
    <row r="2118" spans="1:25" s="2" customFormat="1" ht="21.95" customHeight="1">
      <c r="A2118" s="82">
        <v>18</v>
      </c>
      <c r="B2118" s="91" t="s">
        <v>3345</v>
      </c>
      <c r="C2118" s="83" t="s">
        <v>365</v>
      </c>
      <c r="D2118" s="81" t="s">
        <v>2298</v>
      </c>
      <c r="E2118" s="48">
        <v>400465</v>
      </c>
      <c r="F2118" s="30" t="s">
        <v>1803</v>
      </c>
      <c r="G2118" s="29" t="s">
        <v>28</v>
      </c>
      <c r="H2118" s="30" t="s">
        <v>2398</v>
      </c>
      <c r="I2118" s="78"/>
      <c r="J2118" s="20"/>
      <c r="K2118" s="20"/>
      <c r="L2118" s="20"/>
      <c r="M2118" s="20"/>
      <c r="N2118" s="320" t="s">
        <v>2685</v>
      </c>
      <c r="O2118" s="70">
        <v>0</v>
      </c>
      <c r="P2118" s="70">
        <v>0</v>
      </c>
      <c r="Q2118" s="70">
        <f t="shared" si="175"/>
        <v>0</v>
      </c>
      <c r="R2118" s="70"/>
      <c r="S2118" s="67"/>
      <c r="T2118" s="2" t="str">
        <f t="shared" si="176"/>
        <v>Phan Ngọc Minh Thư_11VH4</v>
      </c>
      <c r="U2118" s="28">
        <f t="array" ref="U2118">IFERROR(VLOOKUP($T2118,'Nghi hoc T12'!$H$7:$I$160,2,0),0)</f>
        <v>0</v>
      </c>
      <c r="V2118" s="28" t="str">
        <f t="shared" si="180"/>
        <v>305.C11</v>
      </c>
      <c r="W2118" s="28">
        <f t="shared" si="177"/>
        <v>0</v>
      </c>
      <c r="X2118" s="333">
        <f t="shared" si="178"/>
        <v>0</v>
      </c>
      <c r="Y2118" s="333">
        <f t="shared" si="179"/>
        <v>0</v>
      </c>
    </row>
    <row r="2119" spans="1:25" s="2" customFormat="1" ht="21.95" customHeight="1">
      <c r="A2119" s="82">
        <v>19</v>
      </c>
      <c r="B2119" s="91" t="s">
        <v>3345</v>
      </c>
      <c r="C2119" s="83" t="s">
        <v>365</v>
      </c>
      <c r="D2119" s="81" t="s">
        <v>2298</v>
      </c>
      <c r="E2119" s="48">
        <v>400466</v>
      </c>
      <c r="F2119" s="30" t="s">
        <v>2472</v>
      </c>
      <c r="G2119" s="29" t="s">
        <v>28</v>
      </c>
      <c r="H2119" s="30" t="s">
        <v>2399</v>
      </c>
      <c r="I2119" s="78"/>
      <c r="J2119" s="20"/>
      <c r="K2119" s="20"/>
      <c r="L2119" s="20"/>
      <c r="M2119" s="20"/>
      <c r="N2119" s="320" t="s">
        <v>2685</v>
      </c>
      <c r="O2119" s="70">
        <v>0</v>
      </c>
      <c r="P2119" s="70">
        <v>0</v>
      </c>
      <c r="Q2119" s="70">
        <f t="shared" si="175"/>
        <v>0</v>
      </c>
      <c r="R2119" s="70"/>
      <c r="S2119" s="67"/>
      <c r="T2119" s="2" t="str">
        <f t="shared" si="176"/>
        <v>Võ Trúc Anh Thư_11VH5</v>
      </c>
      <c r="U2119" s="28">
        <f t="array" ref="U2119">IFERROR(VLOOKUP($T2119,'Nghi hoc T12'!$H$7:$I$160,2,0),0)</f>
        <v>0</v>
      </c>
      <c r="V2119" s="28" t="str">
        <f t="shared" si="180"/>
        <v>305.C11</v>
      </c>
      <c r="W2119" s="28">
        <f t="shared" si="177"/>
        <v>0</v>
      </c>
      <c r="X2119" s="333">
        <f t="shared" si="178"/>
        <v>0</v>
      </c>
      <c r="Y2119" s="333">
        <f t="shared" si="179"/>
        <v>0</v>
      </c>
    </row>
    <row r="2120" spans="1:25" s="2" customFormat="1" ht="21.95" customHeight="1">
      <c r="A2120" s="82">
        <v>20</v>
      </c>
      <c r="B2120" s="91" t="s">
        <v>3345</v>
      </c>
      <c r="C2120" s="83" t="s">
        <v>365</v>
      </c>
      <c r="D2120" s="81" t="s">
        <v>2298</v>
      </c>
      <c r="E2120" s="48">
        <v>400467</v>
      </c>
      <c r="F2120" s="30" t="s">
        <v>2473</v>
      </c>
      <c r="G2120" s="29" t="s">
        <v>28</v>
      </c>
      <c r="H2120" s="30" t="s">
        <v>2396</v>
      </c>
      <c r="I2120" s="78"/>
      <c r="J2120" s="20"/>
      <c r="K2120" s="20"/>
      <c r="L2120" s="20"/>
      <c r="M2120" s="20"/>
      <c r="N2120" s="320" t="s">
        <v>2685</v>
      </c>
      <c r="O2120" s="70">
        <v>0</v>
      </c>
      <c r="P2120" s="70">
        <v>0</v>
      </c>
      <c r="Q2120" s="70">
        <f t="shared" si="175"/>
        <v>0</v>
      </c>
      <c r="R2120" s="70"/>
      <c r="S2120" s="67"/>
      <c r="T2120" s="2" t="str">
        <f t="shared" si="176"/>
        <v>Võ Tuyết Anh Thư_11VH3</v>
      </c>
      <c r="U2120" s="28">
        <f t="array" ref="U2120">IFERROR(VLOOKUP($T2120,'Nghi hoc T12'!$H$7:$I$160,2,0),0)</f>
        <v>0</v>
      </c>
      <c r="V2120" s="28" t="str">
        <f t="shared" si="180"/>
        <v>305.C11</v>
      </c>
      <c r="W2120" s="28">
        <f t="shared" si="177"/>
        <v>0</v>
      </c>
      <c r="X2120" s="333">
        <f t="shared" si="178"/>
        <v>0</v>
      </c>
      <c r="Y2120" s="333">
        <f t="shared" si="179"/>
        <v>0</v>
      </c>
    </row>
    <row r="2121" spans="1:25" s="2" customFormat="1" ht="21.95" customHeight="1">
      <c r="A2121" s="82">
        <v>21</v>
      </c>
      <c r="B2121" s="91" t="s">
        <v>3345</v>
      </c>
      <c r="C2121" s="83" t="s">
        <v>365</v>
      </c>
      <c r="D2121" s="81" t="s">
        <v>2298</v>
      </c>
      <c r="E2121" s="48">
        <v>400468</v>
      </c>
      <c r="F2121" s="30" t="s">
        <v>2474</v>
      </c>
      <c r="G2121" s="29" t="s">
        <v>28</v>
      </c>
      <c r="H2121" s="30" t="s">
        <v>2398</v>
      </c>
      <c r="I2121" s="78"/>
      <c r="J2121" s="20"/>
      <c r="K2121" s="20"/>
      <c r="L2121" s="20"/>
      <c r="M2121" s="20"/>
      <c r="N2121" s="320" t="s">
        <v>2685</v>
      </c>
      <c r="O2121" s="70">
        <v>0</v>
      </c>
      <c r="P2121" s="70">
        <v>0</v>
      </c>
      <c r="Q2121" s="70">
        <f t="shared" si="175"/>
        <v>0</v>
      </c>
      <c r="R2121" s="70"/>
      <c r="S2121" s="67"/>
      <c r="T2121" s="2" t="str">
        <f t="shared" si="176"/>
        <v>Vũ Ngọc Thiên Thư_11VH4</v>
      </c>
      <c r="U2121" s="28">
        <f t="array" ref="U2121">IFERROR(VLOOKUP($T2121,'Nghi hoc T12'!$H$7:$I$160,2,0),0)</f>
        <v>0</v>
      </c>
      <c r="V2121" s="28" t="str">
        <f t="shared" si="180"/>
        <v>305.C11</v>
      </c>
      <c r="W2121" s="28">
        <f t="shared" si="177"/>
        <v>0</v>
      </c>
      <c r="X2121" s="333">
        <f t="shared" si="178"/>
        <v>0</v>
      </c>
      <c r="Y2121" s="333">
        <f t="shared" si="179"/>
        <v>0</v>
      </c>
    </row>
    <row r="2122" spans="1:25" s="2" customFormat="1" ht="21.95" customHeight="1">
      <c r="A2122" s="82">
        <v>22</v>
      </c>
      <c r="B2122" s="91" t="s">
        <v>3345</v>
      </c>
      <c r="C2122" s="83" t="s">
        <v>365</v>
      </c>
      <c r="D2122" s="81" t="s">
        <v>2298</v>
      </c>
      <c r="E2122" s="48">
        <v>400469</v>
      </c>
      <c r="F2122" s="30" t="s">
        <v>1952</v>
      </c>
      <c r="G2122" s="29" t="s">
        <v>80</v>
      </c>
      <c r="H2122" s="30" t="s">
        <v>2399</v>
      </c>
      <c r="I2122" s="78"/>
      <c r="J2122" s="20"/>
      <c r="K2122" s="20"/>
      <c r="L2122" s="20"/>
      <c r="M2122" s="20"/>
      <c r="N2122" s="320" t="s">
        <v>2685</v>
      </c>
      <c r="O2122" s="70">
        <v>0</v>
      </c>
      <c r="P2122" s="70">
        <v>0</v>
      </c>
      <c r="Q2122" s="70">
        <f t="shared" ref="Q2122:Q2185" si="181">U2122</f>
        <v>0</v>
      </c>
      <c r="R2122" s="70"/>
      <c r="S2122" s="67"/>
      <c r="T2122" s="2" t="str">
        <f t="shared" ref="T2122:T2185" si="182">TRIM(F2122&amp;" "&amp;G2122&amp;"_"&amp;H2122)</f>
        <v>Lê Thị Mỹ Tiên_11VH5</v>
      </c>
      <c r="U2122" s="28">
        <f t="array" ref="U2122">IFERROR(VLOOKUP($T2122,'Nghi hoc T12'!$H$7:$I$160,2,0),0)</f>
        <v>0</v>
      </c>
      <c r="V2122" s="28" t="str">
        <f t="shared" si="180"/>
        <v>305.C11</v>
      </c>
      <c r="W2122" s="28">
        <f t="shared" ref="W2122:W2185" si="183">I2122</f>
        <v>0</v>
      </c>
      <c r="X2122" s="333">
        <f t="shared" ref="X2122:X2185" si="184">O2122</f>
        <v>0</v>
      </c>
      <c r="Y2122" s="333">
        <f t="shared" ref="Y2122:Y2185" si="185">P2122</f>
        <v>0</v>
      </c>
    </row>
    <row r="2123" spans="1:25" s="2" customFormat="1" ht="21.95" customHeight="1">
      <c r="A2123" s="82">
        <v>23</v>
      </c>
      <c r="B2123" s="91" t="s">
        <v>3345</v>
      </c>
      <c r="C2123" s="83" t="s">
        <v>365</v>
      </c>
      <c r="D2123" s="81" t="s">
        <v>2298</v>
      </c>
      <c r="E2123" s="48">
        <v>400470</v>
      </c>
      <c r="F2123" s="30" t="s">
        <v>2475</v>
      </c>
      <c r="G2123" s="29" t="s">
        <v>80</v>
      </c>
      <c r="H2123" s="30" t="s">
        <v>2396</v>
      </c>
      <c r="I2123" s="78"/>
      <c r="J2123" s="20"/>
      <c r="K2123" s="20"/>
      <c r="L2123" s="20"/>
      <c r="M2123" s="20"/>
      <c r="N2123" s="320" t="s">
        <v>2685</v>
      </c>
      <c r="O2123" s="70">
        <v>0</v>
      </c>
      <c r="P2123" s="70">
        <v>0</v>
      </c>
      <c r="Q2123" s="70">
        <f t="shared" si="181"/>
        <v>0</v>
      </c>
      <c r="R2123" s="70"/>
      <c r="S2123" s="67"/>
      <c r="T2123" s="2" t="str">
        <f t="shared" si="182"/>
        <v>Nguyễn Đăng Hà Tiên_11VH3</v>
      </c>
      <c r="U2123" s="28">
        <f t="array" ref="U2123">IFERROR(VLOOKUP($T2123,'Nghi hoc T12'!$H$7:$I$160,2,0),0)</f>
        <v>0</v>
      </c>
      <c r="V2123" s="28" t="str">
        <f t="shared" si="180"/>
        <v>305.C11</v>
      </c>
      <c r="W2123" s="28">
        <f t="shared" si="183"/>
        <v>0</v>
      </c>
      <c r="X2123" s="333">
        <f t="shared" si="184"/>
        <v>0</v>
      </c>
      <c r="Y2123" s="333">
        <f t="shared" si="185"/>
        <v>0</v>
      </c>
    </row>
    <row r="2124" spans="1:25" s="2" customFormat="1" ht="21.95" customHeight="1">
      <c r="A2124" s="82">
        <v>24</v>
      </c>
      <c r="B2124" s="91" t="s">
        <v>3345</v>
      </c>
      <c r="C2124" s="83" t="s">
        <v>365</v>
      </c>
      <c r="D2124" s="81" t="s">
        <v>2298</v>
      </c>
      <c r="E2124" s="48">
        <v>400471</v>
      </c>
      <c r="F2124" s="30" t="s">
        <v>1808</v>
      </c>
      <c r="G2124" s="29" t="s">
        <v>215</v>
      </c>
      <c r="H2124" s="30" t="s">
        <v>2399</v>
      </c>
      <c r="I2124" s="78"/>
      <c r="J2124" s="20"/>
      <c r="K2124" s="20"/>
      <c r="L2124" s="20"/>
      <c r="M2124" s="20"/>
      <c r="N2124" s="320" t="s">
        <v>2685</v>
      </c>
      <c r="O2124" s="70">
        <v>0</v>
      </c>
      <c r="P2124" s="70">
        <v>0</v>
      </c>
      <c r="Q2124" s="70">
        <f t="shared" si="181"/>
        <v>0</v>
      </c>
      <c r="R2124" s="70"/>
      <c r="S2124" s="67"/>
      <c r="T2124" s="2" t="str">
        <f t="shared" si="182"/>
        <v>Đoàn Minh Tiến_11VH5</v>
      </c>
      <c r="U2124" s="28">
        <f t="array" ref="U2124">IFERROR(VLOOKUP($T2124,'Nghi hoc T12'!$H$7:$I$160,2,0),0)</f>
        <v>0</v>
      </c>
      <c r="V2124" s="28" t="str">
        <f t="shared" si="180"/>
        <v>305.C11</v>
      </c>
      <c r="W2124" s="28">
        <f t="shared" si="183"/>
        <v>0</v>
      </c>
      <c r="X2124" s="333">
        <f t="shared" si="184"/>
        <v>0</v>
      </c>
      <c r="Y2124" s="333">
        <f t="shared" si="185"/>
        <v>0</v>
      </c>
    </row>
    <row r="2125" spans="1:25" s="2" customFormat="1" ht="21.95" customHeight="1">
      <c r="A2125" s="321">
        <v>1</v>
      </c>
      <c r="B2125" s="91" t="s">
        <v>3346</v>
      </c>
      <c r="C2125" s="185" t="s">
        <v>365</v>
      </c>
      <c r="D2125" s="186" t="s">
        <v>2307</v>
      </c>
      <c r="E2125" s="187">
        <v>400472</v>
      </c>
      <c r="F2125" s="188" t="s">
        <v>201</v>
      </c>
      <c r="G2125" s="189" t="s">
        <v>215</v>
      </c>
      <c r="H2125" s="188" t="s">
        <v>2396</v>
      </c>
      <c r="I2125" s="190"/>
      <c r="J2125" s="191"/>
      <c r="K2125" s="191"/>
      <c r="L2125" s="191"/>
      <c r="M2125" s="191"/>
      <c r="N2125" s="320" t="s">
        <v>2685</v>
      </c>
      <c r="O2125" s="70">
        <v>0</v>
      </c>
      <c r="P2125" s="70">
        <v>0</v>
      </c>
      <c r="Q2125" s="70">
        <f t="shared" si="181"/>
        <v>0</v>
      </c>
      <c r="R2125" s="70"/>
      <c r="S2125" s="67"/>
      <c r="T2125" s="2" t="str">
        <f t="shared" si="182"/>
        <v>Nguyễn Hữu Tiến_11VH3</v>
      </c>
      <c r="U2125" s="28">
        <f t="array" ref="U2125">IFERROR(VLOOKUP($T2125,'Nghi hoc T12'!$H$7:$I$160,2,0),0)</f>
        <v>0</v>
      </c>
      <c r="V2125" s="28" t="str">
        <f t="shared" si="180"/>
        <v>306.C11</v>
      </c>
      <c r="W2125" s="28">
        <f t="shared" si="183"/>
        <v>0</v>
      </c>
      <c r="X2125" s="333">
        <f t="shared" si="184"/>
        <v>0</v>
      </c>
      <c r="Y2125" s="333">
        <f t="shared" si="185"/>
        <v>0</v>
      </c>
    </row>
    <row r="2126" spans="1:25" s="2" customFormat="1" ht="21.95" customHeight="1">
      <c r="A2126" s="82">
        <v>2</v>
      </c>
      <c r="B2126" s="91" t="s">
        <v>3346</v>
      </c>
      <c r="C2126" s="83" t="s">
        <v>365</v>
      </c>
      <c r="D2126" s="81" t="s">
        <v>2307</v>
      </c>
      <c r="E2126" s="48">
        <v>400473</v>
      </c>
      <c r="F2126" s="30" t="s">
        <v>1311</v>
      </c>
      <c r="G2126" s="29" t="s">
        <v>215</v>
      </c>
      <c r="H2126" s="30" t="s">
        <v>2398</v>
      </c>
      <c r="I2126" s="78"/>
      <c r="J2126" s="20"/>
      <c r="K2126" s="20"/>
      <c r="L2126" s="20"/>
      <c r="M2126" s="20"/>
      <c r="N2126" s="320" t="s">
        <v>2685</v>
      </c>
      <c r="O2126" s="70">
        <v>0</v>
      </c>
      <c r="P2126" s="70">
        <v>0</v>
      </c>
      <c r="Q2126" s="70">
        <f t="shared" si="181"/>
        <v>0</v>
      </c>
      <c r="R2126" s="70"/>
      <c r="S2126" s="67"/>
      <c r="T2126" s="2" t="str">
        <f t="shared" si="182"/>
        <v>Phan Nguyễn Minh Tiến_11VH4</v>
      </c>
      <c r="U2126" s="28">
        <f t="array" ref="U2126">IFERROR(VLOOKUP($T2126,'Nghi hoc T12'!$H$7:$I$160,2,0),0)</f>
        <v>0</v>
      </c>
      <c r="V2126" s="28" t="str">
        <f t="shared" si="180"/>
        <v>306.C11</v>
      </c>
      <c r="W2126" s="28">
        <f t="shared" si="183"/>
        <v>0</v>
      </c>
      <c r="X2126" s="333">
        <f t="shared" si="184"/>
        <v>0</v>
      </c>
      <c r="Y2126" s="333">
        <f t="shared" si="185"/>
        <v>0</v>
      </c>
    </row>
    <row r="2127" spans="1:25" s="2" customFormat="1" ht="21.95" customHeight="1">
      <c r="A2127" s="82">
        <v>3</v>
      </c>
      <c r="B2127" s="91" t="s">
        <v>3346</v>
      </c>
      <c r="C2127" s="83" t="s">
        <v>365</v>
      </c>
      <c r="D2127" s="81" t="s">
        <v>2307</v>
      </c>
      <c r="E2127" s="48">
        <v>400474</v>
      </c>
      <c r="F2127" s="30" t="s">
        <v>2476</v>
      </c>
      <c r="G2127" s="29" t="s">
        <v>81</v>
      </c>
      <c r="H2127" s="30" t="s">
        <v>2399</v>
      </c>
      <c r="I2127" s="78"/>
      <c r="J2127" s="20"/>
      <c r="K2127" s="20"/>
      <c r="L2127" s="20"/>
      <c r="M2127" s="20"/>
      <c r="N2127" s="320" t="s">
        <v>2685</v>
      </c>
      <c r="O2127" s="70">
        <v>0</v>
      </c>
      <c r="P2127" s="70">
        <v>0</v>
      </c>
      <c r="Q2127" s="70">
        <f t="shared" si="181"/>
        <v>0</v>
      </c>
      <c r="R2127" s="70"/>
      <c r="S2127" s="67"/>
      <c r="T2127" s="2" t="str">
        <f t="shared" si="182"/>
        <v>Lê Thị Huyền Trân_11VH5</v>
      </c>
      <c r="U2127" s="28">
        <f t="array" ref="U2127">IFERROR(VLOOKUP($T2127,'Nghi hoc T12'!$H$7:$I$160,2,0),0)</f>
        <v>0</v>
      </c>
      <c r="V2127" s="28" t="str">
        <f t="shared" si="180"/>
        <v>306.C11</v>
      </c>
      <c r="W2127" s="28">
        <f t="shared" si="183"/>
        <v>0</v>
      </c>
      <c r="X2127" s="333">
        <f t="shared" si="184"/>
        <v>0</v>
      </c>
      <c r="Y2127" s="333">
        <f t="shared" si="185"/>
        <v>0</v>
      </c>
    </row>
    <row r="2128" spans="1:25" s="2" customFormat="1" ht="21.95" customHeight="1">
      <c r="A2128" s="82">
        <v>4</v>
      </c>
      <c r="B2128" s="91" t="s">
        <v>3346</v>
      </c>
      <c r="C2128" s="83" t="s">
        <v>365</v>
      </c>
      <c r="D2128" s="81" t="s">
        <v>2307</v>
      </c>
      <c r="E2128" s="48">
        <v>400475</v>
      </c>
      <c r="F2128" s="30" t="s">
        <v>2477</v>
      </c>
      <c r="G2128" s="29" t="s">
        <v>81</v>
      </c>
      <c r="H2128" s="30" t="s">
        <v>2396</v>
      </c>
      <c r="I2128" s="78"/>
      <c r="J2128" s="20"/>
      <c r="K2128" s="20"/>
      <c r="L2128" s="20"/>
      <c r="M2128" s="20"/>
      <c r="N2128" s="320" t="s">
        <v>2685</v>
      </c>
      <c r="O2128" s="70">
        <v>0</v>
      </c>
      <c r="P2128" s="70">
        <v>0</v>
      </c>
      <c r="Q2128" s="70">
        <f t="shared" si="181"/>
        <v>0</v>
      </c>
      <c r="R2128" s="70"/>
      <c r="S2128" s="67"/>
      <c r="T2128" s="2" t="str">
        <f t="shared" si="182"/>
        <v>Nguyễn Đỗ Ngọc Trân_11VH3</v>
      </c>
      <c r="U2128" s="28">
        <f t="array" ref="U2128">IFERROR(VLOOKUP($T2128,'Nghi hoc T12'!$H$7:$I$160,2,0),0)</f>
        <v>0</v>
      </c>
      <c r="V2128" s="28" t="str">
        <f t="shared" si="180"/>
        <v>306.C11</v>
      </c>
      <c r="W2128" s="28">
        <f t="shared" si="183"/>
        <v>0</v>
      </c>
      <c r="X2128" s="333">
        <f t="shared" si="184"/>
        <v>0</v>
      </c>
      <c r="Y2128" s="333">
        <f t="shared" si="185"/>
        <v>0</v>
      </c>
    </row>
    <row r="2129" spans="1:25" s="2" customFormat="1" ht="21.95" customHeight="1">
      <c r="A2129" s="82">
        <v>5</v>
      </c>
      <c r="B2129" s="91" t="s">
        <v>3346</v>
      </c>
      <c r="C2129" s="83" t="s">
        <v>365</v>
      </c>
      <c r="D2129" s="81" t="s">
        <v>2307</v>
      </c>
      <c r="E2129" s="48">
        <v>400476</v>
      </c>
      <c r="F2129" s="30" t="s">
        <v>474</v>
      </c>
      <c r="G2129" s="29" t="s">
        <v>81</v>
      </c>
      <c r="H2129" s="30" t="s">
        <v>2399</v>
      </c>
      <c r="I2129" s="78"/>
      <c r="J2129" s="20"/>
      <c r="K2129" s="20"/>
      <c r="L2129" s="20"/>
      <c r="M2129" s="20"/>
      <c r="N2129" s="320" t="s">
        <v>2685</v>
      </c>
      <c r="O2129" s="70">
        <v>0</v>
      </c>
      <c r="P2129" s="70">
        <v>0</v>
      </c>
      <c r="Q2129" s="70">
        <f t="shared" si="181"/>
        <v>0</v>
      </c>
      <c r="R2129" s="70"/>
      <c r="S2129" s="67"/>
      <c r="T2129" s="2" t="str">
        <f t="shared" si="182"/>
        <v>Trần Huyền Trân_11VH5</v>
      </c>
      <c r="U2129" s="28">
        <f t="array" ref="U2129">IFERROR(VLOOKUP($T2129,'Nghi hoc T12'!$H$7:$I$160,2,0),0)</f>
        <v>0</v>
      </c>
      <c r="V2129" s="28" t="str">
        <f t="shared" si="180"/>
        <v>306.C11</v>
      </c>
      <c r="W2129" s="28">
        <f t="shared" si="183"/>
        <v>0</v>
      </c>
      <c r="X2129" s="333">
        <f t="shared" si="184"/>
        <v>0</v>
      </c>
      <c r="Y2129" s="333">
        <f t="shared" si="185"/>
        <v>0</v>
      </c>
    </row>
    <row r="2130" spans="1:25" s="2" customFormat="1" ht="21.95" customHeight="1">
      <c r="A2130" s="82">
        <v>6</v>
      </c>
      <c r="B2130" s="91" t="s">
        <v>3346</v>
      </c>
      <c r="C2130" s="83" t="s">
        <v>365</v>
      </c>
      <c r="D2130" s="81" t="s">
        <v>2307</v>
      </c>
      <c r="E2130" s="48">
        <v>400477</v>
      </c>
      <c r="F2130" s="30" t="s">
        <v>2478</v>
      </c>
      <c r="G2130" s="29" t="s">
        <v>206</v>
      </c>
      <c r="H2130" s="30" t="s">
        <v>2396</v>
      </c>
      <c r="I2130" s="78"/>
      <c r="J2130" s="20"/>
      <c r="K2130" s="20"/>
      <c r="L2130" s="20"/>
      <c r="M2130" s="20"/>
      <c r="N2130" s="320" t="s">
        <v>2685</v>
      </c>
      <c r="O2130" s="70">
        <v>0</v>
      </c>
      <c r="P2130" s="70">
        <v>0</v>
      </c>
      <c r="Q2130" s="70">
        <f t="shared" si="181"/>
        <v>0</v>
      </c>
      <c r="R2130" s="70"/>
      <c r="S2130" s="67"/>
      <c r="T2130" s="2" t="str">
        <f t="shared" si="182"/>
        <v>Đoàn Dương Minh Trí_11VH3</v>
      </c>
      <c r="U2130" s="28">
        <f t="array" ref="U2130">IFERROR(VLOOKUP($T2130,'Nghi hoc T12'!$H$7:$I$160,2,0),0)</f>
        <v>0</v>
      </c>
      <c r="V2130" s="28" t="str">
        <f t="shared" si="180"/>
        <v>306.C11</v>
      </c>
      <c r="W2130" s="28">
        <f t="shared" si="183"/>
        <v>0</v>
      </c>
      <c r="X2130" s="333">
        <f t="shared" si="184"/>
        <v>0</v>
      </c>
      <c r="Y2130" s="333">
        <f t="shared" si="185"/>
        <v>0</v>
      </c>
    </row>
    <row r="2131" spans="1:25" s="2" customFormat="1" ht="21.95" customHeight="1">
      <c r="A2131" s="82">
        <v>7</v>
      </c>
      <c r="B2131" s="91" t="s">
        <v>3346</v>
      </c>
      <c r="C2131" s="83" t="s">
        <v>365</v>
      </c>
      <c r="D2131" s="81" t="s">
        <v>2307</v>
      </c>
      <c r="E2131" s="48">
        <v>400478</v>
      </c>
      <c r="F2131" s="30" t="s">
        <v>2479</v>
      </c>
      <c r="G2131" s="29" t="s">
        <v>218</v>
      </c>
      <c r="H2131" s="30" t="s">
        <v>2396</v>
      </c>
      <c r="I2131" s="78"/>
      <c r="J2131" s="20"/>
      <c r="K2131" s="20"/>
      <c r="L2131" s="20"/>
      <c r="M2131" s="20"/>
      <c r="N2131" s="320" t="s">
        <v>2685</v>
      </c>
      <c r="O2131" s="70">
        <v>0</v>
      </c>
      <c r="P2131" s="70">
        <v>0</v>
      </c>
      <c r="Q2131" s="70">
        <f t="shared" si="181"/>
        <v>0</v>
      </c>
      <c r="R2131" s="70"/>
      <c r="S2131" s="67"/>
      <c r="T2131" s="2" t="str">
        <f t="shared" si="182"/>
        <v>Cao Minh Triết_11VH3</v>
      </c>
      <c r="U2131" s="28">
        <f t="array" ref="U2131">IFERROR(VLOOKUP($T2131,'Nghi hoc T12'!$H$7:$I$160,2,0),0)</f>
        <v>0</v>
      </c>
      <c r="V2131" s="28" t="str">
        <f t="shared" si="180"/>
        <v>306.C11</v>
      </c>
      <c r="W2131" s="28">
        <f t="shared" si="183"/>
        <v>0</v>
      </c>
      <c r="X2131" s="333">
        <f t="shared" si="184"/>
        <v>0</v>
      </c>
      <c r="Y2131" s="333">
        <f t="shared" si="185"/>
        <v>0</v>
      </c>
    </row>
    <row r="2132" spans="1:25" s="2" customFormat="1" ht="21.95" customHeight="1">
      <c r="A2132" s="82">
        <v>8</v>
      </c>
      <c r="B2132" s="91" t="s">
        <v>3346</v>
      </c>
      <c r="C2132" s="83" t="s">
        <v>365</v>
      </c>
      <c r="D2132" s="81" t="s">
        <v>2307</v>
      </c>
      <c r="E2132" s="48">
        <v>400479</v>
      </c>
      <c r="F2132" s="30" t="s">
        <v>2300</v>
      </c>
      <c r="G2132" s="29" t="s">
        <v>31</v>
      </c>
      <c r="H2132" s="30" t="s">
        <v>2396</v>
      </c>
      <c r="I2132" s="78"/>
      <c r="J2132" s="20"/>
      <c r="K2132" s="20"/>
      <c r="L2132" s="20"/>
      <c r="M2132" s="20"/>
      <c r="N2132" s="320" t="s">
        <v>2685</v>
      </c>
      <c r="O2132" s="70">
        <v>0</v>
      </c>
      <c r="P2132" s="70">
        <v>0</v>
      </c>
      <c r="Q2132" s="70">
        <f t="shared" si="181"/>
        <v>0</v>
      </c>
      <c r="R2132" s="70"/>
      <c r="S2132" s="67"/>
      <c r="T2132" s="2" t="str">
        <f t="shared" si="182"/>
        <v>Huỳnh Thị Thanh Trúc_11VH3</v>
      </c>
      <c r="U2132" s="28">
        <f t="array" ref="U2132">IFERROR(VLOOKUP($T2132,'Nghi hoc T12'!$H$7:$I$160,2,0),0)</f>
        <v>0</v>
      </c>
      <c r="V2132" s="28" t="str">
        <f t="shared" si="180"/>
        <v>306.C11</v>
      </c>
      <c r="W2132" s="28">
        <f t="shared" si="183"/>
        <v>0</v>
      </c>
      <c r="X2132" s="333">
        <f t="shared" si="184"/>
        <v>0</v>
      </c>
      <c r="Y2132" s="333">
        <f t="shared" si="185"/>
        <v>0</v>
      </c>
    </row>
    <row r="2133" spans="1:25" s="2" customFormat="1" ht="21.95" customHeight="1">
      <c r="A2133" s="82">
        <v>9</v>
      </c>
      <c r="B2133" s="91" t="s">
        <v>3346</v>
      </c>
      <c r="C2133" s="83" t="s">
        <v>365</v>
      </c>
      <c r="D2133" s="81" t="s">
        <v>2307</v>
      </c>
      <c r="E2133" s="48">
        <v>400480</v>
      </c>
      <c r="F2133" s="30" t="s">
        <v>251</v>
      </c>
      <c r="G2133" s="29" t="s">
        <v>32</v>
      </c>
      <c r="H2133" s="30" t="s">
        <v>2399</v>
      </c>
      <c r="I2133" s="78"/>
      <c r="J2133" s="20"/>
      <c r="K2133" s="20"/>
      <c r="L2133" s="20"/>
      <c r="M2133" s="20"/>
      <c r="N2133" s="320" t="s">
        <v>2685</v>
      </c>
      <c r="O2133" s="70">
        <v>0</v>
      </c>
      <c r="P2133" s="70">
        <v>0</v>
      </c>
      <c r="Q2133" s="70">
        <f t="shared" si="181"/>
        <v>0</v>
      </c>
      <c r="R2133" s="70"/>
      <c r="S2133" s="67"/>
      <c r="T2133" s="2" t="str">
        <f t="shared" si="182"/>
        <v>Lê Thành Trung_11VH5</v>
      </c>
      <c r="U2133" s="28">
        <f t="array" ref="U2133">IFERROR(VLOOKUP($T2133,'Nghi hoc T12'!$H$7:$I$160,2,0),0)</f>
        <v>0</v>
      </c>
      <c r="V2133" s="28" t="str">
        <f t="shared" si="180"/>
        <v>306.C11</v>
      </c>
      <c r="W2133" s="28">
        <f t="shared" si="183"/>
        <v>0</v>
      </c>
      <c r="X2133" s="333">
        <f t="shared" si="184"/>
        <v>0</v>
      </c>
      <c r="Y2133" s="333">
        <f t="shared" si="185"/>
        <v>0</v>
      </c>
    </row>
    <row r="2134" spans="1:25" s="2" customFormat="1" ht="21.95" customHeight="1">
      <c r="A2134" s="82">
        <v>10</v>
      </c>
      <c r="B2134" s="91" t="s">
        <v>3346</v>
      </c>
      <c r="C2134" s="83" t="s">
        <v>365</v>
      </c>
      <c r="D2134" s="81" t="s">
        <v>2307</v>
      </c>
      <c r="E2134" s="48">
        <v>400481</v>
      </c>
      <c r="F2134" s="30" t="s">
        <v>1277</v>
      </c>
      <c r="G2134" s="29" t="s">
        <v>51</v>
      </c>
      <c r="H2134" s="30" t="s">
        <v>2398</v>
      </c>
      <c r="I2134" s="78"/>
      <c r="J2134" s="20"/>
      <c r="K2134" s="20"/>
      <c r="L2134" s="20"/>
      <c r="M2134" s="20"/>
      <c r="N2134" s="320" t="s">
        <v>2685</v>
      </c>
      <c r="O2134" s="70">
        <v>0</v>
      </c>
      <c r="P2134" s="70">
        <v>0</v>
      </c>
      <c r="Q2134" s="70">
        <f t="shared" si="181"/>
        <v>0</v>
      </c>
      <c r="R2134" s="70"/>
      <c r="S2134" s="67"/>
      <c r="T2134" s="2" t="str">
        <f t="shared" si="182"/>
        <v>Võ Hoàng Tú_11VH4</v>
      </c>
      <c r="U2134" s="28">
        <f t="array" ref="U2134">IFERROR(VLOOKUP($T2134,'Nghi hoc T12'!$H$7:$I$160,2,0),0)</f>
        <v>0</v>
      </c>
      <c r="V2134" s="28" t="str">
        <f t="shared" si="180"/>
        <v>306.C11</v>
      </c>
      <c r="W2134" s="28">
        <f t="shared" si="183"/>
        <v>0</v>
      </c>
      <c r="X2134" s="333">
        <f t="shared" si="184"/>
        <v>0</v>
      </c>
      <c r="Y2134" s="333">
        <f t="shared" si="185"/>
        <v>0</v>
      </c>
    </row>
    <row r="2135" spans="1:25" s="2" customFormat="1" ht="21.95" customHeight="1">
      <c r="A2135" s="82">
        <v>11</v>
      </c>
      <c r="B2135" s="91" t="s">
        <v>3346</v>
      </c>
      <c r="C2135" s="83" t="s">
        <v>365</v>
      </c>
      <c r="D2135" s="81" t="s">
        <v>2307</v>
      </c>
      <c r="E2135" s="48">
        <v>400482</v>
      </c>
      <c r="F2135" s="30" t="s">
        <v>2480</v>
      </c>
      <c r="G2135" s="29" t="s">
        <v>52</v>
      </c>
      <c r="H2135" s="30" t="s">
        <v>2398</v>
      </c>
      <c r="I2135" s="78"/>
      <c r="J2135" s="20"/>
      <c r="K2135" s="20"/>
      <c r="L2135" s="20"/>
      <c r="M2135" s="20"/>
      <c r="N2135" s="320" t="s">
        <v>2685</v>
      </c>
      <c r="O2135" s="70">
        <v>0</v>
      </c>
      <c r="P2135" s="70">
        <v>0</v>
      </c>
      <c r="Q2135" s="70">
        <f t="shared" si="181"/>
        <v>0</v>
      </c>
      <c r="R2135" s="70"/>
      <c r="S2135" s="67"/>
      <c r="T2135" s="2" t="str">
        <f t="shared" si="182"/>
        <v>Đỗ Lê Anh Tuấn_11VH4</v>
      </c>
      <c r="U2135" s="28">
        <f t="array" ref="U2135">IFERROR(VLOOKUP($T2135,'Nghi hoc T12'!$H$7:$I$160,2,0),0)</f>
        <v>0</v>
      </c>
      <c r="V2135" s="28" t="str">
        <f t="shared" si="180"/>
        <v>306.C11</v>
      </c>
      <c r="W2135" s="28">
        <f t="shared" si="183"/>
        <v>0</v>
      </c>
      <c r="X2135" s="333">
        <f t="shared" si="184"/>
        <v>0</v>
      </c>
      <c r="Y2135" s="333">
        <f t="shared" si="185"/>
        <v>0</v>
      </c>
    </row>
    <row r="2136" spans="1:25" s="2" customFormat="1" ht="21.95" customHeight="1">
      <c r="A2136" s="82">
        <v>12</v>
      </c>
      <c r="B2136" s="91" t="s">
        <v>3346</v>
      </c>
      <c r="C2136" s="83" t="s">
        <v>365</v>
      </c>
      <c r="D2136" s="81" t="s">
        <v>2307</v>
      </c>
      <c r="E2136" s="48">
        <v>400483</v>
      </c>
      <c r="F2136" s="30" t="s">
        <v>2481</v>
      </c>
      <c r="G2136" s="29" t="s">
        <v>52</v>
      </c>
      <c r="H2136" s="30" t="s">
        <v>2398</v>
      </c>
      <c r="I2136" s="78"/>
      <c r="J2136" s="20"/>
      <c r="K2136" s="20"/>
      <c r="L2136" s="20"/>
      <c r="M2136" s="20"/>
      <c r="N2136" s="320" t="s">
        <v>2685</v>
      </c>
      <c r="O2136" s="70">
        <v>0</v>
      </c>
      <c r="P2136" s="70">
        <v>0</v>
      </c>
      <c r="Q2136" s="70">
        <f t="shared" si="181"/>
        <v>0</v>
      </c>
      <c r="R2136" s="70"/>
      <c r="S2136" s="67"/>
      <c r="T2136" s="2" t="str">
        <f t="shared" si="182"/>
        <v>Nguyễn Vũ Minh Tuấn_11VH4</v>
      </c>
      <c r="U2136" s="28">
        <f t="array" ref="U2136">IFERROR(VLOOKUP($T2136,'Nghi hoc T12'!$H$7:$I$160,2,0),0)</f>
        <v>0</v>
      </c>
      <c r="V2136" s="28" t="str">
        <f t="shared" si="180"/>
        <v>306.C11</v>
      </c>
      <c r="W2136" s="28">
        <f t="shared" si="183"/>
        <v>0</v>
      </c>
      <c r="X2136" s="333">
        <f t="shared" si="184"/>
        <v>0</v>
      </c>
      <c r="Y2136" s="333">
        <f t="shared" si="185"/>
        <v>0</v>
      </c>
    </row>
    <row r="2137" spans="1:25" s="2" customFormat="1" ht="21.95" customHeight="1">
      <c r="A2137" s="82">
        <v>13</v>
      </c>
      <c r="B2137" s="91" t="s">
        <v>3346</v>
      </c>
      <c r="C2137" s="83" t="s">
        <v>365</v>
      </c>
      <c r="D2137" s="81" t="s">
        <v>2307</v>
      </c>
      <c r="E2137" s="48">
        <v>400484</v>
      </c>
      <c r="F2137" s="30" t="s">
        <v>2482</v>
      </c>
      <c r="G2137" s="29" t="s">
        <v>52</v>
      </c>
      <c r="H2137" s="30" t="s">
        <v>2399</v>
      </c>
      <c r="I2137" s="78"/>
      <c r="J2137" s="20"/>
      <c r="K2137" s="20"/>
      <c r="L2137" s="20"/>
      <c r="M2137" s="20"/>
      <c r="N2137" s="320" t="s">
        <v>2685</v>
      </c>
      <c r="O2137" s="70">
        <v>0</v>
      </c>
      <c r="P2137" s="70">
        <v>0</v>
      </c>
      <c r="Q2137" s="70">
        <f t="shared" si="181"/>
        <v>0</v>
      </c>
      <c r="R2137" s="70"/>
      <c r="S2137" s="67"/>
      <c r="T2137" s="2" t="str">
        <f t="shared" si="182"/>
        <v>Vương Trần Quốc Tuấn_11VH5</v>
      </c>
      <c r="U2137" s="28">
        <f t="array" ref="U2137">IFERROR(VLOOKUP($T2137,'Nghi hoc T12'!$H$7:$I$160,2,0),0)</f>
        <v>0</v>
      </c>
      <c r="V2137" s="28" t="str">
        <f t="shared" si="180"/>
        <v>306.C11</v>
      </c>
      <c r="W2137" s="28">
        <f t="shared" si="183"/>
        <v>0</v>
      </c>
      <c r="X2137" s="333">
        <f t="shared" si="184"/>
        <v>0</v>
      </c>
      <c r="Y2137" s="333">
        <f t="shared" si="185"/>
        <v>0</v>
      </c>
    </row>
    <row r="2138" spans="1:25" s="2" customFormat="1" ht="21.95" customHeight="1">
      <c r="A2138" s="82">
        <v>14</v>
      </c>
      <c r="B2138" s="91" t="s">
        <v>3346</v>
      </c>
      <c r="C2138" s="83" t="s">
        <v>365</v>
      </c>
      <c r="D2138" s="81" t="s">
        <v>2307</v>
      </c>
      <c r="E2138" s="48">
        <v>400485</v>
      </c>
      <c r="F2138" s="30" t="s">
        <v>2483</v>
      </c>
      <c r="G2138" s="29" t="s">
        <v>117</v>
      </c>
      <c r="H2138" s="30" t="s">
        <v>2398</v>
      </c>
      <c r="I2138" s="78"/>
      <c r="J2138" s="20"/>
      <c r="K2138" s="20"/>
      <c r="L2138" s="20"/>
      <c r="M2138" s="20"/>
      <c r="N2138" s="320" t="s">
        <v>2685</v>
      </c>
      <c r="O2138" s="70">
        <v>0</v>
      </c>
      <c r="P2138" s="70">
        <v>0</v>
      </c>
      <c r="Q2138" s="70">
        <f t="shared" si="181"/>
        <v>0</v>
      </c>
      <c r="R2138" s="70"/>
      <c r="S2138" s="67"/>
      <c r="T2138" s="2" t="str">
        <f t="shared" si="182"/>
        <v>Nguyễn Phạm Cát Tường_11VH4</v>
      </c>
      <c r="U2138" s="28">
        <f t="array" ref="U2138">IFERROR(VLOOKUP($T2138,'Nghi hoc T12'!$H$7:$I$160,2,0),0)</f>
        <v>0</v>
      </c>
      <c r="V2138" s="28" t="str">
        <f t="shared" si="180"/>
        <v>306.C11</v>
      </c>
      <c r="W2138" s="28">
        <f t="shared" si="183"/>
        <v>0</v>
      </c>
      <c r="X2138" s="333">
        <f t="shared" si="184"/>
        <v>0</v>
      </c>
      <c r="Y2138" s="333">
        <f t="shared" si="185"/>
        <v>0</v>
      </c>
    </row>
    <row r="2139" spans="1:25" s="2" customFormat="1" ht="21.95" customHeight="1">
      <c r="A2139" s="82">
        <v>15</v>
      </c>
      <c r="B2139" s="91" t="s">
        <v>3346</v>
      </c>
      <c r="C2139" s="83" t="s">
        <v>365</v>
      </c>
      <c r="D2139" s="81" t="s">
        <v>2307</v>
      </c>
      <c r="E2139" s="48">
        <v>400486</v>
      </c>
      <c r="F2139" s="30" t="s">
        <v>222</v>
      </c>
      <c r="G2139" s="29" t="s">
        <v>1557</v>
      </c>
      <c r="H2139" s="30" t="s">
        <v>2399</v>
      </c>
      <c r="I2139" s="78"/>
      <c r="J2139" s="20"/>
      <c r="K2139" s="20"/>
      <c r="L2139" s="20"/>
      <c r="M2139" s="20"/>
      <c r="N2139" s="320" t="s">
        <v>2685</v>
      </c>
      <c r="O2139" s="70">
        <v>0</v>
      </c>
      <c r="P2139" s="70">
        <v>0</v>
      </c>
      <c r="Q2139" s="70">
        <f t="shared" si="181"/>
        <v>0</v>
      </c>
      <c r="R2139" s="70"/>
      <c r="S2139" s="67"/>
      <c r="T2139" s="2" t="str">
        <f t="shared" si="182"/>
        <v>Nguyễn Ngọc Tỷ_11VH5</v>
      </c>
      <c r="U2139" s="28">
        <f t="array" ref="U2139">IFERROR(VLOOKUP($T2139,'Nghi hoc T12'!$H$7:$I$160,2,0),0)</f>
        <v>0</v>
      </c>
      <c r="V2139" s="28" t="str">
        <f t="shared" si="180"/>
        <v>306.C11</v>
      </c>
      <c r="W2139" s="28">
        <f t="shared" si="183"/>
        <v>0</v>
      </c>
      <c r="X2139" s="333">
        <f t="shared" si="184"/>
        <v>0</v>
      </c>
      <c r="Y2139" s="333">
        <f t="shared" si="185"/>
        <v>0</v>
      </c>
    </row>
    <row r="2140" spans="1:25" s="2" customFormat="1" ht="21.95" customHeight="1">
      <c r="A2140" s="82">
        <v>16</v>
      </c>
      <c r="B2140" s="91" t="s">
        <v>3346</v>
      </c>
      <c r="C2140" s="83" t="s">
        <v>365</v>
      </c>
      <c r="D2140" s="81" t="s">
        <v>2307</v>
      </c>
      <c r="E2140" s="48">
        <v>400487</v>
      </c>
      <c r="F2140" s="30" t="s">
        <v>2484</v>
      </c>
      <c r="G2140" s="29" t="s">
        <v>74</v>
      </c>
      <c r="H2140" s="30" t="s">
        <v>2396</v>
      </c>
      <c r="I2140" s="78"/>
      <c r="J2140" s="20"/>
      <c r="K2140" s="20"/>
      <c r="L2140" s="20"/>
      <c r="M2140" s="20"/>
      <c r="N2140" s="320" t="s">
        <v>2685</v>
      </c>
      <c r="O2140" s="70">
        <v>0</v>
      </c>
      <c r="P2140" s="70">
        <v>0</v>
      </c>
      <c r="Q2140" s="70">
        <f t="shared" si="181"/>
        <v>0</v>
      </c>
      <c r="R2140" s="70"/>
      <c r="S2140" s="67"/>
      <c r="T2140" s="2" t="str">
        <f t="shared" si="182"/>
        <v>Nguyễn Cao Kiều Vi_11VH3</v>
      </c>
      <c r="U2140" s="28">
        <f t="array" ref="U2140">IFERROR(VLOOKUP($T2140,'Nghi hoc T12'!$H$7:$I$160,2,0),0)</f>
        <v>0</v>
      </c>
      <c r="V2140" s="28" t="str">
        <f t="shared" si="180"/>
        <v>306.C11</v>
      </c>
      <c r="W2140" s="28">
        <f t="shared" si="183"/>
        <v>0</v>
      </c>
      <c r="X2140" s="333">
        <f t="shared" si="184"/>
        <v>0</v>
      </c>
      <c r="Y2140" s="333">
        <f t="shared" si="185"/>
        <v>0</v>
      </c>
    </row>
    <row r="2141" spans="1:25" s="2" customFormat="1" ht="21.95" customHeight="1">
      <c r="A2141" s="82">
        <v>17</v>
      </c>
      <c r="B2141" s="91" t="s">
        <v>3346</v>
      </c>
      <c r="C2141" s="83" t="s">
        <v>365</v>
      </c>
      <c r="D2141" s="81" t="s">
        <v>2307</v>
      </c>
      <c r="E2141" s="48">
        <v>400488</v>
      </c>
      <c r="F2141" s="30" t="s">
        <v>2485</v>
      </c>
      <c r="G2141" s="29" t="s">
        <v>74</v>
      </c>
      <c r="H2141" s="30" t="s">
        <v>2399</v>
      </c>
      <c r="I2141" s="78"/>
      <c r="J2141" s="20"/>
      <c r="K2141" s="20"/>
      <c r="L2141" s="20"/>
      <c r="M2141" s="20"/>
      <c r="N2141" s="320" t="s">
        <v>2685</v>
      </c>
      <c r="O2141" s="70">
        <v>0</v>
      </c>
      <c r="P2141" s="70">
        <v>0</v>
      </c>
      <c r="Q2141" s="70">
        <f t="shared" si="181"/>
        <v>0</v>
      </c>
      <c r="R2141" s="70"/>
      <c r="S2141" s="67"/>
      <c r="T2141" s="2" t="str">
        <f t="shared" si="182"/>
        <v>Phùng Thị Thúy Vi_11VH5</v>
      </c>
      <c r="U2141" s="28">
        <f t="array" ref="U2141">IFERROR(VLOOKUP($T2141,'Nghi hoc T12'!$H$7:$I$160,2,0),0)</f>
        <v>0</v>
      </c>
      <c r="V2141" s="28" t="str">
        <f t="shared" si="180"/>
        <v>306.C11</v>
      </c>
      <c r="W2141" s="28">
        <f t="shared" si="183"/>
        <v>0</v>
      </c>
      <c r="X2141" s="333">
        <f t="shared" si="184"/>
        <v>0</v>
      </c>
      <c r="Y2141" s="333">
        <f t="shared" si="185"/>
        <v>0</v>
      </c>
    </row>
    <row r="2142" spans="1:25" s="2" customFormat="1" ht="21.95" customHeight="1">
      <c r="A2142" s="82">
        <v>18</v>
      </c>
      <c r="B2142" s="91" t="s">
        <v>3346</v>
      </c>
      <c r="C2142" s="83" t="s">
        <v>365</v>
      </c>
      <c r="D2142" s="81" t="s">
        <v>2307</v>
      </c>
      <c r="E2142" s="48">
        <v>400489</v>
      </c>
      <c r="F2142" s="30" t="s">
        <v>1639</v>
      </c>
      <c r="G2142" s="29" t="s">
        <v>61</v>
      </c>
      <c r="H2142" s="30" t="s">
        <v>2396</v>
      </c>
      <c r="I2142" s="78"/>
      <c r="J2142" s="20"/>
      <c r="K2142" s="20"/>
      <c r="L2142" s="20"/>
      <c r="M2142" s="20"/>
      <c r="N2142" s="320" t="s">
        <v>2685</v>
      </c>
      <c r="O2142" s="70">
        <v>0</v>
      </c>
      <c r="P2142" s="70">
        <v>0</v>
      </c>
      <c r="Q2142" s="70">
        <f t="shared" si="181"/>
        <v>0</v>
      </c>
      <c r="R2142" s="70"/>
      <c r="S2142" s="67"/>
      <c r="T2142" s="2" t="str">
        <f t="shared" si="182"/>
        <v>Bùi Quang Vinh_11VH3</v>
      </c>
      <c r="U2142" s="28">
        <f t="array" ref="U2142">IFERROR(VLOOKUP($T2142,'Nghi hoc T12'!$H$7:$I$160,2,0),0)</f>
        <v>0</v>
      </c>
      <c r="V2142" s="28" t="str">
        <f t="shared" si="180"/>
        <v>306.C11</v>
      </c>
      <c r="W2142" s="28">
        <f t="shared" si="183"/>
        <v>0</v>
      </c>
      <c r="X2142" s="333">
        <f t="shared" si="184"/>
        <v>0</v>
      </c>
      <c r="Y2142" s="333">
        <f t="shared" si="185"/>
        <v>0</v>
      </c>
    </row>
    <row r="2143" spans="1:25" s="2" customFormat="1" ht="21.95" customHeight="1">
      <c r="A2143" s="82">
        <v>19</v>
      </c>
      <c r="B2143" s="91" t="s">
        <v>3346</v>
      </c>
      <c r="C2143" s="83" t="s">
        <v>365</v>
      </c>
      <c r="D2143" s="81" t="s">
        <v>2307</v>
      </c>
      <c r="E2143" s="48">
        <v>400490</v>
      </c>
      <c r="F2143" s="30" t="s">
        <v>2486</v>
      </c>
      <c r="G2143" s="29" t="s">
        <v>34</v>
      </c>
      <c r="H2143" s="30" t="s">
        <v>2399</v>
      </c>
      <c r="I2143" s="78"/>
      <c r="J2143" s="20"/>
      <c r="K2143" s="20"/>
      <c r="L2143" s="20"/>
      <c r="M2143" s="20"/>
      <c r="N2143" s="320" t="s">
        <v>2685</v>
      </c>
      <c r="O2143" s="70">
        <v>0</v>
      </c>
      <c r="P2143" s="70">
        <v>0</v>
      </c>
      <c r="Q2143" s="70">
        <f t="shared" si="181"/>
        <v>0</v>
      </c>
      <c r="R2143" s="70"/>
      <c r="S2143" s="67"/>
      <c r="T2143" s="2" t="str">
        <f t="shared" si="182"/>
        <v>Đoàn Thảo Vy_11VH5</v>
      </c>
      <c r="U2143" s="28">
        <f t="array" ref="U2143">IFERROR(VLOOKUP($T2143,'Nghi hoc T12'!$H$7:$I$160,2,0),0)</f>
        <v>0</v>
      </c>
      <c r="V2143" s="28" t="str">
        <f t="shared" si="180"/>
        <v>306.C11</v>
      </c>
      <c r="W2143" s="28">
        <f t="shared" si="183"/>
        <v>0</v>
      </c>
      <c r="X2143" s="333">
        <f t="shared" si="184"/>
        <v>0</v>
      </c>
      <c r="Y2143" s="333">
        <f t="shared" si="185"/>
        <v>0</v>
      </c>
    </row>
    <row r="2144" spans="1:25" s="2" customFormat="1" ht="21.95" customHeight="1">
      <c r="A2144" s="82">
        <v>20</v>
      </c>
      <c r="B2144" s="91" t="s">
        <v>3346</v>
      </c>
      <c r="C2144" s="83" t="s">
        <v>365</v>
      </c>
      <c r="D2144" s="81" t="s">
        <v>2307</v>
      </c>
      <c r="E2144" s="48">
        <v>400491</v>
      </c>
      <c r="F2144" s="30" t="s">
        <v>2487</v>
      </c>
      <c r="G2144" s="29" t="s">
        <v>34</v>
      </c>
      <c r="H2144" s="30" t="s">
        <v>2396</v>
      </c>
      <c r="I2144" s="78"/>
      <c r="J2144" s="20"/>
      <c r="K2144" s="20"/>
      <c r="L2144" s="20"/>
      <c r="M2144" s="20"/>
      <c r="N2144" s="320" t="s">
        <v>2685</v>
      </c>
      <c r="O2144" s="70">
        <v>0</v>
      </c>
      <c r="P2144" s="70">
        <v>0</v>
      </c>
      <c r="Q2144" s="70">
        <f t="shared" si="181"/>
        <v>0</v>
      </c>
      <c r="R2144" s="70"/>
      <c r="S2144" s="67"/>
      <c r="T2144" s="2" t="str">
        <f t="shared" si="182"/>
        <v>Lưu Nguyễn Khánh Vy_11VH3</v>
      </c>
      <c r="U2144" s="28">
        <f t="array" ref="U2144">IFERROR(VLOOKUP($T2144,'Nghi hoc T12'!$H$7:$I$160,2,0),0)</f>
        <v>0</v>
      </c>
      <c r="V2144" s="28" t="str">
        <f t="shared" si="180"/>
        <v>306.C11</v>
      </c>
      <c r="W2144" s="28">
        <f t="shared" si="183"/>
        <v>0</v>
      </c>
      <c r="X2144" s="333">
        <f t="shared" si="184"/>
        <v>0</v>
      </c>
      <c r="Y2144" s="333">
        <f t="shared" si="185"/>
        <v>0</v>
      </c>
    </row>
    <row r="2145" spans="1:25" s="2" customFormat="1" ht="21.95" customHeight="1">
      <c r="A2145" s="82">
        <v>21</v>
      </c>
      <c r="B2145" s="91" t="s">
        <v>3346</v>
      </c>
      <c r="C2145" s="83" t="s">
        <v>365</v>
      </c>
      <c r="D2145" s="81" t="s">
        <v>2307</v>
      </c>
      <c r="E2145" s="48">
        <v>400492</v>
      </c>
      <c r="F2145" s="30" t="s">
        <v>321</v>
      </c>
      <c r="G2145" s="29" t="s">
        <v>34</v>
      </c>
      <c r="H2145" s="30" t="s">
        <v>2398</v>
      </c>
      <c r="I2145" s="78"/>
      <c r="J2145" s="20"/>
      <c r="K2145" s="20"/>
      <c r="L2145" s="20"/>
      <c r="M2145" s="20"/>
      <c r="N2145" s="320" t="s">
        <v>2685</v>
      </c>
      <c r="O2145" s="70">
        <v>0</v>
      </c>
      <c r="P2145" s="70">
        <v>0</v>
      </c>
      <c r="Q2145" s="70">
        <f t="shared" si="181"/>
        <v>0</v>
      </c>
      <c r="R2145" s="70"/>
      <c r="S2145" s="67"/>
      <c r="T2145" s="2" t="str">
        <f t="shared" si="182"/>
        <v>Nguyễn Ngọc Thảo Vy_11VH4</v>
      </c>
      <c r="U2145" s="28">
        <f t="array" ref="U2145">IFERROR(VLOOKUP($T2145,'Nghi hoc T12'!$H$7:$I$160,2,0),0)</f>
        <v>0</v>
      </c>
      <c r="V2145" s="28" t="str">
        <f t="shared" si="180"/>
        <v>306.C11</v>
      </c>
      <c r="W2145" s="28">
        <f t="shared" si="183"/>
        <v>0</v>
      </c>
      <c r="X2145" s="333">
        <f t="shared" si="184"/>
        <v>0</v>
      </c>
      <c r="Y2145" s="333">
        <f t="shared" si="185"/>
        <v>0</v>
      </c>
    </row>
    <row r="2146" spans="1:25" s="2" customFormat="1" ht="21.95" customHeight="1">
      <c r="A2146" s="82">
        <v>22</v>
      </c>
      <c r="B2146" s="91" t="s">
        <v>3346</v>
      </c>
      <c r="C2146" s="83" t="s">
        <v>365</v>
      </c>
      <c r="D2146" s="81" t="s">
        <v>2307</v>
      </c>
      <c r="E2146" s="48">
        <v>400493</v>
      </c>
      <c r="F2146" s="30" t="s">
        <v>2488</v>
      </c>
      <c r="G2146" s="29" t="s">
        <v>34</v>
      </c>
      <c r="H2146" s="30" t="s">
        <v>2399</v>
      </c>
      <c r="I2146" s="78"/>
      <c r="J2146" s="20"/>
      <c r="K2146" s="20"/>
      <c r="L2146" s="20"/>
      <c r="M2146" s="20"/>
      <c r="N2146" s="320" t="s">
        <v>2685</v>
      </c>
      <c r="O2146" s="70">
        <v>0</v>
      </c>
      <c r="P2146" s="70">
        <v>0</v>
      </c>
      <c r="Q2146" s="70">
        <f t="shared" si="181"/>
        <v>0</v>
      </c>
      <c r="R2146" s="70"/>
      <c r="S2146" s="67"/>
      <c r="T2146" s="2" t="str">
        <f t="shared" si="182"/>
        <v>Tăng Thị Yến Vy_11VH5</v>
      </c>
      <c r="U2146" s="28">
        <f t="array" ref="U2146">IFERROR(VLOOKUP($T2146,'Nghi hoc T12'!$H$7:$I$160,2,0),0)</f>
        <v>0</v>
      </c>
      <c r="V2146" s="28" t="str">
        <f t="shared" si="180"/>
        <v>306.C11</v>
      </c>
      <c r="W2146" s="28">
        <f t="shared" si="183"/>
        <v>0</v>
      </c>
      <c r="X2146" s="333">
        <f t="shared" si="184"/>
        <v>0</v>
      </c>
      <c r="Y2146" s="333">
        <f t="shared" si="185"/>
        <v>0</v>
      </c>
    </row>
    <row r="2147" spans="1:25" s="2" customFormat="1" ht="21.95" customHeight="1">
      <c r="A2147" s="82">
        <v>23</v>
      </c>
      <c r="B2147" s="91" t="s">
        <v>3346</v>
      </c>
      <c r="C2147" s="83" t="s">
        <v>365</v>
      </c>
      <c r="D2147" s="81" t="s">
        <v>2307</v>
      </c>
      <c r="E2147" s="48">
        <v>400494</v>
      </c>
      <c r="F2147" s="30" t="s">
        <v>2489</v>
      </c>
      <c r="G2147" s="29" t="s">
        <v>34</v>
      </c>
      <c r="H2147" s="30" t="s">
        <v>2396</v>
      </c>
      <c r="I2147" s="78"/>
      <c r="J2147" s="20"/>
      <c r="K2147" s="20"/>
      <c r="L2147" s="20"/>
      <c r="M2147" s="20"/>
      <c r="N2147" s="320" t="s">
        <v>2685</v>
      </c>
      <c r="O2147" s="70">
        <v>0</v>
      </c>
      <c r="P2147" s="70">
        <v>0</v>
      </c>
      <c r="Q2147" s="70">
        <f t="shared" si="181"/>
        <v>0</v>
      </c>
      <c r="R2147" s="70"/>
      <c r="S2147" s="67"/>
      <c r="T2147" s="2" t="str">
        <f t="shared" si="182"/>
        <v>Trịnh Nguyễn Phương Vy_11VH3</v>
      </c>
      <c r="U2147" s="28">
        <f t="array" ref="U2147">IFERROR(VLOOKUP($T2147,'Nghi hoc T12'!$H$7:$I$160,2,0),0)</f>
        <v>0</v>
      </c>
      <c r="V2147" s="28" t="str">
        <f>B2147&amp;1</f>
        <v>306.C11</v>
      </c>
      <c r="W2147" s="28">
        <f t="shared" si="183"/>
        <v>0</v>
      </c>
      <c r="X2147" s="333">
        <f t="shared" si="184"/>
        <v>0</v>
      </c>
      <c r="Y2147" s="333">
        <f t="shared" si="185"/>
        <v>0</v>
      </c>
    </row>
    <row r="2148" spans="1:25" s="2" customFormat="1" ht="21.95" customHeight="1">
      <c r="A2148" s="82">
        <v>24</v>
      </c>
      <c r="B2148" s="91" t="s">
        <v>3346</v>
      </c>
      <c r="C2148" s="83" t="s">
        <v>365</v>
      </c>
      <c r="D2148" s="81" t="s">
        <v>2307</v>
      </c>
      <c r="E2148" s="48">
        <v>400495</v>
      </c>
      <c r="F2148" s="30" t="s">
        <v>2490</v>
      </c>
      <c r="G2148" s="29" t="s">
        <v>75</v>
      </c>
      <c r="H2148" s="30" t="s">
        <v>2399</v>
      </c>
      <c r="I2148" s="78"/>
      <c r="J2148" s="20"/>
      <c r="K2148" s="20"/>
      <c r="L2148" s="20"/>
      <c r="M2148" s="20"/>
      <c r="N2148" s="320" t="s">
        <v>2685</v>
      </c>
      <c r="O2148" s="70">
        <v>0</v>
      </c>
      <c r="P2148" s="70">
        <v>0</v>
      </c>
      <c r="Q2148" s="70">
        <f t="shared" si="181"/>
        <v>0</v>
      </c>
      <c r="R2148" s="70"/>
      <c r="S2148" s="67"/>
      <c r="T2148" s="2" t="str">
        <f t="shared" si="182"/>
        <v>Phạm Huỳnh Như Ý_11VH5</v>
      </c>
      <c r="U2148" s="28">
        <f t="array" ref="U2148">IFERROR(VLOOKUP($T2148,'Nghi hoc T12'!$H$7:$I$160,2,0),0)</f>
        <v>0</v>
      </c>
      <c r="V2148" s="28" t="str">
        <f>B2148&amp;1</f>
        <v>306.C11</v>
      </c>
      <c r="W2148" s="28">
        <f t="shared" si="183"/>
        <v>0</v>
      </c>
      <c r="X2148" s="333">
        <f t="shared" si="184"/>
        <v>0</v>
      </c>
      <c r="Y2148" s="333">
        <f t="shared" si="185"/>
        <v>0</v>
      </c>
    </row>
    <row r="2149" spans="1:25" s="2" customFormat="1" ht="21.95" customHeight="1">
      <c r="A2149" s="321">
        <v>1</v>
      </c>
      <c r="B2149" s="91" t="str">
        <f t="shared" ref="B2149:B2186" si="186">RIGHT(D2149,LEN(D2149)-2)&amp;"."&amp;LEFT(N2149,1)</f>
        <v>202.T</v>
      </c>
      <c r="C2149" s="185" t="s">
        <v>366</v>
      </c>
      <c r="D2149" s="186" t="s">
        <v>2167</v>
      </c>
      <c r="E2149" s="187">
        <v>400496</v>
      </c>
      <c r="F2149" s="188" t="s">
        <v>2491</v>
      </c>
      <c r="G2149" s="189" t="s">
        <v>63</v>
      </c>
      <c r="H2149" s="188" t="s">
        <v>2492</v>
      </c>
      <c r="I2149" s="190"/>
      <c r="J2149" s="191"/>
      <c r="K2149" s="191"/>
      <c r="L2149" s="191"/>
      <c r="M2149" s="191"/>
      <c r="N2149" s="179" t="s">
        <v>502</v>
      </c>
      <c r="O2149" s="70">
        <v>0</v>
      </c>
      <c r="P2149" s="70">
        <v>0</v>
      </c>
      <c r="Q2149" s="70">
        <f t="shared" si="181"/>
        <v>0</v>
      </c>
      <c r="R2149" s="70"/>
      <c r="S2149" s="67"/>
      <c r="T2149" s="2" t="str">
        <f t="shared" si="182"/>
        <v>Nguyễn Thúy An_12VH1</v>
      </c>
      <c r="U2149" s="28">
        <f t="array" ref="U2149">IFERROR(VLOOKUP($T2149,'Nghi hoc T12'!$H$7:$I$160,2,0),0)</f>
        <v>0</v>
      </c>
      <c r="V2149" s="28"/>
      <c r="W2149" s="28">
        <f t="shared" si="183"/>
        <v>0</v>
      </c>
      <c r="X2149" s="333">
        <f t="shared" si="184"/>
        <v>0</v>
      </c>
      <c r="Y2149" s="333">
        <f t="shared" si="185"/>
        <v>0</v>
      </c>
    </row>
    <row r="2150" spans="1:25" s="2" customFormat="1" ht="21.95" customHeight="1">
      <c r="A2150" s="82">
        <v>2</v>
      </c>
      <c r="B2150" s="91" t="str">
        <f t="shared" si="186"/>
        <v>202.T</v>
      </c>
      <c r="C2150" s="83" t="s">
        <v>366</v>
      </c>
      <c r="D2150" s="81" t="s">
        <v>2167</v>
      </c>
      <c r="E2150" s="48">
        <v>400497</v>
      </c>
      <c r="F2150" s="30" t="s">
        <v>2391</v>
      </c>
      <c r="G2150" s="29" t="s">
        <v>63</v>
      </c>
      <c r="H2150" s="30" t="s">
        <v>2493</v>
      </c>
      <c r="I2150" s="78"/>
      <c r="J2150" s="20"/>
      <c r="K2150" s="20"/>
      <c r="L2150" s="20"/>
      <c r="M2150" s="20"/>
      <c r="N2150" s="179" t="s">
        <v>502</v>
      </c>
      <c r="O2150" s="70">
        <v>0</v>
      </c>
      <c r="P2150" s="70">
        <v>0</v>
      </c>
      <c r="Q2150" s="70">
        <f t="shared" si="181"/>
        <v>0</v>
      </c>
      <c r="R2150" s="70"/>
      <c r="S2150" s="67"/>
      <c r="T2150" s="2" t="str">
        <f t="shared" si="182"/>
        <v>Phạm Hoàng An_12VH2</v>
      </c>
      <c r="U2150" s="28">
        <f t="array" ref="U2150">IFERROR(VLOOKUP($T2150,'Nghi hoc T12'!$H$7:$I$160,2,0),0)</f>
        <v>0</v>
      </c>
      <c r="V2150" s="28"/>
      <c r="W2150" s="28">
        <f t="shared" si="183"/>
        <v>0</v>
      </c>
      <c r="X2150" s="333">
        <f t="shared" si="184"/>
        <v>0</v>
      </c>
      <c r="Y2150" s="333">
        <f t="shared" si="185"/>
        <v>0</v>
      </c>
    </row>
    <row r="2151" spans="1:25" s="2" customFormat="1" ht="21.95" customHeight="1">
      <c r="A2151" s="82">
        <v>3</v>
      </c>
      <c r="B2151" s="91" t="str">
        <f t="shared" si="186"/>
        <v>202.T</v>
      </c>
      <c r="C2151" s="83" t="s">
        <v>366</v>
      </c>
      <c r="D2151" s="81" t="s">
        <v>2167</v>
      </c>
      <c r="E2151" s="48">
        <v>400498</v>
      </c>
      <c r="F2151" s="30" t="s">
        <v>2494</v>
      </c>
      <c r="G2151" s="29" t="s">
        <v>63</v>
      </c>
      <c r="H2151" s="30" t="s">
        <v>2495</v>
      </c>
      <c r="I2151" s="78"/>
      <c r="J2151" s="20"/>
      <c r="K2151" s="20"/>
      <c r="L2151" s="20"/>
      <c r="M2151" s="20"/>
      <c r="N2151" s="179" t="s">
        <v>502</v>
      </c>
      <c r="O2151" s="70">
        <v>0</v>
      </c>
      <c r="P2151" s="70">
        <v>0</v>
      </c>
      <c r="Q2151" s="70">
        <f t="shared" si="181"/>
        <v>0</v>
      </c>
      <c r="R2151" s="70"/>
      <c r="S2151" s="67"/>
      <c r="T2151" s="2" t="str">
        <f t="shared" si="182"/>
        <v>Trần Bình An_12VH3</v>
      </c>
      <c r="U2151" s="28">
        <f t="array" ref="U2151">IFERROR(VLOOKUP($T2151,'Nghi hoc T12'!$H$7:$I$160,2,0),0)</f>
        <v>0</v>
      </c>
      <c r="V2151" s="28"/>
      <c r="W2151" s="28">
        <f t="shared" si="183"/>
        <v>0</v>
      </c>
      <c r="X2151" s="333">
        <f t="shared" si="184"/>
        <v>0</v>
      </c>
      <c r="Y2151" s="333">
        <f t="shared" si="185"/>
        <v>0</v>
      </c>
    </row>
    <row r="2152" spans="1:25" s="2" customFormat="1" ht="21.95" customHeight="1">
      <c r="A2152" s="82">
        <v>4</v>
      </c>
      <c r="B2152" s="91" t="str">
        <f t="shared" si="186"/>
        <v>202.T</v>
      </c>
      <c r="C2152" s="83" t="s">
        <v>366</v>
      </c>
      <c r="D2152" s="81" t="s">
        <v>2167</v>
      </c>
      <c r="E2152" s="48">
        <v>400499</v>
      </c>
      <c r="F2152" s="30" t="s">
        <v>322</v>
      </c>
      <c r="G2152" s="29" t="s">
        <v>5</v>
      </c>
      <c r="H2152" s="30" t="s">
        <v>2492</v>
      </c>
      <c r="I2152" s="78"/>
      <c r="J2152" s="20"/>
      <c r="K2152" s="20"/>
      <c r="L2152" s="20"/>
      <c r="M2152" s="20"/>
      <c r="N2152" s="179" t="s">
        <v>502</v>
      </c>
      <c r="O2152" s="70">
        <v>0</v>
      </c>
      <c r="P2152" s="70">
        <v>0</v>
      </c>
      <c r="Q2152" s="70">
        <f t="shared" si="181"/>
        <v>0</v>
      </c>
      <c r="R2152" s="70"/>
      <c r="S2152" s="67"/>
      <c r="T2152" s="2" t="str">
        <f t="shared" si="182"/>
        <v>Lê Hồng Anh_12VH1</v>
      </c>
      <c r="U2152" s="28">
        <f t="array" ref="U2152">IFERROR(VLOOKUP($T2152,'Nghi hoc T12'!$H$7:$I$160,2,0),0)</f>
        <v>0</v>
      </c>
      <c r="V2152" s="28"/>
      <c r="W2152" s="28">
        <f t="shared" si="183"/>
        <v>0</v>
      </c>
      <c r="X2152" s="333">
        <f t="shared" si="184"/>
        <v>0</v>
      </c>
      <c r="Y2152" s="333">
        <f t="shared" si="185"/>
        <v>0</v>
      </c>
    </row>
    <row r="2153" spans="1:25" s="2" customFormat="1" ht="21.95" customHeight="1">
      <c r="A2153" s="82">
        <v>5</v>
      </c>
      <c r="B2153" s="91" t="str">
        <f t="shared" si="186"/>
        <v>202.T</v>
      </c>
      <c r="C2153" s="83" t="s">
        <v>366</v>
      </c>
      <c r="D2153" s="81" t="s">
        <v>2167</v>
      </c>
      <c r="E2153" s="48">
        <v>400500</v>
      </c>
      <c r="F2153" s="30" t="s">
        <v>2496</v>
      </c>
      <c r="G2153" s="29" t="s">
        <v>5</v>
      </c>
      <c r="H2153" s="30" t="s">
        <v>2493</v>
      </c>
      <c r="I2153" s="78"/>
      <c r="J2153" s="20"/>
      <c r="K2153" s="20"/>
      <c r="L2153" s="20"/>
      <c r="M2153" s="20"/>
      <c r="N2153" s="179" t="s">
        <v>502</v>
      </c>
      <c r="O2153" s="70">
        <v>0</v>
      </c>
      <c r="P2153" s="70">
        <v>0</v>
      </c>
      <c r="Q2153" s="70">
        <f t="shared" si="181"/>
        <v>0</v>
      </c>
      <c r="R2153" s="70"/>
      <c r="S2153" s="67"/>
      <c r="T2153" s="2" t="str">
        <f t="shared" si="182"/>
        <v>Nguyễn Hoàng Kỳ Anh_12VH2</v>
      </c>
      <c r="U2153" s="28">
        <f t="array" ref="U2153">IFERROR(VLOOKUP($T2153,'Nghi hoc T12'!$H$7:$I$160,2,0),0)</f>
        <v>0</v>
      </c>
      <c r="V2153" s="28"/>
      <c r="W2153" s="28">
        <f t="shared" si="183"/>
        <v>0</v>
      </c>
      <c r="X2153" s="333">
        <f t="shared" si="184"/>
        <v>0</v>
      </c>
      <c r="Y2153" s="333">
        <f t="shared" si="185"/>
        <v>0</v>
      </c>
    </row>
    <row r="2154" spans="1:25" s="2" customFormat="1" ht="21.95" customHeight="1">
      <c r="A2154" s="82">
        <v>6</v>
      </c>
      <c r="B2154" s="91" t="str">
        <f t="shared" si="186"/>
        <v>202.T</v>
      </c>
      <c r="C2154" s="83" t="s">
        <v>366</v>
      </c>
      <c r="D2154" s="81" t="s">
        <v>2167</v>
      </c>
      <c r="E2154" s="48">
        <v>400501</v>
      </c>
      <c r="F2154" s="30" t="s">
        <v>2497</v>
      </c>
      <c r="G2154" s="29" t="s">
        <v>5</v>
      </c>
      <c r="H2154" s="30" t="s">
        <v>2493</v>
      </c>
      <c r="I2154" s="78"/>
      <c r="J2154" s="20"/>
      <c r="K2154" s="20"/>
      <c r="L2154" s="20"/>
      <c r="M2154" s="20"/>
      <c r="N2154" s="179" t="s">
        <v>502</v>
      </c>
      <c r="O2154" s="70">
        <v>0</v>
      </c>
      <c r="P2154" s="70">
        <v>0</v>
      </c>
      <c r="Q2154" s="70">
        <f t="shared" si="181"/>
        <v>0</v>
      </c>
      <c r="R2154" s="70"/>
      <c r="S2154" s="67"/>
      <c r="T2154" s="2" t="str">
        <f t="shared" si="182"/>
        <v>Nguyễn Ngọc Mai Anh_12VH2</v>
      </c>
      <c r="U2154" s="28">
        <f t="array" ref="U2154">IFERROR(VLOOKUP($T2154,'Nghi hoc T12'!$H$7:$I$160,2,0),0)</f>
        <v>0</v>
      </c>
      <c r="V2154" s="28"/>
      <c r="W2154" s="28">
        <f t="shared" si="183"/>
        <v>0</v>
      </c>
      <c r="X2154" s="333">
        <f t="shared" si="184"/>
        <v>0</v>
      </c>
      <c r="Y2154" s="333">
        <f t="shared" si="185"/>
        <v>0</v>
      </c>
    </row>
    <row r="2155" spans="1:25" s="2" customFormat="1" ht="21.95" customHeight="1">
      <c r="A2155" s="82">
        <v>7</v>
      </c>
      <c r="B2155" s="91" t="str">
        <f t="shared" si="186"/>
        <v>202.T</v>
      </c>
      <c r="C2155" s="83" t="s">
        <v>366</v>
      </c>
      <c r="D2155" s="81" t="s">
        <v>2167</v>
      </c>
      <c r="E2155" s="48">
        <v>400502</v>
      </c>
      <c r="F2155" s="30" t="s">
        <v>315</v>
      </c>
      <c r="G2155" s="29" t="s">
        <v>5</v>
      </c>
      <c r="H2155" s="30" t="s">
        <v>2495</v>
      </c>
      <c r="I2155" s="78"/>
      <c r="J2155" s="20"/>
      <c r="K2155" s="20"/>
      <c r="L2155" s="20"/>
      <c r="M2155" s="20"/>
      <c r="N2155" s="179" t="s">
        <v>502</v>
      </c>
      <c r="O2155" s="70">
        <v>0</v>
      </c>
      <c r="P2155" s="70">
        <v>0</v>
      </c>
      <c r="Q2155" s="70">
        <f t="shared" si="181"/>
        <v>0</v>
      </c>
      <c r="R2155" s="70"/>
      <c r="S2155" s="67"/>
      <c r="T2155" s="2" t="str">
        <f t="shared" si="182"/>
        <v>Nguyễn Tuấn Anh_12VH3</v>
      </c>
      <c r="U2155" s="28">
        <f t="array" ref="U2155">IFERROR(VLOOKUP($T2155,'Nghi hoc T12'!$H$7:$I$160,2,0),0)</f>
        <v>0</v>
      </c>
      <c r="V2155" s="28"/>
      <c r="W2155" s="28">
        <f t="shared" si="183"/>
        <v>0</v>
      </c>
      <c r="X2155" s="333">
        <f t="shared" si="184"/>
        <v>0</v>
      </c>
      <c r="Y2155" s="333">
        <f t="shared" si="185"/>
        <v>0</v>
      </c>
    </row>
    <row r="2156" spans="1:25" s="2" customFormat="1" ht="21.95" customHeight="1">
      <c r="A2156" s="82">
        <v>8</v>
      </c>
      <c r="B2156" s="91" t="str">
        <f t="shared" si="186"/>
        <v>202.T</v>
      </c>
      <c r="C2156" s="83" t="s">
        <v>366</v>
      </c>
      <c r="D2156" s="81" t="s">
        <v>2167</v>
      </c>
      <c r="E2156" s="48">
        <v>400503</v>
      </c>
      <c r="F2156" s="30" t="s">
        <v>195</v>
      </c>
      <c r="G2156" s="29" t="s">
        <v>76</v>
      </c>
      <c r="H2156" s="30" t="s">
        <v>2493</v>
      </c>
      <c r="I2156" s="78"/>
      <c r="J2156" s="20"/>
      <c r="K2156" s="20"/>
      <c r="L2156" s="20"/>
      <c r="M2156" s="20"/>
      <c r="N2156" s="179" t="s">
        <v>502</v>
      </c>
      <c r="O2156" s="70">
        <v>0</v>
      </c>
      <c r="P2156" s="70">
        <v>0</v>
      </c>
      <c r="Q2156" s="70">
        <f t="shared" si="181"/>
        <v>0</v>
      </c>
      <c r="R2156" s="70"/>
      <c r="S2156" s="67"/>
      <c r="T2156" s="2" t="str">
        <f t="shared" si="182"/>
        <v>Vũ Minh Ánh_12VH2</v>
      </c>
      <c r="U2156" s="28">
        <f t="array" ref="U2156">IFERROR(VLOOKUP($T2156,'Nghi hoc T12'!$H$7:$I$160,2,0),0)</f>
        <v>0</v>
      </c>
      <c r="V2156" s="28"/>
      <c r="W2156" s="28">
        <f t="shared" si="183"/>
        <v>0</v>
      </c>
      <c r="X2156" s="333">
        <f t="shared" si="184"/>
        <v>0</v>
      </c>
      <c r="Y2156" s="333">
        <f t="shared" si="185"/>
        <v>0</v>
      </c>
    </row>
    <row r="2157" spans="1:25" s="2" customFormat="1" ht="21.95" customHeight="1">
      <c r="A2157" s="82">
        <v>9</v>
      </c>
      <c r="B2157" s="91" t="str">
        <f t="shared" si="186"/>
        <v>202.T</v>
      </c>
      <c r="C2157" s="83" t="s">
        <v>366</v>
      </c>
      <c r="D2157" s="81" t="s">
        <v>2167</v>
      </c>
      <c r="E2157" s="48">
        <v>400504</v>
      </c>
      <c r="F2157" s="30" t="s">
        <v>201</v>
      </c>
      <c r="G2157" s="29" t="s">
        <v>108</v>
      </c>
      <c r="H2157" s="30" t="s">
        <v>2492</v>
      </c>
      <c r="I2157" s="78"/>
      <c r="J2157" s="20"/>
      <c r="K2157" s="20"/>
      <c r="L2157" s="20"/>
      <c r="M2157" s="20"/>
      <c r="N2157" s="179" t="s">
        <v>502</v>
      </c>
      <c r="O2157" s="70">
        <v>0</v>
      </c>
      <c r="P2157" s="70">
        <v>0</v>
      </c>
      <c r="Q2157" s="70">
        <f t="shared" si="181"/>
        <v>0</v>
      </c>
      <c r="R2157" s="70"/>
      <c r="S2157" s="67"/>
      <c r="T2157" s="2" t="str">
        <f t="shared" si="182"/>
        <v>Nguyễn Hữu Ân_12VH1</v>
      </c>
      <c r="U2157" s="28">
        <f t="array" ref="U2157">IFERROR(VLOOKUP($T2157,'Nghi hoc T12'!$H$7:$I$160,2,0),0)</f>
        <v>0</v>
      </c>
      <c r="V2157" s="28"/>
      <c r="W2157" s="28">
        <f t="shared" si="183"/>
        <v>0</v>
      </c>
      <c r="X2157" s="333">
        <f t="shared" si="184"/>
        <v>0</v>
      </c>
      <c r="Y2157" s="333">
        <f t="shared" si="185"/>
        <v>0</v>
      </c>
    </row>
    <row r="2158" spans="1:25" s="2" customFormat="1" ht="21.95" customHeight="1">
      <c r="A2158" s="82">
        <v>10</v>
      </c>
      <c r="B2158" s="91" t="str">
        <f t="shared" si="186"/>
        <v>202.T</v>
      </c>
      <c r="C2158" s="83" t="s">
        <v>366</v>
      </c>
      <c r="D2158" s="81" t="s">
        <v>2167</v>
      </c>
      <c r="E2158" s="48">
        <v>400505</v>
      </c>
      <c r="F2158" s="30" t="s">
        <v>2498</v>
      </c>
      <c r="G2158" s="29" t="s">
        <v>83</v>
      </c>
      <c r="H2158" s="30" t="s">
        <v>2492</v>
      </c>
      <c r="I2158" s="78"/>
      <c r="J2158" s="20"/>
      <c r="K2158" s="20"/>
      <c r="L2158" s="20"/>
      <c r="M2158" s="20"/>
      <c r="N2158" s="179" t="s">
        <v>502</v>
      </c>
      <c r="O2158" s="70">
        <v>0</v>
      </c>
      <c r="P2158" s="70">
        <v>0</v>
      </c>
      <c r="Q2158" s="70">
        <f t="shared" si="181"/>
        <v>0</v>
      </c>
      <c r="R2158" s="70"/>
      <c r="S2158" s="67"/>
      <c r="T2158" s="2" t="str">
        <f t="shared" si="182"/>
        <v>Dương Tôn Bảo_12VH1</v>
      </c>
      <c r="U2158" s="28">
        <f t="array" ref="U2158">IFERROR(VLOOKUP($T2158,'Nghi hoc T12'!$H$7:$I$160,2,0),0)</f>
        <v>0</v>
      </c>
      <c r="V2158" s="28"/>
      <c r="W2158" s="28">
        <f t="shared" si="183"/>
        <v>0</v>
      </c>
      <c r="X2158" s="333">
        <f t="shared" si="184"/>
        <v>0</v>
      </c>
      <c r="Y2158" s="333">
        <f t="shared" si="185"/>
        <v>0</v>
      </c>
    </row>
    <row r="2159" spans="1:25" s="2" customFormat="1" ht="21.95" customHeight="1">
      <c r="A2159" s="82">
        <v>11</v>
      </c>
      <c r="B2159" s="91" t="str">
        <f t="shared" si="186"/>
        <v>202.T</v>
      </c>
      <c r="C2159" s="83" t="s">
        <v>366</v>
      </c>
      <c r="D2159" s="81" t="s">
        <v>2167</v>
      </c>
      <c r="E2159" s="48">
        <v>400506</v>
      </c>
      <c r="F2159" s="30" t="s">
        <v>201</v>
      </c>
      <c r="G2159" s="29" t="s">
        <v>83</v>
      </c>
      <c r="H2159" s="30" t="s">
        <v>2493</v>
      </c>
      <c r="I2159" s="78"/>
      <c r="J2159" s="20"/>
      <c r="K2159" s="20"/>
      <c r="L2159" s="20"/>
      <c r="M2159" s="20"/>
      <c r="N2159" s="179" t="s">
        <v>502</v>
      </c>
      <c r="O2159" s="70">
        <v>0</v>
      </c>
      <c r="P2159" s="70">
        <v>0</v>
      </c>
      <c r="Q2159" s="70">
        <f t="shared" si="181"/>
        <v>0</v>
      </c>
      <c r="R2159" s="70"/>
      <c r="S2159" s="67"/>
      <c r="T2159" s="2" t="str">
        <f t="shared" si="182"/>
        <v>Nguyễn Hữu Bảo_12VH2</v>
      </c>
      <c r="U2159" s="28">
        <f t="array" ref="U2159">IFERROR(VLOOKUP($T2159,'Nghi hoc T12'!$H$7:$I$160,2,0),0)</f>
        <v>0</v>
      </c>
      <c r="V2159" s="28"/>
      <c r="W2159" s="28">
        <f t="shared" si="183"/>
        <v>0</v>
      </c>
      <c r="X2159" s="333">
        <f t="shared" si="184"/>
        <v>0</v>
      </c>
      <c r="Y2159" s="333">
        <f t="shared" si="185"/>
        <v>0</v>
      </c>
    </row>
    <row r="2160" spans="1:25" s="2" customFormat="1" ht="21.95" customHeight="1">
      <c r="A2160" s="82">
        <v>12</v>
      </c>
      <c r="B2160" s="91" t="str">
        <f t="shared" si="186"/>
        <v>202.T</v>
      </c>
      <c r="C2160" s="83" t="s">
        <v>366</v>
      </c>
      <c r="D2160" s="81" t="s">
        <v>2167</v>
      </c>
      <c r="E2160" s="48">
        <v>400507</v>
      </c>
      <c r="F2160" s="30" t="s">
        <v>118</v>
      </c>
      <c r="G2160" s="29" t="s">
        <v>83</v>
      </c>
      <c r="H2160" s="30" t="s">
        <v>2495</v>
      </c>
      <c r="I2160" s="78"/>
      <c r="J2160" s="20"/>
      <c r="K2160" s="20"/>
      <c r="L2160" s="20"/>
      <c r="M2160" s="20"/>
      <c r="N2160" s="179" t="s">
        <v>502</v>
      </c>
      <c r="O2160" s="70">
        <v>0</v>
      </c>
      <c r="P2160" s="70">
        <v>0</v>
      </c>
      <c r="Q2160" s="70">
        <f t="shared" si="181"/>
        <v>0</v>
      </c>
      <c r="R2160" s="70"/>
      <c r="S2160" s="67"/>
      <c r="T2160" s="2" t="str">
        <f t="shared" si="182"/>
        <v>Nguyễn Quốc Bảo_12VH3</v>
      </c>
      <c r="U2160" s="28">
        <f t="array" ref="U2160">IFERROR(VLOOKUP($T2160,'Nghi hoc T12'!$H$7:$I$160,2,0),0)</f>
        <v>0</v>
      </c>
      <c r="V2160" s="28"/>
      <c r="W2160" s="28">
        <f t="shared" si="183"/>
        <v>0</v>
      </c>
      <c r="X2160" s="333">
        <f t="shared" si="184"/>
        <v>0</v>
      </c>
      <c r="Y2160" s="333">
        <f t="shared" si="185"/>
        <v>0</v>
      </c>
    </row>
    <row r="2161" spans="1:25" s="2" customFormat="1" ht="21.95" customHeight="1">
      <c r="A2161" s="82">
        <v>13</v>
      </c>
      <c r="B2161" s="91" t="str">
        <f t="shared" si="186"/>
        <v>202.T</v>
      </c>
      <c r="C2161" s="83" t="s">
        <v>366</v>
      </c>
      <c r="D2161" s="81" t="s">
        <v>2167</v>
      </c>
      <c r="E2161" s="48">
        <v>400508</v>
      </c>
      <c r="F2161" s="30" t="s">
        <v>2499</v>
      </c>
      <c r="G2161" s="29" t="s">
        <v>77</v>
      </c>
      <c r="H2161" s="30" t="s">
        <v>2492</v>
      </c>
      <c r="I2161" s="78"/>
      <c r="J2161" s="20"/>
      <c r="K2161" s="20"/>
      <c r="L2161" s="20"/>
      <c r="M2161" s="20"/>
      <c r="N2161" s="179" t="s">
        <v>502</v>
      </c>
      <c r="O2161" s="70">
        <v>0</v>
      </c>
      <c r="P2161" s="70">
        <v>0</v>
      </c>
      <c r="Q2161" s="70">
        <f t="shared" si="181"/>
        <v>0</v>
      </c>
      <c r="R2161" s="70"/>
      <c r="S2161" s="67"/>
      <c r="T2161" s="2" t="str">
        <f t="shared" si="182"/>
        <v>Nguyễn Lê Gia Bình_12VH1</v>
      </c>
      <c r="U2161" s="28">
        <f t="array" ref="U2161">IFERROR(VLOOKUP($T2161,'Nghi hoc T12'!$H$7:$I$160,2,0),0)</f>
        <v>0</v>
      </c>
      <c r="V2161" s="28"/>
      <c r="W2161" s="28">
        <f t="shared" si="183"/>
        <v>0</v>
      </c>
      <c r="X2161" s="333">
        <f t="shared" si="184"/>
        <v>0</v>
      </c>
      <c r="Y2161" s="333">
        <f t="shared" si="185"/>
        <v>0</v>
      </c>
    </row>
    <row r="2162" spans="1:25" s="2" customFormat="1" ht="21.95" customHeight="1">
      <c r="A2162" s="82">
        <v>14</v>
      </c>
      <c r="B2162" s="91" t="str">
        <f t="shared" si="186"/>
        <v>202.T</v>
      </c>
      <c r="C2162" s="83" t="s">
        <v>366</v>
      </c>
      <c r="D2162" s="81" t="s">
        <v>2167</v>
      </c>
      <c r="E2162" s="48">
        <v>400509</v>
      </c>
      <c r="F2162" s="30" t="s">
        <v>2500</v>
      </c>
      <c r="G2162" s="29" t="s">
        <v>313</v>
      </c>
      <c r="H2162" s="30" t="s">
        <v>2495</v>
      </c>
      <c r="I2162" s="78"/>
      <c r="J2162" s="20"/>
      <c r="K2162" s="20"/>
      <c r="L2162" s="20"/>
      <c r="M2162" s="20"/>
      <c r="N2162" s="179" t="s">
        <v>502</v>
      </c>
      <c r="O2162" s="70">
        <v>0</v>
      </c>
      <c r="P2162" s="70">
        <v>0</v>
      </c>
      <c r="Q2162" s="70">
        <f t="shared" si="181"/>
        <v>0</v>
      </c>
      <c r="R2162" s="70"/>
      <c r="S2162" s="67"/>
      <c r="T2162" s="2" t="str">
        <f t="shared" si="182"/>
        <v>Thiều Thọ Đại Chính_12VH3</v>
      </c>
      <c r="U2162" s="28">
        <f t="array" ref="U2162">IFERROR(VLOOKUP($T2162,'Nghi hoc T12'!$H$7:$I$160,2,0),0)</f>
        <v>0</v>
      </c>
      <c r="V2162" s="28"/>
      <c r="W2162" s="28">
        <f t="shared" si="183"/>
        <v>0</v>
      </c>
      <c r="X2162" s="333">
        <f t="shared" si="184"/>
        <v>0</v>
      </c>
      <c r="Y2162" s="333">
        <f t="shared" si="185"/>
        <v>0</v>
      </c>
    </row>
    <row r="2163" spans="1:25" s="2" customFormat="1" ht="21.95" customHeight="1">
      <c r="A2163" s="82">
        <v>15</v>
      </c>
      <c r="B2163" s="91" t="str">
        <f t="shared" si="186"/>
        <v>202.T</v>
      </c>
      <c r="C2163" s="83" t="s">
        <v>366</v>
      </c>
      <c r="D2163" s="81" t="s">
        <v>2167</v>
      </c>
      <c r="E2163" s="48">
        <v>400510</v>
      </c>
      <c r="F2163" s="30" t="s">
        <v>2501</v>
      </c>
      <c r="G2163" s="29" t="s">
        <v>140</v>
      </c>
      <c r="H2163" s="30" t="s">
        <v>2495</v>
      </c>
      <c r="I2163" s="78"/>
      <c r="J2163" s="20"/>
      <c r="K2163" s="20"/>
      <c r="L2163" s="20"/>
      <c r="M2163" s="20"/>
      <c r="N2163" s="179" t="s">
        <v>502</v>
      </c>
      <c r="O2163" s="70">
        <v>0</v>
      </c>
      <c r="P2163" s="70">
        <v>0</v>
      </c>
      <c r="Q2163" s="70">
        <f t="shared" si="181"/>
        <v>0</v>
      </c>
      <c r="R2163" s="70"/>
      <c r="S2163" s="67"/>
      <c r="T2163" s="2" t="str">
        <f t="shared" si="182"/>
        <v>Mai Thị Thùy Dung_12VH3</v>
      </c>
      <c r="U2163" s="28">
        <f t="array" ref="U2163">IFERROR(VLOOKUP($T2163,'Nghi hoc T12'!$H$7:$I$160,2,0),0)</f>
        <v>0</v>
      </c>
      <c r="V2163" s="28"/>
      <c r="W2163" s="28">
        <f t="shared" si="183"/>
        <v>0</v>
      </c>
      <c r="X2163" s="333">
        <f t="shared" si="184"/>
        <v>0</v>
      </c>
      <c r="Y2163" s="333">
        <f t="shared" si="185"/>
        <v>0</v>
      </c>
    </row>
    <row r="2164" spans="1:25" s="2" customFormat="1" ht="21.95" customHeight="1">
      <c r="A2164" s="82">
        <v>16</v>
      </c>
      <c r="B2164" s="91" t="str">
        <f t="shared" si="186"/>
        <v>202.T</v>
      </c>
      <c r="C2164" s="83" t="s">
        <v>366</v>
      </c>
      <c r="D2164" s="81" t="s">
        <v>2167</v>
      </c>
      <c r="E2164" s="48">
        <v>400511</v>
      </c>
      <c r="F2164" s="30" t="s">
        <v>2502</v>
      </c>
      <c r="G2164" s="29" t="s">
        <v>6</v>
      </c>
      <c r="H2164" s="30" t="s">
        <v>2492</v>
      </c>
      <c r="I2164" s="78"/>
      <c r="J2164" s="20"/>
      <c r="K2164" s="20"/>
      <c r="L2164" s="20"/>
      <c r="M2164" s="20"/>
      <c r="N2164" s="179" t="s">
        <v>502</v>
      </c>
      <c r="O2164" s="70">
        <v>0</v>
      </c>
      <c r="P2164" s="70">
        <v>0</v>
      </c>
      <c r="Q2164" s="70">
        <f t="shared" si="181"/>
        <v>0</v>
      </c>
      <c r="R2164" s="70"/>
      <c r="S2164" s="67"/>
      <c r="T2164" s="2" t="str">
        <f t="shared" si="182"/>
        <v>Lê Nguyễn Tấn Dũng_12VH1</v>
      </c>
      <c r="U2164" s="28">
        <f t="array" ref="U2164">IFERROR(VLOOKUP($T2164,'Nghi hoc T12'!$H$7:$I$160,2,0),0)</f>
        <v>0</v>
      </c>
      <c r="V2164" s="28"/>
      <c r="W2164" s="28">
        <f t="shared" si="183"/>
        <v>0</v>
      </c>
      <c r="X2164" s="333">
        <f t="shared" si="184"/>
        <v>0</v>
      </c>
      <c r="Y2164" s="333">
        <f t="shared" si="185"/>
        <v>0</v>
      </c>
    </row>
    <row r="2165" spans="1:25" s="2" customFormat="1" ht="21.95" customHeight="1">
      <c r="A2165" s="82">
        <v>17</v>
      </c>
      <c r="B2165" s="91" t="str">
        <f t="shared" si="186"/>
        <v>202.T</v>
      </c>
      <c r="C2165" s="83" t="s">
        <v>366</v>
      </c>
      <c r="D2165" s="81" t="s">
        <v>2167</v>
      </c>
      <c r="E2165" s="48">
        <v>400512</v>
      </c>
      <c r="F2165" s="30" t="s">
        <v>331</v>
      </c>
      <c r="G2165" s="29" t="s">
        <v>65</v>
      </c>
      <c r="H2165" s="30" t="s">
        <v>2495</v>
      </c>
      <c r="I2165" s="78"/>
      <c r="J2165" s="20"/>
      <c r="K2165" s="20"/>
      <c r="L2165" s="20"/>
      <c r="M2165" s="20"/>
      <c r="N2165" s="179" t="s">
        <v>502</v>
      </c>
      <c r="O2165" s="70">
        <v>0</v>
      </c>
      <c r="P2165" s="70">
        <v>0</v>
      </c>
      <c r="Q2165" s="70">
        <f t="shared" si="181"/>
        <v>0</v>
      </c>
      <c r="R2165" s="70"/>
      <c r="S2165" s="67"/>
      <c r="T2165" s="2" t="str">
        <f t="shared" si="182"/>
        <v>Lê Đức Duy_12VH3</v>
      </c>
      <c r="U2165" s="28">
        <f t="array" ref="U2165">IFERROR(VLOOKUP($T2165,'Nghi hoc T12'!$H$7:$I$160,2,0),0)</f>
        <v>0</v>
      </c>
      <c r="V2165" s="28"/>
      <c r="W2165" s="28">
        <f t="shared" si="183"/>
        <v>0</v>
      </c>
      <c r="X2165" s="333">
        <f t="shared" si="184"/>
        <v>0</v>
      </c>
      <c r="Y2165" s="333">
        <f t="shared" si="185"/>
        <v>0</v>
      </c>
    </row>
    <row r="2166" spans="1:25" s="2" customFormat="1" ht="21.95" customHeight="1">
      <c r="A2166" s="82">
        <v>18</v>
      </c>
      <c r="B2166" s="91" t="str">
        <f t="shared" si="186"/>
        <v>202.T</v>
      </c>
      <c r="C2166" s="83" t="s">
        <v>366</v>
      </c>
      <c r="D2166" s="81" t="s">
        <v>2167</v>
      </c>
      <c r="E2166" s="48">
        <v>400513</v>
      </c>
      <c r="F2166" s="30" t="s">
        <v>148</v>
      </c>
      <c r="G2166" s="29" t="s">
        <v>65</v>
      </c>
      <c r="H2166" s="30" t="s">
        <v>2493</v>
      </c>
      <c r="I2166" s="78" t="s">
        <v>529</v>
      </c>
      <c r="J2166" s="20"/>
      <c r="K2166" s="20"/>
      <c r="L2166" s="20"/>
      <c r="M2166" s="20"/>
      <c r="N2166" s="179" t="s">
        <v>502</v>
      </c>
      <c r="O2166" s="70">
        <v>0</v>
      </c>
      <c r="P2166" s="70">
        <v>0</v>
      </c>
      <c r="Q2166" s="70" t="str">
        <f t="shared" si="181"/>
        <v>NgiH</v>
      </c>
      <c r="R2166" s="70"/>
      <c r="S2166" s="67"/>
      <c r="T2166" s="2" t="str">
        <f t="shared" si="182"/>
        <v>Nguyễn Anh Duy_12VH2</v>
      </c>
      <c r="U2166" s="28" t="s">
        <v>3334</v>
      </c>
      <c r="V2166" s="28"/>
      <c r="W2166" s="28" t="str">
        <f t="shared" si="183"/>
        <v>Nghỉ học</v>
      </c>
      <c r="X2166" s="333">
        <f t="shared" si="184"/>
        <v>0</v>
      </c>
      <c r="Y2166" s="333">
        <f t="shared" si="185"/>
        <v>0</v>
      </c>
    </row>
    <row r="2167" spans="1:25" s="2" customFormat="1" ht="21.95" customHeight="1">
      <c r="A2167" s="82">
        <v>19</v>
      </c>
      <c r="B2167" s="91" t="str">
        <f t="shared" si="186"/>
        <v>202.T</v>
      </c>
      <c r="C2167" s="83" t="s">
        <v>366</v>
      </c>
      <c r="D2167" s="81" t="s">
        <v>2167</v>
      </c>
      <c r="E2167" s="48">
        <v>400514</v>
      </c>
      <c r="F2167" s="30" t="s">
        <v>2503</v>
      </c>
      <c r="G2167" s="29" t="s">
        <v>65</v>
      </c>
      <c r="H2167" s="30" t="s">
        <v>2492</v>
      </c>
      <c r="I2167" s="78"/>
      <c r="J2167" s="20"/>
      <c r="K2167" s="20"/>
      <c r="L2167" s="20"/>
      <c r="M2167" s="20"/>
      <c r="N2167" s="179" t="s">
        <v>502</v>
      </c>
      <c r="O2167" s="70">
        <v>0</v>
      </c>
      <c r="P2167" s="70">
        <v>0</v>
      </c>
      <c r="Q2167" s="70">
        <f t="shared" si="181"/>
        <v>0</v>
      </c>
      <c r="R2167" s="70"/>
      <c r="S2167" s="67"/>
      <c r="T2167" s="2" t="str">
        <f t="shared" si="182"/>
        <v>Trần Thế Duy_12VH1</v>
      </c>
      <c r="U2167" s="28">
        <f t="array" ref="U2167">IFERROR(VLOOKUP($T2167,'Nghi hoc T12'!$H$7:$I$160,2,0),0)</f>
        <v>0</v>
      </c>
      <c r="V2167" s="28"/>
      <c r="W2167" s="28">
        <f t="shared" si="183"/>
        <v>0</v>
      </c>
      <c r="X2167" s="333">
        <f t="shared" si="184"/>
        <v>0</v>
      </c>
      <c r="Y2167" s="333">
        <f t="shared" si="185"/>
        <v>0</v>
      </c>
    </row>
    <row r="2168" spans="1:25" s="2" customFormat="1" ht="21.95" customHeight="1">
      <c r="A2168" s="82">
        <v>20</v>
      </c>
      <c r="B2168" s="91" t="str">
        <f t="shared" si="186"/>
        <v>202.T</v>
      </c>
      <c r="C2168" s="83" t="s">
        <v>366</v>
      </c>
      <c r="D2168" s="81" t="s">
        <v>2167</v>
      </c>
      <c r="E2168" s="48">
        <v>400515</v>
      </c>
      <c r="F2168" s="30" t="s">
        <v>2504</v>
      </c>
      <c r="G2168" s="29" t="s">
        <v>66</v>
      </c>
      <c r="H2168" s="30" t="s">
        <v>2495</v>
      </c>
      <c r="I2168" s="78"/>
      <c r="J2168" s="20"/>
      <c r="K2168" s="20"/>
      <c r="L2168" s="20"/>
      <c r="M2168" s="20"/>
      <c r="N2168" s="179" t="s">
        <v>502</v>
      </c>
      <c r="O2168" s="70">
        <v>0</v>
      </c>
      <c r="P2168" s="70">
        <v>0</v>
      </c>
      <c r="Q2168" s="70">
        <f t="shared" si="181"/>
        <v>0</v>
      </c>
      <c r="R2168" s="70"/>
      <c r="S2168" s="67"/>
      <c r="T2168" s="2" t="str">
        <f t="shared" si="182"/>
        <v>Trần Dương Ngọc Duyên_12VH3</v>
      </c>
      <c r="U2168" s="28">
        <f t="array" ref="U2168">IFERROR(VLOOKUP($T2168,'Nghi hoc T12'!$H$7:$I$160,2,0),0)</f>
        <v>0</v>
      </c>
      <c r="V2168" s="28"/>
      <c r="W2168" s="28">
        <f t="shared" si="183"/>
        <v>0</v>
      </c>
      <c r="X2168" s="333">
        <f t="shared" si="184"/>
        <v>0</v>
      </c>
      <c r="Y2168" s="333">
        <f t="shared" si="185"/>
        <v>0</v>
      </c>
    </row>
    <row r="2169" spans="1:25" s="2" customFormat="1" ht="21.95" customHeight="1">
      <c r="A2169" s="82">
        <v>21</v>
      </c>
      <c r="B2169" s="91" t="str">
        <f t="shared" si="186"/>
        <v>202.T</v>
      </c>
      <c r="C2169" s="83" t="s">
        <v>366</v>
      </c>
      <c r="D2169" s="81" t="s">
        <v>2167</v>
      </c>
      <c r="E2169" s="48">
        <v>400516</v>
      </c>
      <c r="F2169" s="30" t="s">
        <v>2505</v>
      </c>
      <c r="G2169" s="29" t="s">
        <v>323</v>
      </c>
      <c r="H2169" s="30" t="s">
        <v>2492</v>
      </c>
      <c r="I2169" s="78"/>
      <c r="J2169" s="20"/>
      <c r="K2169" s="20"/>
      <c r="L2169" s="20"/>
      <c r="M2169" s="20"/>
      <c r="N2169" s="179" t="s">
        <v>502</v>
      </c>
      <c r="O2169" s="70">
        <v>0</v>
      </c>
      <c r="P2169" s="70">
        <v>0</v>
      </c>
      <c r="Q2169" s="70">
        <f t="shared" si="181"/>
        <v>0</v>
      </c>
      <c r="R2169" s="70"/>
      <c r="S2169" s="67"/>
      <c r="T2169" s="2" t="str">
        <f t="shared" si="182"/>
        <v>Kim Thị Thúy Đào_12VH1</v>
      </c>
      <c r="U2169" s="28">
        <f t="array" ref="U2169">IFERROR(VLOOKUP($T2169,'Nghi hoc T12'!$H$7:$I$160,2,0),0)</f>
        <v>0</v>
      </c>
      <c r="V2169" s="28"/>
      <c r="W2169" s="28">
        <f t="shared" si="183"/>
        <v>0</v>
      </c>
      <c r="X2169" s="333">
        <f t="shared" si="184"/>
        <v>0</v>
      </c>
      <c r="Y2169" s="333">
        <f t="shared" si="185"/>
        <v>0</v>
      </c>
    </row>
    <row r="2170" spans="1:25" s="2" customFormat="1" ht="21.95" customHeight="1">
      <c r="A2170" s="82">
        <v>22</v>
      </c>
      <c r="B2170" s="91" t="str">
        <f t="shared" si="186"/>
        <v>202.T</v>
      </c>
      <c r="C2170" s="83" t="s">
        <v>366</v>
      </c>
      <c r="D2170" s="81" t="s">
        <v>2167</v>
      </c>
      <c r="E2170" s="48">
        <v>400517</v>
      </c>
      <c r="F2170" s="30" t="s">
        <v>2506</v>
      </c>
      <c r="G2170" s="29" t="s">
        <v>7</v>
      </c>
      <c r="H2170" s="30" t="s">
        <v>2492</v>
      </c>
      <c r="I2170" s="78"/>
      <c r="J2170" s="20"/>
      <c r="K2170" s="20"/>
      <c r="L2170" s="20"/>
      <c r="M2170" s="20"/>
      <c r="N2170" s="179" t="s">
        <v>502</v>
      </c>
      <c r="O2170" s="70">
        <v>0</v>
      </c>
      <c r="P2170" s="70">
        <v>0</v>
      </c>
      <c r="Q2170" s="70">
        <f t="shared" si="181"/>
        <v>0</v>
      </c>
      <c r="R2170" s="70"/>
      <c r="S2170" s="67"/>
      <c r="T2170" s="2" t="str">
        <f t="shared" si="182"/>
        <v>Đỗ Tiến Đạt_12VH1</v>
      </c>
      <c r="U2170" s="28">
        <f t="array" ref="U2170">IFERROR(VLOOKUP($T2170,'Nghi hoc T12'!$H$7:$I$160,2,0),0)</f>
        <v>0</v>
      </c>
      <c r="V2170" s="28"/>
      <c r="W2170" s="28">
        <f t="shared" si="183"/>
        <v>0</v>
      </c>
      <c r="X2170" s="333">
        <f t="shared" si="184"/>
        <v>0</v>
      </c>
      <c r="Y2170" s="333">
        <f t="shared" si="185"/>
        <v>0</v>
      </c>
    </row>
    <row r="2171" spans="1:25" s="2" customFormat="1" ht="21.95" customHeight="1">
      <c r="A2171" s="82">
        <v>23</v>
      </c>
      <c r="B2171" s="91" t="str">
        <f t="shared" si="186"/>
        <v>202.T</v>
      </c>
      <c r="C2171" s="83" t="s">
        <v>366</v>
      </c>
      <c r="D2171" s="81" t="s">
        <v>2167</v>
      </c>
      <c r="E2171" s="48">
        <v>400518</v>
      </c>
      <c r="F2171" s="30" t="s">
        <v>2507</v>
      </c>
      <c r="G2171" s="29" t="s">
        <v>7</v>
      </c>
      <c r="H2171" s="30" t="s">
        <v>2493</v>
      </c>
      <c r="I2171" s="78"/>
      <c r="J2171" s="20"/>
      <c r="K2171" s="20"/>
      <c r="L2171" s="20"/>
      <c r="M2171" s="20"/>
      <c r="N2171" s="179" t="s">
        <v>502</v>
      </c>
      <c r="O2171" s="70">
        <v>0</v>
      </c>
      <c r="P2171" s="70">
        <v>0</v>
      </c>
      <c r="Q2171" s="70">
        <f t="shared" si="181"/>
        <v>0</v>
      </c>
      <c r="R2171" s="70"/>
      <c r="S2171" s="67"/>
      <c r="T2171" s="2" t="str">
        <f t="shared" si="182"/>
        <v>Liêu Quốc Đạt_12VH2</v>
      </c>
      <c r="U2171" s="28">
        <f t="array" ref="U2171">IFERROR(VLOOKUP($T2171,'Nghi hoc T12'!$H$7:$I$160,2,0),0)</f>
        <v>0</v>
      </c>
      <c r="V2171" s="28"/>
      <c r="W2171" s="28">
        <f t="shared" si="183"/>
        <v>0</v>
      </c>
      <c r="X2171" s="333">
        <f t="shared" si="184"/>
        <v>0</v>
      </c>
      <c r="Y2171" s="333">
        <f t="shared" si="185"/>
        <v>0</v>
      </c>
    </row>
    <row r="2172" spans="1:25" s="2" customFormat="1" ht="21.95" customHeight="1">
      <c r="A2172" s="82">
        <v>24</v>
      </c>
      <c r="B2172" s="91" t="str">
        <f t="shared" si="186"/>
        <v>202.T</v>
      </c>
      <c r="C2172" s="83" t="s">
        <v>366</v>
      </c>
      <c r="D2172" s="81" t="s">
        <v>2167</v>
      </c>
      <c r="E2172" s="48">
        <v>400519</v>
      </c>
      <c r="F2172" s="30" t="s">
        <v>302</v>
      </c>
      <c r="G2172" s="29" t="s">
        <v>7</v>
      </c>
      <c r="H2172" s="30" t="s">
        <v>2495</v>
      </c>
      <c r="I2172" s="78"/>
      <c r="J2172" s="20"/>
      <c r="K2172" s="20"/>
      <c r="L2172" s="20"/>
      <c r="M2172" s="20"/>
      <c r="N2172" s="179" t="s">
        <v>502</v>
      </c>
      <c r="O2172" s="70">
        <v>0</v>
      </c>
      <c r="P2172" s="70">
        <v>0</v>
      </c>
      <c r="Q2172" s="70">
        <f t="shared" si="181"/>
        <v>0</v>
      </c>
      <c r="R2172" s="70"/>
      <c r="S2172" s="67"/>
      <c r="T2172" s="2" t="str">
        <f t="shared" si="182"/>
        <v>Nguyễn Phong Đạt_12VH3</v>
      </c>
      <c r="U2172" s="28">
        <f t="array" ref="U2172">IFERROR(VLOOKUP($T2172,'Nghi hoc T12'!$H$7:$I$160,2,0),0)</f>
        <v>0</v>
      </c>
      <c r="V2172" s="28"/>
      <c r="W2172" s="28">
        <f t="shared" si="183"/>
        <v>0</v>
      </c>
      <c r="X2172" s="333">
        <f t="shared" si="184"/>
        <v>0</v>
      </c>
      <c r="Y2172" s="333">
        <f t="shared" si="185"/>
        <v>0</v>
      </c>
    </row>
    <row r="2173" spans="1:25" s="2" customFormat="1" ht="21.95" customHeight="1">
      <c r="A2173" s="82">
        <v>25</v>
      </c>
      <c r="B2173" s="91" t="str">
        <f t="shared" si="186"/>
        <v>202.T</v>
      </c>
      <c r="C2173" s="83" t="s">
        <v>366</v>
      </c>
      <c r="D2173" s="81" t="s">
        <v>2167</v>
      </c>
      <c r="E2173" s="48">
        <v>400520</v>
      </c>
      <c r="F2173" s="30" t="s">
        <v>2508</v>
      </c>
      <c r="G2173" s="29" t="s">
        <v>119</v>
      </c>
      <c r="H2173" s="30" t="s">
        <v>2492</v>
      </c>
      <c r="I2173" s="78"/>
      <c r="J2173" s="20"/>
      <c r="K2173" s="20"/>
      <c r="L2173" s="20"/>
      <c r="M2173" s="20"/>
      <c r="N2173" s="179" t="s">
        <v>502</v>
      </c>
      <c r="O2173" s="70">
        <v>0</v>
      </c>
      <c r="P2173" s="70">
        <v>0</v>
      </c>
      <c r="Q2173" s="70">
        <f t="shared" si="181"/>
        <v>0</v>
      </c>
      <c r="R2173" s="70"/>
      <c r="S2173" s="67"/>
      <c r="T2173" s="2" t="str">
        <f t="shared" si="182"/>
        <v>Lê Hải Đăng_12VH1</v>
      </c>
      <c r="U2173" s="28">
        <f t="array" ref="U2173">IFERROR(VLOOKUP($T2173,'Nghi hoc T12'!$H$7:$I$160,2,0),0)</f>
        <v>0</v>
      </c>
      <c r="V2173" s="28"/>
      <c r="W2173" s="28">
        <f t="shared" si="183"/>
        <v>0</v>
      </c>
      <c r="X2173" s="333">
        <f t="shared" si="184"/>
        <v>0</v>
      </c>
      <c r="Y2173" s="333">
        <f t="shared" si="185"/>
        <v>0</v>
      </c>
    </row>
    <row r="2174" spans="1:25" s="2" customFormat="1" ht="21.95" customHeight="1">
      <c r="A2174" s="82">
        <v>26</v>
      </c>
      <c r="B2174" s="91" t="str">
        <f t="shared" si="186"/>
        <v>202.T</v>
      </c>
      <c r="C2174" s="83" t="s">
        <v>366</v>
      </c>
      <c r="D2174" s="81" t="s">
        <v>2167</v>
      </c>
      <c r="E2174" s="48">
        <v>400521</v>
      </c>
      <c r="F2174" s="30" t="s">
        <v>2509</v>
      </c>
      <c r="G2174" s="29" t="s">
        <v>119</v>
      </c>
      <c r="H2174" s="30" t="s">
        <v>2493</v>
      </c>
      <c r="I2174" s="78"/>
      <c r="J2174" s="20"/>
      <c r="K2174" s="20"/>
      <c r="L2174" s="20"/>
      <c r="M2174" s="20"/>
      <c r="N2174" s="179" t="s">
        <v>502</v>
      </c>
      <c r="O2174" s="70">
        <v>0</v>
      </c>
      <c r="P2174" s="70">
        <v>0</v>
      </c>
      <c r="Q2174" s="70">
        <f t="shared" si="181"/>
        <v>0</v>
      </c>
      <c r="R2174" s="70"/>
      <c r="S2174" s="67"/>
      <c r="T2174" s="2" t="str">
        <f t="shared" si="182"/>
        <v>Trần Hải Đăng_12VH2</v>
      </c>
      <c r="U2174" s="28">
        <f t="array" ref="U2174">IFERROR(VLOOKUP($T2174,'Nghi hoc T12'!$H$7:$I$160,2,0),0)</f>
        <v>0</v>
      </c>
      <c r="V2174" s="28"/>
      <c r="W2174" s="28">
        <f t="shared" si="183"/>
        <v>0</v>
      </c>
      <c r="X2174" s="333">
        <f t="shared" si="184"/>
        <v>0</v>
      </c>
      <c r="Y2174" s="333">
        <f t="shared" si="185"/>
        <v>0</v>
      </c>
    </row>
    <row r="2175" spans="1:25" s="2" customFormat="1" ht="21.95" customHeight="1">
      <c r="A2175" s="82">
        <v>27</v>
      </c>
      <c r="B2175" s="91" t="str">
        <f t="shared" si="186"/>
        <v>202.T</v>
      </c>
      <c r="C2175" s="83" t="s">
        <v>366</v>
      </c>
      <c r="D2175" s="81" t="s">
        <v>2167</v>
      </c>
      <c r="E2175" s="48">
        <v>400522</v>
      </c>
      <c r="F2175" s="30" t="s">
        <v>2510</v>
      </c>
      <c r="G2175" s="29" t="s">
        <v>2511</v>
      </c>
      <c r="H2175" s="30" t="s">
        <v>2495</v>
      </c>
      <c r="I2175" s="78"/>
      <c r="J2175" s="20"/>
      <c r="K2175" s="20"/>
      <c r="L2175" s="20"/>
      <c r="M2175" s="20"/>
      <c r="N2175" s="179" t="s">
        <v>502</v>
      </c>
      <c r="O2175" s="70">
        <v>0</v>
      </c>
      <c r="P2175" s="70">
        <v>0</v>
      </c>
      <c r="Q2175" s="70">
        <f t="shared" si="181"/>
        <v>0</v>
      </c>
      <c r="R2175" s="70"/>
      <c r="S2175" s="67"/>
      <c r="T2175" s="2" t="str">
        <f t="shared" si="182"/>
        <v>Bách Thành Công Định_12VH3</v>
      </c>
      <c r="U2175" s="28">
        <f t="array" ref="U2175">IFERROR(VLOOKUP($T2175,'Nghi hoc T12'!$H$7:$I$160,2,0),0)</f>
        <v>0</v>
      </c>
      <c r="V2175" s="28"/>
      <c r="W2175" s="28">
        <f t="shared" si="183"/>
        <v>0</v>
      </c>
      <c r="X2175" s="333">
        <f t="shared" si="184"/>
        <v>0</v>
      </c>
      <c r="Y2175" s="333">
        <f t="shared" si="185"/>
        <v>0</v>
      </c>
    </row>
    <row r="2176" spans="1:25" s="2" customFormat="1" ht="21.95" customHeight="1">
      <c r="A2176" s="321">
        <v>1</v>
      </c>
      <c r="B2176" s="91" t="str">
        <f t="shared" si="186"/>
        <v>203.T</v>
      </c>
      <c r="C2176" s="185" t="s">
        <v>366</v>
      </c>
      <c r="D2176" s="186" t="s">
        <v>2183</v>
      </c>
      <c r="E2176" s="187">
        <v>400523</v>
      </c>
      <c r="F2176" s="188" t="s">
        <v>2512</v>
      </c>
      <c r="G2176" s="189" t="s">
        <v>36</v>
      </c>
      <c r="H2176" s="188" t="s">
        <v>2492</v>
      </c>
      <c r="I2176" s="190"/>
      <c r="J2176" s="191"/>
      <c r="K2176" s="191"/>
      <c r="L2176" s="191"/>
      <c r="M2176" s="191"/>
      <c r="N2176" s="179" t="s">
        <v>502</v>
      </c>
      <c r="O2176" s="70">
        <v>0</v>
      </c>
      <c r="P2176" s="70">
        <v>0</v>
      </c>
      <c r="Q2176" s="70">
        <f t="shared" si="181"/>
        <v>0</v>
      </c>
      <c r="R2176" s="70"/>
      <c r="S2176" s="67"/>
      <c r="T2176" s="2" t="str">
        <f t="shared" si="182"/>
        <v>Nguyễn Đoàn Minh Đức_12VH1</v>
      </c>
      <c r="U2176" s="28">
        <f t="array" ref="U2176">IFERROR(VLOOKUP($T2176,'Nghi hoc T12'!$H$7:$I$160,2,0),0)</f>
        <v>0</v>
      </c>
      <c r="V2176" s="28"/>
      <c r="W2176" s="28">
        <f t="shared" si="183"/>
        <v>0</v>
      </c>
      <c r="X2176" s="333">
        <f t="shared" si="184"/>
        <v>0</v>
      </c>
      <c r="Y2176" s="333">
        <f t="shared" si="185"/>
        <v>0</v>
      </c>
    </row>
    <row r="2177" spans="1:25" s="2" customFormat="1" ht="21.95" customHeight="1">
      <c r="A2177" s="82">
        <v>2</v>
      </c>
      <c r="B2177" s="91" t="str">
        <f t="shared" si="186"/>
        <v>203.T</v>
      </c>
      <c r="C2177" s="83" t="s">
        <v>366</v>
      </c>
      <c r="D2177" s="81" t="s">
        <v>2183</v>
      </c>
      <c r="E2177" s="48">
        <v>400524</v>
      </c>
      <c r="F2177" s="30" t="s">
        <v>183</v>
      </c>
      <c r="G2177" s="29" t="s">
        <v>171</v>
      </c>
      <c r="H2177" s="30" t="s">
        <v>2493</v>
      </c>
      <c r="I2177" s="78"/>
      <c r="J2177" s="20"/>
      <c r="K2177" s="20"/>
      <c r="L2177" s="20"/>
      <c r="M2177" s="20"/>
      <c r="N2177" s="179" t="s">
        <v>502</v>
      </c>
      <c r="O2177" s="70">
        <v>0</v>
      </c>
      <c r="P2177" s="70">
        <v>0</v>
      </c>
      <c r="Q2177" s="70">
        <f t="shared" si="181"/>
        <v>0</v>
      </c>
      <c r="R2177" s="70"/>
      <c r="S2177" s="67"/>
      <c r="T2177" s="2" t="str">
        <f t="shared" si="182"/>
        <v>Nguyễn Thanh Hải_12VH2</v>
      </c>
      <c r="U2177" s="28">
        <f t="array" ref="U2177">IFERROR(VLOOKUP($T2177,'Nghi hoc T12'!$H$7:$I$160,2,0),0)</f>
        <v>0</v>
      </c>
      <c r="V2177" s="28"/>
      <c r="W2177" s="28">
        <f t="shared" si="183"/>
        <v>0</v>
      </c>
      <c r="X2177" s="333">
        <f t="shared" si="184"/>
        <v>0</v>
      </c>
      <c r="Y2177" s="333">
        <f t="shared" si="185"/>
        <v>0</v>
      </c>
    </row>
    <row r="2178" spans="1:25" s="2" customFormat="1" ht="21.95" customHeight="1">
      <c r="A2178" s="82">
        <v>3</v>
      </c>
      <c r="B2178" s="91" t="str">
        <f t="shared" si="186"/>
        <v>203.T</v>
      </c>
      <c r="C2178" s="83" t="s">
        <v>366</v>
      </c>
      <c r="D2178" s="81" t="s">
        <v>2183</v>
      </c>
      <c r="E2178" s="48">
        <v>400525</v>
      </c>
      <c r="F2178" s="30" t="s">
        <v>187</v>
      </c>
      <c r="G2178" s="29" t="s">
        <v>78</v>
      </c>
      <c r="H2178" s="30" t="s">
        <v>2493</v>
      </c>
      <c r="I2178" s="78"/>
      <c r="J2178" s="20"/>
      <c r="K2178" s="20"/>
      <c r="L2178" s="20"/>
      <c r="M2178" s="20"/>
      <c r="N2178" s="179" t="s">
        <v>502</v>
      </c>
      <c r="O2178" s="70">
        <v>0</v>
      </c>
      <c r="P2178" s="70">
        <v>0</v>
      </c>
      <c r="Q2178" s="70">
        <f t="shared" si="181"/>
        <v>0</v>
      </c>
      <c r="R2178" s="70"/>
      <c r="S2178" s="67"/>
      <c r="T2178" s="2" t="str">
        <f t="shared" si="182"/>
        <v>Nguyễn Thái Hào_12VH2</v>
      </c>
      <c r="U2178" s="28">
        <f t="array" ref="U2178">IFERROR(VLOOKUP($T2178,'Nghi hoc T12'!$H$7:$I$160,2,0),0)</f>
        <v>0</v>
      </c>
      <c r="V2178" s="28"/>
      <c r="W2178" s="28">
        <f t="shared" si="183"/>
        <v>0</v>
      </c>
      <c r="X2178" s="333">
        <f t="shared" si="184"/>
        <v>0</v>
      </c>
      <c r="Y2178" s="333">
        <f t="shared" si="185"/>
        <v>0</v>
      </c>
    </row>
    <row r="2179" spans="1:25" s="2" customFormat="1" ht="21.95" customHeight="1">
      <c r="A2179" s="82">
        <v>4</v>
      </c>
      <c r="B2179" s="91" t="str">
        <f t="shared" si="186"/>
        <v>203.T</v>
      </c>
      <c r="C2179" s="83" t="s">
        <v>366</v>
      </c>
      <c r="D2179" s="81" t="s">
        <v>2183</v>
      </c>
      <c r="E2179" s="48">
        <v>400526</v>
      </c>
      <c r="F2179" s="30" t="s">
        <v>242</v>
      </c>
      <c r="G2179" s="29" t="s">
        <v>84</v>
      </c>
      <c r="H2179" s="30" t="s">
        <v>2493</v>
      </c>
      <c r="I2179" s="78"/>
      <c r="J2179" s="20"/>
      <c r="K2179" s="20"/>
      <c r="L2179" s="20"/>
      <c r="M2179" s="20"/>
      <c r="N2179" s="179" t="s">
        <v>502</v>
      </c>
      <c r="O2179" s="70">
        <v>0</v>
      </c>
      <c r="P2179" s="70">
        <v>0</v>
      </c>
      <c r="Q2179" s="70">
        <f t="shared" si="181"/>
        <v>0</v>
      </c>
      <c r="R2179" s="70"/>
      <c r="S2179" s="67"/>
      <c r="T2179" s="2" t="str">
        <f t="shared" si="182"/>
        <v>Nguyễn Ngọc Bảo Hân_12VH2</v>
      </c>
      <c r="U2179" s="28">
        <f t="array" ref="U2179">IFERROR(VLOOKUP($T2179,'Nghi hoc T12'!$H$7:$I$160,2,0),0)</f>
        <v>0</v>
      </c>
      <c r="V2179" s="28"/>
      <c r="W2179" s="28">
        <f t="shared" si="183"/>
        <v>0</v>
      </c>
      <c r="X2179" s="333">
        <f t="shared" si="184"/>
        <v>0</v>
      </c>
      <c r="Y2179" s="333">
        <f t="shared" si="185"/>
        <v>0</v>
      </c>
    </row>
    <row r="2180" spans="1:25" s="2" customFormat="1" ht="21.95" customHeight="1">
      <c r="A2180" s="82">
        <v>5</v>
      </c>
      <c r="B2180" s="91" t="str">
        <f t="shared" si="186"/>
        <v>203.T</v>
      </c>
      <c r="C2180" s="83" t="s">
        <v>366</v>
      </c>
      <c r="D2180" s="81" t="s">
        <v>2183</v>
      </c>
      <c r="E2180" s="48">
        <v>400527</v>
      </c>
      <c r="F2180" s="30" t="s">
        <v>2513</v>
      </c>
      <c r="G2180" s="29" t="s">
        <v>104</v>
      </c>
      <c r="H2180" s="30" t="s">
        <v>2495</v>
      </c>
      <c r="I2180" s="78"/>
      <c r="J2180" s="20"/>
      <c r="K2180" s="20"/>
      <c r="L2180" s="20"/>
      <c r="M2180" s="20"/>
      <c r="N2180" s="179" t="s">
        <v>502</v>
      </c>
      <c r="O2180" s="70">
        <v>0</v>
      </c>
      <c r="P2180" s="70">
        <v>0</v>
      </c>
      <c r="Q2180" s="70">
        <f t="shared" si="181"/>
        <v>0</v>
      </c>
      <c r="R2180" s="70"/>
      <c r="S2180" s="67"/>
      <c r="T2180" s="2" t="str">
        <f t="shared" si="182"/>
        <v>Trần Hiếu Hậu_12VH3</v>
      </c>
      <c r="U2180" s="28">
        <f t="array" ref="U2180">IFERROR(VLOOKUP($T2180,'Nghi hoc T12'!$H$7:$I$160,2,0),0)</f>
        <v>0</v>
      </c>
      <c r="V2180" s="28"/>
      <c r="W2180" s="28">
        <f t="shared" si="183"/>
        <v>0</v>
      </c>
      <c r="X2180" s="333">
        <f t="shared" si="184"/>
        <v>0</v>
      </c>
      <c r="Y2180" s="333">
        <f t="shared" si="185"/>
        <v>0</v>
      </c>
    </row>
    <row r="2181" spans="1:25" s="2" customFormat="1" ht="21.95" customHeight="1">
      <c r="A2181" s="82">
        <v>6</v>
      </c>
      <c r="B2181" s="91" t="str">
        <f t="shared" si="186"/>
        <v>203.T</v>
      </c>
      <c r="C2181" s="83" t="s">
        <v>366</v>
      </c>
      <c r="D2181" s="81" t="s">
        <v>2183</v>
      </c>
      <c r="E2181" s="48">
        <v>400528</v>
      </c>
      <c r="F2181" s="30" t="s">
        <v>2514</v>
      </c>
      <c r="G2181" s="29" t="s">
        <v>85</v>
      </c>
      <c r="H2181" s="30" t="s">
        <v>2495</v>
      </c>
      <c r="I2181" s="78"/>
      <c r="J2181" s="20"/>
      <c r="K2181" s="20"/>
      <c r="L2181" s="20"/>
      <c r="M2181" s="20"/>
      <c r="N2181" s="179" t="s">
        <v>502</v>
      </c>
      <c r="O2181" s="70">
        <v>0</v>
      </c>
      <c r="P2181" s="70">
        <v>0</v>
      </c>
      <c r="Q2181" s="70">
        <f t="shared" si="181"/>
        <v>0</v>
      </c>
      <c r="R2181" s="70"/>
      <c r="S2181" s="67"/>
      <c r="T2181" s="2" t="str">
        <f t="shared" si="182"/>
        <v>Nguyễn Lê Vinh Hiển_12VH3</v>
      </c>
      <c r="U2181" s="28">
        <f t="array" ref="U2181">IFERROR(VLOOKUP($T2181,'Nghi hoc T12'!$H$7:$I$160,2,0),0)</f>
        <v>0</v>
      </c>
      <c r="V2181" s="28"/>
      <c r="W2181" s="28">
        <f t="shared" si="183"/>
        <v>0</v>
      </c>
      <c r="X2181" s="333">
        <f t="shared" si="184"/>
        <v>0</v>
      </c>
      <c r="Y2181" s="333">
        <f t="shared" si="185"/>
        <v>0</v>
      </c>
    </row>
    <row r="2182" spans="1:25" s="2" customFormat="1" ht="21.95" customHeight="1">
      <c r="A2182" s="82">
        <v>7</v>
      </c>
      <c r="B2182" s="91" t="str">
        <f t="shared" si="186"/>
        <v>203.T</v>
      </c>
      <c r="C2182" s="83" t="s">
        <v>366</v>
      </c>
      <c r="D2182" s="81" t="s">
        <v>2183</v>
      </c>
      <c r="E2182" s="48">
        <v>400529</v>
      </c>
      <c r="F2182" s="30" t="s">
        <v>2515</v>
      </c>
      <c r="G2182" s="29" t="s">
        <v>145</v>
      </c>
      <c r="H2182" s="30" t="s">
        <v>2493</v>
      </c>
      <c r="I2182" s="78"/>
      <c r="J2182" s="20"/>
      <c r="K2182" s="20"/>
      <c r="L2182" s="20"/>
      <c r="M2182" s="20"/>
      <c r="N2182" s="179" t="s">
        <v>502</v>
      </c>
      <c r="O2182" s="70">
        <v>0</v>
      </c>
      <c r="P2182" s="70">
        <v>0</v>
      </c>
      <c r="Q2182" s="70">
        <f t="shared" si="181"/>
        <v>0</v>
      </c>
      <c r="R2182" s="70"/>
      <c r="S2182" s="67"/>
      <c r="T2182" s="2" t="str">
        <f t="shared" si="182"/>
        <v>Huỳnh Trần Tấn Hiệp_12VH2</v>
      </c>
      <c r="U2182" s="28">
        <f t="array" ref="U2182">IFERROR(VLOOKUP($T2182,'Nghi hoc T12'!$H$7:$I$160,2,0),0)</f>
        <v>0</v>
      </c>
      <c r="V2182" s="28"/>
      <c r="W2182" s="28">
        <f t="shared" si="183"/>
        <v>0</v>
      </c>
      <c r="X2182" s="333">
        <f t="shared" si="184"/>
        <v>0</v>
      </c>
      <c r="Y2182" s="333">
        <f t="shared" si="185"/>
        <v>0</v>
      </c>
    </row>
    <row r="2183" spans="1:25" s="2" customFormat="1" ht="21.95" customHeight="1">
      <c r="A2183" s="82">
        <v>8</v>
      </c>
      <c r="B2183" s="91" t="str">
        <f t="shared" si="186"/>
        <v>203.T</v>
      </c>
      <c r="C2183" s="83" t="s">
        <v>366</v>
      </c>
      <c r="D2183" s="81" t="s">
        <v>2183</v>
      </c>
      <c r="E2183" s="48">
        <v>400530</v>
      </c>
      <c r="F2183" s="30" t="s">
        <v>276</v>
      </c>
      <c r="G2183" s="29" t="s">
        <v>9</v>
      </c>
      <c r="H2183" s="30" t="s">
        <v>2492</v>
      </c>
      <c r="I2183" s="78"/>
      <c r="J2183" s="20"/>
      <c r="K2183" s="20"/>
      <c r="L2183" s="20"/>
      <c r="M2183" s="20"/>
      <c r="N2183" s="179" t="s">
        <v>502</v>
      </c>
      <c r="O2183" s="70">
        <v>0</v>
      </c>
      <c r="P2183" s="70">
        <v>0</v>
      </c>
      <c r="Q2183" s="70">
        <f t="shared" si="181"/>
        <v>0</v>
      </c>
      <c r="R2183" s="70"/>
      <c r="S2183" s="67"/>
      <c r="T2183" s="2" t="str">
        <f t="shared" si="182"/>
        <v>Nguyễn Trung Hiếu_12VH1</v>
      </c>
      <c r="U2183" s="28">
        <f t="array" ref="U2183">IFERROR(VLOOKUP($T2183,'Nghi hoc T12'!$H$7:$I$160,2,0),0)</f>
        <v>0</v>
      </c>
      <c r="V2183" s="28"/>
      <c r="W2183" s="28">
        <f t="shared" si="183"/>
        <v>0</v>
      </c>
      <c r="X2183" s="333">
        <f t="shared" si="184"/>
        <v>0</v>
      </c>
      <c r="Y2183" s="333">
        <f t="shared" si="185"/>
        <v>0</v>
      </c>
    </row>
    <row r="2184" spans="1:25" s="2" customFormat="1" ht="21.95" customHeight="1">
      <c r="A2184" s="82">
        <v>9</v>
      </c>
      <c r="B2184" s="91" t="str">
        <f t="shared" si="186"/>
        <v>203.T</v>
      </c>
      <c r="C2184" s="83" t="s">
        <v>366</v>
      </c>
      <c r="D2184" s="81" t="s">
        <v>2183</v>
      </c>
      <c r="E2184" s="48">
        <v>400531</v>
      </c>
      <c r="F2184" s="30" t="s">
        <v>210</v>
      </c>
      <c r="G2184" s="29" t="s">
        <v>9</v>
      </c>
      <c r="H2184" s="30" t="s">
        <v>2493</v>
      </c>
      <c r="I2184" s="78"/>
      <c r="J2184" s="20"/>
      <c r="K2184" s="20"/>
      <c r="L2184" s="20"/>
      <c r="M2184" s="20"/>
      <c r="N2184" s="179" t="s">
        <v>502</v>
      </c>
      <c r="O2184" s="70">
        <v>0</v>
      </c>
      <c r="P2184" s="70">
        <v>0</v>
      </c>
      <c r="Q2184" s="70">
        <f t="shared" si="181"/>
        <v>0</v>
      </c>
      <c r="R2184" s="70"/>
      <c r="S2184" s="67"/>
      <c r="T2184" s="2" t="str">
        <f t="shared" si="182"/>
        <v>Võ Minh Hiếu_12VH2</v>
      </c>
      <c r="U2184" s="28">
        <f t="array" ref="U2184">IFERROR(VLOOKUP($T2184,'Nghi hoc T12'!$H$7:$I$160,2,0),0)</f>
        <v>0</v>
      </c>
      <c r="V2184" s="28"/>
      <c r="W2184" s="28">
        <f t="shared" si="183"/>
        <v>0</v>
      </c>
      <c r="X2184" s="333">
        <f t="shared" si="184"/>
        <v>0</v>
      </c>
      <c r="Y2184" s="333">
        <f t="shared" si="185"/>
        <v>0</v>
      </c>
    </row>
    <row r="2185" spans="1:25" s="2" customFormat="1" ht="21.95" customHeight="1">
      <c r="A2185" s="82">
        <v>10</v>
      </c>
      <c r="B2185" s="91" t="str">
        <f t="shared" si="186"/>
        <v>203.T</v>
      </c>
      <c r="C2185" s="83" t="s">
        <v>366</v>
      </c>
      <c r="D2185" s="81" t="s">
        <v>2183</v>
      </c>
      <c r="E2185" s="48">
        <v>400532</v>
      </c>
      <c r="F2185" s="30" t="s">
        <v>2516</v>
      </c>
      <c r="G2185" s="29" t="s">
        <v>10</v>
      </c>
      <c r="H2185" s="30" t="s">
        <v>2495</v>
      </c>
      <c r="I2185" s="78"/>
      <c r="J2185" s="20"/>
      <c r="K2185" s="20"/>
      <c r="L2185" s="20"/>
      <c r="M2185" s="20"/>
      <c r="N2185" s="179" t="s">
        <v>502</v>
      </c>
      <c r="O2185" s="70">
        <v>0</v>
      </c>
      <c r="P2185" s="70">
        <v>0</v>
      </c>
      <c r="Q2185" s="70">
        <f t="shared" si="181"/>
        <v>0</v>
      </c>
      <c r="R2185" s="70"/>
      <c r="S2185" s="67"/>
      <c r="T2185" s="2" t="str">
        <f t="shared" si="182"/>
        <v>Huỳnh Minh Hoàng_12VH3</v>
      </c>
      <c r="U2185" s="28">
        <f t="array" ref="U2185">IFERROR(VLOOKUP($T2185,'Nghi hoc T12'!$H$7:$I$160,2,0),0)</f>
        <v>0</v>
      </c>
      <c r="V2185" s="28"/>
      <c r="W2185" s="28">
        <f t="shared" si="183"/>
        <v>0</v>
      </c>
      <c r="X2185" s="333">
        <f t="shared" si="184"/>
        <v>0</v>
      </c>
      <c r="Y2185" s="333">
        <f t="shared" si="185"/>
        <v>0</v>
      </c>
    </row>
    <row r="2186" spans="1:25" s="2" customFormat="1" ht="21.95" customHeight="1">
      <c r="A2186" s="82">
        <v>11</v>
      </c>
      <c r="B2186" s="91" t="str">
        <f t="shared" si="186"/>
        <v>203.T</v>
      </c>
      <c r="C2186" s="83" t="s">
        <v>366</v>
      </c>
      <c r="D2186" s="81" t="s">
        <v>2183</v>
      </c>
      <c r="E2186" s="48">
        <v>400533</v>
      </c>
      <c r="F2186" s="30" t="s">
        <v>184</v>
      </c>
      <c r="G2186" s="29" t="s">
        <v>2517</v>
      </c>
      <c r="H2186" s="30" t="s">
        <v>2492</v>
      </c>
      <c r="I2186" s="78"/>
      <c r="J2186" s="20"/>
      <c r="K2186" s="20"/>
      <c r="L2186" s="20"/>
      <c r="M2186" s="20"/>
      <c r="N2186" s="179" t="s">
        <v>502</v>
      </c>
      <c r="O2186" s="70">
        <v>0</v>
      </c>
      <c r="P2186" s="70">
        <v>0</v>
      </c>
      <c r="Q2186" s="70">
        <f t="shared" ref="Q2186:Q2249" si="187">U2186</f>
        <v>0</v>
      </c>
      <c r="R2186" s="70"/>
      <c r="S2186" s="67"/>
      <c r="T2186" s="2" t="str">
        <f t="shared" ref="T2186:T2249" si="188">TRIM(F2186&amp;" "&amp;G2186&amp;"_"&amp;H2186)</f>
        <v>Nguyễn Duy Hoành_12VH1</v>
      </c>
      <c r="U2186" s="28">
        <f t="array" ref="U2186">IFERROR(VLOOKUP($T2186,'Nghi hoc T12'!$H$7:$I$160,2,0),0)</f>
        <v>0</v>
      </c>
      <c r="V2186" s="28"/>
      <c r="W2186" s="28">
        <f t="shared" ref="W2186:W2249" si="189">I2186</f>
        <v>0</v>
      </c>
      <c r="X2186" s="333">
        <f t="shared" ref="X2186:X2249" si="190">O2186</f>
        <v>0</v>
      </c>
      <c r="Y2186" s="333">
        <f t="shared" ref="Y2186:Y2249" si="191">P2186</f>
        <v>0</v>
      </c>
    </row>
    <row r="2187" spans="1:25" s="2" customFormat="1" ht="21.95" customHeight="1">
      <c r="A2187" s="82">
        <v>12</v>
      </c>
      <c r="B2187" s="91" t="str">
        <f t="shared" ref="B2187:B2250" si="192">RIGHT(D2187,LEN(D2187)-2)&amp;"."&amp;LEFT(N2187,1)</f>
        <v>203.T</v>
      </c>
      <c r="C2187" s="83" t="s">
        <v>366</v>
      </c>
      <c r="D2187" s="81" t="s">
        <v>2183</v>
      </c>
      <c r="E2187" s="48">
        <v>400534</v>
      </c>
      <c r="F2187" s="30" t="s">
        <v>2518</v>
      </c>
      <c r="G2187" s="29" t="s">
        <v>100</v>
      </c>
      <c r="H2187" s="30" t="s">
        <v>2495</v>
      </c>
      <c r="I2187" s="78"/>
      <c r="J2187" s="20"/>
      <c r="K2187" s="20"/>
      <c r="L2187" s="20"/>
      <c r="M2187" s="20"/>
      <c r="N2187" s="179" t="s">
        <v>502</v>
      </c>
      <c r="O2187" s="70">
        <v>0</v>
      </c>
      <c r="P2187" s="70">
        <v>0</v>
      </c>
      <c r="Q2187" s="70">
        <f t="shared" si="187"/>
        <v>0</v>
      </c>
      <c r="R2187" s="70"/>
      <c r="S2187" s="67"/>
      <c r="T2187" s="2" t="str">
        <f t="shared" si="188"/>
        <v>Phạm Ngọc Phi Hùng_12VH3</v>
      </c>
      <c r="U2187" s="28">
        <f t="array" ref="U2187">IFERROR(VLOOKUP($T2187,'Nghi hoc T12'!$H$7:$I$160,2,0),0)</f>
        <v>0</v>
      </c>
      <c r="V2187" s="28"/>
      <c r="W2187" s="28">
        <f t="shared" si="189"/>
        <v>0</v>
      </c>
      <c r="X2187" s="333">
        <f t="shared" si="190"/>
        <v>0</v>
      </c>
      <c r="Y2187" s="333">
        <f t="shared" si="191"/>
        <v>0</v>
      </c>
    </row>
    <row r="2188" spans="1:25" s="2" customFormat="1" ht="21.95" customHeight="1">
      <c r="A2188" s="82">
        <v>13</v>
      </c>
      <c r="B2188" s="91" t="str">
        <f t="shared" si="192"/>
        <v>203.T</v>
      </c>
      <c r="C2188" s="83" t="s">
        <v>366</v>
      </c>
      <c r="D2188" s="81" t="s">
        <v>2183</v>
      </c>
      <c r="E2188" s="48">
        <v>400535</v>
      </c>
      <c r="F2188" s="30" t="s">
        <v>167</v>
      </c>
      <c r="G2188" s="29" t="s">
        <v>100</v>
      </c>
      <c r="H2188" s="30" t="s">
        <v>2492</v>
      </c>
      <c r="I2188" s="78"/>
      <c r="J2188" s="20"/>
      <c r="K2188" s="20"/>
      <c r="L2188" s="20"/>
      <c r="M2188" s="20"/>
      <c r="N2188" s="179" t="s">
        <v>502</v>
      </c>
      <c r="O2188" s="70">
        <v>0</v>
      </c>
      <c r="P2188" s="70">
        <v>0</v>
      </c>
      <c r="Q2188" s="70">
        <f t="shared" si="187"/>
        <v>0</v>
      </c>
      <c r="R2188" s="70"/>
      <c r="S2188" s="67"/>
      <c r="T2188" s="2" t="str">
        <f t="shared" si="188"/>
        <v>Trần Thanh Hùng_12VH1</v>
      </c>
      <c r="U2188" s="28">
        <f t="array" ref="U2188">IFERROR(VLOOKUP($T2188,'Nghi hoc T12'!$H$7:$I$160,2,0),0)</f>
        <v>0</v>
      </c>
      <c r="V2188" s="28"/>
      <c r="W2188" s="28">
        <f t="shared" si="189"/>
        <v>0</v>
      </c>
      <c r="X2188" s="333">
        <f t="shared" si="190"/>
        <v>0</v>
      </c>
      <c r="Y2188" s="333">
        <f t="shared" si="191"/>
        <v>0</v>
      </c>
    </row>
    <row r="2189" spans="1:25" s="2" customFormat="1" ht="21.95" customHeight="1">
      <c r="A2189" s="82">
        <v>14</v>
      </c>
      <c r="B2189" s="91" t="str">
        <f t="shared" si="192"/>
        <v>203.T</v>
      </c>
      <c r="C2189" s="83" t="s">
        <v>366</v>
      </c>
      <c r="D2189" s="81" t="s">
        <v>2183</v>
      </c>
      <c r="E2189" s="48">
        <v>400536</v>
      </c>
      <c r="F2189" s="30" t="s">
        <v>333</v>
      </c>
      <c r="G2189" s="29" t="s">
        <v>11</v>
      </c>
      <c r="H2189" s="30" t="s">
        <v>2493</v>
      </c>
      <c r="I2189" s="78"/>
      <c r="J2189" s="20"/>
      <c r="K2189" s="20"/>
      <c r="L2189" s="20"/>
      <c r="M2189" s="20"/>
      <c r="N2189" s="179" t="s">
        <v>502</v>
      </c>
      <c r="O2189" s="70">
        <v>0</v>
      </c>
      <c r="P2189" s="70">
        <v>0</v>
      </c>
      <c r="Q2189" s="70">
        <f t="shared" si="187"/>
        <v>0</v>
      </c>
      <c r="R2189" s="70"/>
      <c r="S2189" s="67"/>
      <c r="T2189" s="2" t="str">
        <f t="shared" si="188"/>
        <v>Phạm Đức Huy_12VH2</v>
      </c>
      <c r="U2189" s="28">
        <f t="array" ref="U2189">IFERROR(VLOOKUP($T2189,'Nghi hoc T12'!$H$7:$I$160,2,0),0)</f>
        <v>0</v>
      </c>
      <c r="V2189" s="28"/>
      <c r="W2189" s="28">
        <f t="shared" si="189"/>
        <v>0</v>
      </c>
      <c r="X2189" s="333">
        <f t="shared" si="190"/>
        <v>0</v>
      </c>
      <c r="Y2189" s="333">
        <f t="shared" si="191"/>
        <v>0</v>
      </c>
    </row>
    <row r="2190" spans="1:25" s="2" customFormat="1" ht="21.95" customHeight="1">
      <c r="A2190" s="82">
        <v>15</v>
      </c>
      <c r="B2190" s="91" t="str">
        <f t="shared" si="192"/>
        <v>203.T</v>
      </c>
      <c r="C2190" s="83" t="s">
        <v>366</v>
      </c>
      <c r="D2190" s="81" t="s">
        <v>2183</v>
      </c>
      <c r="E2190" s="48">
        <v>400537</v>
      </c>
      <c r="F2190" s="30" t="s">
        <v>2519</v>
      </c>
      <c r="G2190" s="29" t="s">
        <v>11</v>
      </c>
      <c r="H2190" s="30" t="s">
        <v>2495</v>
      </c>
      <c r="I2190" s="78"/>
      <c r="J2190" s="20"/>
      <c r="K2190" s="20"/>
      <c r="L2190" s="20"/>
      <c r="M2190" s="20"/>
      <c r="N2190" s="179" t="s">
        <v>502</v>
      </c>
      <c r="O2190" s="70">
        <v>0</v>
      </c>
      <c r="P2190" s="70">
        <v>0</v>
      </c>
      <c r="Q2190" s="70">
        <f t="shared" si="187"/>
        <v>0</v>
      </c>
      <c r="R2190" s="70"/>
      <c r="S2190" s="67"/>
      <c r="T2190" s="2" t="str">
        <f t="shared" si="188"/>
        <v>Tăng Quang Huy_12VH3</v>
      </c>
      <c r="U2190" s="28">
        <f t="array" ref="U2190">IFERROR(VLOOKUP($T2190,'Nghi hoc T12'!$H$7:$I$160,2,0),0)</f>
        <v>0</v>
      </c>
      <c r="V2190" s="28"/>
      <c r="W2190" s="28">
        <f t="shared" si="189"/>
        <v>0</v>
      </c>
      <c r="X2190" s="333">
        <f t="shared" si="190"/>
        <v>0</v>
      </c>
      <c r="Y2190" s="333">
        <f t="shared" si="191"/>
        <v>0</v>
      </c>
    </row>
    <row r="2191" spans="1:25" s="2" customFormat="1" ht="21.95" customHeight="1">
      <c r="A2191" s="82">
        <v>16</v>
      </c>
      <c r="B2191" s="91" t="str">
        <f t="shared" si="192"/>
        <v>203.T</v>
      </c>
      <c r="C2191" s="83" t="s">
        <v>366</v>
      </c>
      <c r="D2191" s="81" t="s">
        <v>2183</v>
      </c>
      <c r="E2191" s="48">
        <v>400538</v>
      </c>
      <c r="F2191" s="30" t="s">
        <v>245</v>
      </c>
      <c r="G2191" s="29" t="s">
        <v>54</v>
      </c>
      <c r="H2191" s="30" t="s">
        <v>2495</v>
      </c>
      <c r="I2191" s="78"/>
      <c r="J2191" s="20"/>
      <c r="K2191" s="20"/>
      <c r="L2191" s="20"/>
      <c r="M2191" s="20"/>
      <c r="N2191" s="179" t="s">
        <v>502</v>
      </c>
      <c r="O2191" s="70">
        <v>0</v>
      </c>
      <c r="P2191" s="70">
        <v>0</v>
      </c>
      <c r="Q2191" s="70">
        <f t="shared" si="187"/>
        <v>0</v>
      </c>
      <c r="R2191" s="70"/>
      <c r="S2191" s="67"/>
      <c r="T2191" s="2" t="str">
        <f t="shared" si="188"/>
        <v>Nguyễn Thị Kim Hương_12VH3</v>
      </c>
      <c r="U2191" s="28">
        <f t="array" ref="U2191">IFERROR(VLOOKUP($T2191,'Nghi hoc T12'!$H$7:$I$160,2,0),0)</f>
        <v>0</v>
      </c>
      <c r="V2191" s="28"/>
      <c r="W2191" s="28">
        <f t="shared" si="189"/>
        <v>0</v>
      </c>
      <c r="X2191" s="333">
        <f t="shared" si="190"/>
        <v>0</v>
      </c>
      <c r="Y2191" s="333">
        <f t="shared" si="191"/>
        <v>0</v>
      </c>
    </row>
    <row r="2192" spans="1:25" s="2" customFormat="1" ht="21.95" customHeight="1">
      <c r="A2192" s="82">
        <v>17</v>
      </c>
      <c r="B2192" s="91" t="str">
        <f t="shared" si="192"/>
        <v>203.T</v>
      </c>
      <c r="C2192" s="83" t="s">
        <v>366</v>
      </c>
      <c r="D2192" s="81" t="s">
        <v>2183</v>
      </c>
      <c r="E2192" s="48">
        <v>400539</v>
      </c>
      <c r="F2192" s="30" t="s">
        <v>2520</v>
      </c>
      <c r="G2192" s="29" t="s">
        <v>79</v>
      </c>
      <c r="H2192" s="30" t="s">
        <v>2493</v>
      </c>
      <c r="I2192" s="78"/>
      <c r="J2192" s="20"/>
      <c r="K2192" s="20"/>
      <c r="L2192" s="20"/>
      <c r="M2192" s="20"/>
      <c r="N2192" s="179" t="s">
        <v>502</v>
      </c>
      <c r="O2192" s="70">
        <v>0</v>
      </c>
      <c r="P2192" s="70">
        <v>0</v>
      </c>
      <c r="Q2192" s="70">
        <f t="shared" si="187"/>
        <v>0</v>
      </c>
      <c r="R2192" s="70"/>
      <c r="S2192" s="67"/>
      <c r="T2192" s="2" t="str">
        <f t="shared" si="188"/>
        <v>Đặng Trần Hoàng Khang_12VH2</v>
      </c>
      <c r="U2192" s="28">
        <f t="array" ref="U2192">IFERROR(VLOOKUP($T2192,'Nghi hoc T12'!$H$7:$I$160,2,0),0)</f>
        <v>0</v>
      </c>
      <c r="V2192" s="28"/>
      <c r="W2192" s="28">
        <f t="shared" si="189"/>
        <v>0</v>
      </c>
      <c r="X2192" s="333">
        <f t="shared" si="190"/>
        <v>0</v>
      </c>
      <c r="Y2192" s="333">
        <f t="shared" si="191"/>
        <v>0</v>
      </c>
    </row>
    <row r="2193" spans="1:25" s="2" customFormat="1" ht="21.95" customHeight="1">
      <c r="A2193" s="82">
        <v>18</v>
      </c>
      <c r="B2193" s="91" t="str">
        <f t="shared" si="192"/>
        <v>203.T</v>
      </c>
      <c r="C2193" s="83" t="s">
        <v>366</v>
      </c>
      <c r="D2193" s="81" t="s">
        <v>2183</v>
      </c>
      <c r="E2193" s="48">
        <v>400540</v>
      </c>
      <c r="F2193" s="30" t="s">
        <v>184</v>
      </c>
      <c r="G2193" s="29" t="s">
        <v>79</v>
      </c>
      <c r="H2193" s="30" t="s">
        <v>2492</v>
      </c>
      <c r="I2193" s="78"/>
      <c r="J2193" s="20"/>
      <c r="K2193" s="20"/>
      <c r="L2193" s="20"/>
      <c r="M2193" s="20"/>
      <c r="N2193" s="179" t="s">
        <v>502</v>
      </c>
      <c r="O2193" s="70">
        <v>0</v>
      </c>
      <c r="P2193" s="70">
        <v>0</v>
      </c>
      <c r="Q2193" s="70">
        <f t="shared" si="187"/>
        <v>0</v>
      </c>
      <c r="R2193" s="70"/>
      <c r="S2193" s="67"/>
      <c r="T2193" s="2" t="str">
        <f t="shared" si="188"/>
        <v>Nguyễn Duy Khang_12VH1</v>
      </c>
      <c r="U2193" s="28">
        <f t="array" ref="U2193">IFERROR(VLOOKUP($T2193,'Nghi hoc T12'!$H$7:$I$160,2,0),0)</f>
        <v>0</v>
      </c>
      <c r="V2193" s="28"/>
      <c r="W2193" s="28">
        <f t="shared" si="189"/>
        <v>0</v>
      </c>
      <c r="X2193" s="333">
        <f t="shared" si="190"/>
        <v>0</v>
      </c>
      <c r="Y2193" s="333">
        <f t="shared" si="191"/>
        <v>0</v>
      </c>
    </row>
    <row r="2194" spans="1:25" s="2" customFormat="1" ht="21.95" customHeight="1">
      <c r="A2194" s="82">
        <v>19</v>
      </c>
      <c r="B2194" s="91" t="str">
        <f t="shared" si="192"/>
        <v>203.T</v>
      </c>
      <c r="C2194" s="83" t="s">
        <v>366</v>
      </c>
      <c r="D2194" s="81" t="s">
        <v>2183</v>
      </c>
      <c r="E2194" s="48">
        <v>400541</v>
      </c>
      <c r="F2194" s="30" t="s">
        <v>2521</v>
      </c>
      <c r="G2194" s="29" t="s">
        <v>79</v>
      </c>
      <c r="H2194" s="30" t="s">
        <v>2492</v>
      </c>
      <c r="I2194" s="78"/>
      <c r="J2194" s="20"/>
      <c r="K2194" s="20"/>
      <c r="L2194" s="20"/>
      <c r="M2194" s="20"/>
      <c r="N2194" s="179" t="s">
        <v>502</v>
      </c>
      <c r="O2194" s="70">
        <v>0</v>
      </c>
      <c r="P2194" s="70">
        <v>0</v>
      </c>
      <c r="Q2194" s="70">
        <f t="shared" si="187"/>
        <v>0</v>
      </c>
      <c r="R2194" s="70"/>
      <c r="S2194" s="67"/>
      <c r="T2194" s="2" t="str">
        <f t="shared" si="188"/>
        <v>Nguyễn Hoàng An Khang_12VH1</v>
      </c>
      <c r="U2194" s="28">
        <f t="array" ref="U2194">IFERROR(VLOOKUP($T2194,'Nghi hoc T12'!$H$7:$I$160,2,0),0)</f>
        <v>0</v>
      </c>
      <c r="V2194" s="28"/>
      <c r="W2194" s="28">
        <f t="shared" si="189"/>
        <v>0</v>
      </c>
      <c r="X2194" s="333">
        <f t="shared" si="190"/>
        <v>0</v>
      </c>
      <c r="Y2194" s="333">
        <f t="shared" si="191"/>
        <v>0</v>
      </c>
    </row>
    <row r="2195" spans="1:25" s="2" customFormat="1" ht="21.95" customHeight="1">
      <c r="A2195" s="82">
        <v>20</v>
      </c>
      <c r="B2195" s="91" t="str">
        <f t="shared" si="192"/>
        <v>203.T</v>
      </c>
      <c r="C2195" s="83" t="s">
        <v>366</v>
      </c>
      <c r="D2195" s="81" t="s">
        <v>2183</v>
      </c>
      <c r="E2195" s="48">
        <v>400542</v>
      </c>
      <c r="F2195" s="30" t="s">
        <v>2522</v>
      </c>
      <c r="G2195" s="29" t="s">
        <v>94</v>
      </c>
      <c r="H2195" s="30" t="s">
        <v>2495</v>
      </c>
      <c r="I2195" s="78"/>
      <c r="J2195" s="20"/>
      <c r="K2195" s="20"/>
      <c r="L2195" s="20"/>
      <c r="M2195" s="20"/>
      <c r="N2195" s="179" t="s">
        <v>502</v>
      </c>
      <c r="O2195" s="70">
        <v>0</v>
      </c>
      <c r="P2195" s="70">
        <v>0</v>
      </c>
      <c r="Q2195" s="70">
        <f t="shared" si="187"/>
        <v>0</v>
      </c>
      <c r="R2195" s="70"/>
      <c r="S2195" s="67"/>
      <c r="T2195" s="2" t="str">
        <f t="shared" si="188"/>
        <v>Lê Ngọc An Khánh_12VH3</v>
      </c>
      <c r="U2195" s="28">
        <f t="array" ref="U2195">IFERROR(VLOOKUP($T2195,'Nghi hoc T12'!$H$7:$I$160,2,0),0)</f>
        <v>0</v>
      </c>
      <c r="V2195" s="28"/>
      <c r="W2195" s="28">
        <f t="shared" si="189"/>
        <v>0</v>
      </c>
      <c r="X2195" s="333">
        <f t="shared" si="190"/>
        <v>0</v>
      </c>
      <c r="Y2195" s="333">
        <f t="shared" si="191"/>
        <v>0</v>
      </c>
    </row>
    <row r="2196" spans="1:25" s="2" customFormat="1" ht="21.95" customHeight="1">
      <c r="A2196" s="82">
        <v>21</v>
      </c>
      <c r="B2196" s="91" t="str">
        <f t="shared" si="192"/>
        <v>203.T</v>
      </c>
      <c r="C2196" s="83" t="s">
        <v>366</v>
      </c>
      <c r="D2196" s="81" t="s">
        <v>2183</v>
      </c>
      <c r="E2196" s="48">
        <v>400543</v>
      </c>
      <c r="F2196" s="30" t="s">
        <v>324</v>
      </c>
      <c r="G2196" s="29" t="s">
        <v>94</v>
      </c>
      <c r="H2196" s="30" t="s">
        <v>2493</v>
      </c>
      <c r="I2196" s="78"/>
      <c r="J2196" s="20"/>
      <c r="K2196" s="20"/>
      <c r="L2196" s="20"/>
      <c r="M2196" s="20"/>
      <c r="N2196" s="179" t="s">
        <v>502</v>
      </c>
      <c r="O2196" s="70">
        <v>0</v>
      </c>
      <c r="P2196" s="70">
        <v>0</v>
      </c>
      <c r="Q2196" s="70">
        <f t="shared" si="187"/>
        <v>0</v>
      </c>
      <c r="R2196" s="70"/>
      <c r="S2196" s="67"/>
      <c r="T2196" s="2" t="str">
        <f t="shared" si="188"/>
        <v>Phan Quốc Khánh_12VH2</v>
      </c>
      <c r="U2196" s="28">
        <f t="array" ref="U2196">IFERROR(VLOOKUP($T2196,'Nghi hoc T12'!$H$7:$I$160,2,0),0)</f>
        <v>0</v>
      </c>
      <c r="V2196" s="28"/>
      <c r="W2196" s="28">
        <f t="shared" si="189"/>
        <v>0</v>
      </c>
      <c r="X2196" s="333">
        <f t="shared" si="190"/>
        <v>0</v>
      </c>
      <c r="Y2196" s="333">
        <f t="shared" si="191"/>
        <v>0</v>
      </c>
    </row>
    <row r="2197" spans="1:25" s="2" customFormat="1" ht="21.95" customHeight="1">
      <c r="A2197" s="82">
        <v>22</v>
      </c>
      <c r="B2197" s="91" t="str">
        <f t="shared" si="192"/>
        <v>203.T</v>
      </c>
      <c r="C2197" s="83" t="s">
        <v>366</v>
      </c>
      <c r="D2197" s="81" t="s">
        <v>2183</v>
      </c>
      <c r="E2197" s="48">
        <v>400544</v>
      </c>
      <c r="F2197" s="30" t="s">
        <v>167</v>
      </c>
      <c r="G2197" s="29" t="s">
        <v>55</v>
      </c>
      <c r="H2197" s="30" t="s">
        <v>2492</v>
      </c>
      <c r="I2197" s="78"/>
      <c r="J2197" s="20"/>
      <c r="K2197" s="20"/>
      <c r="L2197" s="20"/>
      <c r="M2197" s="20"/>
      <c r="N2197" s="179" t="s">
        <v>502</v>
      </c>
      <c r="O2197" s="70">
        <v>0</v>
      </c>
      <c r="P2197" s="70">
        <v>0</v>
      </c>
      <c r="Q2197" s="70">
        <f t="shared" si="187"/>
        <v>0</v>
      </c>
      <c r="R2197" s="70"/>
      <c r="S2197" s="67"/>
      <c r="T2197" s="2" t="str">
        <f t="shared" si="188"/>
        <v>Trần Thanh Khoa_12VH1</v>
      </c>
      <c r="U2197" s="28">
        <f t="array" ref="U2197">IFERROR(VLOOKUP($T2197,'Nghi hoc T12'!$H$7:$I$160,2,0),0)</f>
        <v>0</v>
      </c>
      <c r="V2197" s="28"/>
      <c r="W2197" s="28">
        <f t="shared" si="189"/>
        <v>0</v>
      </c>
      <c r="X2197" s="333">
        <f t="shared" si="190"/>
        <v>0</v>
      </c>
      <c r="Y2197" s="333">
        <f t="shared" si="191"/>
        <v>0</v>
      </c>
    </row>
    <row r="2198" spans="1:25" s="2" customFormat="1" ht="21.95" customHeight="1">
      <c r="A2198" s="82">
        <v>23</v>
      </c>
      <c r="B2198" s="91" t="str">
        <f t="shared" si="192"/>
        <v>203.T</v>
      </c>
      <c r="C2198" s="83" t="s">
        <v>366</v>
      </c>
      <c r="D2198" s="81" t="s">
        <v>2183</v>
      </c>
      <c r="E2198" s="48">
        <v>400545</v>
      </c>
      <c r="F2198" s="30" t="s">
        <v>184</v>
      </c>
      <c r="G2198" s="29" t="s">
        <v>179</v>
      </c>
      <c r="H2198" s="30" t="s">
        <v>2495</v>
      </c>
      <c r="I2198" s="78"/>
      <c r="J2198" s="20"/>
      <c r="K2198" s="20"/>
      <c r="L2198" s="20"/>
      <c r="M2198" s="20"/>
      <c r="N2198" s="179" t="s">
        <v>502</v>
      </c>
      <c r="O2198" s="70">
        <v>0</v>
      </c>
      <c r="P2198" s="70">
        <v>0</v>
      </c>
      <c r="Q2198" s="70">
        <f t="shared" si="187"/>
        <v>0</v>
      </c>
      <c r="R2198" s="70"/>
      <c r="S2198" s="67"/>
      <c r="T2198" s="2" t="str">
        <f t="shared" si="188"/>
        <v>Nguyễn Duy Khương_12VH3</v>
      </c>
      <c r="U2198" s="28">
        <f t="array" ref="U2198">IFERROR(VLOOKUP($T2198,'Nghi hoc T12'!$H$7:$I$160,2,0),0)</f>
        <v>0</v>
      </c>
      <c r="V2198" s="28"/>
      <c r="W2198" s="28">
        <f t="shared" si="189"/>
        <v>0</v>
      </c>
      <c r="X2198" s="333">
        <f t="shared" si="190"/>
        <v>0</v>
      </c>
      <c r="Y2198" s="333">
        <f t="shared" si="191"/>
        <v>0</v>
      </c>
    </row>
    <row r="2199" spans="1:25" s="2" customFormat="1" ht="21.95" customHeight="1">
      <c r="A2199" s="82">
        <v>24</v>
      </c>
      <c r="B2199" s="91" t="str">
        <f t="shared" si="192"/>
        <v>203.T</v>
      </c>
      <c r="C2199" s="83" t="s">
        <v>366</v>
      </c>
      <c r="D2199" s="81" t="s">
        <v>2183</v>
      </c>
      <c r="E2199" s="48">
        <v>400546</v>
      </c>
      <c r="F2199" s="30" t="s">
        <v>2523</v>
      </c>
      <c r="G2199" s="29" t="s">
        <v>68</v>
      </c>
      <c r="H2199" s="30" t="s">
        <v>2492</v>
      </c>
      <c r="I2199" s="78"/>
      <c r="J2199" s="20"/>
      <c r="K2199" s="20"/>
      <c r="L2199" s="20"/>
      <c r="M2199" s="20"/>
      <c r="N2199" s="179" t="s">
        <v>502</v>
      </c>
      <c r="O2199" s="70">
        <v>0</v>
      </c>
      <c r="P2199" s="70">
        <v>0</v>
      </c>
      <c r="Q2199" s="70">
        <f t="shared" si="187"/>
        <v>0</v>
      </c>
      <c r="R2199" s="70"/>
      <c r="S2199" s="67"/>
      <c r="T2199" s="2" t="str">
        <f t="shared" si="188"/>
        <v>Đào Tuấn Kiệt_12VH1</v>
      </c>
      <c r="U2199" s="28">
        <f t="array" ref="U2199">IFERROR(VLOOKUP($T2199,'Nghi hoc T12'!$H$7:$I$160,2,0),0)</f>
        <v>0</v>
      </c>
      <c r="V2199" s="28"/>
      <c r="W2199" s="28">
        <f t="shared" si="189"/>
        <v>0</v>
      </c>
      <c r="X2199" s="333">
        <f t="shared" si="190"/>
        <v>0</v>
      </c>
      <c r="Y2199" s="333">
        <f t="shared" si="191"/>
        <v>0</v>
      </c>
    </row>
    <row r="2200" spans="1:25" s="2" customFormat="1" ht="21.95" customHeight="1">
      <c r="A2200" s="82">
        <v>25</v>
      </c>
      <c r="B2200" s="91" t="str">
        <f t="shared" si="192"/>
        <v>203.T</v>
      </c>
      <c r="C2200" s="83" t="s">
        <v>366</v>
      </c>
      <c r="D2200" s="81" t="s">
        <v>2183</v>
      </c>
      <c r="E2200" s="48">
        <v>400547</v>
      </c>
      <c r="F2200" s="30" t="s">
        <v>150</v>
      </c>
      <c r="G2200" s="29" t="s">
        <v>68</v>
      </c>
      <c r="H2200" s="30" t="s">
        <v>2493</v>
      </c>
      <c r="I2200" s="78"/>
      <c r="J2200" s="20"/>
      <c r="K2200" s="20"/>
      <c r="L2200" s="20"/>
      <c r="M2200" s="20"/>
      <c r="N2200" s="179" t="s">
        <v>502</v>
      </c>
      <c r="O2200" s="70">
        <v>0</v>
      </c>
      <c r="P2200" s="70">
        <v>0</v>
      </c>
      <c r="Q2200" s="70">
        <f t="shared" si="187"/>
        <v>0</v>
      </c>
      <c r="R2200" s="70"/>
      <c r="S2200" s="67"/>
      <c r="T2200" s="2" t="str">
        <f t="shared" si="188"/>
        <v>Trần Tuấn Kiệt_12VH2</v>
      </c>
      <c r="U2200" s="28">
        <f t="array" ref="U2200">IFERROR(VLOOKUP($T2200,'Nghi hoc T12'!$H$7:$I$160,2,0),0)</f>
        <v>0</v>
      </c>
      <c r="V2200" s="28"/>
      <c r="W2200" s="28">
        <f t="shared" si="189"/>
        <v>0</v>
      </c>
      <c r="X2200" s="333">
        <f t="shared" si="190"/>
        <v>0</v>
      </c>
      <c r="Y2200" s="333">
        <f t="shared" si="191"/>
        <v>0</v>
      </c>
    </row>
    <row r="2201" spans="1:25" s="2" customFormat="1" ht="21.95" customHeight="1">
      <c r="A2201" s="82">
        <v>26</v>
      </c>
      <c r="B2201" s="91" t="str">
        <f t="shared" si="192"/>
        <v>203.T</v>
      </c>
      <c r="C2201" s="83" t="s">
        <v>366</v>
      </c>
      <c r="D2201" s="81" t="s">
        <v>2183</v>
      </c>
      <c r="E2201" s="48">
        <v>400548</v>
      </c>
      <c r="F2201" s="30" t="s">
        <v>2524</v>
      </c>
      <c r="G2201" s="29" t="s">
        <v>278</v>
      </c>
      <c r="H2201" s="30" t="s">
        <v>2492</v>
      </c>
      <c r="I2201" s="78"/>
      <c r="J2201" s="20"/>
      <c r="K2201" s="20"/>
      <c r="L2201" s="20"/>
      <c r="M2201" s="20"/>
      <c r="N2201" s="179" t="s">
        <v>502</v>
      </c>
      <c r="O2201" s="70">
        <v>0</v>
      </c>
      <c r="P2201" s="70">
        <v>0</v>
      </c>
      <c r="Q2201" s="70">
        <f t="shared" si="187"/>
        <v>0</v>
      </c>
      <c r="R2201" s="70"/>
      <c r="S2201" s="67"/>
      <c r="T2201" s="2" t="str">
        <f t="shared" si="188"/>
        <v>Lưu Thị Hồng Lam_12VH1</v>
      </c>
      <c r="U2201" s="28">
        <f t="array" ref="U2201">IFERROR(VLOOKUP($T2201,'Nghi hoc T12'!$H$7:$I$160,2,0),0)</f>
        <v>0</v>
      </c>
      <c r="V2201" s="28"/>
      <c r="W2201" s="28">
        <f t="shared" si="189"/>
        <v>0</v>
      </c>
      <c r="X2201" s="333">
        <f t="shared" si="190"/>
        <v>0</v>
      </c>
      <c r="Y2201" s="333">
        <f t="shared" si="191"/>
        <v>0</v>
      </c>
    </row>
    <row r="2202" spans="1:25" s="2" customFormat="1" ht="21.95" customHeight="1">
      <c r="A2202" s="321">
        <v>1</v>
      </c>
      <c r="B2202" s="91" t="str">
        <f t="shared" si="192"/>
        <v>204.T</v>
      </c>
      <c r="C2202" s="185" t="s">
        <v>366</v>
      </c>
      <c r="D2202" s="186" t="s">
        <v>2203</v>
      </c>
      <c r="E2202" s="187">
        <v>400549</v>
      </c>
      <c r="F2202" s="188" t="s">
        <v>2525</v>
      </c>
      <c r="G2202" s="189" t="s">
        <v>38</v>
      </c>
      <c r="H2202" s="188" t="s">
        <v>2493</v>
      </c>
      <c r="I2202" s="190"/>
      <c r="J2202" s="191"/>
      <c r="K2202" s="191"/>
      <c r="L2202" s="191"/>
      <c r="M2202" s="191"/>
      <c r="N2202" s="179" t="s">
        <v>502</v>
      </c>
      <c r="O2202" s="70">
        <v>0</v>
      </c>
      <c r="P2202" s="70">
        <v>0</v>
      </c>
      <c r="Q2202" s="70">
        <f t="shared" si="187"/>
        <v>0</v>
      </c>
      <c r="R2202" s="70"/>
      <c r="S2202" s="67"/>
      <c r="T2202" s="2" t="str">
        <f t="shared" si="188"/>
        <v>Lê Hà Mỹ Linh_12VH2</v>
      </c>
      <c r="U2202" s="28">
        <f t="array" ref="U2202">IFERROR(VLOOKUP($T2202,'Nghi hoc T12'!$H$7:$I$160,2,0),0)</f>
        <v>0</v>
      </c>
      <c r="V2202" s="28"/>
      <c r="W2202" s="28">
        <f t="shared" si="189"/>
        <v>0</v>
      </c>
      <c r="X2202" s="333">
        <f t="shared" si="190"/>
        <v>0</v>
      </c>
      <c r="Y2202" s="333">
        <f t="shared" si="191"/>
        <v>0</v>
      </c>
    </row>
    <row r="2203" spans="1:25" s="2" customFormat="1" ht="21.95" customHeight="1">
      <c r="A2203" s="82">
        <v>2</v>
      </c>
      <c r="B2203" s="91" t="str">
        <f t="shared" si="192"/>
        <v>204.T</v>
      </c>
      <c r="C2203" s="83" t="s">
        <v>366</v>
      </c>
      <c r="D2203" s="81" t="s">
        <v>2203</v>
      </c>
      <c r="E2203" s="48">
        <v>400550</v>
      </c>
      <c r="F2203" s="30" t="s">
        <v>2526</v>
      </c>
      <c r="G2203" s="29" t="s">
        <v>38</v>
      </c>
      <c r="H2203" s="30" t="s">
        <v>2495</v>
      </c>
      <c r="I2203" s="78"/>
      <c r="J2203" s="20"/>
      <c r="K2203" s="20"/>
      <c r="L2203" s="20"/>
      <c r="M2203" s="20"/>
      <c r="N2203" s="179" t="s">
        <v>502</v>
      </c>
      <c r="O2203" s="70">
        <v>0</v>
      </c>
      <c r="P2203" s="70">
        <v>0</v>
      </c>
      <c r="Q2203" s="70">
        <f t="shared" si="187"/>
        <v>0</v>
      </c>
      <c r="R2203" s="70"/>
      <c r="S2203" s="67"/>
      <c r="T2203" s="2" t="str">
        <f t="shared" si="188"/>
        <v>Nguyễn Hoàng Mỹ Linh_12VH3</v>
      </c>
      <c r="U2203" s="28">
        <f t="array" ref="U2203">IFERROR(VLOOKUP($T2203,'Nghi hoc T12'!$H$7:$I$160,2,0),0)</f>
        <v>0</v>
      </c>
      <c r="V2203" s="28"/>
      <c r="W2203" s="28">
        <f t="shared" si="189"/>
        <v>0</v>
      </c>
      <c r="X2203" s="333">
        <f t="shared" si="190"/>
        <v>0</v>
      </c>
      <c r="Y2203" s="333">
        <f t="shared" si="191"/>
        <v>0</v>
      </c>
    </row>
    <row r="2204" spans="1:25" s="2" customFormat="1" ht="21.95" customHeight="1">
      <c r="A2204" s="82">
        <v>3</v>
      </c>
      <c r="B2204" s="91" t="str">
        <f t="shared" si="192"/>
        <v>204.T</v>
      </c>
      <c r="C2204" s="83" t="s">
        <v>366</v>
      </c>
      <c r="D2204" s="81" t="s">
        <v>2203</v>
      </c>
      <c r="E2204" s="48">
        <v>400551</v>
      </c>
      <c r="F2204" s="30" t="s">
        <v>2527</v>
      </c>
      <c r="G2204" s="29" t="s">
        <v>14</v>
      </c>
      <c r="H2204" s="30" t="s">
        <v>2492</v>
      </c>
      <c r="I2204" s="78"/>
      <c r="J2204" s="20"/>
      <c r="K2204" s="20"/>
      <c r="L2204" s="20"/>
      <c r="M2204" s="20"/>
      <c r="N2204" s="179" t="s">
        <v>502</v>
      </c>
      <c r="O2204" s="70">
        <v>0</v>
      </c>
      <c r="P2204" s="70">
        <v>0</v>
      </c>
      <c r="Q2204" s="70">
        <f t="shared" si="187"/>
        <v>0</v>
      </c>
      <c r="R2204" s="70"/>
      <c r="S2204" s="67"/>
      <c r="T2204" s="2" t="str">
        <f t="shared" si="188"/>
        <v>Trương Thành Long_12VH1</v>
      </c>
      <c r="U2204" s="28">
        <f t="array" ref="U2204">IFERROR(VLOOKUP($T2204,'Nghi hoc T12'!$H$7:$I$160,2,0),0)</f>
        <v>0</v>
      </c>
      <c r="V2204" s="28"/>
      <c r="W2204" s="28">
        <f t="shared" si="189"/>
        <v>0</v>
      </c>
      <c r="X2204" s="333">
        <f t="shared" si="190"/>
        <v>0</v>
      </c>
      <c r="Y2204" s="333">
        <f t="shared" si="191"/>
        <v>0</v>
      </c>
    </row>
    <row r="2205" spans="1:25" s="2" customFormat="1" ht="21.95" customHeight="1">
      <c r="A2205" s="82">
        <v>4</v>
      </c>
      <c r="B2205" s="91" t="str">
        <f t="shared" si="192"/>
        <v>204.T</v>
      </c>
      <c r="C2205" s="83" t="s">
        <v>366</v>
      </c>
      <c r="D2205" s="81" t="s">
        <v>2203</v>
      </c>
      <c r="E2205" s="48">
        <v>400552</v>
      </c>
      <c r="F2205" s="30" t="s">
        <v>141</v>
      </c>
      <c r="G2205" s="29" t="s">
        <v>39</v>
      </c>
      <c r="H2205" s="30" t="s">
        <v>2492</v>
      </c>
      <c r="I2205" s="78"/>
      <c r="J2205" s="20"/>
      <c r="K2205" s="20"/>
      <c r="L2205" s="20"/>
      <c r="M2205" s="20"/>
      <c r="N2205" s="179" t="s">
        <v>502</v>
      </c>
      <c r="O2205" s="70">
        <v>0</v>
      </c>
      <c r="P2205" s="70">
        <v>0</v>
      </c>
      <c r="Q2205" s="70">
        <f t="shared" si="187"/>
        <v>0</v>
      </c>
      <c r="R2205" s="70"/>
      <c r="S2205" s="67"/>
      <c r="T2205" s="2" t="str">
        <f t="shared" si="188"/>
        <v>Nguyễn Thị Mỹ Lợi_12VH1</v>
      </c>
      <c r="U2205" s="28">
        <f t="array" ref="U2205">IFERROR(VLOOKUP($T2205,'Nghi hoc T12'!$H$7:$I$160,2,0),0)</f>
        <v>0</v>
      </c>
      <c r="V2205" s="28"/>
      <c r="W2205" s="28">
        <f t="shared" si="189"/>
        <v>0</v>
      </c>
      <c r="X2205" s="333">
        <f t="shared" si="190"/>
        <v>0</v>
      </c>
      <c r="Y2205" s="333">
        <f t="shared" si="191"/>
        <v>0</v>
      </c>
    </row>
    <row r="2206" spans="1:25" s="2" customFormat="1" ht="21.95" customHeight="1">
      <c r="A2206" s="82">
        <v>5</v>
      </c>
      <c r="B2206" s="91" t="str">
        <f t="shared" si="192"/>
        <v>204.T</v>
      </c>
      <c r="C2206" s="83" t="s">
        <v>366</v>
      </c>
      <c r="D2206" s="81" t="s">
        <v>2203</v>
      </c>
      <c r="E2206" s="48">
        <v>400553</v>
      </c>
      <c r="F2206" s="30" t="s">
        <v>326</v>
      </c>
      <c r="G2206" s="29" t="s">
        <v>2441</v>
      </c>
      <c r="H2206" s="30" t="s">
        <v>2493</v>
      </c>
      <c r="I2206" s="78"/>
      <c r="J2206" s="20"/>
      <c r="K2206" s="20"/>
      <c r="L2206" s="20"/>
      <c r="M2206" s="20"/>
      <c r="N2206" s="179" t="s">
        <v>502</v>
      </c>
      <c r="O2206" s="70">
        <v>0</v>
      </c>
      <c r="P2206" s="70">
        <v>0</v>
      </c>
      <c r="Q2206" s="70">
        <f t="shared" si="187"/>
        <v>0</v>
      </c>
      <c r="R2206" s="70"/>
      <c r="S2206" s="67"/>
      <c r="T2206" s="2" t="str">
        <f t="shared" si="188"/>
        <v>Ngô Văn Lực_12VH2</v>
      </c>
      <c r="U2206" s="28">
        <f t="array" ref="U2206">IFERROR(VLOOKUP($T2206,'Nghi hoc T12'!$H$7:$I$160,2,0),0)</f>
        <v>0</v>
      </c>
      <c r="V2206" s="28"/>
      <c r="W2206" s="28">
        <f t="shared" si="189"/>
        <v>0</v>
      </c>
      <c r="X2206" s="333">
        <f t="shared" si="190"/>
        <v>0</v>
      </c>
      <c r="Y2206" s="333">
        <f t="shared" si="191"/>
        <v>0</v>
      </c>
    </row>
    <row r="2207" spans="1:25" s="2" customFormat="1" ht="21.95" customHeight="1">
      <c r="A2207" s="82">
        <v>6</v>
      </c>
      <c r="B2207" s="91" t="str">
        <f t="shared" si="192"/>
        <v>204.T</v>
      </c>
      <c r="C2207" s="83" t="s">
        <v>366</v>
      </c>
      <c r="D2207" s="81" t="s">
        <v>2203</v>
      </c>
      <c r="E2207" s="48">
        <v>400554</v>
      </c>
      <c r="F2207" s="30" t="s">
        <v>2528</v>
      </c>
      <c r="G2207" s="29" t="s">
        <v>69</v>
      </c>
      <c r="H2207" s="30" t="s">
        <v>2492</v>
      </c>
      <c r="I2207" s="78"/>
      <c r="J2207" s="20"/>
      <c r="K2207" s="20"/>
      <c r="L2207" s="20"/>
      <c r="M2207" s="20"/>
      <c r="N2207" s="179" t="s">
        <v>502</v>
      </c>
      <c r="O2207" s="70">
        <v>0</v>
      </c>
      <c r="P2207" s="70">
        <v>0</v>
      </c>
      <c r="Q2207" s="70">
        <f t="shared" si="187"/>
        <v>0</v>
      </c>
      <c r="R2207" s="70"/>
      <c r="S2207" s="67"/>
      <c r="T2207" s="2" t="str">
        <f t="shared" si="188"/>
        <v>Huỳnh Thị Trúc Ly_12VH1</v>
      </c>
      <c r="U2207" s="28">
        <f t="array" ref="U2207">IFERROR(VLOOKUP($T2207,'Nghi hoc T12'!$H$7:$I$160,2,0),0)</f>
        <v>0</v>
      </c>
      <c r="V2207" s="28"/>
      <c r="W2207" s="28">
        <f t="shared" si="189"/>
        <v>0</v>
      </c>
      <c r="X2207" s="333">
        <f t="shared" si="190"/>
        <v>0</v>
      </c>
      <c r="Y2207" s="333">
        <f t="shared" si="191"/>
        <v>0</v>
      </c>
    </row>
    <row r="2208" spans="1:25" s="2" customFormat="1" ht="21.95" customHeight="1">
      <c r="A2208" s="82">
        <v>7</v>
      </c>
      <c r="B2208" s="91" t="str">
        <f t="shared" si="192"/>
        <v>204.T</v>
      </c>
      <c r="C2208" s="83" t="s">
        <v>366</v>
      </c>
      <c r="D2208" s="81" t="s">
        <v>2203</v>
      </c>
      <c r="E2208" s="48">
        <v>400555</v>
      </c>
      <c r="F2208" s="30" t="s">
        <v>201</v>
      </c>
      <c r="G2208" s="29" t="s">
        <v>16</v>
      </c>
      <c r="H2208" s="30" t="s">
        <v>2495</v>
      </c>
      <c r="I2208" s="78"/>
      <c r="J2208" s="20"/>
      <c r="K2208" s="20"/>
      <c r="L2208" s="20"/>
      <c r="M2208" s="20"/>
      <c r="N2208" s="179" t="s">
        <v>502</v>
      </c>
      <c r="O2208" s="70">
        <v>0</v>
      </c>
      <c r="P2208" s="70">
        <v>0</v>
      </c>
      <c r="Q2208" s="70">
        <f t="shared" si="187"/>
        <v>0</v>
      </c>
      <c r="R2208" s="70"/>
      <c r="S2208" s="67"/>
      <c r="T2208" s="2" t="str">
        <f t="shared" si="188"/>
        <v>Nguyễn Hữu Minh_12VH3</v>
      </c>
      <c r="U2208" s="28">
        <f t="array" ref="U2208">IFERROR(VLOOKUP($T2208,'Nghi hoc T12'!$H$7:$I$160,2,0),0)</f>
        <v>0</v>
      </c>
      <c r="V2208" s="28"/>
      <c r="W2208" s="28">
        <f t="shared" si="189"/>
        <v>0</v>
      </c>
      <c r="X2208" s="333">
        <f t="shared" si="190"/>
        <v>0</v>
      </c>
      <c r="Y2208" s="333">
        <f t="shared" si="191"/>
        <v>0</v>
      </c>
    </row>
    <row r="2209" spans="1:25" s="2" customFormat="1" ht="21.95" customHeight="1">
      <c r="A2209" s="82">
        <v>8</v>
      </c>
      <c r="B2209" s="91" t="str">
        <f t="shared" si="192"/>
        <v>204.T</v>
      </c>
      <c r="C2209" s="83" t="s">
        <v>366</v>
      </c>
      <c r="D2209" s="81" t="s">
        <v>2203</v>
      </c>
      <c r="E2209" s="48">
        <v>400556</v>
      </c>
      <c r="F2209" s="30" t="s">
        <v>2529</v>
      </c>
      <c r="G2209" s="29" t="s">
        <v>40</v>
      </c>
      <c r="H2209" s="30" t="s">
        <v>2495</v>
      </c>
      <c r="I2209" s="78"/>
      <c r="J2209" s="20"/>
      <c r="K2209" s="20"/>
      <c r="L2209" s="20"/>
      <c r="M2209" s="20"/>
      <c r="N2209" s="179" t="s">
        <v>502</v>
      </c>
      <c r="O2209" s="70">
        <v>0</v>
      </c>
      <c r="P2209" s="70">
        <v>0</v>
      </c>
      <c r="Q2209" s="70">
        <f t="shared" si="187"/>
        <v>0</v>
      </c>
      <c r="R2209" s="70"/>
      <c r="S2209" s="67"/>
      <c r="T2209" s="2" t="str">
        <f t="shared" si="188"/>
        <v>Võ Lê Kiều My_12VH3</v>
      </c>
      <c r="U2209" s="28">
        <f t="array" ref="U2209">IFERROR(VLOOKUP($T2209,'Nghi hoc T12'!$H$7:$I$160,2,0),0)</f>
        <v>0</v>
      </c>
      <c r="V2209" s="28"/>
      <c r="W2209" s="28">
        <f t="shared" si="189"/>
        <v>0</v>
      </c>
      <c r="X2209" s="333">
        <f t="shared" si="190"/>
        <v>0</v>
      </c>
      <c r="Y2209" s="333">
        <f t="shared" si="191"/>
        <v>0</v>
      </c>
    </row>
    <row r="2210" spans="1:25" s="2" customFormat="1" ht="21.95" customHeight="1">
      <c r="A2210" s="82">
        <v>9</v>
      </c>
      <c r="B2210" s="91" t="str">
        <f t="shared" si="192"/>
        <v>204.T</v>
      </c>
      <c r="C2210" s="83" t="s">
        <v>366</v>
      </c>
      <c r="D2210" s="81" t="s">
        <v>2203</v>
      </c>
      <c r="E2210" s="48">
        <v>400557</v>
      </c>
      <c r="F2210" s="30" t="s">
        <v>301</v>
      </c>
      <c r="G2210" s="29" t="s">
        <v>17</v>
      </c>
      <c r="H2210" s="30" t="s">
        <v>2492</v>
      </c>
      <c r="I2210" s="78"/>
      <c r="J2210" s="20"/>
      <c r="K2210" s="20"/>
      <c r="L2210" s="20"/>
      <c r="M2210" s="20"/>
      <c r="N2210" s="179" t="s">
        <v>502</v>
      </c>
      <c r="O2210" s="70">
        <v>0</v>
      </c>
      <c r="P2210" s="70">
        <v>0</v>
      </c>
      <c r="Q2210" s="70">
        <f t="shared" si="187"/>
        <v>0</v>
      </c>
      <c r="R2210" s="70"/>
      <c r="S2210" s="67"/>
      <c r="T2210" s="2" t="str">
        <f t="shared" si="188"/>
        <v>Nguyễn Hoài Nam_12VH1</v>
      </c>
      <c r="U2210" s="28">
        <f t="array" ref="U2210">IFERROR(VLOOKUP($T2210,'Nghi hoc T12'!$H$7:$I$160,2,0),0)</f>
        <v>0</v>
      </c>
      <c r="V2210" s="28"/>
      <c r="W2210" s="28">
        <f t="shared" si="189"/>
        <v>0</v>
      </c>
      <c r="X2210" s="333">
        <f t="shared" si="190"/>
        <v>0</v>
      </c>
      <c r="Y2210" s="333">
        <f t="shared" si="191"/>
        <v>0</v>
      </c>
    </row>
    <row r="2211" spans="1:25" s="2" customFormat="1" ht="21.95" customHeight="1">
      <c r="A2211" s="82">
        <v>10</v>
      </c>
      <c r="B2211" s="91" t="str">
        <f t="shared" si="192"/>
        <v>204.T</v>
      </c>
      <c r="C2211" s="83" t="s">
        <v>366</v>
      </c>
      <c r="D2211" s="81" t="s">
        <v>2203</v>
      </c>
      <c r="E2211" s="48">
        <v>400558</v>
      </c>
      <c r="F2211" s="30" t="s">
        <v>2530</v>
      </c>
      <c r="G2211" s="29" t="s">
        <v>17</v>
      </c>
      <c r="H2211" s="30" t="s">
        <v>2495</v>
      </c>
      <c r="I2211" s="78"/>
      <c r="J2211" s="20"/>
      <c r="K2211" s="20"/>
      <c r="L2211" s="20"/>
      <c r="M2211" s="20"/>
      <c r="N2211" s="179" t="s">
        <v>502</v>
      </c>
      <c r="O2211" s="70">
        <v>0</v>
      </c>
      <c r="P2211" s="70">
        <v>0</v>
      </c>
      <c r="Q2211" s="70">
        <f t="shared" si="187"/>
        <v>0</v>
      </c>
      <c r="R2211" s="70"/>
      <c r="S2211" s="67"/>
      <c r="T2211" s="2" t="str">
        <f t="shared" si="188"/>
        <v>Phan Hải Nam_12VH3</v>
      </c>
      <c r="U2211" s="28">
        <f t="array" ref="U2211">IFERROR(VLOOKUP($T2211,'Nghi hoc T12'!$H$7:$I$160,2,0),0)</f>
        <v>0</v>
      </c>
      <c r="V2211" s="28"/>
      <c r="W2211" s="28">
        <f t="shared" si="189"/>
        <v>0</v>
      </c>
      <c r="X2211" s="333">
        <f t="shared" si="190"/>
        <v>0</v>
      </c>
      <c r="Y2211" s="333">
        <f t="shared" si="191"/>
        <v>0</v>
      </c>
    </row>
    <row r="2212" spans="1:25" s="2" customFormat="1" ht="21.95" customHeight="1">
      <c r="A2212" s="82">
        <v>11</v>
      </c>
      <c r="B2212" s="91" t="str">
        <f t="shared" si="192"/>
        <v>204.T</v>
      </c>
      <c r="C2212" s="83" t="s">
        <v>366</v>
      </c>
      <c r="D2212" s="81" t="s">
        <v>2203</v>
      </c>
      <c r="E2212" s="48">
        <v>400559</v>
      </c>
      <c r="F2212" s="30" t="s">
        <v>2531</v>
      </c>
      <c r="G2212" s="29" t="s">
        <v>18</v>
      </c>
      <c r="H2212" s="30" t="s">
        <v>2495</v>
      </c>
      <c r="I2212" s="78"/>
      <c r="J2212" s="20"/>
      <c r="K2212" s="20"/>
      <c r="L2212" s="20"/>
      <c r="M2212" s="20"/>
      <c r="N2212" s="179" t="s">
        <v>502</v>
      </c>
      <c r="O2212" s="70">
        <v>0</v>
      </c>
      <c r="P2212" s="70">
        <v>0</v>
      </c>
      <c r="Q2212" s="70">
        <f t="shared" si="187"/>
        <v>0</v>
      </c>
      <c r="R2212" s="70"/>
      <c r="S2212" s="67"/>
      <c r="T2212" s="2" t="str">
        <f t="shared" si="188"/>
        <v>Cao Mai Phương Ngân_12VH3</v>
      </c>
      <c r="U2212" s="28">
        <f t="array" ref="U2212">IFERROR(VLOOKUP($T2212,'Nghi hoc T12'!$H$7:$I$160,2,0),0)</f>
        <v>0</v>
      </c>
      <c r="V2212" s="28"/>
      <c r="W2212" s="28">
        <f t="shared" si="189"/>
        <v>0</v>
      </c>
      <c r="X2212" s="333">
        <f t="shared" si="190"/>
        <v>0</v>
      </c>
      <c r="Y2212" s="333">
        <f t="shared" si="191"/>
        <v>0</v>
      </c>
    </row>
    <row r="2213" spans="1:25" s="2" customFormat="1" ht="21.95" customHeight="1">
      <c r="A2213" s="82">
        <v>12</v>
      </c>
      <c r="B2213" s="91" t="str">
        <f t="shared" si="192"/>
        <v>204.T</v>
      </c>
      <c r="C2213" s="83" t="s">
        <v>366</v>
      </c>
      <c r="D2213" s="81" t="s">
        <v>2203</v>
      </c>
      <c r="E2213" s="48">
        <v>400560</v>
      </c>
      <c r="F2213" s="30" t="s">
        <v>2532</v>
      </c>
      <c r="G2213" s="29" t="s">
        <v>101</v>
      </c>
      <c r="H2213" s="30" t="s">
        <v>2492</v>
      </c>
      <c r="I2213" s="78"/>
      <c r="J2213" s="20"/>
      <c r="K2213" s="20"/>
      <c r="L2213" s="20"/>
      <c r="M2213" s="20"/>
      <c r="N2213" s="179" t="s">
        <v>502</v>
      </c>
      <c r="O2213" s="70">
        <v>0</v>
      </c>
      <c r="P2213" s="70">
        <v>0</v>
      </c>
      <c r="Q2213" s="70">
        <f t="shared" si="187"/>
        <v>0</v>
      </c>
      <c r="R2213" s="70"/>
      <c r="S2213" s="67"/>
      <c r="T2213" s="2" t="str">
        <f t="shared" si="188"/>
        <v>Trần Phượng Nghi_12VH1</v>
      </c>
      <c r="U2213" s="28">
        <f t="array" ref="U2213">IFERROR(VLOOKUP($T2213,'Nghi hoc T12'!$H$7:$I$160,2,0),0)</f>
        <v>0</v>
      </c>
      <c r="V2213" s="28"/>
      <c r="W2213" s="28">
        <f t="shared" si="189"/>
        <v>0</v>
      </c>
      <c r="X2213" s="333">
        <f t="shared" si="190"/>
        <v>0</v>
      </c>
      <c r="Y2213" s="333">
        <f t="shared" si="191"/>
        <v>0</v>
      </c>
    </row>
    <row r="2214" spans="1:25" s="2" customFormat="1" ht="21.95" customHeight="1">
      <c r="A2214" s="82">
        <v>13</v>
      </c>
      <c r="B2214" s="91" t="str">
        <f t="shared" si="192"/>
        <v>204.T</v>
      </c>
      <c r="C2214" s="83" t="s">
        <v>366</v>
      </c>
      <c r="D2214" s="81" t="s">
        <v>2203</v>
      </c>
      <c r="E2214" s="48">
        <v>400561</v>
      </c>
      <c r="F2214" s="30" t="s">
        <v>154</v>
      </c>
      <c r="G2214" s="29" t="s">
        <v>19</v>
      </c>
      <c r="H2214" s="30" t="s">
        <v>2493</v>
      </c>
      <c r="I2214" s="78"/>
      <c r="J2214" s="20"/>
      <c r="K2214" s="20"/>
      <c r="L2214" s="20"/>
      <c r="M2214" s="20"/>
      <c r="N2214" s="179" t="s">
        <v>502</v>
      </c>
      <c r="O2214" s="70">
        <v>0</v>
      </c>
      <c r="P2214" s="70">
        <v>0</v>
      </c>
      <c r="Q2214" s="70">
        <f t="shared" si="187"/>
        <v>0</v>
      </c>
      <c r="R2214" s="70"/>
      <c r="S2214" s="67"/>
      <c r="T2214" s="2" t="str">
        <f t="shared" si="188"/>
        <v>Nguyễn Bảo Ngọc_12VH2</v>
      </c>
      <c r="U2214" s="28">
        <f t="array" ref="U2214">IFERROR(VLOOKUP($T2214,'Nghi hoc T12'!$H$7:$I$160,2,0),0)</f>
        <v>0</v>
      </c>
      <c r="V2214" s="28"/>
      <c r="W2214" s="28">
        <f t="shared" si="189"/>
        <v>0</v>
      </c>
      <c r="X2214" s="333">
        <f t="shared" si="190"/>
        <v>0</v>
      </c>
      <c r="Y2214" s="333">
        <f t="shared" si="191"/>
        <v>0</v>
      </c>
    </row>
    <row r="2215" spans="1:25" s="2" customFormat="1" ht="21.95" customHeight="1">
      <c r="A2215" s="82">
        <v>14</v>
      </c>
      <c r="B2215" s="91" t="str">
        <f t="shared" si="192"/>
        <v>204.T</v>
      </c>
      <c r="C2215" s="83" t="s">
        <v>366</v>
      </c>
      <c r="D2215" s="81" t="s">
        <v>2203</v>
      </c>
      <c r="E2215" s="48">
        <v>400562</v>
      </c>
      <c r="F2215" s="30" t="s">
        <v>2358</v>
      </c>
      <c r="G2215" s="29" t="s">
        <v>19</v>
      </c>
      <c r="H2215" s="30" t="s">
        <v>2495</v>
      </c>
      <c r="I2215" s="78"/>
      <c r="J2215" s="20"/>
      <c r="K2215" s="20"/>
      <c r="L2215" s="20"/>
      <c r="M2215" s="20"/>
      <c r="N2215" s="179" t="s">
        <v>502</v>
      </c>
      <c r="O2215" s="70">
        <v>0</v>
      </c>
      <c r="P2215" s="70">
        <v>0</v>
      </c>
      <c r="Q2215" s="70">
        <f t="shared" si="187"/>
        <v>0</v>
      </c>
      <c r="R2215" s="70"/>
      <c r="S2215" s="67"/>
      <c r="T2215" s="2" t="str">
        <f t="shared" si="188"/>
        <v>Phan Thị Bích Ngọc_12VH3</v>
      </c>
      <c r="U2215" s="28">
        <f t="array" ref="U2215">IFERROR(VLOOKUP($T2215,'Nghi hoc T12'!$H$7:$I$160,2,0),0)</f>
        <v>0</v>
      </c>
      <c r="V2215" s="28"/>
      <c r="W2215" s="28">
        <f t="shared" si="189"/>
        <v>0</v>
      </c>
      <c r="X2215" s="333">
        <f t="shared" si="190"/>
        <v>0</v>
      </c>
      <c r="Y2215" s="333">
        <f t="shared" si="191"/>
        <v>0</v>
      </c>
    </row>
    <row r="2216" spans="1:25" s="2" customFormat="1" ht="21.95" customHeight="1">
      <c r="A2216" s="82">
        <v>15</v>
      </c>
      <c r="B2216" s="91" t="str">
        <f t="shared" si="192"/>
        <v>204.T</v>
      </c>
      <c r="C2216" s="83" t="s">
        <v>366</v>
      </c>
      <c r="D2216" s="81" t="s">
        <v>2203</v>
      </c>
      <c r="E2216" s="48">
        <v>400563</v>
      </c>
      <c r="F2216" s="30" t="s">
        <v>327</v>
      </c>
      <c r="G2216" s="29" t="s">
        <v>253</v>
      </c>
      <c r="H2216" s="30" t="s">
        <v>2492</v>
      </c>
      <c r="I2216" s="78"/>
      <c r="J2216" s="20"/>
      <c r="K2216" s="20"/>
      <c r="L2216" s="20"/>
      <c r="M2216" s="20"/>
      <c r="N2216" s="179" t="s">
        <v>502</v>
      </c>
      <c r="O2216" s="70">
        <v>0</v>
      </c>
      <c r="P2216" s="70">
        <v>0</v>
      </c>
      <c r="Q2216" s="70">
        <f t="shared" si="187"/>
        <v>0</v>
      </c>
      <c r="R2216" s="70"/>
      <c r="S2216" s="67"/>
      <c r="T2216" s="2" t="str">
        <f t="shared" si="188"/>
        <v>Nguyễn Phương Nhã_12VH1</v>
      </c>
      <c r="U2216" s="28">
        <f t="array" ref="U2216">IFERROR(VLOOKUP($T2216,'Nghi hoc T12'!$H$7:$I$160,2,0),0)</f>
        <v>0</v>
      </c>
      <c r="V2216" s="28"/>
      <c r="W2216" s="28">
        <f t="shared" si="189"/>
        <v>0</v>
      </c>
      <c r="X2216" s="333">
        <f t="shared" si="190"/>
        <v>0</v>
      </c>
      <c r="Y2216" s="333">
        <f t="shared" si="191"/>
        <v>0</v>
      </c>
    </row>
    <row r="2217" spans="1:25" s="2" customFormat="1" ht="21.95" customHeight="1">
      <c r="A2217" s="82">
        <v>16</v>
      </c>
      <c r="B2217" s="91" t="str">
        <f t="shared" si="192"/>
        <v>204.T</v>
      </c>
      <c r="C2217" s="83" t="s">
        <v>366</v>
      </c>
      <c r="D2217" s="81" t="s">
        <v>2203</v>
      </c>
      <c r="E2217" s="48">
        <v>400564</v>
      </c>
      <c r="F2217" s="30" t="s">
        <v>2533</v>
      </c>
      <c r="G2217" s="29" t="s">
        <v>102</v>
      </c>
      <c r="H2217" s="30" t="s">
        <v>2493</v>
      </c>
      <c r="I2217" s="78"/>
      <c r="J2217" s="20"/>
      <c r="K2217" s="20"/>
      <c r="L2217" s="20"/>
      <c r="M2217" s="20"/>
      <c r="N2217" s="179" t="s">
        <v>502</v>
      </c>
      <c r="O2217" s="70">
        <v>0</v>
      </c>
      <c r="P2217" s="70">
        <v>0</v>
      </c>
      <c r="Q2217" s="70">
        <f t="shared" si="187"/>
        <v>0</v>
      </c>
      <c r="R2217" s="70"/>
      <c r="S2217" s="67"/>
      <c r="T2217" s="2" t="str">
        <f t="shared" si="188"/>
        <v>Đoàn Thiện Nhân_12VH2</v>
      </c>
      <c r="U2217" s="28">
        <f t="array" ref="U2217">IFERROR(VLOOKUP($T2217,'Nghi hoc T12'!$H$7:$I$160,2,0),0)</f>
        <v>0</v>
      </c>
      <c r="V2217" s="28"/>
      <c r="W2217" s="28">
        <f t="shared" si="189"/>
        <v>0</v>
      </c>
      <c r="X2217" s="333">
        <f t="shared" si="190"/>
        <v>0</v>
      </c>
      <c r="Y2217" s="333">
        <f t="shared" si="191"/>
        <v>0</v>
      </c>
    </row>
    <row r="2218" spans="1:25" s="2" customFormat="1" ht="21.95" customHeight="1">
      <c r="A2218" s="82">
        <v>17</v>
      </c>
      <c r="B2218" s="91" t="str">
        <f t="shared" si="192"/>
        <v>204.T</v>
      </c>
      <c r="C2218" s="83" t="s">
        <v>366</v>
      </c>
      <c r="D2218" s="81" t="s">
        <v>2203</v>
      </c>
      <c r="E2218" s="48">
        <v>400565</v>
      </c>
      <c r="F2218" s="30" t="s">
        <v>2534</v>
      </c>
      <c r="G2218" s="29" t="s">
        <v>102</v>
      </c>
      <c r="H2218" s="30" t="s">
        <v>2492</v>
      </c>
      <c r="I2218" s="78"/>
      <c r="J2218" s="20"/>
      <c r="K2218" s="20"/>
      <c r="L2218" s="20"/>
      <c r="M2218" s="20"/>
      <c r="N2218" s="179" t="s">
        <v>502</v>
      </c>
      <c r="O2218" s="70">
        <v>0</v>
      </c>
      <c r="P2218" s="70">
        <v>0</v>
      </c>
      <c r="Q2218" s="70">
        <f t="shared" si="187"/>
        <v>0</v>
      </c>
      <c r="R2218" s="70"/>
      <c r="S2218" s="67"/>
      <c r="T2218" s="2" t="str">
        <f t="shared" si="188"/>
        <v>Mai Thị Hồng Nhân_12VH1</v>
      </c>
      <c r="U2218" s="28">
        <f t="array" ref="U2218">IFERROR(VLOOKUP($T2218,'Nghi hoc T12'!$H$7:$I$160,2,0),0)</f>
        <v>0</v>
      </c>
      <c r="V2218" s="28"/>
      <c r="W2218" s="28">
        <f t="shared" si="189"/>
        <v>0</v>
      </c>
      <c r="X2218" s="333">
        <f t="shared" si="190"/>
        <v>0</v>
      </c>
      <c r="Y2218" s="333">
        <f t="shared" si="191"/>
        <v>0</v>
      </c>
    </row>
    <row r="2219" spans="1:25" s="2" customFormat="1" ht="21.95" customHeight="1">
      <c r="A2219" s="82">
        <v>18</v>
      </c>
      <c r="B2219" s="91" t="str">
        <f t="shared" si="192"/>
        <v>204.T</v>
      </c>
      <c r="C2219" s="83" t="s">
        <v>366</v>
      </c>
      <c r="D2219" s="81" t="s">
        <v>2203</v>
      </c>
      <c r="E2219" s="48">
        <v>400566</v>
      </c>
      <c r="F2219" s="30" t="s">
        <v>2535</v>
      </c>
      <c r="G2219" s="29" t="s">
        <v>102</v>
      </c>
      <c r="H2219" s="30" t="s">
        <v>2495</v>
      </c>
      <c r="I2219" s="78"/>
      <c r="J2219" s="20"/>
      <c r="K2219" s="20"/>
      <c r="L2219" s="20"/>
      <c r="M2219" s="20"/>
      <c r="N2219" s="179" t="s">
        <v>502</v>
      </c>
      <c r="O2219" s="70">
        <v>0</v>
      </c>
      <c r="P2219" s="70">
        <v>0</v>
      </c>
      <c r="Q2219" s="70">
        <f t="shared" si="187"/>
        <v>0</v>
      </c>
      <c r="R2219" s="70"/>
      <c r="S2219" s="67"/>
      <c r="T2219" s="2" t="str">
        <f t="shared" si="188"/>
        <v>Võ Hữu Nhân_12VH3</v>
      </c>
      <c r="U2219" s="28">
        <f t="array" ref="U2219">IFERROR(VLOOKUP($T2219,'Nghi hoc T12'!$H$7:$I$160,2,0),0)</f>
        <v>0</v>
      </c>
      <c r="V2219" s="28"/>
      <c r="W2219" s="28">
        <f t="shared" si="189"/>
        <v>0</v>
      </c>
      <c r="X2219" s="333">
        <f t="shared" si="190"/>
        <v>0</v>
      </c>
      <c r="Y2219" s="333">
        <f t="shared" si="191"/>
        <v>0</v>
      </c>
    </row>
    <row r="2220" spans="1:25" s="2" customFormat="1" ht="21.95" customHeight="1">
      <c r="A2220" s="82">
        <v>19</v>
      </c>
      <c r="B2220" s="91" t="str">
        <f t="shared" si="192"/>
        <v>204.T</v>
      </c>
      <c r="C2220" s="83" t="s">
        <v>366</v>
      </c>
      <c r="D2220" s="81" t="s">
        <v>2203</v>
      </c>
      <c r="E2220" s="48">
        <v>400567</v>
      </c>
      <c r="F2220" s="30" t="s">
        <v>2536</v>
      </c>
      <c r="G2220" s="29" t="s">
        <v>20</v>
      </c>
      <c r="H2220" s="30" t="s">
        <v>2493</v>
      </c>
      <c r="I2220" s="78"/>
      <c r="J2220" s="20"/>
      <c r="K2220" s="20"/>
      <c r="L2220" s="20"/>
      <c r="M2220" s="20"/>
      <c r="N2220" s="179" t="s">
        <v>502</v>
      </c>
      <c r="O2220" s="70">
        <v>0</v>
      </c>
      <c r="P2220" s="70">
        <v>0</v>
      </c>
      <c r="Q2220" s="70">
        <f t="shared" si="187"/>
        <v>0</v>
      </c>
      <c r="R2220" s="70"/>
      <c r="S2220" s="67"/>
      <c r="T2220" s="2" t="str">
        <f t="shared" si="188"/>
        <v>Đặng Thị Phương Nhi_12VH2</v>
      </c>
      <c r="U2220" s="28">
        <f t="array" ref="U2220">IFERROR(VLOOKUP($T2220,'Nghi hoc T12'!$H$7:$I$160,2,0),0)</f>
        <v>0</v>
      </c>
      <c r="V2220" s="28"/>
      <c r="W2220" s="28">
        <f t="shared" si="189"/>
        <v>0</v>
      </c>
      <c r="X2220" s="333">
        <f t="shared" si="190"/>
        <v>0</v>
      </c>
      <c r="Y2220" s="333">
        <f t="shared" si="191"/>
        <v>0</v>
      </c>
    </row>
    <row r="2221" spans="1:25" s="2" customFormat="1" ht="21.95" customHeight="1">
      <c r="A2221" s="82">
        <v>20</v>
      </c>
      <c r="B2221" s="91" t="str">
        <f t="shared" si="192"/>
        <v>204.T</v>
      </c>
      <c r="C2221" s="83" t="s">
        <v>366</v>
      </c>
      <c r="D2221" s="81" t="s">
        <v>2203</v>
      </c>
      <c r="E2221" s="48">
        <v>400568</v>
      </c>
      <c r="F2221" s="30" t="s">
        <v>2537</v>
      </c>
      <c r="G2221" s="29" t="s">
        <v>21</v>
      </c>
      <c r="H2221" s="30" t="s">
        <v>2495</v>
      </c>
      <c r="I2221" s="78"/>
      <c r="J2221" s="20"/>
      <c r="K2221" s="20"/>
      <c r="L2221" s="20"/>
      <c r="M2221" s="20"/>
      <c r="N2221" s="179" t="s">
        <v>502</v>
      </c>
      <c r="O2221" s="70">
        <v>0</v>
      </c>
      <c r="P2221" s="70">
        <v>0</v>
      </c>
      <c r="Q2221" s="70">
        <f t="shared" si="187"/>
        <v>0</v>
      </c>
      <c r="R2221" s="70"/>
      <c r="S2221" s="67"/>
      <c r="T2221" s="2" t="str">
        <f t="shared" si="188"/>
        <v>Nguyễn Võ Quỳnh Như_12VH3</v>
      </c>
      <c r="U2221" s="28">
        <f t="array" ref="U2221">IFERROR(VLOOKUP($T2221,'Nghi hoc T12'!$H$7:$I$160,2,0),0)</f>
        <v>0</v>
      </c>
      <c r="V2221" s="28"/>
      <c r="W2221" s="28">
        <f t="shared" si="189"/>
        <v>0</v>
      </c>
      <c r="X2221" s="333">
        <f t="shared" si="190"/>
        <v>0</v>
      </c>
      <c r="Y2221" s="333">
        <f t="shared" si="191"/>
        <v>0</v>
      </c>
    </row>
    <row r="2222" spans="1:25" s="2" customFormat="1" ht="21.95" customHeight="1">
      <c r="A2222" s="82">
        <v>21</v>
      </c>
      <c r="B2222" s="91" t="str">
        <f t="shared" si="192"/>
        <v>204.T</v>
      </c>
      <c r="C2222" s="83" t="s">
        <v>366</v>
      </c>
      <c r="D2222" s="81" t="s">
        <v>2203</v>
      </c>
      <c r="E2222" s="48">
        <v>400569</v>
      </c>
      <c r="F2222" s="30" t="s">
        <v>2538</v>
      </c>
      <c r="G2222" s="29" t="s">
        <v>21</v>
      </c>
      <c r="H2222" s="30" t="s">
        <v>2493</v>
      </c>
      <c r="I2222" s="78"/>
      <c r="J2222" s="20"/>
      <c r="K2222" s="20"/>
      <c r="L2222" s="20"/>
      <c r="M2222" s="20"/>
      <c r="N2222" s="179" t="s">
        <v>502</v>
      </c>
      <c r="O2222" s="70">
        <v>0</v>
      </c>
      <c r="P2222" s="70">
        <v>0</v>
      </c>
      <c r="Q2222" s="70">
        <f t="shared" si="187"/>
        <v>0</v>
      </c>
      <c r="R2222" s="70"/>
      <c r="S2222" s="67"/>
      <c r="T2222" s="2" t="str">
        <f t="shared" si="188"/>
        <v>Tô Phúc Như_12VH2</v>
      </c>
      <c r="U2222" s="28">
        <f t="array" ref="U2222">IFERROR(VLOOKUP($T2222,'Nghi hoc T12'!$H$7:$I$160,2,0),0)</f>
        <v>0</v>
      </c>
      <c r="V2222" s="28"/>
      <c r="W2222" s="28">
        <f t="shared" si="189"/>
        <v>0</v>
      </c>
      <c r="X2222" s="333">
        <f t="shared" si="190"/>
        <v>0</v>
      </c>
      <c r="Y2222" s="333">
        <f t="shared" si="191"/>
        <v>0</v>
      </c>
    </row>
    <row r="2223" spans="1:25" s="2" customFormat="1" ht="21.95" customHeight="1">
      <c r="A2223" s="82">
        <v>22</v>
      </c>
      <c r="B2223" s="91" t="str">
        <f t="shared" si="192"/>
        <v>204.T</v>
      </c>
      <c r="C2223" s="83" t="s">
        <v>366</v>
      </c>
      <c r="D2223" s="81" t="s">
        <v>2203</v>
      </c>
      <c r="E2223" s="48">
        <v>400570</v>
      </c>
      <c r="F2223" s="30" t="s">
        <v>183</v>
      </c>
      <c r="G2223" s="29" t="s">
        <v>70</v>
      </c>
      <c r="H2223" s="30" t="s">
        <v>2493</v>
      </c>
      <c r="I2223" s="78"/>
      <c r="J2223" s="20"/>
      <c r="K2223" s="20"/>
      <c r="L2223" s="20"/>
      <c r="M2223" s="20"/>
      <c r="N2223" s="179" t="s">
        <v>502</v>
      </c>
      <c r="O2223" s="70">
        <v>0</v>
      </c>
      <c r="P2223" s="70">
        <v>0</v>
      </c>
      <c r="Q2223" s="70">
        <f t="shared" si="187"/>
        <v>0</v>
      </c>
      <c r="R2223" s="70"/>
      <c r="S2223" s="67"/>
      <c r="T2223" s="2" t="str">
        <f t="shared" si="188"/>
        <v>Nguyễn Thanh Phong_12VH2</v>
      </c>
      <c r="U2223" s="28">
        <f t="array" ref="U2223">IFERROR(VLOOKUP($T2223,'Nghi hoc T12'!$H$7:$I$160,2,0),0)</f>
        <v>0</v>
      </c>
      <c r="V2223" s="28"/>
      <c r="W2223" s="28">
        <f t="shared" si="189"/>
        <v>0</v>
      </c>
      <c r="X2223" s="333">
        <f t="shared" si="190"/>
        <v>0</v>
      </c>
      <c r="Y2223" s="333">
        <f t="shared" si="191"/>
        <v>0</v>
      </c>
    </row>
    <row r="2224" spans="1:25" s="2" customFormat="1" ht="21.95" customHeight="1">
      <c r="A2224" s="82">
        <v>23</v>
      </c>
      <c r="B2224" s="91" t="str">
        <f t="shared" si="192"/>
        <v>204.T</v>
      </c>
      <c r="C2224" s="83" t="s">
        <v>366</v>
      </c>
      <c r="D2224" s="81" t="s">
        <v>2203</v>
      </c>
      <c r="E2224" s="48">
        <v>400571</v>
      </c>
      <c r="F2224" s="30" t="s">
        <v>268</v>
      </c>
      <c r="G2224" s="29" t="s">
        <v>70</v>
      </c>
      <c r="H2224" s="30" t="s">
        <v>2492</v>
      </c>
      <c r="I2224" s="78"/>
      <c r="J2224" s="20"/>
      <c r="K2224" s="20"/>
      <c r="L2224" s="20"/>
      <c r="M2224" s="20"/>
      <c r="N2224" s="179" t="s">
        <v>502</v>
      </c>
      <c r="O2224" s="70">
        <v>0</v>
      </c>
      <c r="P2224" s="70">
        <v>0</v>
      </c>
      <c r="Q2224" s="70">
        <f t="shared" si="187"/>
        <v>0</v>
      </c>
      <c r="R2224" s="70"/>
      <c r="S2224" s="67"/>
      <c r="T2224" s="2" t="str">
        <f t="shared" si="188"/>
        <v>Nguyễn Văn Phong_12VH1</v>
      </c>
      <c r="U2224" s="28">
        <f t="array" ref="U2224">IFERROR(VLOOKUP($T2224,'Nghi hoc T12'!$H$7:$I$160,2,0),0)</f>
        <v>0</v>
      </c>
      <c r="V2224" s="28"/>
      <c r="W2224" s="28">
        <f t="shared" si="189"/>
        <v>0</v>
      </c>
      <c r="X2224" s="333">
        <f t="shared" si="190"/>
        <v>0</v>
      </c>
      <c r="Y2224" s="333">
        <f t="shared" si="191"/>
        <v>0</v>
      </c>
    </row>
    <row r="2225" spans="1:25" s="2" customFormat="1" ht="21.95" customHeight="1">
      <c r="A2225" s="82">
        <v>24</v>
      </c>
      <c r="B2225" s="91" t="str">
        <f t="shared" si="192"/>
        <v>204.T</v>
      </c>
      <c r="C2225" s="83" t="s">
        <v>366</v>
      </c>
      <c r="D2225" s="81" t="s">
        <v>2203</v>
      </c>
      <c r="E2225" s="48">
        <v>400572</v>
      </c>
      <c r="F2225" s="30" t="s">
        <v>2539</v>
      </c>
      <c r="G2225" s="29" t="s">
        <v>103</v>
      </c>
      <c r="H2225" s="30" t="s">
        <v>2493</v>
      </c>
      <c r="I2225" s="78"/>
      <c r="J2225" s="20"/>
      <c r="K2225" s="20"/>
      <c r="L2225" s="20"/>
      <c r="M2225" s="20"/>
      <c r="N2225" s="179" t="s">
        <v>502</v>
      </c>
      <c r="O2225" s="70">
        <v>0</v>
      </c>
      <c r="P2225" s="70">
        <v>0</v>
      </c>
      <c r="Q2225" s="70">
        <f t="shared" si="187"/>
        <v>0</v>
      </c>
      <c r="R2225" s="70"/>
      <c r="S2225" s="67"/>
      <c r="T2225" s="2" t="str">
        <f t="shared" si="188"/>
        <v>Nguyễn Tôn Anh Phú_12VH2</v>
      </c>
      <c r="U2225" s="28">
        <f t="array" ref="U2225">IFERROR(VLOOKUP($T2225,'Nghi hoc T12'!$H$7:$I$160,2,0),0)</f>
        <v>0</v>
      </c>
      <c r="V2225" s="28"/>
      <c r="W2225" s="28">
        <f t="shared" si="189"/>
        <v>0</v>
      </c>
      <c r="X2225" s="333">
        <f t="shared" si="190"/>
        <v>0</v>
      </c>
      <c r="Y2225" s="333">
        <f t="shared" si="191"/>
        <v>0</v>
      </c>
    </row>
    <row r="2226" spans="1:25" s="2" customFormat="1" ht="21.95" customHeight="1">
      <c r="A2226" s="82">
        <v>25</v>
      </c>
      <c r="B2226" s="91" t="str">
        <f t="shared" si="192"/>
        <v>204.T</v>
      </c>
      <c r="C2226" s="83" t="s">
        <v>366</v>
      </c>
      <c r="D2226" s="81" t="s">
        <v>2203</v>
      </c>
      <c r="E2226" s="48">
        <v>400573</v>
      </c>
      <c r="F2226" s="30" t="s">
        <v>2540</v>
      </c>
      <c r="G2226" s="29" t="s">
        <v>103</v>
      </c>
      <c r="H2226" s="30" t="s">
        <v>2495</v>
      </c>
      <c r="I2226" s="78"/>
      <c r="J2226" s="20"/>
      <c r="K2226" s="20"/>
      <c r="L2226" s="20"/>
      <c r="M2226" s="20"/>
      <c r="N2226" s="179" t="s">
        <v>502</v>
      </c>
      <c r="O2226" s="70">
        <v>0</v>
      </c>
      <c r="P2226" s="70">
        <v>0</v>
      </c>
      <c r="Q2226" s="70">
        <f t="shared" si="187"/>
        <v>0</v>
      </c>
      <c r="R2226" s="70"/>
      <c r="S2226" s="67"/>
      <c r="T2226" s="2" t="str">
        <f t="shared" si="188"/>
        <v>Trần Lê Minh Phú_12VH3</v>
      </c>
      <c r="U2226" s="28">
        <f t="array" ref="U2226">IFERROR(VLOOKUP($T2226,'Nghi hoc T12'!$H$7:$I$160,2,0),0)</f>
        <v>0</v>
      </c>
      <c r="V2226" s="28"/>
      <c r="W2226" s="28">
        <f t="shared" si="189"/>
        <v>0</v>
      </c>
      <c r="X2226" s="333">
        <f t="shared" si="190"/>
        <v>0</v>
      </c>
      <c r="Y2226" s="333">
        <f t="shared" si="191"/>
        <v>0</v>
      </c>
    </row>
    <row r="2227" spans="1:25" s="2" customFormat="1" ht="21.95" customHeight="1">
      <c r="A2227" s="82">
        <v>26</v>
      </c>
      <c r="B2227" s="91" t="str">
        <f t="shared" si="192"/>
        <v>204.T</v>
      </c>
      <c r="C2227" s="83" t="s">
        <v>366</v>
      </c>
      <c r="D2227" s="81" t="s">
        <v>2203</v>
      </c>
      <c r="E2227" s="48">
        <v>400574</v>
      </c>
      <c r="F2227" s="30" t="s">
        <v>2541</v>
      </c>
      <c r="G2227" s="29" t="s">
        <v>71</v>
      </c>
      <c r="H2227" s="30" t="s">
        <v>2493</v>
      </c>
      <c r="I2227" s="78"/>
      <c r="J2227" s="20"/>
      <c r="K2227" s="20"/>
      <c r="L2227" s="20"/>
      <c r="M2227" s="20"/>
      <c r="N2227" s="179" t="s">
        <v>502</v>
      </c>
      <c r="O2227" s="70">
        <v>0</v>
      </c>
      <c r="P2227" s="70">
        <v>0</v>
      </c>
      <c r="Q2227" s="70">
        <f t="shared" si="187"/>
        <v>0</v>
      </c>
      <c r="R2227" s="70"/>
      <c r="S2227" s="67"/>
      <c r="T2227" s="2" t="str">
        <f t="shared" si="188"/>
        <v>Đinh Lê Hoàng Phúc_12VH2</v>
      </c>
      <c r="U2227" s="28">
        <f t="array" ref="U2227">IFERROR(VLOOKUP($T2227,'Nghi hoc T12'!$H$7:$I$160,2,0),0)</f>
        <v>0</v>
      </c>
      <c r="V2227" s="28"/>
      <c r="W2227" s="28">
        <f t="shared" si="189"/>
        <v>0</v>
      </c>
      <c r="X2227" s="333">
        <f t="shared" si="190"/>
        <v>0</v>
      </c>
      <c r="Y2227" s="333">
        <f t="shared" si="191"/>
        <v>0</v>
      </c>
    </row>
    <row r="2228" spans="1:25" s="2" customFormat="1" ht="21.95" customHeight="1">
      <c r="A2228" s="321">
        <v>1</v>
      </c>
      <c r="B2228" s="91" t="str">
        <f t="shared" si="192"/>
        <v>205.T</v>
      </c>
      <c r="C2228" s="185" t="s">
        <v>366</v>
      </c>
      <c r="D2228" s="186" t="s">
        <v>2218</v>
      </c>
      <c r="E2228" s="187">
        <v>400575</v>
      </c>
      <c r="F2228" s="188" t="s">
        <v>2542</v>
      </c>
      <c r="G2228" s="189" t="s">
        <v>71</v>
      </c>
      <c r="H2228" s="188" t="s">
        <v>2492</v>
      </c>
      <c r="I2228" s="190"/>
      <c r="J2228" s="191"/>
      <c r="K2228" s="191"/>
      <c r="L2228" s="191"/>
      <c r="M2228" s="191"/>
      <c r="N2228" s="179" t="s">
        <v>502</v>
      </c>
      <c r="O2228" s="70">
        <v>0</v>
      </c>
      <c r="P2228" s="70">
        <v>0</v>
      </c>
      <c r="Q2228" s="70">
        <f t="shared" si="187"/>
        <v>0</v>
      </c>
      <c r="R2228" s="70"/>
      <c r="S2228" s="67"/>
      <c r="T2228" s="2" t="str">
        <f t="shared" si="188"/>
        <v>Hà Hoàng Phúc_12VH1</v>
      </c>
      <c r="U2228" s="28">
        <f t="array" ref="U2228">IFERROR(VLOOKUP($T2228,'Nghi hoc T12'!$H$7:$I$160,2,0),0)</f>
        <v>0</v>
      </c>
      <c r="V2228" s="28"/>
      <c r="W2228" s="28">
        <f t="shared" si="189"/>
        <v>0</v>
      </c>
      <c r="X2228" s="333">
        <f t="shared" si="190"/>
        <v>0</v>
      </c>
      <c r="Y2228" s="333">
        <f t="shared" si="191"/>
        <v>0</v>
      </c>
    </row>
    <row r="2229" spans="1:25" s="2" customFormat="1" ht="21.95" customHeight="1">
      <c r="A2229" s="82">
        <v>2</v>
      </c>
      <c r="B2229" s="91" t="str">
        <f t="shared" si="192"/>
        <v>205.T</v>
      </c>
      <c r="C2229" s="83" t="s">
        <v>366</v>
      </c>
      <c r="D2229" s="81" t="s">
        <v>2218</v>
      </c>
      <c r="E2229" s="48">
        <v>400576</v>
      </c>
      <c r="F2229" s="30" t="s">
        <v>151</v>
      </c>
      <c r="G2229" s="29" t="s">
        <v>71</v>
      </c>
      <c r="H2229" s="30" t="s">
        <v>2492</v>
      </c>
      <c r="I2229" s="78"/>
      <c r="J2229" s="20"/>
      <c r="K2229" s="20"/>
      <c r="L2229" s="20"/>
      <c r="M2229" s="20"/>
      <c r="N2229" s="179" t="s">
        <v>502</v>
      </c>
      <c r="O2229" s="70">
        <v>0</v>
      </c>
      <c r="P2229" s="70">
        <v>0</v>
      </c>
      <c r="Q2229" s="70">
        <f t="shared" si="187"/>
        <v>0</v>
      </c>
      <c r="R2229" s="70"/>
      <c r="S2229" s="67"/>
      <c r="T2229" s="2" t="str">
        <f t="shared" si="188"/>
        <v>Nguyễn Hoàng Phúc_12VH1</v>
      </c>
      <c r="U2229" s="28">
        <f t="array" ref="U2229">IFERROR(VLOOKUP($T2229,'Nghi hoc T12'!$H$7:$I$160,2,0),0)</f>
        <v>0</v>
      </c>
      <c r="V2229" s="28"/>
      <c r="W2229" s="28">
        <f t="shared" si="189"/>
        <v>0</v>
      </c>
      <c r="X2229" s="333">
        <f t="shared" si="190"/>
        <v>0</v>
      </c>
      <c r="Y2229" s="333">
        <f t="shared" si="191"/>
        <v>0</v>
      </c>
    </row>
    <row r="2230" spans="1:25" s="2" customFormat="1" ht="21.95" customHeight="1">
      <c r="A2230" s="82">
        <v>3</v>
      </c>
      <c r="B2230" s="91" t="str">
        <f t="shared" si="192"/>
        <v>205.T</v>
      </c>
      <c r="C2230" s="83" t="s">
        <v>366</v>
      </c>
      <c r="D2230" s="81" t="s">
        <v>2218</v>
      </c>
      <c r="E2230" s="48">
        <v>400577</v>
      </c>
      <c r="F2230" s="30" t="s">
        <v>160</v>
      </c>
      <c r="G2230" s="29" t="s">
        <v>71</v>
      </c>
      <c r="H2230" s="30" t="s">
        <v>2495</v>
      </c>
      <c r="I2230" s="78"/>
      <c r="J2230" s="20"/>
      <c r="K2230" s="20"/>
      <c r="L2230" s="20"/>
      <c r="M2230" s="20"/>
      <c r="N2230" s="179" t="s">
        <v>502</v>
      </c>
      <c r="O2230" s="70">
        <v>0</v>
      </c>
      <c r="P2230" s="70">
        <v>0</v>
      </c>
      <c r="Q2230" s="70">
        <f t="shared" si="187"/>
        <v>0</v>
      </c>
      <c r="R2230" s="70"/>
      <c r="S2230" s="67"/>
      <c r="T2230" s="2" t="str">
        <f t="shared" si="188"/>
        <v>Nguyễn Thành Phúc_12VH3</v>
      </c>
      <c r="U2230" s="28">
        <f t="array" ref="U2230">IFERROR(VLOOKUP($T2230,'Nghi hoc T12'!$H$7:$I$160,2,0),0)</f>
        <v>0</v>
      </c>
      <c r="V2230" s="28"/>
      <c r="W2230" s="28">
        <f t="shared" si="189"/>
        <v>0</v>
      </c>
      <c r="X2230" s="333">
        <f t="shared" si="190"/>
        <v>0</v>
      </c>
      <c r="Y2230" s="333">
        <f t="shared" si="191"/>
        <v>0</v>
      </c>
    </row>
    <row r="2231" spans="1:25" s="2" customFormat="1" ht="21.95" customHeight="1">
      <c r="A2231" s="82">
        <v>4</v>
      </c>
      <c r="B2231" s="91" t="str">
        <f t="shared" si="192"/>
        <v>205.T</v>
      </c>
      <c r="C2231" s="83" t="s">
        <v>366</v>
      </c>
      <c r="D2231" s="81" t="s">
        <v>2218</v>
      </c>
      <c r="E2231" s="48">
        <v>400578</v>
      </c>
      <c r="F2231" s="30" t="s">
        <v>2543</v>
      </c>
      <c r="G2231" s="29" t="s">
        <v>43</v>
      </c>
      <c r="H2231" s="30" t="s">
        <v>2495</v>
      </c>
      <c r="I2231" s="78"/>
      <c r="J2231" s="20"/>
      <c r="K2231" s="20"/>
      <c r="L2231" s="20"/>
      <c r="M2231" s="20"/>
      <c r="N2231" s="179" t="s">
        <v>502</v>
      </c>
      <c r="O2231" s="70">
        <v>0</v>
      </c>
      <c r="P2231" s="70">
        <v>0</v>
      </c>
      <c r="Q2231" s="70">
        <f t="shared" si="187"/>
        <v>0</v>
      </c>
      <c r="R2231" s="70"/>
      <c r="S2231" s="67"/>
      <c r="T2231" s="2" t="str">
        <f t="shared" si="188"/>
        <v>Kiều Diễm Phương_12VH3</v>
      </c>
      <c r="U2231" s="28">
        <f t="array" ref="U2231">IFERROR(VLOOKUP($T2231,'Nghi hoc T12'!$H$7:$I$160,2,0),0)</f>
        <v>0</v>
      </c>
      <c r="V2231" s="28"/>
      <c r="W2231" s="28">
        <f t="shared" si="189"/>
        <v>0</v>
      </c>
      <c r="X2231" s="333">
        <f t="shared" si="190"/>
        <v>0</v>
      </c>
      <c r="Y2231" s="333">
        <f t="shared" si="191"/>
        <v>0</v>
      </c>
    </row>
    <row r="2232" spans="1:25" s="2" customFormat="1" ht="21.95" customHeight="1">
      <c r="A2232" s="82">
        <v>5</v>
      </c>
      <c r="B2232" s="91" t="str">
        <f t="shared" si="192"/>
        <v>205.T</v>
      </c>
      <c r="C2232" s="83" t="s">
        <v>366</v>
      </c>
      <c r="D2232" s="81" t="s">
        <v>2218</v>
      </c>
      <c r="E2232" s="48">
        <v>400579</v>
      </c>
      <c r="F2232" s="30" t="s">
        <v>2544</v>
      </c>
      <c r="G2232" s="29" t="s">
        <v>43</v>
      </c>
      <c r="H2232" s="30" t="s">
        <v>2492</v>
      </c>
      <c r="I2232" s="78"/>
      <c r="J2232" s="20"/>
      <c r="K2232" s="20"/>
      <c r="L2232" s="20"/>
      <c r="M2232" s="20"/>
      <c r="N2232" s="179" t="s">
        <v>502</v>
      </c>
      <c r="O2232" s="70">
        <v>0</v>
      </c>
      <c r="P2232" s="70">
        <v>0</v>
      </c>
      <c r="Q2232" s="70">
        <f t="shared" si="187"/>
        <v>0</v>
      </c>
      <c r="R2232" s="70"/>
      <c r="S2232" s="67"/>
      <c r="T2232" s="2" t="str">
        <f t="shared" si="188"/>
        <v>Ngô Lương Hoài Phương_12VH1</v>
      </c>
      <c r="U2232" s="28">
        <f t="array" ref="U2232">IFERROR(VLOOKUP($T2232,'Nghi hoc T12'!$H$7:$I$160,2,0),0)</f>
        <v>0</v>
      </c>
      <c r="V2232" s="28"/>
      <c r="W2232" s="28">
        <f t="shared" si="189"/>
        <v>0</v>
      </c>
      <c r="X2232" s="333">
        <f t="shared" si="190"/>
        <v>0</v>
      </c>
      <c r="Y2232" s="333">
        <f t="shared" si="191"/>
        <v>0</v>
      </c>
    </row>
    <row r="2233" spans="1:25" s="2" customFormat="1" ht="21.95" customHeight="1">
      <c r="A2233" s="82">
        <v>6</v>
      </c>
      <c r="B2233" s="91" t="str">
        <f t="shared" si="192"/>
        <v>205.T</v>
      </c>
      <c r="C2233" s="83" t="s">
        <v>366</v>
      </c>
      <c r="D2233" s="81" t="s">
        <v>2218</v>
      </c>
      <c r="E2233" s="48">
        <v>400580</v>
      </c>
      <c r="F2233" s="30" t="s">
        <v>335</v>
      </c>
      <c r="G2233" s="29" t="s">
        <v>44</v>
      </c>
      <c r="H2233" s="30" t="s">
        <v>2493</v>
      </c>
      <c r="I2233" s="78"/>
      <c r="J2233" s="20"/>
      <c r="K2233" s="20"/>
      <c r="L2233" s="20"/>
      <c r="M2233" s="20"/>
      <c r="N2233" s="179" t="s">
        <v>502</v>
      </c>
      <c r="O2233" s="70">
        <v>0</v>
      </c>
      <c r="P2233" s="70">
        <v>0</v>
      </c>
      <c r="Q2233" s="70">
        <f t="shared" si="187"/>
        <v>0</v>
      </c>
      <c r="R2233" s="70"/>
      <c r="S2233" s="67"/>
      <c r="T2233" s="2" t="str">
        <f t="shared" si="188"/>
        <v>Phạm Đình Quang_12VH2</v>
      </c>
      <c r="U2233" s="28">
        <f t="array" ref="U2233">IFERROR(VLOOKUP($T2233,'Nghi hoc T12'!$H$7:$I$160,2,0),0)</f>
        <v>0</v>
      </c>
      <c r="V2233" s="28"/>
      <c r="W2233" s="28">
        <f t="shared" si="189"/>
        <v>0</v>
      </c>
      <c r="X2233" s="333">
        <f t="shared" si="190"/>
        <v>0</v>
      </c>
      <c r="Y2233" s="333">
        <f t="shared" si="191"/>
        <v>0</v>
      </c>
    </row>
    <row r="2234" spans="1:25" s="2" customFormat="1" ht="21.95" customHeight="1">
      <c r="A2234" s="82">
        <v>7</v>
      </c>
      <c r="B2234" s="91" t="str">
        <f t="shared" si="192"/>
        <v>205.T</v>
      </c>
      <c r="C2234" s="83" t="s">
        <v>366</v>
      </c>
      <c r="D2234" s="81" t="s">
        <v>2218</v>
      </c>
      <c r="E2234" s="48">
        <v>400581</v>
      </c>
      <c r="F2234" s="30" t="s">
        <v>2545</v>
      </c>
      <c r="G2234" s="29" t="s">
        <v>57</v>
      </c>
      <c r="H2234" s="30" t="s">
        <v>2492</v>
      </c>
      <c r="I2234" s="78"/>
      <c r="J2234" s="20"/>
      <c r="K2234" s="20"/>
      <c r="L2234" s="20"/>
      <c r="M2234" s="20"/>
      <c r="N2234" s="179" t="s">
        <v>502</v>
      </c>
      <c r="O2234" s="70">
        <v>0</v>
      </c>
      <c r="P2234" s="70">
        <v>0</v>
      </c>
      <c r="Q2234" s="70">
        <f t="shared" si="187"/>
        <v>0</v>
      </c>
      <c r="R2234" s="70"/>
      <c r="S2234" s="67"/>
      <c r="T2234" s="2" t="str">
        <f t="shared" si="188"/>
        <v>Trần Đình Hoàng Quân_12VH1</v>
      </c>
      <c r="U2234" s="28">
        <f t="array" ref="U2234">IFERROR(VLOOKUP($T2234,'Nghi hoc T12'!$H$7:$I$160,2,0),0)</f>
        <v>0</v>
      </c>
      <c r="V2234" s="28"/>
      <c r="W2234" s="28">
        <f t="shared" si="189"/>
        <v>0</v>
      </c>
      <c r="X2234" s="333">
        <f t="shared" si="190"/>
        <v>0</v>
      </c>
      <c r="Y2234" s="333">
        <f t="shared" si="191"/>
        <v>0</v>
      </c>
    </row>
    <row r="2235" spans="1:25" s="2" customFormat="1" ht="21.95" customHeight="1">
      <c r="A2235" s="82">
        <v>8</v>
      </c>
      <c r="B2235" s="91" t="str">
        <f t="shared" si="192"/>
        <v>205.T</v>
      </c>
      <c r="C2235" s="83" t="s">
        <v>366</v>
      </c>
      <c r="D2235" s="81" t="s">
        <v>2218</v>
      </c>
      <c r="E2235" s="48">
        <v>400582</v>
      </c>
      <c r="F2235" s="30" t="s">
        <v>2546</v>
      </c>
      <c r="G2235" s="29" t="s">
        <v>57</v>
      </c>
      <c r="H2235" s="30" t="s">
        <v>2495</v>
      </c>
      <c r="I2235" s="78"/>
      <c r="J2235" s="20"/>
      <c r="K2235" s="20"/>
      <c r="L2235" s="20"/>
      <c r="M2235" s="20"/>
      <c r="N2235" s="179" t="s">
        <v>502</v>
      </c>
      <c r="O2235" s="70">
        <v>0</v>
      </c>
      <c r="P2235" s="70">
        <v>0</v>
      </c>
      <c r="Q2235" s="70">
        <f t="shared" si="187"/>
        <v>0</v>
      </c>
      <c r="R2235" s="70"/>
      <c r="S2235" s="67"/>
      <c r="T2235" s="2" t="str">
        <f t="shared" si="188"/>
        <v>Trương Đông Quân_12VH3</v>
      </c>
      <c r="U2235" s="28">
        <f t="array" ref="U2235">IFERROR(VLOOKUP($T2235,'Nghi hoc T12'!$H$7:$I$160,2,0),0)</f>
        <v>0</v>
      </c>
      <c r="V2235" s="28"/>
      <c r="W2235" s="28">
        <f t="shared" si="189"/>
        <v>0</v>
      </c>
      <c r="X2235" s="333">
        <f t="shared" si="190"/>
        <v>0</v>
      </c>
      <c r="Y2235" s="333">
        <f t="shared" si="191"/>
        <v>0</v>
      </c>
    </row>
    <row r="2236" spans="1:25" s="2" customFormat="1" ht="21.95" customHeight="1">
      <c r="A2236" s="82">
        <v>9</v>
      </c>
      <c r="B2236" s="91" t="str">
        <f t="shared" si="192"/>
        <v>205.T</v>
      </c>
      <c r="C2236" s="83" t="s">
        <v>366</v>
      </c>
      <c r="D2236" s="81" t="s">
        <v>2218</v>
      </c>
      <c r="E2236" s="48">
        <v>400583</v>
      </c>
      <c r="F2236" s="30" t="s">
        <v>2547</v>
      </c>
      <c r="G2236" s="29" t="s">
        <v>57</v>
      </c>
      <c r="H2236" s="30" t="s">
        <v>2492</v>
      </c>
      <c r="I2236" s="78"/>
      <c r="J2236" s="20"/>
      <c r="K2236" s="20"/>
      <c r="L2236" s="20"/>
      <c r="M2236" s="20"/>
      <c r="N2236" s="179" t="s">
        <v>502</v>
      </c>
      <c r="O2236" s="70">
        <v>0</v>
      </c>
      <c r="P2236" s="70">
        <v>0</v>
      </c>
      <c r="Q2236" s="70">
        <f t="shared" si="187"/>
        <v>0</v>
      </c>
      <c r="R2236" s="70"/>
      <c r="S2236" s="67"/>
      <c r="T2236" s="2" t="str">
        <f t="shared" si="188"/>
        <v>Trương Sơn Quân_12VH1</v>
      </c>
      <c r="U2236" s="28">
        <f t="array" ref="U2236">IFERROR(VLOOKUP($T2236,'Nghi hoc T12'!$H$7:$I$160,2,0),0)</f>
        <v>0</v>
      </c>
      <c r="V2236" s="28"/>
      <c r="W2236" s="28">
        <f t="shared" si="189"/>
        <v>0</v>
      </c>
      <c r="X2236" s="333">
        <f t="shared" si="190"/>
        <v>0</v>
      </c>
      <c r="Y2236" s="333">
        <f t="shared" si="191"/>
        <v>0</v>
      </c>
    </row>
    <row r="2237" spans="1:25" s="2" customFormat="1" ht="21.95" customHeight="1">
      <c r="A2237" s="82">
        <v>10</v>
      </c>
      <c r="B2237" s="91" t="str">
        <f t="shared" si="192"/>
        <v>205.T</v>
      </c>
      <c r="C2237" s="83" t="s">
        <v>366</v>
      </c>
      <c r="D2237" s="81" t="s">
        <v>2218</v>
      </c>
      <c r="E2237" s="48">
        <v>400584</v>
      </c>
      <c r="F2237" s="30" t="s">
        <v>2548</v>
      </c>
      <c r="G2237" s="29" t="s">
        <v>305</v>
      </c>
      <c r="H2237" s="30" t="s">
        <v>2493</v>
      </c>
      <c r="I2237" s="78"/>
      <c r="J2237" s="20"/>
      <c r="K2237" s="20"/>
      <c r="L2237" s="20"/>
      <c r="M2237" s="20"/>
      <c r="N2237" s="179" t="s">
        <v>502</v>
      </c>
      <c r="O2237" s="70">
        <v>0</v>
      </c>
      <c r="P2237" s="70">
        <v>0</v>
      </c>
      <c r="Q2237" s="70">
        <f t="shared" si="187"/>
        <v>0</v>
      </c>
      <c r="R2237" s="70"/>
      <c r="S2237" s="67"/>
      <c r="T2237" s="2" t="str">
        <f t="shared" si="188"/>
        <v>Hồ Phương Quyên_12VH2</v>
      </c>
      <c r="U2237" s="28">
        <f t="array" ref="U2237">IFERROR(VLOOKUP($T2237,'Nghi hoc T12'!$H$7:$I$160,2,0),0)</f>
        <v>0</v>
      </c>
      <c r="V2237" s="28"/>
      <c r="W2237" s="28">
        <f t="shared" si="189"/>
        <v>0</v>
      </c>
      <c r="X2237" s="333">
        <f t="shared" si="190"/>
        <v>0</v>
      </c>
      <c r="Y2237" s="333">
        <f t="shared" si="191"/>
        <v>0</v>
      </c>
    </row>
    <row r="2238" spans="1:25" s="2" customFormat="1" ht="21.95" customHeight="1">
      <c r="A2238" s="82">
        <v>11</v>
      </c>
      <c r="B2238" s="91" t="str">
        <f t="shared" si="192"/>
        <v>205.T</v>
      </c>
      <c r="C2238" s="83" t="s">
        <v>366</v>
      </c>
      <c r="D2238" s="81" t="s">
        <v>2218</v>
      </c>
      <c r="E2238" s="48">
        <v>400585</v>
      </c>
      <c r="F2238" s="30" t="s">
        <v>328</v>
      </c>
      <c r="G2238" s="29" t="s">
        <v>22</v>
      </c>
      <c r="H2238" s="30" t="s">
        <v>2495</v>
      </c>
      <c r="I2238" s="78"/>
      <c r="J2238" s="20"/>
      <c r="K2238" s="20"/>
      <c r="L2238" s="20"/>
      <c r="M2238" s="20"/>
      <c r="N2238" s="179" t="s">
        <v>502</v>
      </c>
      <c r="O2238" s="70">
        <v>0</v>
      </c>
      <c r="P2238" s="70">
        <v>0</v>
      </c>
      <c r="Q2238" s="70">
        <f t="shared" si="187"/>
        <v>0</v>
      </c>
      <c r="R2238" s="70"/>
      <c r="S2238" s="67"/>
      <c r="T2238" s="2" t="str">
        <f t="shared" si="188"/>
        <v>Nguyễn Thị Như Quỳnh_12VH3</v>
      </c>
      <c r="U2238" s="28">
        <f t="array" ref="U2238">IFERROR(VLOOKUP($T2238,'Nghi hoc T12'!$H$7:$I$160,2,0),0)</f>
        <v>0</v>
      </c>
      <c r="V2238" s="28"/>
      <c r="W2238" s="28">
        <f t="shared" si="189"/>
        <v>0</v>
      </c>
      <c r="X2238" s="333">
        <f t="shared" si="190"/>
        <v>0</v>
      </c>
      <c r="Y2238" s="333">
        <f t="shared" si="191"/>
        <v>0</v>
      </c>
    </row>
    <row r="2239" spans="1:25" s="2" customFormat="1" ht="21.95" customHeight="1">
      <c r="A2239" s="82">
        <v>12</v>
      </c>
      <c r="B2239" s="91" t="str">
        <f t="shared" si="192"/>
        <v>205.T</v>
      </c>
      <c r="C2239" s="83" t="s">
        <v>366</v>
      </c>
      <c r="D2239" s="81" t="s">
        <v>2218</v>
      </c>
      <c r="E2239" s="48">
        <v>400586</v>
      </c>
      <c r="F2239" s="30" t="s">
        <v>329</v>
      </c>
      <c r="G2239" s="29" t="s">
        <v>47</v>
      </c>
      <c r="H2239" s="30" t="s">
        <v>2493</v>
      </c>
      <c r="I2239" s="78"/>
      <c r="J2239" s="20"/>
      <c r="K2239" s="20"/>
      <c r="L2239" s="20"/>
      <c r="M2239" s="20"/>
      <c r="N2239" s="179" t="s">
        <v>502</v>
      </c>
      <c r="O2239" s="70">
        <v>0</v>
      </c>
      <c r="P2239" s="70">
        <v>0</v>
      </c>
      <c r="Q2239" s="70">
        <f t="shared" si="187"/>
        <v>0</v>
      </c>
      <c r="R2239" s="70"/>
      <c r="S2239" s="67"/>
      <c r="T2239" s="2" t="str">
        <f t="shared" si="188"/>
        <v>Lê Tấn Sang_12VH2</v>
      </c>
      <c r="U2239" s="28">
        <f t="array" ref="U2239">IFERROR(VLOOKUP($T2239,'Nghi hoc T12'!$H$7:$I$160,2,0),0)</f>
        <v>0</v>
      </c>
      <c r="V2239" s="28"/>
      <c r="W2239" s="28">
        <f t="shared" si="189"/>
        <v>0</v>
      </c>
      <c r="X2239" s="333">
        <f t="shared" si="190"/>
        <v>0</v>
      </c>
      <c r="Y2239" s="333">
        <f t="shared" si="191"/>
        <v>0</v>
      </c>
    </row>
    <row r="2240" spans="1:25" s="2" customFormat="1" ht="21.95" customHeight="1">
      <c r="A2240" s="82">
        <v>13</v>
      </c>
      <c r="B2240" s="91" t="str">
        <f t="shared" si="192"/>
        <v>205.T</v>
      </c>
      <c r="C2240" s="83" t="s">
        <v>366</v>
      </c>
      <c r="D2240" s="81" t="s">
        <v>2218</v>
      </c>
      <c r="E2240" s="48">
        <v>400587</v>
      </c>
      <c r="F2240" s="30" t="s">
        <v>201</v>
      </c>
      <c r="G2240" s="29" t="s">
        <v>2549</v>
      </c>
      <c r="H2240" s="30" t="s">
        <v>2495</v>
      </c>
      <c r="I2240" s="78"/>
      <c r="J2240" s="20"/>
      <c r="K2240" s="20"/>
      <c r="L2240" s="20"/>
      <c r="M2240" s="20"/>
      <c r="N2240" s="179" t="s">
        <v>502</v>
      </c>
      <c r="O2240" s="70">
        <v>0</v>
      </c>
      <c r="P2240" s="70">
        <v>0</v>
      </c>
      <c r="Q2240" s="70">
        <f t="shared" si="187"/>
        <v>0</v>
      </c>
      <c r="R2240" s="70"/>
      <c r="S2240" s="67"/>
      <c r="T2240" s="2" t="str">
        <f t="shared" si="188"/>
        <v>Nguyễn Hữu Sinh_12VH3</v>
      </c>
      <c r="U2240" s="28">
        <f t="array" ref="U2240">IFERROR(VLOOKUP($T2240,'Nghi hoc T12'!$H$7:$I$160,2,0),0)</f>
        <v>0</v>
      </c>
      <c r="V2240" s="28"/>
      <c r="W2240" s="28">
        <f t="shared" si="189"/>
        <v>0</v>
      </c>
      <c r="X2240" s="333">
        <f t="shared" si="190"/>
        <v>0</v>
      </c>
      <c r="Y2240" s="333">
        <f t="shared" si="191"/>
        <v>0</v>
      </c>
    </row>
    <row r="2241" spans="1:25" s="2" customFormat="1" ht="21.95" customHeight="1">
      <c r="A2241" s="82">
        <v>14</v>
      </c>
      <c r="B2241" s="91" t="str">
        <f t="shared" si="192"/>
        <v>205.T</v>
      </c>
      <c r="C2241" s="83" t="s">
        <v>366</v>
      </c>
      <c r="D2241" s="81" t="s">
        <v>2218</v>
      </c>
      <c r="E2241" s="48">
        <v>400588</v>
      </c>
      <c r="F2241" s="30" t="s">
        <v>2550</v>
      </c>
      <c r="G2241" s="29" t="s">
        <v>23</v>
      </c>
      <c r="H2241" s="30" t="s">
        <v>2492</v>
      </c>
      <c r="I2241" s="78"/>
      <c r="J2241" s="20"/>
      <c r="K2241" s="20"/>
      <c r="L2241" s="20"/>
      <c r="M2241" s="20"/>
      <c r="N2241" s="179" t="s">
        <v>502</v>
      </c>
      <c r="O2241" s="70">
        <v>0</v>
      </c>
      <c r="P2241" s="70">
        <v>0</v>
      </c>
      <c r="Q2241" s="70">
        <f t="shared" si="187"/>
        <v>0</v>
      </c>
      <c r="R2241" s="70"/>
      <c r="S2241" s="67"/>
      <c r="T2241" s="2" t="str">
        <f t="shared" si="188"/>
        <v>Trần Trịnh Hồng Sơn_12VH1</v>
      </c>
      <c r="U2241" s="28">
        <f t="array" ref="U2241">IFERROR(VLOOKUP($T2241,'Nghi hoc T12'!$H$7:$I$160,2,0),0)</f>
        <v>0</v>
      </c>
      <c r="V2241" s="28"/>
      <c r="W2241" s="28">
        <f t="shared" si="189"/>
        <v>0</v>
      </c>
      <c r="X2241" s="333">
        <f t="shared" si="190"/>
        <v>0</v>
      </c>
      <c r="Y2241" s="333">
        <f t="shared" si="191"/>
        <v>0</v>
      </c>
    </row>
    <row r="2242" spans="1:25" s="2" customFormat="1" ht="21.95" customHeight="1">
      <c r="A2242" s="82">
        <v>15</v>
      </c>
      <c r="B2242" s="91" t="str">
        <f t="shared" si="192"/>
        <v>205.T</v>
      </c>
      <c r="C2242" s="83" t="s">
        <v>366</v>
      </c>
      <c r="D2242" s="81" t="s">
        <v>2218</v>
      </c>
      <c r="E2242" s="48">
        <v>400589</v>
      </c>
      <c r="F2242" s="30" t="s">
        <v>268</v>
      </c>
      <c r="G2242" s="29" t="s">
        <v>2551</v>
      </c>
      <c r="H2242" s="30" t="s">
        <v>2493</v>
      </c>
      <c r="I2242" s="78"/>
      <c r="J2242" s="20"/>
      <c r="K2242" s="20"/>
      <c r="L2242" s="20"/>
      <c r="M2242" s="20"/>
      <c r="N2242" s="179" t="s">
        <v>502</v>
      </c>
      <c r="O2242" s="70">
        <v>0</v>
      </c>
      <c r="P2242" s="70">
        <v>0</v>
      </c>
      <c r="Q2242" s="70">
        <f t="shared" si="187"/>
        <v>0</v>
      </c>
      <c r="R2242" s="70"/>
      <c r="S2242" s="67"/>
      <c r="T2242" s="2" t="str">
        <f t="shared" si="188"/>
        <v>Nguyễn Văn Tá_12VH2</v>
      </c>
      <c r="U2242" s="28">
        <f t="array" ref="U2242">IFERROR(VLOOKUP($T2242,'Nghi hoc T12'!$H$7:$I$160,2,0),0)</f>
        <v>0</v>
      </c>
      <c r="V2242" s="28"/>
      <c r="W2242" s="28">
        <f t="shared" si="189"/>
        <v>0</v>
      </c>
      <c r="X2242" s="333">
        <f t="shared" si="190"/>
        <v>0</v>
      </c>
      <c r="Y2242" s="333">
        <f t="shared" si="191"/>
        <v>0</v>
      </c>
    </row>
    <row r="2243" spans="1:25" s="2" customFormat="1" ht="21.95" customHeight="1">
      <c r="A2243" s="82">
        <v>16</v>
      </c>
      <c r="B2243" s="91" t="str">
        <f t="shared" si="192"/>
        <v>205.T</v>
      </c>
      <c r="C2243" s="83" t="s">
        <v>366</v>
      </c>
      <c r="D2243" s="81" t="s">
        <v>2218</v>
      </c>
      <c r="E2243" s="48">
        <v>400590</v>
      </c>
      <c r="F2243" s="30" t="s">
        <v>2552</v>
      </c>
      <c r="G2243" s="29" t="s">
        <v>93</v>
      </c>
      <c r="H2243" s="30" t="s">
        <v>2495</v>
      </c>
      <c r="I2243" s="78"/>
      <c r="J2243" s="20"/>
      <c r="K2243" s="20"/>
      <c r="L2243" s="20"/>
      <c r="M2243" s="20"/>
      <c r="N2243" s="179" t="s">
        <v>502</v>
      </c>
      <c r="O2243" s="70">
        <v>0</v>
      </c>
      <c r="P2243" s="70">
        <v>0</v>
      </c>
      <c r="Q2243" s="70">
        <f t="shared" si="187"/>
        <v>0</v>
      </c>
      <c r="R2243" s="70"/>
      <c r="S2243" s="67"/>
      <c r="T2243" s="2" t="str">
        <f t="shared" si="188"/>
        <v>Ngô Thành Tài_12VH3</v>
      </c>
      <c r="U2243" s="28">
        <f t="array" ref="U2243">IFERROR(VLOOKUP($T2243,'Nghi hoc T12'!$H$7:$I$160,2,0),0)</f>
        <v>0</v>
      </c>
      <c r="V2243" s="28"/>
      <c r="W2243" s="28">
        <f t="shared" si="189"/>
        <v>0</v>
      </c>
      <c r="X2243" s="333">
        <f t="shared" si="190"/>
        <v>0</v>
      </c>
      <c r="Y2243" s="333">
        <f t="shared" si="191"/>
        <v>0</v>
      </c>
    </row>
    <row r="2244" spans="1:25" s="2" customFormat="1" ht="21.95" customHeight="1">
      <c r="A2244" s="82">
        <v>17</v>
      </c>
      <c r="B2244" s="91" t="str">
        <f t="shared" si="192"/>
        <v>205.T</v>
      </c>
      <c r="C2244" s="83" t="s">
        <v>366</v>
      </c>
      <c r="D2244" s="81" t="s">
        <v>2218</v>
      </c>
      <c r="E2244" s="48">
        <v>400591</v>
      </c>
      <c r="F2244" s="30" t="s">
        <v>330</v>
      </c>
      <c r="G2244" s="29" t="s">
        <v>93</v>
      </c>
      <c r="H2244" s="30" t="s">
        <v>2493</v>
      </c>
      <c r="I2244" s="78"/>
      <c r="J2244" s="20"/>
      <c r="K2244" s="20"/>
      <c r="L2244" s="20"/>
      <c r="M2244" s="20"/>
      <c r="N2244" s="179" t="s">
        <v>502</v>
      </c>
      <c r="O2244" s="70">
        <v>0</v>
      </c>
      <c r="P2244" s="70">
        <v>0</v>
      </c>
      <c r="Q2244" s="70">
        <f t="shared" si="187"/>
        <v>0</v>
      </c>
      <c r="R2244" s="70"/>
      <c r="S2244" s="67"/>
      <c r="T2244" s="2" t="str">
        <f t="shared" si="188"/>
        <v>Nguyễn Tài_12VH2</v>
      </c>
      <c r="U2244" s="28">
        <f t="array" ref="U2244">IFERROR(VLOOKUP($T2244,'Nghi hoc T12'!$H$7:$I$160,2,0),0)</f>
        <v>0</v>
      </c>
      <c r="V2244" s="28"/>
      <c r="W2244" s="28">
        <f t="shared" si="189"/>
        <v>0</v>
      </c>
      <c r="X2244" s="333">
        <f t="shared" si="190"/>
        <v>0</v>
      </c>
      <c r="Y2244" s="333">
        <f t="shared" si="191"/>
        <v>0</v>
      </c>
    </row>
    <row r="2245" spans="1:25" s="2" customFormat="1" ht="21.95" customHeight="1">
      <c r="A2245" s="82">
        <v>18</v>
      </c>
      <c r="B2245" s="91" t="str">
        <f t="shared" si="192"/>
        <v>205.T</v>
      </c>
      <c r="C2245" s="83" t="s">
        <v>366</v>
      </c>
      <c r="D2245" s="81" t="s">
        <v>2218</v>
      </c>
      <c r="E2245" s="48">
        <v>400592</v>
      </c>
      <c r="F2245" s="30" t="s">
        <v>2553</v>
      </c>
      <c r="G2245" s="29" t="s">
        <v>24</v>
      </c>
      <c r="H2245" s="30" t="s">
        <v>2495</v>
      </c>
      <c r="I2245" s="78"/>
      <c r="J2245" s="20"/>
      <c r="K2245" s="20"/>
      <c r="L2245" s="20"/>
      <c r="M2245" s="20"/>
      <c r="N2245" s="179" t="s">
        <v>502</v>
      </c>
      <c r="O2245" s="70">
        <v>0</v>
      </c>
      <c r="P2245" s="70">
        <v>0</v>
      </c>
      <c r="Q2245" s="70">
        <f t="shared" si="187"/>
        <v>0</v>
      </c>
      <c r="R2245" s="70"/>
      <c r="S2245" s="67"/>
      <c r="T2245" s="2" t="str">
        <f t="shared" si="188"/>
        <v>Lê Thái Minh Tâm_12VH3</v>
      </c>
      <c r="U2245" s="28">
        <f t="array" ref="U2245">IFERROR(VLOOKUP($T2245,'Nghi hoc T12'!$H$7:$I$160,2,0),0)</f>
        <v>0</v>
      </c>
      <c r="V2245" s="28"/>
      <c r="W2245" s="28">
        <f t="shared" si="189"/>
        <v>0</v>
      </c>
      <c r="X2245" s="333">
        <f t="shared" si="190"/>
        <v>0</v>
      </c>
      <c r="Y2245" s="333">
        <f t="shared" si="191"/>
        <v>0</v>
      </c>
    </row>
    <row r="2246" spans="1:25" s="2" customFormat="1" ht="21.95" customHeight="1">
      <c r="A2246" s="82">
        <v>19</v>
      </c>
      <c r="B2246" s="91" t="str">
        <f t="shared" si="192"/>
        <v>205.T</v>
      </c>
      <c r="C2246" s="83" t="s">
        <v>366</v>
      </c>
      <c r="D2246" s="81" t="s">
        <v>2218</v>
      </c>
      <c r="E2246" s="48">
        <v>400593</v>
      </c>
      <c r="F2246" s="30" t="s">
        <v>264</v>
      </c>
      <c r="G2246" s="29" t="s">
        <v>97</v>
      </c>
      <c r="H2246" s="30" t="s">
        <v>2492</v>
      </c>
      <c r="I2246" s="78"/>
      <c r="J2246" s="20"/>
      <c r="K2246" s="20"/>
      <c r="L2246" s="20"/>
      <c r="M2246" s="20"/>
      <c r="N2246" s="179" t="s">
        <v>502</v>
      </c>
      <c r="O2246" s="70">
        <v>0</v>
      </c>
      <c r="P2246" s="70">
        <v>0</v>
      </c>
      <c r="Q2246" s="70">
        <f t="shared" si="187"/>
        <v>0</v>
      </c>
      <c r="R2246" s="70"/>
      <c r="S2246" s="67"/>
      <c r="T2246" s="2" t="str">
        <f t="shared" si="188"/>
        <v>Hà Nhật Tân_12VH1</v>
      </c>
      <c r="U2246" s="28">
        <f t="array" ref="U2246">IFERROR(VLOOKUP($T2246,'Nghi hoc T12'!$H$7:$I$160,2,0),0)</f>
        <v>0</v>
      </c>
      <c r="V2246" s="28"/>
      <c r="W2246" s="28">
        <f t="shared" si="189"/>
        <v>0</v>
      </c>
      <c r="X2246" s="333">
        <f t="shared" si="190"/>
        <v>0</v>
      </c>
      <c r="Y2246" s="333">
        <f t="shared" si="191"/>
        <v>0</v>
      </c>
    </row>
    <row r="2247" spans="1:25" s="2" customFormat="1" ht="21.95" customHeight="1">
      <c r="A2247" s="82">
        <v>20</v>
      </c>
      <c r="B2247" s="91" t="str">
        <f t="shared" si="192"/>
        <v>205.T</v>
      </c>
      <c r="C2247" s="83" t="s">
        <v>366</v>
      </c>
      <c r="D2247" s="81" t="s">
        <v>2218</v>
      </c>
      <c r="E2247" s="48">
        <v>400594</v>
      </c>
      <c r="F2247" s="30" t="s">
        <v>2554</v>
      </c>
      <c r="G2247" s="29" t="s">
        <v>27</v>
      </c>
      <c r="H2247" s="30" t="s">
        <v>2495</v>
      </c>
      <c r="I2247" s="78"/>
      <c r="J2247" s="20"/>
      <c r="K2247" s="20"/>
      <c r="L2247" s="20"/>
      <c r="M2247" s="20"/>
      <c r="N2247" s="179" t="s">
        <v>502</v>
      </c>
      <c r="O2247" s="70">
        <v>0</v>
      </c>
      <c r="P2247" s="70">
        <v>0</v>
      </c>
      <c r="Q2247" s="70">
        <f t="shared" si="187"/>
        <v>0</v>
      </c>
      <c r="R2247" s="70"/>
      <c r="S2247" s="67"/>
      <c r="T2247" s="2" t="str">
        <f t="shared" si="188"/>
        <v>Trần Đoàn Xuân Thành_12VH3</v>
      </c>
      <c r="U2247" s="28">
        <f t="array" ref="U2247">IFERROR(VLOOKUP($T2247,'Nghi hoc T12'!$H$7:$I$160,2,0),0)</f>
        <v>0</v>
      </c>
      <c r="V2247" s="28"/>
      <c r="W2247" s="28">
        <f t="shared" si="189"/>
        <v>0</v>
      </c>
      <c r="X2247" s="333">
        <f t="shared" si="190"/>
        <v>0</v>
      </c>
      <c r="Y2247" s="333">
        <f t="shared" si="191"/>
        <v>0</v>
      </c>
    </row>
    <row r="2248" spans="1:25" s="2" customFormat="1" ht="21.95" customHeight="1">
      <c r="A2248" s="82">
        <v>21</v>
      </c>
      <c r="B2248" s="91" t="str">
        <f t="shared" si="192"/>
        <v>205.T</v>
      </c>
      <c r="C2248" s="83" t="s">
        <v>366</v>
      </c>
      <c r="D2248" s="81" t="s">
        <v>2218</v>
      </c>
      <c r="E2248" s="48">
        <v>400595</v>
      </c>
      <c r="F2248" s="30" t="s">
        <v>2555</v>
      </c>
      <c r="G2248" s="29" t="s">
        <v>49</v>
      </c>
      <c r="H2248" s="30" t="s">
        <v>2495</v>
      </c>
      <c r="I2248" s="78"/>
      <c r="J2248" s="20"/>
      <c r="K2248" s="20"/>
      <c r="L2248" s="20"/>
      <c r="M2248" s="20"/>
      <c r="N2248" s="179" t="s">
        <v>502</v>
      </c>
      <c r="O2248" s="70">
        <v>0</v>
      </c>
      <c r="P2248" s="70">
        <v>0</v>
      </c>
      <c r="Q2248" s="70">
        <f t="shared" si="187"/>
        <v>0</v>
      </c>
      <c r="R2248" s="70"/>
      <c r="S2248" s="67"/>
      <c r="T2248" s="2" t="str">
        <f t="shared" si="188"/>
        <v>Lê Phạm Thanh Thảo_12VH3</v>
      </c>
      <c r="U2248" s="28">
        <f t="array" ref="U2248">IFERROR(VLOOKUP($T2248,'Nghi hoc T12'!$H$7:$I$160,2,0),0)</f>
        <v>0</v>
      </c>
      <c r="V2248" s="28"/>
      <c r="W2248" s="28">
        <f t="shared" si="189"/>
        <v>0</v>
      </c>
      <c r="X2248" s="333">
        <f t="shared" si="190"/>
        <v>0</v>
      </c>
      <c r="Y2248" s="333">
        <f t="shared" si="191"/>
        <v>0</v>
      </c>
    </row>
    <row r="2249" spans="1:25" s="2" customFormat="1" ht="21.95" customHeight="1">
      <c r="A2249" s="82">
        <v>22</v>
      </c>
      <c r="B2249" s="91" t="str">
        <f t="shared" si="192"/>
        <v>205.T</v>
      </c>
      <c r="C2249" s="83" t="s">
        <v>366</v>
      </c>
      <c r="D2249" s="81" t="s">
        <v>2218</v>
      </c>
      <c r="E2249" s="48">
        <v>400596</v>
      </c>
      <c r="F2249" s="30" t="s">
        <v>332</v>
      </c>
      <c r="G2249" s="29" t="s">
        <v>49</v>
      </c>
      <c r="H2249" s="30" t="s">
        <v>2493</v>
      </c>
      <c r="I2249" s="78"/>
      <c r="J2249" s="20"/>
      <c r="K2249" s="20"/>
      <c r="L2249" s="20"/>
      <c r="M2249" s="20"/>
      <c r="N2249" s="179" t="s">
        <v>502</v>
      </c>
      <c r="O2249" s="70">
        <v>0</v>
      </c>
      <c r="P2249" s="70">
        <v>0</v>
      </c>
      <c r="Q2249" s="70">
        <f t="shared" si="187"/>
        <v>0</v>
      </c>
      <c r="R2249" s="70"/>
      <c r="S2249" s="67"/>
      <c r="T2249" s="2" t="str">
        <f t="shared" si="188"/>
        <v>Ngô Thanh Thảo_12VH2</v>
      </c>
      <c r="U2249" s="28">
        <f t="array" ref="U2249">IFERROR(VLOOKUP($T2249,'Nghi hoc T12'!$H$7:$I$160,2,0),0)</f>
        <v>0</v>
      </c>
      <c r="V2249" s="28"/>
      <c r="W2249" s="28">
        <f t="shared" si="189"/>
        <v>0</v>
      </c>
      <c r="X2249" s="333">
        <f t="shared" si="190"/>
        <v>0</v>
      </c>
      <c r="Y2249" s="333">
        <f t="shared" si="191"/>
        <v>0</v>
      </c>
    </row>
    <row r="2250" spans="1:25" s="2" customFormat="1" ht="21.95" customHeight="1">
      <c r="A2250" s="82">
        <v>23</v>
      </c>
      <c r="B2250" s="91" t="str">
        <f t="shared" si="192"/>
        <v>205.T</v>
      </c>
      <c r="C2250" s="83" t="s">
        <v>366</v>
      </c>
      <c r="D2250" s="81" t="s">
        <v>2218</v>
      </c>
      <c r="E2250" s="48">
        <v>400597</v>
      </c>
      <c r="F2250" s="30" t="s">
        <v>226</v>
      </c>
      <c r="G2250" s="29" t="s">
        <v>49</v>
      </c>
      <c r="H2250" s="30" t="s">
        <v>2492</v>
      </c>
      <c r="I2250" s="78"/>
      <c r="J2250" s="20"/>
      <c r="K2250" s="20"/>
      <c r="L2250" s="20"/>
      <c r="M2250" s="20"/>
      <c r="N2250" s="179" t="s">
        <v>502</v>
      </c>
      <c r="O2250" s="70">
        <v>0</v>
      </c>
      <c r="P2250" s="70">
        <v>0</v>
      </c>
      <c r="Q2250" s="70">
        <f t="shared" ref="Q2250:Q2313" si="193">U2250</f>
        <v>0</v>
      </c>
      <c r="R2250" s="70"/>
      <c r="S2250" s="67"/>
      <c r="T2250" s="2" t="str">
        <f t="shared" ref="T2250:T2313" si="194">TRIM(F2250&amp;" "&amp;G2250&amp;"_"&amp;H2250)</f>
        <v>Nguyễn Thị Thanh Thảo_12VH1</v>
      </c>
      <c r="U2250" s="28">
        <f t="array" ref="U2250">IFERROR(VLOOKUP($T2250,'Nghi hoc T12'!$H$7:$I$160,2,0),0)</f>
        <v>0</v>
      </c>
      <c r="V2250" s="28"/>
      <c r="W2250" s="28">
        <f t="shared" ref="W2250:W2313" si="195">I2250</f>
        <v>0</v>
      </c>
      <c r="X2250" s="333">
        <f t="shared" ref="X2250:X2313" si="196">O2250</f>
        <v>0</v>
      </c>
      <c r="Y2250" s="333">
        <f t="shared" ref="Y2250:Y2313" si="197">P2250</f>
        <v>0</v>
      </c>
    </row>
    <row r="2251" spans="1:25" s="2" customFormat="1" ht="21.95" customHeight="1">
      <c r="A2251" s="82">
        <v>24</v>
      </c>
      <c r="B2251" s="91" t="str">
        <f t="shared" ref="B2251:B2314" si="198">RIGHT(D2251,LEN(D2251)-2)&amp;"."&amp;LEFT(N2251,1)</f>
        <v>205.T</v>
      </c>
      <c r="C2251" s="83" t="s">
        <v>366</v>
      </c>
      <c r="D2251" s="81" t="s">
        <v>2218</v>
      </c>
      <c r="E2251" s="48">
        <v>400598</v>
      </c>
      <c r="F2251" s="30" t="s">
        <v>336</v>
      </c>
      <c r="G2251" s="29" t="s">
        <v>49</v>
      </c>
      <c r="H2251" s="30" t="s">
        <v>2495</v>
      </c>
      <c r="I2251" s="78" t="s">
        <v>529</v>
      </c>
      <c r="J2251" s="20"/>
      <c r="K2251" s="20"/>
      <c r="L2251" s="20"/>
      <c r="M2251" s="20"/>
      <c r="N2251" s="179" t="s">
        <v>502</v>
      </c>
      <c r="O2251" s="70">
        <v>0</v>
      </c>
      <c r="P2251" s="70">
        <v>0</v>
      </c>
      <c r="Q2251" s="70" t="s">
        <v>3334</v>
      </c>
      <c r="R2251" s="70"/>
      <c r="S2251" s="67"/>
      <c r="T2251" s="2" t="str">
        <f t="shared" si="194"/>
        <v>Phạm Phương Thảo_12VH3</v>
      </c>
      <c r="U2251" s="28">
        <f t="array" ref="U2251">IFERROR(VLOOKUP($T2251,'Nghi hoc T12'!$H$7:$I$160,2,0),0)</f>
        <v>0</v>
      </c>
      <c r="V2251" s="28"/>
      <c r="W2251" s="28" t="str">
        <f t="shared" si="195"/>
        <v>Nghỉ học</v>
      </c>
      <c r="X2251" s="333">
        <f t="shared" si="196"/>
        <v>0</v>
      </c>
      <c r="Y2251" s="333">
        <f t="shared" si="197"/>
        <v>0</v>
      </c>
    </row>
    <row r="2252" spans="1:25" s="2" customFormat="1" ht="21.95" customHeight="1">
      <c r="A2252" s="82">
        <v>25</v>
      </c>
      <c r="B2252" s="91" t="str">
        <f t="shared" si="198"/>
        <v>205.T</v>
      </c>
      <c r="C2252" s="83" t="s">
        <v>366</v>
      </c>
      <c r="D2252" s="81" t="s">
        <v>2218</v>
      </c>
      <c r="E2252" s="48">
        <v>400599</v>
      </c>
      <c r="F2252" s="30" t="s">
        <v>151</v>
      </c>
      <c r="G2252" s="29" t="s">
        <v>50</v>
      </c>
      <c r="H2252" s="30" t="s">
        <v>2493</v>
      </c>
      <c r="I2252" s="78"/>
      <c r="J2252" s="20"/>
      <c r="K2252" s="20"/>
      <c r="L2252" s="20"/>
      <c r="M2252" s="20"/>
      <c r="N2252" s="179" t="s">
        <v>502</v>
      </c>
      <c r="O2252" s="70">
        <v>0</v>
      </c>
      <c r="P2252" s="70">
        <v>0</v>
      </c>
      <c r="Q2252" s="70">
        <f t="shared" si="193"/>
        <v>0</v>
      </c>
      <c r="R2252" s="70"/>
      <c r="S2252" s="67"/>
      <c r="T2252" s="2" t="str">
        <f t="shared" si="194"/>
        <v>Nguyễn Hoàng Thiện_12VH2</v>
      </c>
      <c r="U2252" s="28">
        <f t="array" ref="U2252">IFERROR(VLOOKUP($T2252,'Nghi hoc T12'!$H$7:$I$160,2,0),0)</f>
        <v>0</v>
      </c>
      <c r="V2252" s="28"/>
      <c r="W2252" s="28">
        <f t="shared" si="195"/>
        <v>0</v>
      </c>
      <c r="X2252" s="333">
        <f t="shared" si="196"/>
        <v>0</v>
      </c>
      <c r="Y2252" s="333">
        <f t="shared" si="197"/>
        <v>0</v>
      </c>
    </row>
    <row r="2253" spans="1:25" s="2" customFormat="1" ht="21.95" customHeight="1">
      <c r="A2253" s="82">
        <v>26</v>
      </c>
      <c r="B2253" s="91" t="str">
        <f t="shared" si="198"/>
        <v>205.T</v>
      </c>
      <c r="C2253" s="83" t="s">
        <v>366</v>
      </c>
      <c r="D2253" s="81" t="s">
        <v>2218</v>
      </c>
      <c r="E2253" s="48">
        <v>400600</v>
      </c>
      <c r="F2253" s="30" t="s">
        <v>2556</v>
      </c>
      <c r="G2253" s="29" t="s">
        <v>58</v>
      </c>
      <c r="H2253" s="30" t="s">
        <v>2495</v>
      </c>
      <c r="I2253" s="78"/>
      <c r="J2253" s="20"/>
      <c r="K2253" s="20"/>
      <c r="L2253" s="20"/>
      <c r="M2253" s="20"/>
      <c r="N2253" s="179" t="s">
        <v>502</v>
      </c>
      <c r="O2253" s="70">
        <v>0</v>
      </c>
      <c r="P2253" s="70">
        <v>0</v>
      </c>
      <c r="Q2253" s="70">
        <f t="shared" si="193"/>
        <v>0</v>
      </c>
      <c r="R2253" s="70"/>
      <c r="S2253" s="67"/>
      <c r="T2253" s="2" t="str">
        <f t="shared" si="194"/>
        <v>Nguyễn Hồ Chí Thịnh_12VH3</v>
      </c>
      <c r="U2253" s="28">
        <f t="array" ref="U2253">IFERROR(VLOOKUP($T2253,'Nghi hoc T12'!$H$7:$I$160,2,0),0)</f>
        <v>0</v>
      </c>
      <c r="V2253" s="28"/>
      <c r="W2253" s="28">
        <f t="shared" si="195"/>
        <v>0</v>
      </c>
      <c r="X2253" s="333">
        <f t="shared" si="196"/>
        <v>0</v>
      </c>
      <c r="Y2253" s="333">
        <f t="shared" si="197"/>
        <v>0</v>
      </c>
    </row>
    <row r="2254" spans="1:25" s="2" customFormat="1" ht="21.95" customHeight="1">
      <c r="A2254" s="321">
        <v>1</v>
      </c>
      <c r="B2254" s="91" t="str">
        <f t="shared" si="198"/>
        <v>206.T</v>
      </c>
      <c r="C2254" s="185" t="s">
        <v>366</v>
      </c>
      <c r="D2254" s="186" t="s">
        <v>2238</v>
      </c>
      <c r="E2254" s="187">
        <v>400601</v>
      </c>
      <c r="F2254" s="188" t="s">
        <v>2557</v>
      </c>
      <c r="G2254" s="189" t="s">
        <v>28</v>
      </c>
      <c r="H2254" s="188" t="s">
        <v>2495</v>
      </c>
      <c r="I2254" s="190"/>
      <c r="J2254" s="191"/>
      <c r="K2254" s="191"/>
      <c r="L2254" s="191"/>
      <c r="M2254" s="191"/>
      <c r="N2254" s="179" t="s">
        <v>502</v>
      </c>
      <c r="O2254" s="70">
        <v>0</v>
      </c>
      <c r="P2254" s="70">
        <v>0</v>
      </c>
      <c r="Q2254" s="70">
        <f t="shared" si="193"/>
        <v>0</v>
      </c>
      <c r="R2254" s="70"/>
      <c r="S2254" s="67"/>
      <c r="T2254" s="2" t="str">
        <f t="shared" si="194"/>
        <v>Lưu Thy Thư_12VH3</v>
      </c>
      <c r="U2254" s="28">
        <f t="array" ref="U2254">IFERROR(VLOOKUP($T2254,'Nghi hoc T12'!$H$7:$I$160,2,0),0)</f>
        <v>0</v>
      </c>
      <c r="V2254" s="28"/>
      <c r="W2254" s="28">
        <f t="shared" si="195"/>
        <v>0</v>
      </c>
      <c r="X2254" s="333">
        <f t="shared" si="196"/>
        <v>0</v>
      </c>
      <c r="Y2254" s="333">
        <f t="shared" si="197"/>
        <v>0</v>
      </c>
    </row>
    <row r="2255" spans="1:25" s="2" customFormat="1" ht="21.95" customHeight="1">
      <c r="A2255" s="82">
        <v>2</v>
      </c>
      <c r="B2255" s="91" t="str">
        <f t="shared" si="198"/>
        <v>206.T</v>
      </c>
      <c r="C2255" s="83" t="s">
        <v>366</v>
      </c>
      <c r="D2255" s="81" t="s">
        <v>2238</v>
      </c>
      <c r="E2255" s="48">
        <v>400602</v>
      </c>
      <c r="F2255" s="30" t="s">
        <v>239</v>
      </c>
      <c r="G2255" s="29" t="s">
        <v>213</v>
      </c>
      <c r="H2255" s="30" t="s">
        <v>2492</v>
      </c>
      <c r="I2255" s="78"/>
      <c r="J2255" s="20"/>
      <c r="K2255" s="20"/>
      <c r="L2255" s="20"/>
      <c r="M2255" s="20"/>
      <c r="N2255" s="179" t="s">
        <v>502</v>
      </c>
      <c r="O2255" s="70">
        <v>0</v>
      </c>
      <c r="P2255" s="70">
        <v>0</v>
      </c>
      <c r="Q2255" s="70">
        <f t="shared" si="193"/>
        <v>0</v>
      </c>
      <c r="R2255" s="70"/>
      <c r="S2255" s="67"/>
      <c r="T2255" s="2" t="str">
        <f t="shared" si="194"/>
        <v>Nguyễn Ngọc Anh Thy_12VH1</v>
      </c>
      <c r="U2255" s="28">
        <f t="array" ref="U2255">IFERROR(VLOOKUP($T2255,'Nghi hoc T12'!$H$7:$I$160,2,0),0)</f>
        <v>0</v>
      </c>
      <c r="V2255" s="28"/>
      <c r="W2255" s="28">
        <f t="shared" si="195"/>
        <v>0</v>
      </c>
      <c r="X2255" s="333">
        <f t="shared" si="196"/>
        <v>0</v>
      </c>
      <c r="Y2255" s="333">
        <f t="shared" si="197"/>
        <v>0</v>
      </c>
    </row>
    <row r="2256" spans="1:25" s="2" customFormat="1" ht="21.95" customHeight="1">
      <c r="A2256" s="82">
        <v>3</v>
      </c>
      <c r="B2256" s="91" t="str">
        <f t="shared" si="198"/>
        <v>206.T</v>
      </c>
      <c r="C2256" s="83" t="s">
        <v>366</v>
      </c>
      <c r="D2256" s="81" t="s">
        <v>2238</v>
      </c>
      <c r="E2256" s="48">
        <v>400603</v>
      </c>
      <c r="F2256" s="30" t="s">
        <v>203</v>
      </c>
      <c r="G2256" s="29" t="s">
        <v>213</v>
      </c>
      <c r="H2256" s="30" t="s">
        <v>2495</v>
      </c>
      <c r="I2256" s="78"/>
      <c r="J2256" s="20"/>
      <c r="K2256" s="20"/>
      <c r="L2256" s="20"/>
      <c r="M2256" s="20"/>
      <c r="N2256" s="179" t="s">
        <v>502</v>
      </c>
      <c r="O2256" s="70">
        <v>0</v>
      </c>
      <c r="P2256" s="70">
        <v>0</v>
      </c>
      <c r="Q2256" s="70">
        <f t="shared" si="193"/>
        <v>0</v>
      </c>
      <c r="R2256" s="70"/>
      <c r="S2256" s="67"/>
      <c r="T2256" s="2" t="str">
        <f t="shared" si="194"/>
        <v>Nguyễn Ngọc Phương Thy_12VH3</v>
      </c>
      <c r="U2256" s="28">
        <f t="array" ref="U2256">IFERROR(VLOOKUP($T2256,'Nghi hoc T12'!$H$7:$I$160,2,0),0)</f>
        <v>0</v>
      </c>
      <c r="V2256" s="28"/>
      <c r="W2256" s="28">
        <f t="shared" si="195"/>
        <v>0</v>
      </c>
      <c r="X2256" s="333">
        <f t="shared" si="196"/>
        <v>0</v>
      </c>
      <c r="Y2256" s="333">
        <f t="shared" si="197"/>
        <v>0</v>
      </c>
    </row>
    <row r="2257" spans="1:25" s="2" customFormat="1" ht="21.95" customHeight="1">
      <c r="A2257" s="82">
        <v>4</v>
      </c>
      <c r="B2257" s="91" t="str">
        <f t="shared" si="198"/>
        <v>206.T</v>
      </c>
      <c r="C2257" s="83" t="s">
        <v>366</v>
      </c>
      <c r="D2257" s="81" t="s">
        <v>2238</v>
      </c>
      <c r="E2257" s="48">
        <v>400604</v>
      </c>
      <c r="F2257" s="30" t="s">
        <v>2558</v>
      </c>
      <c r="G2257" s="29" t="s">
        <v>80</v>
      </c>
      <c r="H2257" s="30" t="s">
        <v>2493</v>
      </c>
      <c r="I2257" s="78"/>
      <c r="J2257" s="20"/>
      <c r="K2257" s="20"/>
      <c r="L2257" s="20"/>
      <c r="M2257" s="20"/>
      <c r="N2257" s="179" t="s">
        <v>502</v>
      </c>
      <c r="O2257" s="70">
        <v>0</v>
      </c>
      <c r="P2257" s="70">
        <v>0</v>
      </c>
      <c r="Q2257" s="70">
        <f t="shared" si="193"/>
        <v>0</v>
      </c>
      <c r="R2257" s="70"/>
      <c r="S2257" s="67"/>
      <c r="T2257" s="2" t="str">
        <f t="shared" si="194"/>
        <v>Trần Lê Thủy Tiên_12VH2</v>
      </c>
      <c r="U2257" s="28">
        <f t="array" ref="U2257">IFERROR(VLOOKUP($T2257,'Nghi hoc T12'!$H$7:$I$160,2,0),0)</f>
        <v>0</v>
      </c>
      <c r="V2257" s="28"/>
      <c r="W2257" s="28">
        <f t="shared" si="195"/>
        <v>0</v>
      </c>
      <c r="X2257" s="333">
        <f t="shared" si="196"/>
        <v>0</v>
      </c>
      <c r="Y2257" s="333">
        <f t="shared" si="197"/>
        <v>0</v>
      </c>
    </row>
    <row r="2258" spans="1:25" s="2" customFormat="1" ht="21.95" customHeight="1">
      <c r="A2258" s="82">
        <v>5</v>
      </c>
      <c r="B2258" s="91" t="str">
        <f t="shared" si="198"/>
        <v>206.T</v>
      </c>
      <c r="C2258" s="83" t="s">
        <v>366</v>
      </c>
      <c r="D2258" s="81" t="s">
        <v>2238</v>
      </c>
      <c r="E2258" s="48">
        <v>400605</v>
      </c>
      <c r="F2258" s="30" t="s">
        <v>2559</v>
      </c>
      <c r="G2258" s="29" t="s">
        <v>2560</v>
      </c>
      <c r="H2258" s="30" t="s">
        <v>2492</v>
      </c>
      <c r="I2258" s="78"/>
      <c r="J2258" s="20"/>
      <c r="K2258" s="20"/>
      <c r="L2258" s="20"/>
      <c r="M2258" s="20"/>
      <c r="N2258" s="179" t="s">
        <v>502</v>
      </c>
      <c r="O2258" s="70">
        <v>0</v>
      </c>
      <c r="P2258" s="70">
        <v>0</v>
      </c>
      <c r="Q2258" s="70">
        <f t="shared" si="193"/>
        <v>0</v>
      </c>
      <c r="R2258" s="70"/>
      <c r="S2258" s="67"/>
      <c r="T2258" s="2" t="str">
        <f t="shared" si="194"/>
        <v>Hứa Hữu Tình_12VH1</v>
      </c>
      <c r="U2258" s="28">
        <f t="array" ref="U2258">IFERROR(VLOOKUP($T2258,'Nghi hoc T12'!$H$7:$I$160,2,0),0)</f>
        <v>0</v>
      </c>
      <c r="V2258" s="28"/>
      <c r="W2258" s="28">
        <f t="shared" si="195"/>
        <v>0</v>
      </c>
      <c r="X2258" s="333">
        <f t="shared" si="196"/>
        <v>0</v>
      </c>
      <c r="Y2258" s="333">
        <f t="shared" si="197"/>
        <v>0</v>
      </c>
    </row>
    <row r="2259" spans="1:25" s="2" customFormat="1" ht="21.95" customHeight="1">
      <c r="A2259" s="82">
        <v>6</v>
      </c>
      <c r="B2259" s="91" t="str">
        <f t="shared" si="198"/>
        <v>206.T</v>
      </c>
      <c r="C2259" s="83" t="s">
        <v>366</v>
      </c>
      <c r="D2259" s="81" t="s">
        <v>2238</v>
      </c>
      <c r="E2259" s="48">
        <v>400606</v>
      </c>
      <c r="F2259" s="30" t="s">
        <v>64</v>
      </c>
      <c r="G2259" s="29" t="s">
        <v>2560</v>
      </c>
      <c r="H2259" s="30" t="s">
        <v>2493</v>
      </c>
      <c r="I2259" s="78"/>
      <c r="J2259" s="20"/>
      <c r="K2259" s="20"/>
      <c r="L2259" s="20"/>
      <c r="M2259" s="20"/>
      <c r="N2259" s="179" t="s">
        <v>502</v>
      </c>
      <c r="O2259" s="70">
        <v>0</v>
      </c>
      <c r="P2259" s="70">
        <v>0</v>
      </c>
      <c r="Q2259" s="70">
        <f t="shared" si="193"/>
        <v>0</v>
      </c>
      <c r="R2259" s="70"/>
      <c r="S2259" s="67"/>
      <c r="T2259" s="2" t="str">
        <f t="shared" si="194"/>
        <v>Nguyễn Xuân Tình_12VH2</v>
      </c>
      <c r="U2259" s="28">
        <f t="array" ref="U2259">IFERROR(VLOOKUP($T2259,'Nghi hoc T12'!$H$7:$I$160,2,0),0)</f>
        <v>0</v>
      </c>
      <c r="V2259" s="28"/>
      <c r="W2259" s="28">
        <f t="shared" si="195"/>
        <v>0</v>
      </c>
      <c r="X2259" s="333">
        <f t="shared" si="196"/>
        <v>0</v>
      </c>
      <c r="Y2259" s="333">
        <f t="shared" si="197"/>
        <v>0</v>
      </c>
    </row>
    <row r="2260" spans="1:25" s="2" customFormat="1" ht="21.95" customHeight="1">
      <c r="A2260" s="82">
        <v>7</v>
      </c>
      <c r="B2260" s="91" t="str">
        <f t="shared" si="198"/>
        <v>206.T</v>
      </c>
      <c r="C2260" s="83" t="s">
        <v>366</v>
      </c>
      <c r="D2260" s="81" t="s">
        <v>2238</v>
      </c>
      <c r="E2260" s="48">
        <v>400607</v>
      </c>
      <c r="F2260" s="30" t="s">
        <v>2561</v>
      </c>
      <c r="G2260" s="29" t="s">
        <v>106</v>
      </c>
      <c r="H2260" s="30" t="s">
        <v>2495</v>
      </c>
      <c r="I2260" s="78"/>
      <c r="J2260" s="20"/>
      <c r="K2260" s="20"/>
      <c r="L2260" s="20"/>
      <c r="M2260" s="20"/>
      <c r="N2260" s="179" t="s">
        <v>502</v>
      </c>
      <c r="O2260" s="70">
        <v>0</v>
      </c>
      <c r="P2260" s="70">
        <v>0</v>
      </c>
      <c r="Q2260" s="70">
        <f t="shared" si="193"/>
        <v>0</v>
      </c>
      <c r="R2260" s="70"/>
      <c r="S2260" s="67"/>
      <c r="T2260" s="2" t="str">
        <f t="shared" si="194"/>
        <v>Nguyễn Sầm Quốc Toàn_12VH3</v>
      </c>
      <c r="U2260" s="28">
        <f t="array" ref="U2260">IFERROR(VLOOKUP($T2260,'Nghi hoc T12'!$H$7:$I$160,2,0),0)</f>
        <v>0</v>
      </c>
      <c r="V2260" s="28"/>
      <c r="W2260" s="28">
        <f t="shared" si="195"/>
        <v>0</v>
      </c>
      <c r="X2260" s="333">
        <f t="shared" si="196"/>
        <v>0</v>
      </c>
      <c r="Y2260" s="333">
        <f t="shared" si="197"/>
        <v>0</v>
      </c>
    </row>
    <row r="2261" spans="1:25" s="2" customFormat="1" ht="21.95" customHeight="1">
      <c r="A2261" s="82">
        <v>8</v>
      </c>
      <c r="B2261" s="91" t="str">
        <f t="shared" si="198"/>
        <v>206.T</v>
      </c>
      <c r="C2261" s="83" t="s">
        <v>366</v>
      </c>
      <c r="D2261" s="81" t="s">
        <v>2238</v>
      </c>
      <c r="E2261" s="48">
        <v>400608</v>
      </c>
      <c r="F2261" s="30" t="s">
        <v>220</v>
      </c>
      <c r="G2261" s="29" t="s">
        <v>106</v>
      </c>
      <c r="H2261" s="30" t="s">
        <v>2492</v>
      </c>
      <c r="I2261" s="78"/>
      <c r="J2261" s="20"/>
      <c r="K2261" s="20"/>
      <c r="L2261" s="20"/>
      <c r="M2261" s="20"/>
      <c r="N2261" s="179" t="s">
        <v>502</v>
      </c>
      <c r="O2261" s="70">
        <v>0</v>
      </c>
      <c r="P2261" s="70">
        <v>0</v>
      </c>
      <c r="Q2261" s="70">
        <f t="shared" si="193"/>
        <v>0</v>
      </c>
      <c r="R2261" s="70"/>
      <c r="S2261" s="67"/>
      <c r="T2261" s="2" t="str">
        <f t="shared" si="194"/>
        <v>Võ Thanh Toàn_12VH1</v>
      </c>
      <c r="U2261" s="28">
        <f t="array" ref="U2261">IFERROR(VLOOKUP($T2261,'Nghi hoc T12'!$H$7:$I$160,2,0),0)</f>
        <v>0</v>
      </c>
      <c r="V2261" s="28"/>
      <c r="W2261" s="28">
        <f t="shared" si="195"/>
        <v>0</v>
      </c>
      <c r="X2261" s="333">
        <f t="shared" si="196"/>
        <v>0</v>
      </c>
      <c r="Y2261" s="333">
        <f t="shared" si="197"/>
        <v>0</v>
      </c>
    </row>
    <row r="2262" spans="1:25" s="2" customFormat="1" ht="21.95" customHeight="1">
      <c r="A2262" s="82">
        <v>9</v>
      </c>
      <c r="B2262" s="91" t="str">
        <f t="shared" si="198"/>
        <v>206.T</v>
      </c>
      <c r="C2262" s="83" t="s">
        <v>366</v>
      </c>
      <c r="D2262" s="81" t="s">
        <v>2238</v>
      </c>
      <c r="E2262" s="48">
        <v>400609</v>
      </c>
      <c r="F2262" s="30" t="s">
        <v>2562</v>
      </c>
      <c r="G2262" s="29" t="s">
        <v>29</v>
      </c>
      <c r="H2262" s="30" t="s">
        <v>2492</v>
      </c>
      <c r="I2262" s="78"/>
      <c r="J2262" s="20"/>
      <c r="K2262" s="20"/>
      <c r="L2262" s="20"/>
      <c r="M2262" s="20"/>
      <c r="N2262" s="179" t="s">
        <v>502</v>
      </c>
      <c r="O2262" s="70">
        <v>0</v>
      </c>
      <c r="P2262" s="70">
        <v>0</v>
      </c>
      <c r="Q2262" s="70">
        <f t="shared" si="193"/>
        <v>0</v>
      </c>
      <c r="R2262" s="70"/>
      <c r="S2262" s="67"/>
      <c r="T2262" s="2" t="str">
        <f t="shared" si="194"/>
        <v>Trần Hoài Trâm_12VH1</v>
      </c>
      <c r="U2262" s="28">
        <f t="array" ref="U2262">IFERROR(VLOOKUP($T2262,'Nghi hoc T12'!$H$7:$I$160,2,0),0)</f>
        <v>0</v>
      </c>
      <c r="V2262" s="28"/>
      <c r="W2262" s="28">
        <f t="shared" si="195"/>
        <v>0</v>
      </c>
      <c r="X2262" s="333">
        <f t="shared" si="196"/>
        <v>0</v>
      </c>
      <c r="Y2262" s="333">
        <f t="shared" si="197"/>
        <v>0</v>
      </c>
    </row>
    <row r="2263" spans="1:25" s="2" customFormat="1" ht="21.95" customHeight="1">
      <c r="A2263" s="82">
        <v>10</v>
      </c>
      <c r="B2263" s="91" t="str">
        <f t="shared" si="198"/>
        <v>206.T</v>
      </c>
      <c r="C2263" s="83" t="s">
        <v>366</v>
      </c>
      <c r="D2263" s="81" t="s">
        <v>2238</v>
      </c>
      <c r="E2263" s="48">
        <v>400610</v>
      </c>
      <c r="F2263" s="30" t="s">
        <v>300</v>
      </c>
      <c r="G2263" s="29" t="s">
        <v>29</v>
      </c>
      <c r="H2263" s="30" t="s">
        <v>2493</v>
      </c>
      <c r="I2263" s="78"/>
      <c r="J2263" s="20"/>
      <c r="K2263" s="20"/>
      <c r="L2263" s="20"/>
      <c r="M2263" s="20"/>
      <c r="N2263" s="179" t="s">
        <v>502</v>
      </c>
      <c r="O2263" s="70">
        <v>0</v>
      </c>
      <c r="P2263" s="70">
        <v>0</v>
      </c>
      <c r="Q2263" s="70">
        <f t="shared" si="193"/>
        <v>0</v>
      </c>
      <c r="R2263" s="70"/>
      <c r="S2263" s="67"/>
      <c r="T2263" s="2" t="str">
        <f t="shared" si="194"/>
        <v>Trần Thị Bảo Trâm_12VH2</v>
      </c>
      <c r="U2263" s="28">
        <f t="array" ref="U2263">IFERROR(VLOOKUP($T2263,'Nghi hoc T12'!$H$7:$I$160,2,0),0)</f>
        <v>0</v>
      </c>
      <c r="V2263" s="28"/>
      <c r="W2263" s="28">
        <f t="shared" si="195"/>
        <v>0</v>
      </c>
      <c r="X2263" s="333">
        <f t="shared" si="196"/>
        <v>0</v>
      </c>
      <c r="Y2263" s="333">
        <f t="shared" si="197"/>
        <v>0</v>
      </c>
    </row>
    <row r="2264" spans="1:25" s="2" customFormat="1" ht="21.95" customHeight="1">
      <c r="A2264" s="82">
        <v>11</v>
      </c>
      <c r="B2264" s="91" t="str">
        <f t="shared" si="198"/>
        <v>206.T</v>
      </c>
      <c r="C2264" s="83" t="s">
        <v>366</v>
      </c>
      <c r="D2264" s="81" t="s">
        <v>2238</v>
      </c>
      <c r="E2264" s="48">
        <v>400611</v>
      </c>
      <c r="F2264" s="30" t="s">
        <v>2563</v>
      </c>
      <c r="G2264" s="29" t="s">
        <v>81</v>
      </c>
      <c r="H2264" s="30" t="s">
        <v>2492</v>
      </c>
      <c r="I2264" s="78"/>
      <c r="J2264" s="20"/>
      <c r="K2264" s="20"/>
      <c r="L2264" s="20"/>
      <c r="M2264" s="20"/>
      <c r="N2264" s="179" t="s">
        <v>502</v>
      </c>
      <c r="O2264" s="70">
        <v>0</v>
      </c>
      <c r="P2264" s="70">
        <v>0</v>
      </c>
      <c r="Q2264" s="70">
        <f t="shared" si="193"/>
        <v>0</v>
      </c>
      <c r="R2264" s="70"/>
      <c r="S2264" s="67"/>
      <c r="T2264" s="2" t="str">
        <f t="shared" si="194"/>
        <v>Đỗ Huỳnh Bảo Trân_12VH1</v>
      </c>
      <c r="U2264" s="28">
        <f t="array" ref="U2264">IFERROR(VLOOKUP($T2264,'Nghi hoc T12'!$H$7:$I$160,2,0),0)</f>
        <v>0</v>
      </c>
      <c r="V2264" s="28"/>
      <c r="W2264" s="28">
        <f t="shared" si="195"/>
        <v>0</v>
      </c>
      <c r="X2264" s="333">
        <f t="shared" si="196"/>
        <v>0</v>
      </c>
      <c r="Y2264" s="333">
        <f t="shared" si="197"/>
        <v>0</v>
      </c>
    </row>
    <row r="2265" spans="1:25" s="2" customFormat="1" ht="21.95" customHeight="1">
      <c r="A2265" s="82">
        <v>12</v>
      </c>
      <c r="B2265" s="91" t="str">
        <f t="shared" si="198"/>
        <v>206.T</v>
      </c>
      <c r="C2265" s="83" t="s">
        <v>366</v>
      </c>
      <c r="D2265" s="81" t="s">
        <v>2238</v>
      </c>
      <c r="E2265" s="48">
        <v>400612</v>
      </c>
      <c r="F2265" s="30" t="s">
        <v>210</v>
      </c>
      <c r="G2265" s="29" t="s">
        <v>206</v>
      </c>
      <c r="H2265" s="30" t="s">
        <v>2493</v>
      </c>
      <c r="I2265" s="78"/>
      <c r="J2265" s="20"/>
      <c r="K2265" s="20"/>
      <c r="L2265" s="20"/>
      <c r="M2265" s="20"/>
      <c r="N2265" s="179" t="s">
        <v>502</v>
      </c>
      <c r="O2265" s="70">
        <v>0</v>
      </c>
      <c r="P2265" s="70">
        <v>0</v>
      </c>
      <c r="Q2265" s="70">
        <f t="shared" si="193"/>
        <v>0</v>
      </c>
      <c r="R2265" s="70"/>
      <c r="S2265" s="67"/>
      <c r="T2265" s="2" t="str">
        <f t="shared" si="194"/>
        <v>Võ Minh Trí_12VH2</v>
      </c>
      <c r="U2265" s="28">
        <f t="array" ref="U2265">IFERROR(VLOOKUP($T2265,'Nghi hoc T12'!$H$7:$I$160,2,0),0)</f>
        <v>0</v>
      </c>
      <c r="V2265" s="28"/>
      <c r="W2265" s="28">
        <f t="shared" si="195"/>
        <v>0</v>
      </c>
      <c r="X2265" s="333">
        <f t="shared" si="196"/>
        <v>0</v>
      </c>
      <c r="Y2265" s="333">
        <f t="shared" si="197"/>
        <v>0</v>
      </c>
    </row>
    <row r="2266" spans="1:25" s="2" customFormat="1" ht="21.95" customHeight="1">
      <c r="A2266" s="82">
        <v>13</v>
      </c>
      <c r="B2266" s="91" t="str">
        <f t="shared" si="198"/>
        <v>206.T</v>
      </c>
      <c r="C2266" s="83" t="s">
        <v>366</v>
      </c>
      <c r="D2266" s="81" t="s">
        <v>2238</v>
      </c>
      <c r="E2266" s="48">
        <v>400613</v>
      </c>
      <c r="F2266" s="30" t="s">
        <v>286</v>
      </c>
      <c r="G2266" s="29" t="s">
        <v>51</v>
      </c>
      <c r="H2266" s="30" t="s">
        <v>2492</v>
      </c>
      <c r="I2266" s="78"/>
      <c r="J2266" s="20"/>
      <c r="K2266" s="20"/>
      <c r="L2266" s="20"/>
      <c r="M2266" s="20"/>
      <c r="N2266" s="179" t="s">
        <v>502</v>
      </c>
      <c r="O2266" s="70">
        <v>0</v>
      </c>
      <c r="P2266" s="70">
        <v>0</v>
      </c>
      <c r="Q2266" s="70">
        <f t="shared" si="193"/>
        <v>0</v>
      </c>
      <c r="R2266" s="70"/>
      <c r="S2266" s="67"/>
      <c r="T2266" s="2" t="str">
        <f t="shared" si="194"/>
        <v>Lê Cẩm Tú_12VH1</v>
      </c>
      <c r="U2266" s="28">
        <f t="array" ref="U2266">IFERROR(VLOOKUP($T2266,'Nghi hoc T12'!$H$7:$I$160,2,0),0)</f>
        <v>0</v>
      </c>
      <c r="V2266" s="28"/>
      <c r="W2266" s="28">
        <f t="shared" si="195"/>
        <v>0</v>
      </c>
      <c r="X2266" s="333">
        <f t="shared" si="196"/>
        <v>0</v>
      </c>
      <c r="Y2266" s="333">
        <f t="shared" si="197"/>
        <v>0</v>
      </c>
    </row>
    <row r="2267" spans="1:25" s="2" customFormat="1" ht="21.95" customHeight="1">
      <c r="A2267" s="82">
        <v>14</v>
      </c>
      <c r="B2267" s="91" t="str">
        <f t="shared" si="198"/>
        <v>206.T</v>
      </c>
      <c r="C2267" s="83" t="s">
        <v>366</v>
      </c>
      <c r="D2267" s="81" t="s">
        <v>2238</v>
      </c>
      <c r="E2267" s="48">
        <v>400614</v>
      </c>
      <c r="F2267" s="30" t="s">
        <v>148</v>
      </c>
      <c r="G2267" s="29" t="s">
        <v>52</v>
      </c>
      <c r="H2267" s="30" t="s">
        <v>2492</v>
      </c>
      <c r="I2267" s="78"/>
      <c r="J2267" s="20"/>
      <c r="K2267" s="20"/>
      <c r="L2267" s="20"/>
      <c r="M2267" s="20"/>
      <c r="N2267" s="179" t="s">
        <v>502</v>
      </c>
      <c r="O2267" s="70">
        <v>0</v>
      </c>
      <c r="P2267" s="70">
        <v>0</v>
      </c>
      <c r="Q2267" s="70">
        <f t="shared" si="193"/>
        <v>0</v>
      </c>
      <c r="R2267" s="70"/>
      <c r="S2267" s="67"/>
      <c r="T2267" s="2" t="str">
        <f t="shared" si="194"/>
        <v>Nguyễn Anh Tuấn_12VH1</v>
      </c>
      <c r="U2267" s="28">
        <f t="array" ref="U2267">IFERROR(VLOOKUP($T2267,'Nghi hoc T12'!$H$7:$I$160,2,0),0)</f>
        <v>0</v>
      </c>
      <c r="V2267" s="28"/>
      <c r="W2267" s="28">
        <f t="shared" si="195"/>
        <v>0</v>
      </c>
      <c r="X2267" s="333">
        <f t="shared" si="196"/>
        <v>0</v>
      </c>
      <c r="Y2267" s="333">
        <f t="shared" si="197"/>
        <v>0</v>
      </c>
    </row>
    <row r="2268" spans="1:25" s="2" customFormat="1" ht="21.95" customHeight="1">
      <c r="A2268" s="82">
        <v>15</v>
      </c>
      <c r="B2268" s="91" t="str">
        <f t="shared" si="198"/>
        <v>206.T</v>
      </c>
      <c r="C2268" s="83" t="s">
        <v>366</v>
      </c>
      <c r="D2268" s="81" t="s">
        <v>2238</v>
      </c>
      <c r="E2268" s="48">
        <v>400615</v>
      </c>
      <c r="F2268" s="30" t="s">
        <v>148</v>
      </c>
      <c r="G2268" s="29" t="s">
        <v>52</v>
      </c>
      <c r="H2268" s="30" t="s">
        <v>2495</v>
      </c>
      <c r="I2268" s="78"/>
      <c r="J2268" s="20"/>
      <c r="K2268" s="20"/>
      <c r="L2268" s="20"/>
      <c r="M2268" s="20"/>
      <c r="N2268" s="179" t="s">
        <v>502</v>
      </c>
      <c r="O2268" s="70">
        <v>0</v>
      </c>
      <c r="P2268" s="70">
        <v>0</v>
      </c>
      <c r="Q2268" s="70">
        <f t="shared" si="193"/>
        <v>0</v>
      </c>
      <c r="R2268" s="70"/>
      <c r="S2268" s="67"/>
      <c r="T2268" s="2" t="str">
        <f t="shared" si="194"/>
        <v>Nguyễn Anh Tuấn_12VH3</v>
      </c>
      <c r="U2268" s="28">
        <f t="array" ref="U2268">IFERROR(VLOOKUP($T2268,'Nghi hoc T12'!$H$7:$I$160,2,0),0)</f>
        <v>0</v>
      </c>
      <c r="V2268" s="28"/>
      <c r="W2268" s="28">
        <f t="shared" si="195"/>
        <v>0</v>
      </c>
      <c r="X2268" s="333">
        <f t="shared" si="196"/>
        <v>0</v>
      </c>
      <c r="Y2268" s="333">
        <f t="shared" si="197"/>
        <v>0</v>
      </c>
    </row>
    <row r="2269" spans="1:25" s="2" customFormat="1" ht="21.95" customHeight="1">
      <c r="A2269" s="82">
        <v>16</v>
      </c>
      <c r="B2269" s="91" t="str">
        <f t="shared" si="198"/>
        <v>206.T</v>
      </c>
      <c r="C2269" s="83" t="s">
        <v>366</v>
      </c>
      <c r="D2269" s="81" t="s">
        <v>2238</v>
      </c>
      <c r="E2269" s="48">
        <v>400616</v>
      </c>
      <c r="F2269" s="30" t="s">
        <v>2564</v>
      </c>
      <c r="G2269" s="29" t="s">
        <v>2565</v>
      </c>
      <c r="H2269" s="30" t="s">
        <v>2493</v>
      </c>
      <c r="I2269" s="78"/>
      <c r="J2269" s="20"/>
      <c r="K2269" s="20"/>
      <c r="L2269" s="20"/>
      <c r="M2269" s="20"/>
      <c r="N2269" s="179" t="s">
        <v>502</v>
      </c>
      <c r="O2269" s="70">
        <v>0</v>
      </c>
      <c r="P2269" s="70">
        <v>0</v>
      </c>
      <c r="Q2269" s="70">
        <f t="shared" si="193"/>
        <v>0</v>
      </c>
      <c r="R2269" s="70"/>
      <c r="S2269" s="67"/>
      <c r="T2269" s="2" t="str">
        <f t="shared" si="194"/>
        <v>Lê Tri Túc_12VH2</v>
      </c>
      <c r="U2269" s="28">
        <f t="array" ref="U2269">IFERROR(VLOOKUP($T2269,'Nghi hoc T12'!$H$7:$I$160,2,0),0)</f>
        <v>0</v>
      </c>
      <c r="V2269" s="28"/>
      <c r="W2269" s="28">
        <f t="shared" si="195"/>
        <v>0</v>
      </c>
      <c r="X2269" s="333">
        <f t="shared" si="196"/>
        <v>0</v>
      </c>
      <c r="Y2269" s="333">
        <f t="shared" si="197"/>
        <v>0</v>
      </c>
    </row>
    <row r="2270" spans="1:25" s="2" customFormat="1" ht="21.95" customHeight="1">
      <c r="A2270" s="82">
        <v>17</v>
      </c>
      <c r="B2270" s="91" t="str">
        <f t="shared" si="198"/>
        <v>206.T</v>
      </c>
      <c r="C2270" s="83" t="s">
        <v>366</v>
      </c>
      <c r="D2270" s="81" t="s">
        <v>2238</v>
      </c>
      <c r="E2270" s="48">
        <v>400617</v>
      </c>
      <c r="F2270" s="30" t="s">
        <v>144</v>
      </c>
      <c r="G2270" s="29" t="s">
        <v>73</v>
      </c>
      <c r="H2270" s="30" t="s">
        <v>2493</v>
      </c>
      <c r="I2270" s="78"/>
      <c r="J2270" s="20"/>
      <c r="K2270" s="20"/>
      <c r="L2270" s="20"/>
      <c r="M2270" s="20"/>
      <c r="N2270" s="179" t="s">
        <v>502</v>
      </c>
      <c r="O2270" s="70">
        <v>0</v>
      </c>
      <c r="P2270" s="70">
        <v>0</v>
      </c>
      <c r="Q2270" s="70">
        <f t="shared" si="193"/>
        <v>0</v>
      </c>
      <c r="R2270" s="70"/>
      <c r="S2270" s="67"/>
      <c r="T2270" s="2" t="str">
        <f t="shared" si="194"/>
        <v>Trương Ngọc Tuyền_12VH2</v>
      </c>
      <c r="U2270" s="28">
        <f t="array" ref="U2270">IFERROR(VLOOKUP($T2270,'Nghi hoc T12'!$H$7:$I$160,2,0),0)</f>
        <v>0</v>
      </c>
      <c r="V2270" s="28"/>
      <c r="W2270" s="28">
        <f t="shared" si="195"/>
        <v>0</v>
      </c>
      <c r="X2270" s="333">
        <f t="shared" si="196"/>
        <v>0</v>
      </c>
      <c r="Y2270" s="333">
        <f t="shared" si="197"/>
        <v>0</v>
      </c>
    </row>
    <row r="2271" spans="1:25" s="2" customFormat="1" ht="21.95" customHeight="1">
      <c r="A2271" s="82">
        <v>18</v>
      </c>
      <c r="B2271" s="91" t="str">
        <f t="shared" si="198"/>
        <v>206.T</v>
      </c>
      <c r="C2271" s="83" t="s">
        <v>366</v>
      </c>
      <c r="D2271" s="81" t="s">
        <v>2238</v>
      </c>
      <c r="E2271" s="48">
        <v>400618</v>
      </c>
      <c r="F2271" s="30" t="s">
        <v>2566</v>
      </c>
      <c r="G2271" s="29" t="s">
        <v>117</v>
      </c>
      <c r="H2271" s="30" t="s">
        <v>2493</v>
      </c>
      <c r="I2271" s="78"/>
      <c r="J2271" s="20"/>
      <c r="K2271" s="20"/>
      <c r="L2271" s="20"/>
      <c r="M2271" s="20"/>
      <c r="N2271" s="179" t="s">
        <v>502</v>
      </c>
      <c r="O2271" s="70">
        <v>0</v>
      </c>
      <c r="P2271" s="70">
        <v>0</v>
      </c>
      <c r="Q2271" s="70">
        <f t="shared" si="193"/>
        <v>0</v>
      </c>
      <c r="R2271" s="70"/>
      <c r="S2271" s="67"/>
      <c r="T2271" s="2" t="str">
        <f t="shared" si="194"/>
        <v>Huỳnh Dĩ Tường_12VH2</v>
      </c>
      <c r="U2271" s="28">
        <f t="array" ref="U2271">IFERROR(VLOOKUP($T2271,'Nghi hoc T12'!$H$7:$I$160,2,0),0)</f>
        <v>0</v>
      </c>
      <c r="V2271" s="28"/>
      <c r="W2271" s="28">
        <f t="shared" si="195"/>
        <v>0</v>
      </c>
      <c r="X2271" s="333">
        <f t="shared" si="196"/>
        <v>0</v>
      </c>
      <c r="Y2271" s="333">
        <f t="shared" si="197"/>
        <v>0</v>
      </c>
    </row>
    <row r="2272" spans="1:25" s="2" customFormat="1" ht="21.95" customHeight="1">
      <c r="A2272" s="82">
        <v>19</v>
      </c>
      <c r="B2272" s="91" t="str">
        <f t="shared" si="198"/>
        <v>206.T</v>
      </c>
      <c r="C2272" s="83" t="s">
        <v>366</v>
      </c>
      <c r="D2272" s="81" t="s">
        <v>2238</v>
      </c>
      <c r="E2272" s="48">
        <v>400619</v>
      </c>
      <c r="F2272" s="30" t="s">
        <v>2567</v>
      </c>
      <c r="G2272" s="29" t="s">
        <v>74</v>
      </c>
      <c r="H2272" s="30" t="s">
        <v>2493</v>
      </c>
      <c r="I2272" s="78"/>
      <c r="J2272" s="20"/>
      <c r="K2272" s="20"/>
      <c r="L2272" s="20"/>
      <c r="M2272" s="20"/>
      <c r="N2272" s="179" t="s">
        <v>502</v>
      </c>
      <c r="O2272" s="70">
        <v>0</v>
      </c>
      <c r="P2272" s="70">
        <v>0</v>
      </c>
      <c r="Q2272" s="70">
        <f t="shared" si="193"/>
        <v>0</v>
      </c>
      <c r="R2272" s="70"/>
      <c r="S2272" s="67"/>
      <c r="T2272" s="2" t="str">
        <f t="shared" si="194"/>
        <v>Tống Nguyễn Uyên Vi_12VH2</v>
      </c>
      <c r="U2272" s="28">
        <f t="array" ref="U2272">IFERROR(VLOOKUP($T2272,'Nghi hoc T12'!$H$7:$I$160,2,0),0)</f>
        <v>0</v>
      </c>
      <c r="V2272" s="28"/>
      <c r="W2272" s="28">
        <f t="shared" si="195"/>
        <v>0</v>
      </c>
      <c r="X2272" s="333">
        <f t="shared" si="196"/>
        <v>0</v>
      </c>
      <c r="Y2272" s="333">
        <f t="shared" si="197"/>
        <v>0</v>
      </c>
    </row>
    <row r="2273" spans="1:25" s="2" customFormat="1" ht="21.95" customHeight="1">
      <c r="A2273" s="82">
        <v>20</v>
      </c>
      <c r="B2273" s="91" t="str">
        <f t="shared" si="198"/>
        <v>206.T</v>
      </c>
      <c r="C2273" s="83" t="s">
        <v>366</v>
      </c>
      <c r="D2273" s="81" t="s">
        <v>2238</v>
      </c>
      <c r="E2273" s="48">
        <v>400620</v>
      </c>
      <c r="F2273" s="30" t="s">
        <v>216</v>
      </c>
      <c r="G2273" s="29" t="s">
        <v>2568</v>
      </c>
      <c r="H2273" s="30" t="s">
        <v>2495</v>
      </c>
      <c r="I2273" s="78"/>
      <c r="J2273" s="20"/>
      <c r="K2273" s="20"/>
      <c r="L2273" s="20"/>
      <c r="M2273" s="20"/>
      <c r="N2273" s="179" t="s">
        <v>502</v>
      </c>
      <c r="O2273" s="70">
        <v>0</v>
      </c>
      <c r="P2273" s="70">
        <v>0</v>
      </c>
      <c r="Q2273" s="70">
        <f t="shared" si="193"/>
        <v>0</v>
      </c>
      <c r="R2273" s="70"/>
      <c r="S2273" s="67"/>
      <c r="T2273" s="2" t="str">
        <f t="shared" si="194"/>
        <v>Nguyễn Nhật Viễn_12VH3</v>
      </c>
      <c r="U2273" s="28">
        <f t="array" ref="U2273">IFERROR(VLOOKUP($T2273,'Nghi hoc T12'!$H$7:$I$160,2,0),0)</f>
        <v>0</v>
      </c>
      <c r="V2273" s="28"/>
      <c r="W2273" s="28">
        <f t="shared" si="195"/>
        <v>0</v>
      </c>
      <c r="X2273" s="333">
        <f t="shared" si="196"/>
        <v>0</v>
      </c>
      <c r="Y2273" s="333">
        <f t="shared" si="197"/>
        <v>0</v>
      </c>
    </row>
    <row r="2274" spans="1:25" s="2" customFormat="1" ht="21.95" customHeight="1">
      <c r="A2274" s="82">
        <v>21</v>
      </c>
      <c r="B2274" s="91" t="str">
        <f t="shared" si="198"/>
        <v>206.T</v>
      </c>
      <c r="C2274" s="83" t="s">
        <v>366</v>
      </c>
      <c r="D2274" s="81" t="s">
        <v>2238</v>
      </c>
      <c r="E2274" s="48">
        <v>400621</v>
      </c>
      <c r="F2274" s="30" t="s">
        <v>2569</v>
      </c>
      <c r="G2274" s="29" t="s">
        <v>33</v>
      </c>
      <c r="H2274" s="30" t="s">
        <v>2492</v>
      </c>
      <c r="I2274" s="78"/>
      <c r="J2274" s="20"/>
      <c r="K2274" s="20"/>
      <c r="L2274" s="20"/>
      <c r="M2274" s="20"/>
      <c r="N2274" s="179" t="s">
        <v>502</v>
      </c>
      <c r="O2274" s="70">
        <v>0</v>
      </c>
      <c r="P2274" s="70">
        <v>0</v>
      </c>
      <c r="Q2274" s="70">
        <f t="shared" si="193"/>
        <v>0</v>
      </c>
      <c r="R2274" s="70"/>
      <c r="S2274" s="67"/>
      <c r="T2274" s="2" t="str">
        <f t="shared" si="194"/>
        <v>Hà Đức Việt_12VH1</v>
      </c>
      <c r="U2274" s="28">
        <f t="array" ref="U2274">IFERROR(VLOOKUP($T2274,'Nghi hoc T12'!$H$7:$I$160,2,0),0)</f>
        <v>0</v>
      </c>
      <c r="V2274" s="28"/>
      <c r="W2274" s="28">
        <f t="shared" si="195"/>
        <v>0</v>
      </c>
      <c r="X2274" s="333">
        <f t="shared" si="196"/>
        <v>0</v>
      </c>
      <c r="Y2274" s="333">
        <f t="shared" si="197"/>
        <v>0</v>
      </c>
    </row>
    <row r="2275" spans="1:25" s="2" customFormat="1" ht="21.95" customHeight="1">
      <c r="A2275" s="82">
        <v>22</v>
      </c>
      <c r="B2275" s="91" t="str">
        <f t="shared" si="198"/>
        <v>206.T</v>
      </c>
      <c r="C2275" s="83" t="s">
        <v>366</v>
      </c>
      <c r="D2275" s="81" t="s">
        <v>2238</v>
      </c>
      <c r="E2275" s="48">
        <v>400622</v>
      </c>
      <c r="F2275" s="30" t="s">
        <v>151</v>
      </c>
      <c r="G2275" s="29" t="s">
        <v>33</v>
      </c>
      <c r="H2275" s="30" t="s">
        <v>2493</v>
      </c>
      <c r="I2275" s="78" t="s">
        <v>529</v>
      </c>
      <c r="J2275" s="20"/>
      <c r="K2275" s="20"/>
      <c r="L2275" s="20"/>
      <c r="M2275" s="20"/>
      <c r="N2275" s="179" t="s">
        <v>502</v>
      </c>
      <c r="O2275" s="70">
        <v>0</v>
      </c>
      <c r="P2275" s="70">
        <v>0</v>
      </c>
      <c r="Q2275" s="70" t="str">
        <f t="shared" si="193"/>
        <v>NgiH</v>
      </c>
      <c r="R2275" s="70"/>
      <c r="S2275" s="67"/>
      <c r="T2275" s="2" t="str">
        <f t="shared" si="194"/>
        <v>Nguyễn Hoàng Việt_12VH2</v>
      </c>
      <c r="U2275" s="28" t="str">
        <f t="array" ref="U2275">IFERROR(VLOOKUP($T2275,'Nghi hoc T12'!$H$7:$I$160,2,0),0)</f>
        <v>NgiH</v>
      </c>
      <c r="V2275" s="28"/>
      <c r="W2275" s="28" t="str">
        <f t="shared" si="195"/>
        <v>Nghỉ học</v>
      </c>
      <c r="X2275" s="333">
        <f t="shared" si="196"/>
        <v>0</v>
      </c>
      <c r="Y2275" s="333">
        <f t="shared" si="197"/>
        <v>0</v>
      </c>
    </row>
    <row r="2276" spans="1:25" s="2" customFormat="1" ht="21.95" customHeight="1">
      <c r="A2276" s="82">
        <v>23</v>
      </c>
      <c r="B2276" s="91" t="str">
        <f t="shared" si="198"/>
        <v>206.T</v>
      </c>
      <c r="C2276" s="83" t="s">
        <v>366</v>
      </c>
      <c r="D2276" s="81" t="s">
        <v>2238</v>
      </c>
      <c r="E2276" s="48">
        <v>400623</v>
      </c>
      <c r="F2276" s="30" t="s">
        <v>2198</v>
      </c>
      <c r="G2276" s="29" t="s">
        <v>34</v>
      </c>
      <c r="H2276" s="30" t="s">
        <v>2495</v>
      </c>
      <c r="I2276" s="78"/>
      <c r="J2276" s="20"/>
      <c r="K2276" s="20"/>
      <c r="L2276" s="20"/>
      <c r="M2276" s="20"/>
      <c r="N2276" s="179" t="s">
        <v>502</v>
      </c>
      <c r="O2276" s="70">
        <v>0</v>
      </c>
      <c r="P2276" s="70">
        <v>0</v>
      </c>
      <c r="Q2276" s="70">
        <f t="shared" si="193"/>
        <v>0</v>
      </c>
      <c r="R2276" s="70"/>
      <c r="S2276" s="67"/>
      <c r="T2276" s="2" t="str">
        <f t="shared" si="194"/>
        <v>Lê Hoàng Thảo Vy_12VH3</v>
      </c>
      <c r="U2276" s="28">
        <f t="array" ref="U2276">IFERROR(VLOOKUP($T2276,'Nghi hoc T12'!$H$7:$I$160,2,0),0)</f>
        <v>0</v>
      </c>
      <c r="V2276" s="28"/>
      <c r="W2276" s="28">
        <f t="shared" si="195"/>
        <v>0</v>
      </c>
      <c r="X2276" s="333">
        <f t="shared" si="196"/>
        <v>0</v>
      </c>
      <c r="Y2276" s="333">
        <f t="shared" si="197"/>
        <v>0</v>
      </c>
    </row>
    <row r="2277" spans="1:25" s="2" customFormat="1" ht="21.95" customHeight="1">
      <c r="A2277" s="82">
        <v>24</v>
      </c>
      <c r="B2277" s="91" t="str">
        <f t="shared" si="198"/>
        <v>206.T</v>
      </c>
      <c r="C2277" s="83" t="s">
        <v>366</v>
      </c>
      <c r="D2277" s="81" t="s">
        <v>2238</v>
      </c>
      <c r="E2277" s="48">
        <v>400624</v>
      </c>
      <c r="F2277" s="30" t="s">
        <v>2570</v>
      </c>
      <c r="G2277" s="29" t="s">
        <v>34</v>
      </c>
      <c r="H2277" s="30" t="s">
        <v>2493</v>
      </c>
      <c r="I2277" s="78"/>
      <c r="J2277" s="20"/>
      <c r="K2277" s="20"/>
      <c r="L2277" s="20"/>
      <c r="M2277" s="20"/>
      <c r="N2277" s="179" t="s">
        <v>502</v>
      </c>
      <c r="O2277" s="70">
        <v>0</v>
      </c>
      <c r="P2277" s="70">
        <v>0</v>
      </c>
      <c r="Q2277" s="70">
        <f t="shared" si="193"/>
        <v>0</v>
      </c>
      <c r="R2277" s="70"/>
      <c r="S2277" s="67"/>
      <c r="T2277" s="2" t="str">
        <f t="shared" si="194"/>
        <v>Trần Đoàn Khánh Vy_12VH2</v>
      </c>
      <c r="U2277" s="28">
        <f t="array" ref="U2277">IFERROR(VLOOKUP($T2277,'Nghi hoc T12'!$H$7:$I$160,2,0),0)</f>
        <v>0</v>
      </c>
      <c r="V2277" s="28"/>
      <c r="W2277" s="28">
        <f t="shared" si="195"/>
        <v>0</v>
      </c>
      <c r="X2277" s="333">
        <f t="shared" si="196"/>
        <v>0</v>
      </c>
      <c r="Y2277" s="333">
        <f t="shared" si="197"/>
        <v>0</v>
      </c>
    </row>
    <row r="2278" spans="1:25" s="2" customFormat="1" ht="21.95" customHeight="1">
      <c r="A2278" s="82">
        <v>25</v>
      </c>
      <c r="B2278" s="91" t="str">
        <f t="shared" si="198"/>
        <v>206.T</v>
      </c>
      <c r="C2278" s="83" t="s">
        <v>366</v>
      </c>
      <c r="D2278" s="81" t="s">
        <v>2238</v>
      </c>
      <c r="E2278" s="48">
        <v>400625</v>
      </c>
      <c r="F2278" s="30" t="s">
        <v>2571</v>
      </c>
      <c r="G2278" s="29" t="s">
        <v>75</v>
      </c>
      <c r="H2278" s="30" t="s">
        <v>2492</v>
      </c>
      <c r="I2278" s="78"/>
      <c r="J2278" s="20"/>
      <c r="K2278" s="20"/>
      <c r="L2278" s="20"/>
      <c r="M2278" s="20"/>
      <c r="N2278" s="179" t="s">
        <v>502</v>
      </c>
      <c r="O2278" s="70">
        <v>0</v>
      </c>
      <c r="P2278" s="70">
        <v>0</v>
      </c>
      <c r="Q2278" s="70">
        <f t="shared" si="193"/>
        <v>0</v>
      </c>
      <c r="R2278" s="70"/>
      <c r="S2278" s="67"/>
      <c r="T2278" s="2" t="str">
        <f t="shared" si="194"/>
        <v>Trần Ngọc Như Ý_12VH1</v>
      </c>
      <c r="U2278" s="28">
        <f t="array" ref="U2278">IFERROR(VLOOKUP($T2278,'Nghi hoc T12'!$H$7:$I$160,2,0),0)</f>
        <v>0</v>
      </c>
      <c r="V2278" s="28"/>
      <c r="W2278" s="28">
        <f t="shared" si="195"/>
        <v>0</v>
      </c>
      <c r="X2278" s="333">
        <f t="shared" si="196"/>
        <v>0</v>
      </c>
      <c r="Y2278" s="333">
        <f t="shared" si="197"/>
        <v>0</v>
      </c>
    </row>
    <row r="2279" spans="1:25" s="2" customFormat="1" ht="21.95" customHeight="1">
      <c r="A2279" s="82">
        <v>26</v>
      </c>
      <c r="B2279" s="91" t="str">
        <f t="shared" si="198"/>
        <v>206.T</v>
      </c>
      <c r="C2279" s="83" t="s">
        <v>366</v>
      </c>
      <c r="D2279" s="81" t="s">
        <v>2238</v>
      </c>
      <c r="E2279" s="48">
        <v>400626</v>
      </c>
      <c r="F2279" s="30" t="s">
        <v>2572</v>
      </c>
      <c r="G2279" s="29" t="s">
        <v>62</v>
      </c>
      <c r="H2279" s="30" t="s">
        <v>2493</v>
      </c>
      <c r="I2279" s="78"/>
      <c r="J2279" s="20"/>
      <c r="K2279" s="20"/>
      <c r="L2279" s="20"/>
      <c r="M2279" s="20"/>
      <c r="N2279" s="179" t="s">
        <v>502</v>
      </c>
      <c r="O2279" s="70">
        <v>0</v>
      </c>
      <c r="P2279" s="70">
        <v>0</v>
      </c>
      <c r="Q2279" s="70">
        <f t="shared" si="193"/>
        <v>0</v>
      </c>
      <c r="R2279" s="70"/>
      <c r="S2279" s="67"/>
      <c r="T2279" s="2" t="str">
        <f t="shared" si="194"/>
        <v>Trần Nguyễn Hải Yến_12VH2</v>
      </c>
      <c r="U2279" s="28">
        <f t="array" ref="U2279">IFERROR(VLOOKUP($T2279,'Nghi hoc T12'!$H$7:$I$160,2,0),0)</f>
        <v>0</v>
      </c>
      <c r="V2279" s="28"/>
      <c r="W2279" s="28">
        <f t="shared" si="195"/>
        <v>0</v>
      </c>
      <c r="X2279" s="333">
        <f t="shared" si="196"/>
        <v>0</v>
      </c>
      <c r="Y2279" s="333">
        <f t="shared" si="197"/>
        <v>0</v>
      </c>
    </row>
    <row r="2280" spans="1:25" s="2" customFormat="1" ht="21.95" customHeight="1">
      <c r="A2280" s="321">
        <v>1</v>
      </c>
      <c r="B2280" s="91" t="str">
        <f t="shared" si="198"/>
        <v>302.T</v>
      </c>
      <c r="C2280" s="185" t="s">
        <v>365</v>
      </c>
      <c r="D2280" s="186" t="s">
        <v>2252</v>
      </c>
      <c r="E2280" s="187">
        <v>400627</v>
      </c>
      <c r="F2280" s="188" t="s">
        <v>2573</v>
      </c>
      <c r="G2280" s="189" t="s">
        <v>63</v>
      </c>
      <c r="H2280" s="188" t="s">
        <v>2574</v>
      </c>
      <c r="I2280" s="190"/>
      <c r="J2280" s="191"/>
      <c r="K2280" s="191"/>
      <c r="L2280" s="191"/>
      <c r="M2280" s="191"/>
      <c r="N2280" s="179" t="s">
        <v>502</v>
      </c>
      <c r="O2280" s="70">
        <v>0</v>
      </c>
      <c r="P2280" s="70">
        <v>0</v>
      </c>
      <c r="Q2280" s="70">
        <f t="shared" si="193"/>
        <v>0</v>
      </c>
      <c r="R2280" s="70"/>
      <c r="S2280" s="67"/>
      <c r="T2280" s="2" t="str">
        <f t="shared" si="194"/>
        <v>Bùi Sơn Lê An_12VH4</v>
      </c>
      <c r="U2280" s="28">
        <f t="array" ref="U2280">IFERROR(VLOOKUP($T2280,'Nghi hoc T12'!$H$7:$I$160,2,0),0)</f>
        <v>0</v>
      </c>
      <c r="V2280" s="28"/>
      <c r="W2280" s="28">
        <f t="shared" si="195"/>
        <v>0</v>
      </c>
      <c r="X2280" s="333">
        <f t="shared" si="196"/>
        <v>0</v>
      </c>
      <c r="Y2280" s="333">
        <f t="shared" si="197"/>
        <v>0</v>
      </c>
    </row>
    <row r="2281" spans="1:25" s="2" customFormat="1" ht="21.95" customHeight="1">
      <c r="A2281" s="82">
        <v>2</v>
      </c>
      <c r="B2281" s="91" t="str">
        <f t="shared" si="198"/>
        <v>302.T</v>
      </c>
      <c r="C2281" s="83" t="s">
        <v>365</v>
      </c>
      <c r="D2281" s="81" t="s">
        <v>2252</v>
      </c>
      <c r="E2281" s="48">
        <v>400628</v>
      </c>
      <c r="F2281" s="30" t="s">
        <v>2575</v>
      </c>
      <c r="G2281" s="29" t="s">
        <v>63</v>
      </c>
      <c r="H2281" s="30" t="s">
        <v>2576</v>
      </c>
      <c r="I2281" s="78"/>
      <c r="J2281" s="20"/>
      <c r="K2281" s="20"/>
      <c r="L2281" s="20"/>
      <c r="M2281" s="20"/>
      <c r="N2281" s="179" t="s">
        <v>502</v>
      </c>
      <c r="O2281" s="70">
        <v>0</v>
      </c>
      <c r="P2281" s="70">
        <v>0</v>
      </c>
      <c r="Q2281" s="70">
        <f t="shared" si="193"/>
        <v>0</v>
      </c>
      <c r="R2281" s="70"/>
      <c r="S2281" s="67"/>
      <c r="T2281" s="2" t="str">
        <f t="shared" si="194"/>
        <v>Lê Niê Bảo An_12VH5</v>
      </c>
      <c r="U2281" s="28">
        <f t="array" ref="U2281">IFERROR(VLOOKUP($T2281,'Nghi hoc T12'!$H$7:$I$160,2,0),0)</f>
        <v>0</v>
      </c>
      <c r="V2281" s="28"/>
      <c r="W2281" s="28">
        <f t="shared" si="195"/>
        <v>0</v>
      </c>
      <c r="X2281" s="333">
        <f t="shared" si="196"/>
        <v>0</v>
      </c>
      <c r="Y2281" s="333">
        <f t="shared" si="197"/>
        <v>0</v>
      </c>
    </row>
    <row r="2282" spans="1:25" s="2" customFormat="1" ht="21.95" customHeight="1">
      <c r="A2282" s="82">
        <v>3</v>
      </c>
      <c r="B2282" s="91" t="str">
        <f t="shared" si="198"/>
        <v>302.T</v>
      </c>
      <c r="C2282" s="83" t="s">
        <v>365</v>
      </c>
      <c r="D2282" s="81" t="s">
        <v>2252</v>
      </c>
      <c r="E2282" s="48">
        <v>400629</v>
      </c>
      <c r="F2282" s="30" t="s">
        <v>2577</v>
      </c>
      <c r="G2282" s="29" t="s">
        <v>5</v>
      </c>
      <c r="H2282" s="30" t="s">
        <v>2578</v>
      </c>
      <c r="I2282" s="78"/>
      <c r="J2282" s="20"/>
      <c r="K2282" s="20"/>
      <c r="L2282" s="20"/>
      <c r="M2282" s="20"/>
      <c r="N2282" s="179" t="s">
        <v>502</v>
      </c>
      <c r="O2282" s="70">
        <v>0</v>
      </c>
      <c r="P2282" s="70">
        <v>0</v>
      </c>
      <c r="Q2282" s="70">
        <f t="shared" si="193"/>
        <v>0</v>
      </c>
      <c r="R2282" s="70"/>
      <c r="S2282" s="67"/>
      <c r="T2282" s="2" t="str">
        <f t="shared" si="194"/>
        <v>Bùi Khắc Hoàng Anh_12VH7</v>
      </c>
      <c r="U2282" s="28">
        <f t="array" ref="U2282">IFERROR(VLOOKUP($T2282,'Nghi hoc T12'!$H$7:$I$160,2,0),0)</f>
        <v>0</v>
      </c>
      <c r="V2282" s="28"/>
      <c r="W2282" s="28">
        <f t="shared" si="195"/>
        <v>0</v>
      </c>
      <c r="X2282" s="333">
        <f t="shared" si="196"/>
        <v>0</v>
      </c>
      <c r="Y2282" s="333">
        <f t="shared" si="197"/>
        <v>0</v>
      </c>
    </row>
    <row r="2283" spans="1:25" s="2" customFormat="1" ht="21.95" customHeight="1">
      <c r="A2283" s="82">
        <v>4</v>
      </c>
      <c r="B2283" s="91" t="str">
        <f t="shared" si="198"/>
        <v>302.T</v>
      </c>
      <c r="C2283" s="83" t="s">
        <v>365</v>
      </c>
      <c r="D2283" s="81" t="s">
        <v>2252</v>
      </c>
      <c r="E2283" s="48">
        <v>400630</v>
      </c>
      <c r="F2283" s="30" t="s">
        <v>2579</v>
      </c>
      <c r="G2283" s="29" t="s">
        <v>5</v>
      </c>
      <c r="H2283" s="30" t="s">
        <v>2574</v>
      </c>
      <c r="I2283" s="78"/>
      <c r="J2283" s="20"/>
      <c r="K2283" s="20"/>
      <c r="L2283" s="20"/>
      <c r="M2283" s="20"/>
      <c r="N2283" s="179" t="s">
        <v>502</v>
      </c>
      <c r="O2283" s="70">
        <v>0</v>
      </c>
      <c r="P2283" s="70">
        <v>0</v>
      </c>
      <c r="Q2283" s="70">
        <f t="shared" si="193"/>
        <v>0</v>
      </c>
      <c r="R2283" s="70"/>
      <c r="S2283" s="67"/>
      <c r="T2283" s="2" t="str">
        <f t="shared" si="194"/>
        <v>Đỗ Nguyễn Kim Anh_12VH4</v>
      </c>
      <c r="U2283" s="28">
        <f t="array" ref="U2283">IFERROR(VLOOKUP($T2283,'Nghi hoc T12'!$H$7:$I$160,2,0),0)</f>
        <v>0</v>
      </c>
      <c r="V2283" s="28"/>
      <c r="W2283" s="28">
        <f t="shared" si="195"/>
        <v>0</v>
      </c>
      <c r="X2283" s="333">
        <f t="shared" si="196"/>
        <v>0</v>
      </c>
      <c r="Y2283" s="333">
        <f t="shared" si="197"/>
        <v>0</v>
      </c>
    </row>
    <row r="2284" spans="1:25" s="2" customFormat="1" ht="21.95" customHeight="1">
      <c r="A2284" s="82">
        <v>5</v>
      </c>
      <c r="B2284" s="91" t="str">
        <f t="shared" si="198"/>
        <v>302.T</v>
      </c>
      <c r="C2284" s="83" t="s">
        <v>365</v>
      </c>
      <c r="D2284" s="81" t="s">
        <v>2252</v>
      </c>
      <c r="E2284" s="48">
        <v>400631</v>
      </c>
      <c r="F2284" s="30" t="s">
        <v>2580</v>
      </c>
      <c r="G2284" s="29" t="s">
        <v>5</v>
      </c>
      <c r="H2284" s="30" t="s">
        <v>2576</v>
      </c>
      <c r="I2284" s="78"/>
      <c r="J2284" s="20"/>
      <c r="K2284" s="20"/>
      <c r="L2284" s="20"/>
      <c r="M2284" s="20"/>
      <c r="N2284" s="179" t="s">
        <v>502</v>
      </c>
      <c r="O2284" s="70">
        <v>0</v>
      </c>
      <c r="P2284" s="70">
        <v>0</v>
      </c>
      <c r="Q2284" s="70">
        <f t="shared" si="193"/>
        <v>0</v>
      </c>
      <c r="R2284" s="70"/>
      <c r="S2284" s="67"/>
      <c r="T2284" s="2" t="str">
        <f t="shared" si="194"/>
        <v>Đỗ Nguyễn Quan Anh_12VH5</v>
      </c>
      <c r="U2284" s="28">
        <f t="array" ref="U2284">IFERROR(VLOOKUP($T2284,'Nghi hoc T12'!$H$7:$I$160,2,0),0)</f>
        <v>0</v>
      </c>
      <c r="V2284" s="28"/>
      <c r="W2284" s="28">
        <f t="shared" si="195"/>
        <v>0</v>
      </c>
      <c r="X2284" s="333">
        <f t="shared" si="196"/>
        <v>0</v>
      </c>
      <c r="Y2284" s="333">
        <f t="shared" si="197"/>
        <v>0</v>
      </c>
    </row>
    <row r="2285" spans="1:25" s="2" customFormat="1" ht="21.95" customHeight="1">
      <c r="A2285" s="82">
        <v>6</v>
      </c>
      <c r="B2285" s="91" t="str">
        <f t="shared" si="198"/>
        <v>302.T</v>
      </c>
      <c r="C2285" s="83" t="s">
        <v>365</v>
      </c>
      <c r="D2285" s="81" t="s">
        <v>2252</v>
      </c>
      <c r="E2285" s="48">
        <v>400632</v>
      </c>
      <c r="F2285" s="30" t="s">
        <v>2243</v>
      </c>
      <c r="G2285" s="29" t="s">
        <v>5</v>
      </c>
      <c r="H2285" s="30" t="s">
        <v>2581</v>
      </c>
      <c r="I2285" s="78"/>
      <c r="J2285" s="20"/>
      <c r="K2285" s="20"/>
      <c r="L2285" s="20"/>
      <c r="M2285" s="20"/>
      <c r="N2285" s="179" t="s">
        <v>502</v>
      </c>
      <c r="O2285" s="70">
        <v>0</v>
      </c>
      <c r="P2285" s="70">
        <v>0</v>
      </c>
      <c r="Q2285" s="70">
        <f t="shared" si="193"/>
        <v>0</v>
      </c>
      <c r="R2285" s="70"/>
      <c r="S2285" s="67"/>
      <c r="T2285" s="2" t="str">
        <f t="shared" si="194"/>
        <v>Hoàng Quỳnh Anh_12VH6</v>
      </c>
      <c r="U2285" s="28">
        <f t="array" ref="U2285">IFERROR(VLOOKUP($T2285,'Nghi hoc T12'!$H$7:$I$160,2,0),0)</f>
        <v>0</v>
      </c>
      <c r="V2285" s="28"/>
      <c r="W2285" s="28">
        <f t="shared" si="195"/>
        <v>0</v>
      </c>
      <c r="X2285" s="333">
        <f t="shared" si="196"/>
        <v>0</v>
      </c>
      <c r="Y2285" s="333">
        <f t="shared" si="197"/>
        <v>0</v>
      </c>
    </row>
    <row r="2286" spans="1:25" s="2" customFormat="1" ht="21.95" customHeight="1">
      <c r="A2286" s="82">
        <v>7</v>
      </c>
      <c r="B2286" s="91" t="str">
        <f t="shared" si="198"/>
        <v>302.T</v>
      </c>
      <c r="C2286" s="83" t="s">
        <v>365</v>
      </c>
      <c r="D2286" s="81" t="s">
        <v>2252</v>
      </c>
      <c r="E2286" s="48">
        <v>400633</v>
      </c>
      <c r="F2286" s="30" t="s">
        <v>331</v>
      </c>
      <c r="G2286" s="29" t="s">
        <v>5</v>
      </c>
      <c r="H2286" s="30" t="s">
        <v>2578</v>
      </c>
      <c r="I2286" s="78"/>
      <c r="J2286" s="20"/>
      <c r="K2286" s="20"/>
      <c r="L2286" s="20"/>
      <c r="M2286" s="20"/>
      <c r="N2286" s="179" t="s">
        <v>502</v>
      </c>
      <c r="O2286" s="70">
        <v>0</v>
      </c>
      <c r="P2286" s="70">
        <v>0</v>
      </c>
      <c r="Q2286" s="70">
        <f t="shared" si="193"/>
        <v>0</v>
      </c>
      <c r="R2286" s="70"/>
      <c r="S2286" s="67"/>
      <c r="T2286" s="2" t="str">
        <f t="shared" si="194"/>
        <v>Lê Đức Anh_12VH7</v>
      </c>
      <c r="U2286" s="28">
        <f t="array" ref="U2286">IFERROR(VLOOKUP($T2286,'Nghi hoc T12'!$H$7:$I$160,2,0),0)</f>
        <v>0</v>
      </c>
      <c r="V2286" s="28"/>
      <c r="W2286" s="28">
        <f t="shared" si="195"/>
        <v>0</v>
      </c>
      <c r="X2286" s="333">
        <f t="shared" si="196"/>
        <v>0</v>
      </c>
      <c r="Y2286" s="333">
        <f t="shared" si="197"/>
        <v>0</v>
      </c>
    </row>
    <row r="2287" spans="1:25" s="2" customFormat="1" ht="21.95" customHeight="1">
      <c r="A2287" s="82">
        <v>8</v>
      </c>
      <c r="B2287" s="91" t="str">
        <f t="shared" si="198"/>
        <v>302.T</v>
      </c>
      <c r="C2287" s="83" t="s">
        <v>365</v>
      </c>
      <c r="D2287" s="81" t="s">
        <v>2252</v>
      </c>
      <c r="E2287" s="48">
        <v>400634</v>
      </c>
      <c r="F2287" s="30" t="s">
        <v>2582</v>
      </c>
      <c r="G2287" s="29" t="s">
        <v>5</v>
      </c>
      <c r="H2287" s="30" t="s">
        <v>2574</v>
      </c>
      <c r="I2287" s="78"/>
      <c r="J2287" s="20"/>
      <c r="K2287" s="20"/>
      <c r="L2287" s="20"/>
      <c r="M2287" s="20"/>
      <c r="N2287" s="179" t="s">
        <v>502</v>
      </c>
      <c r="O2287" s="70">
        <v>0</v>
      </c>
      <c r="P2287" s="70">
        <v>0</v>
      </c>
      <c r="Q2287" s="70">
        <f t="shared" si="193"/>
        <v>0</v>
      </c>
      <c r="R2287" s="70"/>
      <c r="S2287" s="67"/>
      <c r="T2287" s="2" t="str">
        <f t="shared" si="194"/>
        <v>Lê Huỳnh Duy Anh_12VH4</v>
      </c>
      <c r="U2287" s="28">
        <f t="array" ref="U2287">IFERROR(VLOOKUP($T2287,'Nghi hoc T12'!$H$7:$I$160,2,0),0)</f>
        <v>0</v>
      </c>
      <c r="V2287" s="28"/>
      <c r="W2287" s="28">
        <f t="shared" si="195"/>
        <v>0</v>
      </c>
      <c r="X2287" s="333">
        <f t="shared" si="196"/>
        <v>0</v>
      </c>
      <c r="Y2287" s="333">
        <f t="shared" si="197"/>
        <v>0</v>
      </c>
    </row>
    <row r="2288" spans="1:25" s="2" customFormat="1" ht="21.95" customHeight="1">
      <c r="A2288" s="82">
        <v>9</v>
      </c>
      <c r="B2288" s="91" t="str">
        <f t="shared" si="198"/>
        <v>302.T</v>
      </c>
      <c r="C2288" s="83" t="s">
        <v>365</v>
      </c>
      <c r="D2288" s="81" t="s">
        <v>2252</v>
      </c>
      <c r="E2288" s="48">
        <v>400635</v>
      </c>
      <c r="F2288" s="30" t="s">
        <v>118</v>
      </c>
      <c r="G2288" s="29" t="s">
        <v>5</v>
      </c>
      <c r="H2288" s="30" t="s">
        <v>2576</v>
      </c>
      <c r="I2288" s="78"/>
      <c r="J2288" s="20"/>
      <c r="K2288" s="20"/>
      <c r="L2288" s="20"/>
      <c r="M2288" s="20"/>
      <c r="N2288" s="179" t="s">
        <v>502</v>
      </c>
      <c r="O2288" s="70">
        <v>0</v>
      </c>
      <c r="P2288" s="70">
        <v>0</v>
      </c>
      <c r="Q2288" s="70">
        <f t="shared" si="193"/>
        <v>0</v>
      </c>
      <c r="R2288" s="70"/>
      <c r="S2288" s="67"/>
      <c r="T2288" s="2" t="str">
        <f t="shared" si="194"/>
        <v>Nguyễn Quốc Anh_12VH5</v>
      </c>
      <c r="U2288" s="28">
        <f t="array" ref="U2288">IFERROR(VLOOKUP($T2288,'Nghi hoc T12'!$H$7:$I$160,2,0),0)</f>
        <v>0</v>
      </c>
      <c r="V2288" s="28"/>
      <c r="W2288" s="28">
        <f t="shared" si="195"/>
        <v>0</v>
      </c>
      <c r="X2288" s="333">
        <f t="shared" si="196"/>
        <v>0</v>
      </c>
      <c r="Y2288" s="333">
        <f t="shared" si="197"/>
        <v>0</v>
      </c>
    </row>
    <row r="2289" spans="1:25" s="2" customFormat="1" ht="21.95" customHeight="1">
      <c r="A2289" s="82">
        <v>10</v>
      </c>
      <c r="B2289" s="91" t="str">
        <f t="shared" si="198"/>
        <v>302.T</v>
      </c>
      <c r="C2289" s="83" t="s">
        <v>365</v>
      </c>
      <c r="D2289" s="81" t="s">
        <v>2252</v>
      </c>
      <c r="E2289" s="48">
        <v>400636</v>
      </c>
      <c r="F2289" s="30" t="s">
        <v>2583</v>
      </c>
      <c r="G2289" s="29" t="s">
        <v>5</v>
      </c>
      <c r="H2289" s="30" t="s">
        <v>2581</v>
      </c>
      <c r="I2289" s="78"/>
      <c r="J2289" s="20"/>
      <c r="K2289" s="20"/>
      <c r="L2289" s="20"/>
      <c r="M2289" s="20"/>
      <c r="N2289" s="179" t="s">
        <v>502</v>
      </c>
      <c r="O2289" s="70">
        <v>0</v>
      </c>
      <c r="P2289" s="70">
        <v>0</v>
      </c>
      <c r="Q2289" s="70">
        <f t="shared" si="193"/>
        <v>0</v>
      </c>
      <c r="R2289" s="70"/>
      <c r="S2289" s="67"/>
      <c r="T2289" s="2" t="str">
        <f t="shared" si="194"/>
        <v>Phùng Việt Anh_12VH6</v>
      </c>
      <c r="U2289" s="28">
        <f t="array" ref="U2289">IFERROR(VLOOKUP($T2289,'Nghi hoc T12'!$H$7:$I$160,2,0),0)</f>
        <v>0</v>
      </c>
      <c r="V2289" s="28"/>
      <c r="W2289" s="28">
        <f t="shared" si="195"/>
        <v>0</v>
      </c>
      <c r="X2289" s="333">
        <f t="shared" si="196"/>
        <v>0</v>
      </c>
      <c r="Y2289" s="333">
        <f t="shared" si="197"/>
        <v>0</v>
      </c>
    </row>
    <row r="2290" spans="1:25" s="2" customFormat="1" ht="21.95" customHeight="1">
      <c r="A2290" s="82">
        <v>11</v>
      </c>
      <c r="B2290" s="91" t="str">
        <f t="shared" si="198"/>
        <v>302.T</v>
      </c>
      <c r="C2290" s="83" t="s">
        <v>365</v>
      </c>
      <c r="D2290" s="81" t="s">
        <v>2252</v>
      </c>
      <c r="E2290" s="48">
        <v>400637</v>
      </c>
      <c r="F2290" s="30" t="s">
        <v>2584</v>
      </c>
      <c r="G2290" s="29" t="s">
        <v>5</v>
      </c>
      <c r="H2290" s="30" t="s">
        <v>2578</v>
      </c>
      <c r="I2290" s="78"/>
      <c r="J2290" s="20"/>
      <c r="K2290" s="20"/>
      <c r="L2290" s="20"/>
      <c r="M2290" s="20"/>
      <c r="N2290" s="179" t="s">
        <v>502</v>
      </c>
      <c r="O2290" s="70">
        <v>0</v>
      </c>
      <c r="P2290" s="70">
        <v>0</v>
      </c>
      <c r="Q2290" s="70">
        <f t="shared" si="193"/>
        <v>0</v>
      </c>
      <c r="R2290" s="70"/>
      <c r="S2290" s="67"/>
      <c r="T2290" s="2" t="str">
        <f t="shared" si="194"/>
        <v>Trương Ngọc Bảo Anh_12VH7</v>
      </c>
      <c r="U2290" s="28">
        <f t="array" ref="U2290">IFERROR(VLOOKUP($T2290,'Nghi hoc T12'!$H$7:$I$160,2,0),0)</f>
        <v>0</v>
      </c>
      <c r="V2290" s="28"/>
      <c r="W2290" s="28">
        <f t="shared" si="195"/>
        <v>0</v>
      </c>
      <c r="X2290" s="333">
        <f t="shared" si="196"/>
        <v>0</v>
      </c>
      <c r="Y2290" s="333">
        <f t="shared" si="197"/>
        <v>0</v>
      </c>
    </row>
    <row r="2291" spans="1:25" s="2" customFormat="1" ht="21.95" customHeight="1">
      <c r="A2291" s="82">
        <v>12</v>
      </c>
      <c r="B2291" s="91" t="str">
        <f t="shared" si="198"/>
        <v>302.T</v>
      </c>
      <c r="C2291" s="83" t="s">
        <v>365</v>
      </c>
      <c r="D2291" s="81" t="s">
        <v>2252</v>
      </c>
      <c r="E2291" s="48">
        <v>400638</v>
      </c>
      <c r="F2291" s="30" t="s">
        <v>2585</v>
      </c>
      <c r="G2291" s="29" t="s">
        <v>108</v>
      </c>
      <c r="H2291" s="30" t="s">
        <v>2574</v>
      </c>
      <c r="I2291" s="78"/>
      <c r="J2291" s="20"/>
      <c r="K2291" s="20"/>
      <c r="L2291" s="20"/>
      <c r="M2291" s="20"/>
      <c r="N2291" s="179" t="s">
        <v>502</v>
      </c>
      <c r="O2291" s="70">
        <v>0</v>
      </c>
      <c r="P2291" s="70">
        <v>0</v>
      </c>
      <c r="Q2291" s="70">
        <f t="shared" si="193"/>
        <v>0</v>
      </c>
      <c r="R2291" s="70"/>
      <c r="S2291" s="67"/>
      <c r="T2291" s="2" t="str">
        <f t="shared" si="194"/>
        <v>Đoàn Hoài Ân_12VH4</v>
      </c>
      <c r="U2291" s="28">
        <f t="array" ref="U2291">IFERROR(VLOOKUP($T2291,'Nghi hoc T12'!$H$7:$I$160,2,0),0)</f>
        <v>0</v>
      </c>
      <c r="V2291" s="28"/>
      <c r="W2291" s="28">
        <f t="shared" si="195"/>
        <v>0</v>
      </c>
      <c r="X2291" s="333">
        <f t="shared" si="196"/>
        <v>0</v>
      </c>
      <c r="Y2291" s="333">
        <f t="shared" si="197"/>
        <v>0</v>
      </c>
    </row>
    <row r="2292" spans="1:25" s="2" customFormat="1" ht="21.95" customHeight="1">
      <c r="A2292" s="82">
        <v>13</v>
      </c>
      <c r="B2292" s="91" t="str">
        <f t="shared" si="198"/>
        <v>302.T</v>
      </c>
      <c r="C2292" s="83" t="s">
        <v>365</v>
      </c>
      <c r="D2292" s="81" t="s">
        <v>2252</v>
      </c>
      <c r="E2292" s="48">
        <v>400639</v>
      </c>
      <c r="F2292" s="30" t="s">
        <v>2586</v>
      </c>
      <c r="G2292" s="29" t="s">
        <v>108</v>
      </c>
      <c r="H2292" s="30" t="s">
        <v>2576</v>
      </c>
      <c r="I2292" s="78"/>
      <c r="J2292" s="20"/>
      <c r="K2292" s="20"/>
      <c r="L2292" s="20"/>
      <c r="M2292" s="20"/>
      <c r="N2292" s="179" t="s">
        <v>502</v>
      </c>
      <c r="O2292" s="70">
        <v>0</v>
      </c>
      <c r="P2292" s="70">
        <v>0</v>
      </c>
      <c r="Q2292" s="70">
        <f t="shared" si="193"/>
        <v>0</v>
      </c>
      <c r="R2292" s="70"/>
      <c r="S2292" s="67"/>
      <c r="T2292" s="2" t="str">
        <f t="shared" si="194"/>
        <v>Võ Phan Thiên Ân_12VH5</v>
      </c>
      <c r="U2292" s="28">
        <f t="array" ref="U2292">IFERROR(VLOOKUP($T2292,'Nghi hoc T12'!$H$7:$I$160,2,0),0)</f>
        <v>0</v>
      </c>
      <c r="V2292" s="28"/>
      <c r="W2292" s="28">
        <f t="shared" si="195"/>
        <v>0</v>
      </c>
      <c r="X2292" s="333">
        <f t="shared" si="196"/>
        <v>0</v>
      </c>
      <c r="Y2292" s="333">
        <f t="shared" si="197"/>
        <v>0</v>
      </c>
    </row>
    <row r="2293" spans="1:25" s="2" customFormat="1" ht="21.95" customHeight="1">
      <c r="A2293" s="82">
        <v>14</v>
      </c>
      <c r="B2293" s="91" t="str">
        <f t="shared" si="198"/>
        <v>302.T</v>
      </c>
      <c r="C2293" s="83" t="s">
        <v>365</v>
      </c>
      <c r="D2293" s="81" t="s">
        <v>2252</v>
      </c>
      <c r="E2293" s="48">
        <v>400640</v>
      </c>
      <c r="F2293" s="30" t="s">
        <v>2587</v>
      </c>
      <c r="G2293" s="29" t="s">
        <v>83</v>
      </c>
      <c r="H2293" s="30" t="s">
        <v>2581</v>
      </c>
      <c r="I2293" s="78"/>
      <c r="J2293" s="20"/>
      <c r="K2293" s="20"/>
      <c r="L2293" s="20"/>
      <c r="M2293" s="20"/>
      <c r="N2293" s="179" t="s">
        <v>502</v>
      </c>
      <c r="O2293" s="70">
        <v>0</v>
      </c>
      <c r="P2293" s="70">
        <v>0</v>
      </c>
      <c r="Q2293" s="70">
        <f t="shared" si="193"/>
        <v>0</v>
      </c>
      <c r="R2293" s="70"/>
      <c r="S2293" s="67"/>
      <c r="T2293" s="2" t="str">
        <f t="shared" si="194"/>
        <v>Đoàn Gia Bảo_12VH6</v>
      </c>
      <c r="U2293" s="28">
        <f t="array" ref="U2293">IFERROR(VLOOKUP($T2293,'Nghi hoc T12'!$H$7:$I$160,2,0),0)</f>
        <v>0</v>
      </c>
      <c r="V2293" s="28"/>
      <c r="W2293" s="28">
        <f t="shared" si="195"/>
        <v>0</v>
      </c>
      <c r="X2293" s="333">
        <f t="shared" si="196"/>
        <v>0</v>
      </c>
      <c r="Y2293" s="333">
        <f t="shared" si="197"/>
        <v>0</v>
      </c>
    </row>
    <row r="2294" spans="1:25" s="2" customFormat="1" ht="21.95" customHeight="1">
      <c r="A2294" s="82">
        <v>15</v>
      </c>
      <c r="B2294" s="91" t="str">
        <f t="shared" si="198"/>
        <v>302.T</v>
      </c>
      <c r="C2294" s="83" t="s">
        <v>365</v>
      </c>
      <c r="D2294" s="81" t="s">
        <v>2252</v>
      </c>
      <c r="E2294" s="48">
        <v>400641</v>
      </c>
      <c r="F2294" s="30" t="s">
        <v>2175</v>
      </c>
      <c r="G2294" s="29" t="s">
        <v>83</v>
      </c>
      <c r="H2294" s="30" t="s">
        <v>2578</v>
      </c>
      <c r="I2294" s="78"/>
      <c r="J2294" s="20"/>
      <c r="K2294" s="20"/>
      <c r="L2294" s="20"/>
      <c r="M2294" s="20"/>
      <c r="N2294" s="179" t="s">
        <v>502</v>
      </c>
      <c r="O2294" s="70">
        <v>0</v>
      </c>
      <c r="P2294" s="70">
        <v>0</v>
      </c>
      <c r="Q2294" s="70">
        <f t="shared" si="193"/>
        <v>0</v>
      </c>
      <c r="R2294" s="70"/>
      <c r="S2294" s="67"/>
      <c r="T2294" s="2" t="str">
        <f t="shared" si="194"/>
        <v>Lưu Gia Bảo_12VH7</v>
      </c>
      <c r="U2294" s="28">
        <f t="array" ref="U2294">IFERROR(VLOOKUP($T2294,'Nghi hoc T12'!$H$7:$I$160,2,0),0)</f>
        <v>0</v>
      </c>
      <c r="V2294" s="28"/>
      <c r="W2294" s="28">
        <f t="shared" si="195"/>
        <v>0</v>
      </c>
      <c r="X2294" s="333">
        <f t="shared" si="196"/>
        <v>0</v>
      </c>
      <c r="Y2294" s="333">
        <f t="shared" si="197"/>
        <v>0</v>
      </c>
    </row>
    <row r="2295" spans="1:25" s="2" customFormat="1" ht="21.95" customHeight="1">
      <c r="A2295" s="82">
        <v>16</v>
      </c>
      <c r="B2295" s="91" t="str">
        <f t="shared" si="198"/>
        <v>302.T</v>
      </c>
      <c r="C2295" s="83" t="s">
        <v>365</v>
      </c>
      <c r="D2295" s="81" t="s">
        <v>2252</v>
      </c>
      <c r="E2295" s="48">
        <v>400642</v>
      </c>
      <c r="F2295" s="30" t="s">
        <v>2588</v>
      </c>
      <c r="G2295" s="29" t="s">
        <v>83</v>
      </c>
      <c r="H2295" s="30" t="s">
        <v>2574</v>
      </c>
      <c r="I2295" s="78"/>
      <c r="J2295" s="20"/>
      <c r="K2295" s="20"/>
      <c r="L2295" s="20"/>
      <c r="M2295" s="20"/>
      <c r="N2295" s="179" t="s">
        <v>502</v>
      </c>
      <c r="O2295" s="70">
        <v>0</v>
      </c>
      <c r="P2295" s="70">
        <v>0</v>
      </c>
      <c r="Q2295" s="70">
        <f t="shared" si="193"/>
        <v>0</v>
      </c>
      <c r="R2295" s="70"/>
      <c r="S2295" s="67"/>
      <c r="T2295" s="2" t="str">
        <f t="shared" si="194"/>
        <v>Nguyễn Tấn Hoàng Bảo_12VH4</v>
      </c>
      <c r="U2295" s="28">
        <f t="array" ref="U2295">IFERROR(VLOOKUP($T2295,'Nghi hoc T12'!$H$7:$I$160,2,0),0)</f>
        <v>0</v>
      </c>
      <c r="V2295" s="28"/>
      <c r="W2295" s="28">
        <f t="shared" si="195"/>
        <v>0</v>
      </c>
      <c r="X2295" s="333">
        <f t="shared" si="196"/>
        <v>0</v>
      </c>
      <c r="Y2295" s="333">
        <f t="shared" si="197"/>
        <v>0</v>
      </c>
    </row>
    <row r="2296" spans="1:25" s="2" customFormat="1" ht="21.95" customHeight="1">
      <c r="A2296" s="82">
        <v>17</v>
      </c>
      <c r="B2296" s="91" t="str">
        <f t="shared" si="198"/>
        <v>302.T</v>
      </c>
      <c r="C2296" s="83" t="s">
        <v>365</v>
      </c>
      <c r="D2296" s="81" t="s">
        <v>2252</v>
      </c>
      <c r="E2296" s="48">
        <v>400643</v>
      </c>
      <c r="F2296" s="30" t="s">
        <v>2247</v>
      </c>
      <c r="G2296" s="29" t="s">
        <v>83</v>
      </c>
      <c r="H2296" s="30" t="s">
        <v>2576</v>
      </c>
      <c r="I2296" s="78"/>
      <c r="J2296" s="20"/>
      <c r="K2296" s="20"/>
      <c r="L2296" s="20"/>
      <c r="M2296" s="20"/>
      <c r="N2296" s="179" t="s">
        <v>502</v>
      </c>
      <c r="O2296" s="70">
        <v>0</v>
      </c>
      <c r="P2296" s="70">
        <v>0</v>
      </c>
      <c r="Q2296" s="70">
        <f t="shared" si="193"/>
        <v>0</v>
      </c>
      <c r="R2296" s="70"/>
      <c r="S2296" s="67"/>
      <c r="T2296" s="2" t="str">
        <f t="shared" si="194"/>
        <v>Phạm Gia Bảo_12VH5</v>
      </c>
      <c r="U2296" s="28">
        <f t="array" ref="U2296">IFERROR(VLOOKUP($T2296,'Nghi hoc T12'!$H$7:$I$160,2,0),0)</f>
        <v>0</v>
      </c>
      <c r="V2296" s="28"/>
      <c r="W2296" s="28">
        <f t="shared" si="195"/>
        <v>0</v>
      </c>
      <c r="X2296" s="333">
        <f t="shared" si="196"/>
        <v>0</v>
      </c>
      <c r="Y2296" s="333">
        <f t="shared" si="197"/>
        <v>0</v>
      </c>
    </row>
    <row r="2297" spans="1:25" s="2" customFormat="1" ht="21.95" customHeight="1">
      <c r="A2297" s="82">
        <v>18</v>
      </c>
      <c r="B2297" s="91" t="str">
        <f t="shared" si="198"/>
        <v>302.T</v>
      </c>
      <c r="C2297" s="83" t="s">
        <v>365</v>
      </c>
      <c r="D2297" s="81" t="s">
        <v>2252</v>
      </c>
      <c r="E2297" s="48">
        <v>400644</v>
      </c>
      <c r="F2297" s="30" t="s">
        <v>2452</v>
      </c>
      <c r="G2297" s="29" t="s">
        <v>261</v>
      </c>
      <c r="H2297" s="30" t="s">
        <v>2574</v>
      </c>
      <c r="I2297" s="78"/>
      <c r="J2297" s="20"/>
      <c r="K2297" s="20"/>
      <c r="L2297" s="20"/>
      <c r="M2297" s="20"/>
      <c r="N2297" s="179" t="s">
        <v>502</v>
      </c>
      <c r="O2297" s="70">
        <v>0</v>
      </c>
      <c r="P2297" s="70">
        <v>0</v>
      </c>
      <c r="Q2297" s="70">
        <f t="shared" si="193"/>
        <v>0</v>
      </c>
      <c r="R2297" s="70"/>
      <c r="S2297" s="67"/>
      <c r="T2297" s="2" t="str">
        <f t="shared" si="194"/>
        <v>Bùi Thị Quỳnh Chi_12VH4</v>
      </c>
      <c r="U2297" s="28">
        <f t="array" ref="U2297">IFERROR(VLOOKUP($T2297,'Nghi hoc T12'!$H$7:$I$160,2,0),0)</f>
        <v>0</v>
      </c>
      <c r="V2297" s="28"/>
      <c r="W2297" s="28">
        <f t="shared" si="195"/>
        <v>0</v>
      </c>
      <c r="X2297" s="333">
        <f t="shared" si="196"/>
        <v>0</v>
      </c>
      <c r="Y2297" s="333">
        <f t="shared" si="197"/>
        <v>0</v>
      </c>
    </row>
    <row r="2298" spans="1:25" s="2" customFormat="1" ht="21.95" customHeight="1">
      <c r="A2298" s="82">
        <v>19</v>
      </c>
      <c r="B2298" s="91" t="str">
        <f t="shared" si="198"/>
        <v>302.T</v>
      </c>
      <c r="C2298" s="83" t="s">
        <v>365</v>
      </c>
      <c r="D2298" s="81" t="s">
        <v>2252</v>
      </c>
      <c r="E2298" s="48">
        <v>400645</v>
      </c>
      <c r="F2298" s="30" t="s">
        <v>202</v>
      </c>
      <c r="G2298" s="29" t="s">
        <v>116</v>
      </c>
      <c r="H2298" s="30" t="s">
        <v>2581</v>
      </c>
      <c r="I2298" s="78"/>
      <c r="J2298" s="20"/>
      <c r="K2298" s="20"/>
      <c r="L2298" s="20"/>
      <c r="M2298" s="20"/>
      <c r="N2298" s="179" t="s">
        <v>502</v>
      </c>
      <c r="O2298" s="70">
        <v>0</v>
      </c>
      <c r="P2298" s="70">
        <v>0</v>
      </c>
      <c r="Q2298" s="70">
        <f t="shared" si="193"/>
        <v>0</v>
      </c>
      <c r="R2298" s="70"/>
      <c r="S2298" s="67"/>
      <c r="T2298" s="2" t="str">
        <f t="shared" si="194"/>
        <v>Nguyễn Chí Công_12VH6</v>
      </c>
      <c r="U2298" s="28">
        <f t="array" ref="U2298">IFERROR(VLOOKUP($T2298,'Nghi hoc T12'!$H$7:$I$160,2,0),0)</f>
        <v>0</v>
      </c>
      <c r="V2298" s="28"/>
      <c r="W2298" s="28">
        <f t="shared" si="195"/>
        <v>0</v>
      </c>
      <c r="X2298" s="333">
        <f t="shared" si="196"/>
        <v>0</v>
      </c>
      <c r="Y2298" s="333">
        <f t="shared" si="197"/>
        <v>0</v>
      </c>
    </row>
    <row r="2299" spans="1:25" s="2" customFormat="1" ht="21.95" customHeight="1">
      <c r="A2299" s="82">
        <v>20</v>
      </c>
      <c r="B2299" s="91" t="str">
        <f t="shared" si="198"/>
        <v>302.T</v>
      </c>
      <c r="C2299" s="83" t="s">
        <v>365</v>
      </c>
      <c r="D2299" s="81" t="s">
        <v>2252</v>
      </c>
      <c r="E2299" s="48">
        <v>400646</v>
      </c>
      <c r="F2299" s="30" t="s">
        <v>2589</v>
      </c>
      <c r="G2299" s="29" t="s">
        <v>116</v>
      </c>
      <c r="H2299" s="30" t="s">
        <v>2578</v>
      </c>
      <c r="I2299" s="78"/>
      <c r="J2299" s="20"/>
      <c r="K2299" s="20"/>
      <c r="L2299" s="20"/>
      <c r="M2299" s="20"/>
      <c r="N2299" s="179" t="s">
        <v>502</v>
      </c>
      <c r="O2299" s="70">
        <v>0</v>
      </c>
      <c r="P2299" s="70">
        <v>0</v>
      </c>
      <c r="Q2299" s="70">
        <f t="shared" si="193"/>
        <v>0</v>
      </c>
      <c r="R2299" s="70"/>
      <c r="S2299" s="67"/>
      <c r="T2299" s="2" t="str">
        <f t="shared" si="194"/>
        <v>Võ Thành Công_12VH7</v>
      </c>
      <c r="U2299" s="28">
        <f t="array" ref="U2299">IFERROR(VLOOKUP($T2299,'Nghi hoc T12'!$H$7:$I$160,2,0),0)</f>
        <v>0</v>
      </c>
      <c r="V2299" s="28"/>
      <c r="W2299" s="28">
        <f t="shared" si="195"/>
        <v>0</v>
      </c>
      <c r="X2299" s="333">
        <f t="shared" si="196"/>
        <v>0</v>
      </c>
      <c r="Y2299" s="333">
        <f t="shared" si="197"/>
        <v>0</v>
      </c>
    </row>
    <row r="2300" spans="1:25" s="2" customFormat="1" ht="21.95" customHeight="1">
      <c r="A2300" s="82">
        <v>21</v>
      </c>
      <c r="B2300" s="91" t="str">
        <f t="shared" si="198"/>
        <v>302.T</v>
      </c>
      <c r="C2300" s="83" t="s">
        <v>365</v>
      </c>
      <c r="D2300" s="81" t="s">
        <v>2252</v>
      </c>
      <c r="E2300" s="48">
        <v>400647</v>
      </c>
      <c r="F2300" s="30" t="s">
        <v>118</v>
      </c>
      <c r="G2300" s="29" t="s">
        <v>35</v>
      </c>
      <c r="H2300" s="30" t="s">
        <v>2576</v>
      </c>
      <c r="I2300" s="78"/>
      <c r="J2300" s="20"/>
      <c r="K2300" s="20"/>
      <c r="L2300" s="20"/>
      <c r="M2300" s="20"/>
      <c r="N2300" s="179" t="s">
        <v>502</v>
      </c>
      <c r="O2300" s="70">
        <v>0</v>
      </c>
      <c r="P2300" s="70">
        <v>0</v>
      </c>
      <c r="Q2300" s="70">
        <f t="shared" si="193"/>
        <v>0</v>
      </c>
      <c r="R2300" s="70"/>
      <c r="S2300" s="67"/>
      <c r="T2300" s="2" t="str">
        <f t="shared" si="194"/>
        <v>Nguyễn Quốc Cường_12VH5</v>
      </c>
      <c r="U2300" s="28">
        <f t="array" ref="U2300">IFERROR(VLOOKUP($T2300,'Nghi hoc T12'!$H$7:$I$160,2,0),0)</f>
        <v>0</v>
      </c>
      <c r="V2300" s="28"/>
      <c r="W2300" s="28">
        <f t="shared" si="195"/>
        <v>0</v>
      </c>
      <c r="X2300" s="333">
        <f t="shared" si="196"/>
        <v>0</v>
      </c>
      <c r="Y2300" s="333">
        <f t="shared" si="197"/>
        <v>0</v>
      </c>
    </row>
    <row r="2301" spans="1:25" s="2" customFormat="1" ht="21.95" customHeight="1">
      <c r="A2301" s="82">
        <v>22</v>
      </c>
      <c r="B2301" s="91" t="str">
        <f t="shared" si="198"/>
        <v>302.T</v>
      </c>
      <c r="C2301" s="83" t="s">
        <v>365</v>
      </c>
      <c r="D2301" s="81" t="s">
        <v>2252</v>
      </c>
      <c r="E2301" s="48">
        <v>400648</v>
      </c>
      <c r="F2301" s="30" t="s">
        <v>2590</v>
      </c>
      <c r="G2301" s="29" t="s">
        <v>89</v>
      </c>
      <c r="H2301" s="30" t="s">
        <v>2574</v>
      </c>
      <c r="I2301" s="78"/>
      <c r="J2301" s="20"/>
      <c r="K2301" s="20"/>
      <c r="L2301" s="20"/>
      <c r="M2301" s="20"/>
      <c r="N2301" s="179" t="s">
        <v>502</v>
      </c>
      <c r="O2301" s="70">
        <v>0</v>
      </c>
      <c r="P2301" s="70">
        <v>0</v>
      </c>
      <c r="Q2301" s="70">
        <f t="shared" si="193"/>
        <v>0</v>
      </c>
      <c r="R2301" s="70"/>
      <c r="S2301" s="67"/>
      <c r="T2301" s="2" t="str">
        <f t="shared" si="194"/>
        <v>Ngô Nguyễn Thành Danh_12VH4</v>
      </c>
      <c r="U2301" s="28">
        <f t="array" ref="U2301">IFERROR(VLOOKUP($T2301,'Nghi hoc T12'!$H$7:$I$160,2,0),0)</f>
        <v>0</v>
      </c>
      <c r="V2301" s="28"/>
      <c r="W2301" s="28">
        <f t="shared" si="195"/>
        <v>0</v>
      </c>
      <c r="X2301" s="333">
        <f t="shared" si="196"/>
        <v>0</v>
      </c>
      <c r="Y2301" s="333">
        <f t="shared" si="197"/>
        <v>0</v>
      </c>
    </row>
    <row r="2302" spans="1:25" s="2" customFormat="1" ht="21.95" customHeight="1">
      <c r="A2302" s="82">
        <v>23</v>
      </c>
      <c r="B2302" s="91" t="str">
        <f t="shared" si="198"/>
        <v>302.T</v>
      </c>
      <c r="C2302" s="83" t="s">
        <v>365</v>
      </c>
      <c r="D2302" s="81" t="s">
        <v>2252</v>
      </c>
      <c r="E2302" s="48">
        <v>400649</v>
      </c>
      <c r="F2302" s="30" t="s">
        <v>2591</v>
      </c>
      <c r="G2302" s="29" t="s">
        <v>63</v>
      </c>
      <c r="H2302" s="30" t="s">
        <v>2581</v>
      </c>
      <c r="I2302" s="78" t="s">
        <v>408</v>
      </c>
      <c r="J2302" s="20"/>
      <c r="K2302" s="20"/>
      <c r="L2302" s="20"/>
      <c r="M2302" s="20"/>
      <c r="N2302" s="179" t="s">
        <v>502</v>
      </c>
      <c r="O2302" s="70" t="s">
        <v>400</v>
      </c>
      <c r="P2302" s="70" t="s">
        <v>2123</v>
      </c>
      <c r="Q2302" s="70">
        <f t="shared" si="193"/>
        <v>0</v>
      </c>
      <c r="R2302" s="70"/>
      <c r="S2302" s="67"/>
      <c r="T2302" s="2" t="str">
        <f t="shared" si="194"/>
        <v>Tống Hương An_12VH6</v>
      </c>
      <c r="U2302" s="28">
        <f t="array" ref="U2302">IFERROR(VLOOKUP($T2302,'Nghi hoc T12'!$H$7:$I$160,2,0),0)</f>
        <v>0</v>
      </c>
      <c r="V2302" s="28"/>
      <c r="W2302" s="28" t="str">
        <f t="shared" si="195"/>
        <v>HN</v>
      </c>
      <c r="X2302" s="333" t="str">
        <f t="shared" si="196"/>
        <v>Trí tuệ</v>
      </c>
      <c r="Y2302" s="333" t="str">
        <f t="shared" si="197"/>
        <v>Nặng</v>
      </c>
    </row>
    <row r="2303" spans="1:25" s="2" customFormat="1" ht="21.95" customHeight="1">
      <c r="A2303" s="82">
        <v>24</v>
      </c>
      <c r="B2303" s="91" t="str">
        <f t="shared" si="198"/>
        <v>302.T</v>
      </c>
      <c r="C2303" s="83" t="s">
        <v>365</v>
      </c>
      <c r="D2303" s="81" t="s">
        <v>2252</v>
      </c>
      <c r="E2303" s="48">
        <v>400650</v>
      </c>
      <c r="F2303" s="30" t="s">
        <v>160</v>
      </c>
      <c r="G2303" s="29" t="s">
        <v>7</v>
      </c>
      <c r="H2303" s="30" t="s">
        <v>2574</v>
      </c>
      <c r="I2303" s="78" t="s">
        <v>408</v>
      </c>
      <c r="J2303" s="20"/>
      <c r="K2303" s="20"/>
      <c r="L2303" s="20"/>
      <c r="M2303" s="20"/>
      <c r="N2303" s="179" t="s">
        <v>502</v>
      </c>
      <c r="O2303" s="70" t="s">
        <v>404</v>
      </c>
      <c r="P2303" s="70" t="s">
        <v>401</v>
      </c>
      <c r="Q2303" s="70">
        <f t="shared" si="193"/>
        <v>0</v>
      </c>
      <c r="R2303" s="70"/>
      <c r="S2303" s="67"/>
      <c r="T2303" s="2" t="str">
        <f t="shared" si="194"/>
        <v>Nguyễn Thành Đạt_12VH4</v>
      </c>
      <c r="U2303" s="28">
        <f t="array" ref="U2303">IFERROR(VLOOKUP($T2303,'Nghi hoc T12'!$H$7:$I$160,2,0),0)</f>
        <v>0</v>
      </c>
      <c r="V2303" s="28"/>
      <c r="W2303" s="28" t="str">
        <f t="shared" si="195"/>
        <v>HN</v>
      </c>
      <c r="X2303" s="333" t="str">
        <f t="shared" si="196"/>
        <v>Tâm thần</v>
      </c>
      <c r="Y2303" s="333" t="str">
        <f t="shared" si="197"/>
        <v>Nhẹ</v>
      </c>
    </row>
    <row r="2304" spans="1:25" s="2" customFormat="1" ht="21.95" customHeight="1">
      <c r="A2304" s="321">
        <v>1</v>
      </c>
      <c r="B2304" s="91" t="str">
        <f t="shared" si="198"/>
        <v>303.T</v>
      </c>
      <c r="C2304" s="185" t="s">
        <v>365</v>
      </c>
      <c r="D2304" s="186" t="s">
        <v>2269</v>
      </c>
      <c r="E2304" s="187">
        <v>400651</v>
      </c>
      <c r="F2304" s="188" t="s">
        <v>2592</v>
      </c>
      <c r="G2304" s="189" t="s">
        <v>2177</v>
      </c>
      <c r="H2304" s="188" t="s">
        <v>2581</v>
      </c>
      <c r="I2304" s="190"/>
      <c r="J2304" s="191"/>
      <c r="K2304" s="191"/>
      <c r="L2304" s="191"/>
      <c r="M2304" s="191"/>
      <c r="N2304" s="179" t="s">
        <v>502</v>
      </c>
      <c r="O2304" s="70">
        <v>0</v>
      </c>
      <c r="P2304" s="70">
        <v>0</v>
      </c>
      <c r="Q2304" s="70">
        <f t="shared" si="193"/>
        <v>0</v>
      </c>
      <c r="R2304" s="70"/>
      <c r="S2304" s="67"/>
      <c r="T2304" s="2" t="str">
        <f t="shared" si="194"/>
        <v>Nguyễn Thuận Dân_12VH6</v>
      </c>
      <c r="U2304" s="28">
        <f t="array" ref="U2304">IFERROR(VLOOKUP($T2304,'Nghi hoc T12'!$H$7:$I$160,2,0),0)</f>
        <v>0</v>
      </c>
      <c r="V2304" s="28"/>
      <c r="W2304" s="28">
        <f t="shared" si="195"/>
        <v>0</v>
      </c>
      <c r="X2304" s="333">
        <f t="shared" si="196"/>
        <v>0</v>
      </c>
      <c r="Y2304" s="333">
        <f t="shared" si="197"/>
        <v>0</v>
      </c>
    </row>
    <row r="2305" spans="1:25" s="2" customFormat="1" ht="21.95" customHeight="1">
      <c r="A2305" s="82">
        <v>2</v>
      </c>
      <c r="B2305" s="91" t="str">
        <f t="shared" si="198"/>
        <v>303.T</v>
      </c>
      <c r="C2305" s="83" t="s">
        <v>365</v>
      </c>
      <c r="D2305" s="81" t="s">
        <v>2269</v>
      </c>
      <c r="E2305" s="48">
        <v>400652</v>
      </c>
      <c r="F2305" s="30" t="s">
        <v>2593</v>
      </c>
      <c r="G2305" s="29" t="s">
        <v>2594</v>
      </c>
      <c r="H2305" s="30" t="s">
        <v>2576</v>
      </c>
      <c r="I2305" s="78"/>
      <c r="J2305" s="20"/>
      <c r="K2305" s="20"/>
      <c r="L2305" s="20"/>
      <c r="M2305" s="20"/>
      <c r="N2305" s="179" t="s">
        <v>502</v>
      </c>
      <c r="O2305" s="70">
        <v>0</v>
      </c>
      <c r="P2305" s="70">
        <v>0</v>
      </c>
      <c r="Q2305" s="70">
        <f t="shared" si="193"/>
        <v>0</v>
      </c>
      <c r="R2305" s="70"/>
      <c r="S2305" s="67"/>
      <c r="T2305" s="2" t="str">
        <f t="shared" si="194"/>
        <v>Trương Công Lê Duẩn_12VH5</v>
      </c>
      <c r="U2305" s="28">
        <f t="array" ref="U2305">IFERROR(VLOOKUP($T2305,'Nghi hoc T12'!$H$7:$I$160,2,0),0)</f>
        <v>0</v>
      </c>
      <c r="V2305" s="28"/>
      <c r="W2305" s="28">
        <f t="shared" si="195"/>
        <v>0</v>
      </c>
      <c r="X2305" s="333">
        <f t="shared" si="196"/>
        <v>0</v>
      </c>
      <c r="Y2305" s="333">
        <f t="shared" si="197"/>
        <v>0</v>
      </c>
    </row>
    <row r="2306" spans="1:25" s="2" customFormat="1" ht="21.95" customHeight="1">
      <c r="A2306" s="82">
        <v>3</v>
      </c>
      <c r="B2306" s="91" t="str">
        <f t="shared" si="198"/>
        <v>303.T</v>
      </c>
      <c r="C2306" s="83" t="s">
        <v>365</v>
      </c>
      <c r="D2306" s="81" t="s">
        <v>2269</v>
      </c>
      <c r="E2306" s="48">
        <v>400653</v>
      </c>
      <c r="F2306" s="30" t="s">
        <v>2595</v>
      </c>
      <c r="G2306" s="29" t="s">
        <v>140</v>
      </c>
      <c r="H2306" s="30" t="s">
        <v>2581</v>
      </c>
      <c r="I2306" s="78"/>
      <c r="J2306" s="20"/>
      <c r="K2306" s="20"/>
      <c r="L2306" s="20"/>
      <c r="M2306" s="20"/>
      <c r="N2306" s="179" t="s">
        <v>502</v>
      </c>
      <c r="O2306" s="70">
        <v>0</v>
      </c>
      <c r="P2306" s="70">
        <v>0</v>
      </c>
      <c r="Q2306" s="70">
        <f t="shared" si="193"/>
        <v>0</v>
      </c>
      <c r="R2306" s="70"/>
      <c r="S2306" s="67"/>
      <c r="T2306" s="2" t="str">
        <f t="shared" si="194"/>
        <v>Trần Lê Dung_12VH6</v>
      </c>
      <c r="U2306" s="28">
        <f t="array" ref="U2306">IFERROR(VLOOKUP($T2306,'Nghi hoc T12'!$H$7:$I$160,2,0),0)</f>
        <v>0</v>
      </c>
      <c r="V2306" s="28"/>
      <c r="W2306" s="28">
        <f t="shared" si="195"/>
        <v>0</v>
      </c>
      <c r="X2306" s="333">
        <f t="shared" si="196"/>
        <v>0</v>
      </c>
      <c r="Y2306" s="333">
        <f t="shared" si="197"/>
        <v>0</v>
      </c>
    </row>
    <row r="2307" spans="1:25" s="2" customFormat="1" ht="21.95" customHeight="1">
      <c r="A2307" s="82">
        <v>4</v>
      </c>
      <c r="B2307" s="91" t="str">
        <f t="shared" si="198"/>
        <v>303.T</v>
      </c>
      <c r="C2307" s="83" t="s">
        <v>365</v>
      </c>
      <c r="D2307" s="81" t="s">
        <v>2269</v>
      </c>
      <c r="E2307" s="48">
        <v>400654</v>
      </c>
      <c r="F2307" s="30" t="s">
        <v>350</v>
      </c>
      <c r="G2307" s="29" t="s">
        <v>65</v>
      </c>
      <c r="H2307" s="30" t="s">
        <v>2574</v>
      </c>
      <c r="I2307" s="78"/>
      <c r="J2307" s="20"/>
      <c r="K2307" s="20"/>
      <c r="L2307" s="20"/>
      <c r="M2307" s="20"/>
      <c r="N2307" s="179" t="s">
        <v>502</v>
      </c>
      <c r="O2307" s="70">
        <v>0</v>
      </c>
      <c r="P2307" s="70">
        <v>0</v>
      </c>
      <c r="Q2307" s="70">
        <f t="shared" si="193"/>
        <v>0</v>
      </c>
      <c r="R2307" s="70"/>
      <c r="S2307" s="67"/>
      <c r="T2307" s="2" t="str">
        <f t="shared" si="194"/>
        <v>Trần Công Duy_12VH4</v>
      </c>
      <c r="U2307" s="28">
        <f t="array" ref="U2307">IFERROR(VLOOKUP($T2307,'Nghi hoc T12'!$H$7:$I$160,2,0),0)</f>
        <v>0</v>
      </c>
      <c r="V2307" s="28"/>
      <c r="W2307" s="28">
        <f t="shared" si="195"/>
        <v>0</v>
      </c>
      <c r="X2307" s="333">
        <f t="shared" si="196"/>
        <v>0</v>
      </c>
      <c r="Y2307" s="333">
        <f t="shared" si="197"/>
        <v>0</v>
      </c>
    </row>
    <row r="2308" spans="1:25" s="2" customFormat="1" ht="21.95" customHeight="1">
      <c r="A2308" s="82">
        <v>5</v>
      </c>
      <c r="B2308" s="91" t="str">
        <f t="shared" si="198"/>
        <v>303.T</v>
      </c>
      <c r="C2308" s="83" t="s">
        <v>365</v>
      </c>
      <c r="D2308" s="81" t="s">
        <v>2269</v>
      </c>
      <c r="E2308" s="48">
        <v>400655</v>
      </c>
      <c r="F2308" s="30" t="s">
        <v>2596</v>
      </c>
      <c r="G2308" s="29" t="s">
        <v>65</v>
      </c>
      <c r="H2308" s="30" t="s">
        <v>2576</v>
      </c>
      <c r="I2308" s="78"/>
      <c r="J2308" s="20"/>
      <c r="K2308" s="20"/>
      <c r="L2308" s="20"/>
      <c r="M2308" s="20"/>
      <c r="N2308" s="179" t="s">
        <v>502</v>
      </c>
      <c r="O2308" s="70">
        <v>0</v>
      </c>
      <c r="P2308" s="70">
        <v>0</v>
      </c>
      <c r="Q2308" s="70">
        <f t="shared" si="193"/>
        <v>0</v>
      </c>
      <c r="R2308" s="70"/>
      <c r="S2308" s="67"/>
      <c r="T2308" s="2" t="str">
        <f t="shared" si="194"/>
        <v>Trần Đạt Duy_12VH5</v>
      </c>
      <c r="U2308" s="28">
        <f t="array" ref="U2308">IFERROR(VLOOKUP($T2308,'Nghi hoc T12'!$H$7:$I$160,2,0),0)</f>
        <v>0</v>
      </c>
      <c r="V2308" s="28"/>
      <c r="W2308" s="28">
        <f t="shared" si="195"/>
        <v>0</v>
      </c>
      <c r="X2308" s="333">
        <f t="shared" si="196"/>
        <v>0</v>
      </c>
      <c r="Y2308" s="333">
        <f t="shared" si="197"/>
        <v>0</v>
      </c>
    </row>
    <row r="2309" spans="1:25" s="2" customFormat="1" ht="21.95" customHeight="1">
      <c r="A2309" s="82">
        <v>6</v>
      </c>
      <c r="B2309" s="91" t="str">
        <f t="shared" si="198"/>
        <v>303.T</v>
      </c>
      <c r="C2309" s="83" t="s">
        <v>365</v>
      </c>
      <c r="D2309" s="81" t="s">
        <v>2269</v>
      </c>
      <c r="E2309" s="48">
        <v>400656</v>
      </c>
      <c r="F2309" s="30" t="s">
        <v>2597</v>
      </c>
      <c r="G2309" s="29" t="s">
        <v>53</v>
      </c>
      <c r="H2309" s="30" t="s">
        <v>2578</v>
      </c>
      <c r="I2309" s="78"/>
      <c r="J2309" s="20"/>
      <c r="K2309" s="20"/>
      <c r="L2309" s="20"/>
      <c r="M2309" s="20"/>
      <c r="N2309" s="179" t="s">
        <v>502</v>
      </c>
      <c r="O2309" s="70">
        <v>0</v>
      </c>
      <c r="P2309" s="70">
        <v>0</v>
      </c>
      <c r="Q2309" s="70">
        <f t="shared" si="193"/>
        <v>0</v>
      </c>
      <c r="R2309" s="70"/>
      <c r="S2309" s="67"/>
      <c r="T2309" s="2" t="str">
        <f t="shared" si="194"/>
        <v>Nguyễn Tùng Dương_12VH7</v>
      </c>
      <c r="U2309" s="28">
        <f t="array" ref="U2309">IFERROR(VLOOKUP($T2309,'Nghi hoc T12'!$H$7:$I$160,2,0),0)</f>
        <v>0</v>
      </c>
      <c r="V2309" s="28"/>
      <c r="W2309" s="28">
        <f t="shared" si="195"/>
        <v>0</v>
      </c>
      <c r="X2309" s="333">
        <f t="shared" si="196"/>
        <v>0</v>
      </c>
      <c r="Y2309" s="333">
        <f t="shared" si="197"/>
        <v>0</v>
      </c>
    </row>
    <row r="2310" spans="1:25" s="2" customFormat="1" ht="21.95" customHeight="1">
      <c r="A2310" s="82">
        <v>7</v>
      </c>
      <c r="B2310" s="91" t="str">
        <f t="shared" si="198"/>
        <v>303.T</v>
      </c>
      <c r="C2310" s="83" t="s">
        <v>365</v>
      </c>
      <c r="D2310" s="81" t="s">
        <v>2269</v>
      </c>
      <c r="E2310" s="48">
        <v>400657</v>
      </c>
      <c r="F2310" s="30" t="s">
        <v>2598</v>
      </c>
      <c r="G2310" s="29" t="s">
        <v>2599</v>
      </c>
      <c r="H2310" s="30" t="s">
        <v>2576</v>
      </c>
      <c r="I2310" s="78"/>
      <c r="J2310" s="20"/>
      <c r="K2310" s="20"/>
      <c r="L2310" s="20"/>
      <c r="M2310" s="20"/>
      <c r="N2310" s="179" t="s">
        <v>502</v>
      </c>
      <c r="O2310" s="70">
        <v>0</v>
      </c>
      <c r="P2310" s="70">
        <v>0</v>
      </c>
      <c r="Q2310" s="70">
        <f t="shared" si="193"/>
        <v>0</v>
      </c>
      <c r="R2310" s="70"/>
      <c r="S2310" s="67"/>
      <c r="T2310" s="2" t="str">
        <f t="shared" si="194"/>
        <v>Trần Phan Lan Đài_12VH5</v>
      </c>
      <c r="U2310" s="28">
        <f t="array" ref="U2310">IFERROR(VLOOKUP($T2310,'Nghi hoc T12'!$H$7:$I$160,2,0),0)</f>
        <v>0</v>
      </c>
      <c r="V2310" s="28"/>
      <c r="W2310" s="28">
        <f t="shared" si="195"/>
        <v>0</v>
      </c>
      <c r="X2310" s="333">
        <f t="shared" si="196"/>
        <v>0</v>
      </c>
      <c r="Y2310" s="333">
        <f t="shared" si="197"/>
        <v>0</v>
      </c>
    </row>
    <row r="2311" spans="1:25" s="2" customFormat="1" ht="21.95" customHeight="1">
      <c r="A2311" s="82">
        <v>8</v>
      </c>
      <c r="B2311" s="91" t="str">
        <f t="shared" si="198"/>
        <v>303.T</v>
      </c>
      <c r="C2311" s="83" t="s">
        <v>365</v>
      </c>
      <c r="D2311" s="81" t="s">
        <v>2269</v>
      </c>
      <c r="E2311" s="48">
        <v>400658</v>
      </c>
      <c r="F2311" s="30" t="s">
        <v>118</v>
      </c>
      <c r="G2311" s="29" t="s">
        <v>109</v>
      </c>
      <c r="H2311" s="30" t="s">
        <v>2576</v>
      </c>
      <c r="I2311" s="78"/>
      <c r="J2311" s="20"/>
      <c r="K2311" s="20"/>
      <c r="L2311" s="20"/>
      <c r="M2311" s="20"/>
      <c r="N2311" s="179" t="s">
        <v>502</v>
      </c>
      <c r="O2311" s="70">
        <v>0</v>
      </c>
      <c r="P2311" s="70">
        <v>0</v>
      </c>
      <c r="Q2311" s="70">
        <f t="shared" si="193"/>
        <v>0</v>
      </c>
      <c r="R2311" s="70"/>
      <c r="S2311" s="67"/>
      <c r="T2311" s="2" t="str">
        <f t="shared" si="194"/>
        <v>Nguyễn Quốc Đại_12VH5</v>
      </c>
      <c r="U2311" s="28">
        <f t="array" ref="U2311">IFERROR(VLOOKUP($T2311,'Nghi hoc T12'!$H$7:$I$160,2,0),0)</f>
        <v>0</v>
      </c>
      <c r="V2311" s="28"/>
      <c r="W2311" s="28">
        <f t="shared" si="195"/>
        <v>0</v>
      </c>
      <c r="X2311" s="333">
        <f t="shared" si="196"/>
        <v>0</v>
      </c>
      <c r="Y2311" s="333">
        <f t="shared" si="197"/>
        <v>0</v>
      </c>
    </row>
    <row r="2312" spans="1:25" s="2" customFormat="1" ht="21.95" customHeight="1">
      <c r="A2312" s="82">
        <v>9</v>
      </c>
      <c r="B2312" s="91" t="str">
        <f t="shared" si="198"/>
        <v>303.T</v>
      </c>
      <c r="C2312" s="83" t="s">
        <v>365</v>
      </c>
      <c r="D2312" s="81" t="s">
        <v>2269</v>
      </c>
      <c r="E2312" s="48">
        <v>400659</v>
      </c>
      <c r="F2312" s="30" t="s">
        <v>2600</v>
      </c>
      <c r="G2312" s="29" t="s">
        <v>7</v>
      </c>
      <c r="H2312" s="30" t="s">
        <v>2581</v>
      </c>
      <c r="I2312" s="78"/>
      <c r="J2312" s="20"/>
      <c r="K2312" s="20"/>
      <c r="L2312" s="20"/>
      <c r="M2312" s="20"/>
      <c r="N2312" s="179" t="s">
        <v>502</v>
      </c>
      <c r="O2312" s="70">
        <v>0</v>
      </c>
      <c r="P2312" s="70">
        <v>0</v>
      </c>
      <c r="Q2312" s="70">
        <f t="shared" si="193"/>
        <v>0</v>
      </c>
      <c r="R2312" s="70"/>
      <c r="S2312" s="67"/>
      <c r="T2312" s="2" t="str">
        <f t="shared" si="194"/>
        <v>Cao Tấn Đạt_12VH6</v>
      </c>
      <c r="U2312" s="28">
        <f t="array" ref="U2312">IFERROR(VLOOKUP($T2312,'Nghi hoc T12'!$H$7:$I$160,2,0),0)</f>
        <v>0</v>
      </c>
      <c r="V2312" s="28"/>
      <c r="W2312" s="28">
        <f t="shared" si="195"/>
        <v>0</v>
      </c>
      <c r="X2312" s="333">
        <f t="shared" si="196"/>
        <v>0</v>
      </c>
      <c r="Y2312" s="333">
        <f t="shared" si="197"/>
        <v>0</v>
      </c>
    </row>
    <row r="2313" spans="1:25" s="2" customFormat="1" ht="21.95" customHeight="1">
      <c r="A2313" s="82">
        <v>10</v>
      </c>
      <c r="B2313" s="91" t="str">
        <f t="shared" si="198"/>
        <v>303.T</v>
      </c>
      <c r="C2313" s="83" t="s">
        <v>365</v>
      </c>
      <c r="D2313" s="81" t="s">
        <v>2269</v>
      </c>
      <c r="E2313" s="48">
        <v>400660</v>
      </c>
      <c r="F2313" s="30" t="s">
        <v>2601</v>
      </c>
      <c r="G2313" s="29" t="s">
        <v>7</v>
      </c>
      <c r="H2313" s="30" t="s">
        <v>2578</v>
      </c>
      <c r="I2313" s="78"/>
      <c r="J2313" s="20"/>
      <c r="K2313" s="20"/>
      <c r="L2313" s="20"/>
      <c r="M2313" s="20"/>
      <c r="N2313" s="179" t="s">
        <v>502</v>
      </c>
      <c r="O2313" s="70">
        <v>0</v>
      </c>
      <c r="P2313" s="70">
        <v>0</v>
      </c>
      <c r="Q2313" s="70">
        <f t="shared" si="193"/>
        <v>0</v>
      </c>
      <c r="R2313" s="70"/>
      <c r="S2313" s="67"/>
      <c r="T2313" s="2" t="str">
        <f t="shared" si="194"/>
        <v>Dương Tiến Đạt_12VH7</v>
      </c>
      <c r="U2313" s="28">
        <f t="array" ref="U2313">IFERROR(VLOOKUP($T2313,'Nghi hoc T12'!$H$7:$I$160,2,0),0)</f>
        <v>0</v>
      </c>
      <c r="V2313" s="28"/>
      <c r="W2313" s="28">
        <f t="shared" si="195"/>
        <v>0</v>
      </c>
      <c r="X2313" s="333">
        <f t="shared" si="196"/>
        <v>0</v>
      </c>
      <c r="Y2313" s="333">
        <f t="shared" si="197"/>
        <v>0</v>
      </c>
    </row>
    <row r="2314" spans="1:25" s="2" customFormat="1" ht="21.95" customHeight="1">
      <c r="A2314" s="82">
        <v>11</v>
      </c>
      <c r="B2314" s="91" t="str">
        <f t="shared" si="198"/>
        <v>303.T</v>
      </c>
      <c r="C2314" s="83" t="s">
        <v>365</v>
      </c>
      <c r="D2314" s="81" t="s">
        <v>2269</v>
      </c>
      <c r="E2314" s="48">
        <v>400661</v>
      </c>
      <c r="F2314" s="30" t="s">
        <v>2602</v>
      </c>
      <c r="G2314" s="29" t="s">
        <v>7</v>
      </c>
      <c r="H2314" s="30" t="s">
        <v>2576</v>
      </c>
      <c r="I2314" s="78"/>
      <c r="J2314" s="20"/>
      <c r="K2314" s="20"/>
      <c r="L2314" s="20"/>
      <c r="M2314" s="20"/>
      <c r="N2314" s="179" t="s">
        <v>502</v>
      </c>
      <c r="O2314" s="70">
        <v>0</v>
      </c>
      <c r="P2314" s="70">
        <v>0</v>
      </c>
      <c r="Q2314" s="70">
        <f t="shared" ref="Q2314:Q2377" si="199">U2314</f>
        <v>0</v>
      </c>
      <c r="R2314" s="70"/>
      <c r="S2314" s="67"/>
      <c r="T2314" s="2" t="str">
        <f t="shared" ref="T2314:T2377" si="200">TRIM(F2314&amp;" "&amp;G2314&amp;"_"&amp;H2314)</f>
        <v>Vũ Quốc Đạt_12VH5</v>
      </c>
      <c r="U2314" s="28">
        <f t="array" ref="U2314">IFERROR(VLOOKUP($T2314,'Nghi hoc T12'!$H$7:$I$160,2,0),0)</f>
        <v>0</v>
      </c>
      <c r="V2314" s="28"/>
      <c r="W2314" s="28">
        <f t="shared" ref="W2314:W2377" si="201">I2314</f>
        <v>0</v>
      </c>
      <c r="X2314" s="333">
        <f t="shared" ref="X2314:X2377" si="202">O2314</f>
        <v>0</v>
      </c>
      <c r="Y2314" s="333">
        <f t="shared" ref="Y2314:Y2377" si="203">P2314</f>
        <v>0</v>
      </c>
    </row>
    <row r="2315" spans="1:25" s="2" customFormat="1" ht="21.95" customHeight="1">
      <c r="A2315" s="82">
        <v>12</v>
      </c>
      <c r="B2315" s="91" t="str">
        <f t="shared" ref="B2315:B2378" si="204">RIGHT(D2315,LEN(D2315)-2)&amp;"."&amp;LEFT(N2315,1)</f>
        <v>303.T</v>
      </c>
      <c r="C2315" s="83" t="s">
        <v>365</v>
      </c>
      <c r="D2315" s="81" t="s">
        <v>2269</v>
      </c>
      <c r="E2315" s="48">
        <v>400662</v>
      </c>
      <c r="F2315" s="30" t="s">
        <v>163</v>
      </c>
      <c r="G2315" s="29" t="s">
        <v>119</v>
      </c>
      <c r="H2315" s="30" t="s">
        <v>2576</v>
      </c>
      <c r="I2315" s="78"/>
      <c r="J2315" s="20"/>
      <c r="K2315" s="20"/>
      <c r="L2315" s="20"/>
      <c r="M2315" s="20"/>
      <c r="N2315" s="179" t="s">
        <v>502</v>
      </c>
      <c r="O2315" s="70">
        <v>0</v>
      </c>
      <c r="P2315" s="70">
        <v>0</v>
      </c>
      <c r="Q2315" s="70">
        <f t="shared" si="199"/>
        <v>0</v>
      </c>
      <c r="R2315" s="70"/>
      <c r="S2315" s="67"/>
      <c r="T2315" s="2" t="str">
        <f t="shared" si="200"/>
        <v>Nguyễn Lê Minh Đăng_12VH5</v>
      </c>
      <c r="U2315" s="28">
        <f t="array" ref="U2315">IFERROR(VLOOKUP($T2315,'Nghi hoc T12'!$H$7:$I$160,2,0),0)</f>
        <v>0</v>
      </c>
      <c r="V2315" s="28"/>
      <c r="W2315" s="28">
        <f t="shared" si="201"/>
        <v>0</v>
      </c>
      <c r="X2315" s="333">
        <f t="shared" si="202"/>
        <v>0</v>
      </c>
      <c r="Y2315" s="333">
        <f t="shared" si="203"/>
        <v>0</v>
      </c>
    </row>
    <row r="2316" spans="1:25" s="2" customFormat="1" ht="21.95" customHeight="1">
      <c r="A2316" s="82">
        <v>13</v>
      </c>
      <c r="B2316" s="91" t="str">
        <f t="shared" si="204"/>
        <v>303.T</v>
      </c>
      <c r="C2316" s="83" t="s">
        <v>365</v>
      </c>
      <c r="D2316" s="81" t="s">
        <v>2269</v>
      </c>
      <c r="E2316" s="48">
        <v>400663</v>
      </c>
      <c r="F2316" s="30" t="s">
        <v>186</v>
      </c>
      <c r="G2316" s="29" t="s">
        <v>119</v>
      </c>
      <c r="H2316" s="30" t="s">
        <v>2578</v>
      </c>
      <c r="I2316" s="78"/>
      <c r="J2316" s="20"/>
      <c r="K2316" s="20"/>
      <c r="L2316" s="20"/>
      <c r="M2316" s="20"/>
      <c r="N2316" s="179" t="s">
        <v>502</v>
      </c>
      <c r="O2316" s="70">
        <v>0</v>
      </c>
      <c r="P2316" s="70">
        <v>0</v>
      </c>
      <c r="Q2316" s="70">
        <f t="shared" si="199"/>
        <v>0</v>
      </c>
      <c r="R2316" s="70"/>
      <c r="S2316" s="67"/>
      <c r="T2316" s="2" t="str">
        <f t="shared" si="200"/>
        <v>Nguyễn Minh Đăng_12VH7</v>
      </c>
      <c r="U2316" s="28">
        <f t="array" ref="U2316">IFERROR(VLOOKUP($T2316,'Nghi hoc T12'!$H$7:$I$160,2,0),0)</f>
        <v>0</v>
      </c>
      <c r="V2316" s="28"/>
      <c r="W2316" s="28">
        <f t="shared" si="201"/>
        <v>0</v>
      </c>
      <c r="X2316" s="333">
        <f t="shared" si="202"/>
        <v>0</v>
      </c>
      <c r="Y2316" s="333">
        <f t="shared" si="203"/>
        <v>0</v>
      </c>
    </row>
    <row r="2317" spans="1:25" s="2" customFormat="1" ht="21.95" customHeight="1">
      <c r="A2317" s="82">
        <v>14</v>
      </c>
      <c r="B2317" s="91" t="str">
        <f t="shared" si="204"/>
        <v>303.T</v>
      </c>
      <c r="C2317" s="83" t="s">
        <v>365</v>
      </c>
      <c r="D2317" s="81" t="s">
        <v>2269</v>
      </c>
      <c r="E2317" s="48">
        <v>400664</v>
      </c>
      <c r="F2317" s="30" t="s">
        <v>156</v>
      </c>
      <c r="G2317" s="29" t="s">
        <v>119</v>
      </c>
      <c r="H2317" s="30" t="s">
        <v>2574</v>
      </c>
      <c r="I2317" s="78"/>
      <c r="J2317" s="20"/>
      <c r="K2317" s="20"/>
      <c r="L2317" s="20"/>
      <c r="M2317" s="20"/>
      <c r="N2317" s="179" t="s">
        <v>502</v>
      </c>
      <c r="O2317" s="70">
        <v>0</v>
      </c>
      <c r="P2317" s="70">
        <v>0</v>
      </c>
      <c r="Q2317" s="70">
        <f t="shared" si="199"/>
        <v>0</v>
      </c>
      <c r="R2317" s="70"/>
      <c r="S2317" s="67"/>
      <c r="T2317" s="2" t="str">
        <f t="shared" si="200"/>
        <v>Trần Minh Đăng_12VH4</v>
      </c>
      <c r="U2317" s="28">
        <f t="array" ref="U2317">IFERROR(VLOOKUP($T2317,'Nghi hoc T12'!$H$7:$I$160,2,0),0)</f>
        <v>0</v>
      </c>
      <c r="V2317" s="28"/>
      <c r="W2317" s="28">
        <f t="shared" si="201"/>
        <v>0</v>
      </c>
      <c r="X2317" s="333">
        <f t="shared" si="202"/>
        <v>0</v>
      </c>
      <c r="Y2317" s="333">
        <f t="shared" si="203"/>
        <v>0</v>
      </c>
    </row>
    <row r="2318" spans="1:25" s="2" customFormat="1" ht="21.95" customHeight="1">
      <c r="A2318" s="82">
        <v>15</v>
      </c>
      <c r="B2318" s="91" t="str">
        <f t="shared" si="204"/>
        <v>303.T</v>
      </c>
      <c r="C2318" s="83" t="s">
        <v>365</v>
      </c>
      <c r="D2318" s="81" t="s">
        <v>2269</v>
      </c>
      <c r="E2318" s="48">
        <v>400665</v>
      </c>
      <c r="F2318" s="30" t="s">
        <v>297</v>
      </c>
      <c r="G2318" s="29" t="s">
        <v>2603</v>
      </c>
      <c r="H2318" s="30" t="s">
        <v>2581</v>
      </c>
      <c r="I2318" s="78"/>
      <c r="J2318" s="20"/>
      <c r="K2318" s="20"/>
      <c r="L2318" s="20"/>
      <c r="M2318" s="20"/>
      <c r="N2318" s="179" t="s">
        <v>502</v>
      </c>
      <c r="O2318" s="70">
        <v>0</v>
      </c>
      <c r="P2318" s="70">
        <v>0</v>
      </c>
      <c r="Q2318" s="70">
        <f t="shared" si="199"/>
        <v>0</v>
      </c>
      <c r="R2318" s="70"/>
      <c r="S2318" s="67"/>
      <c r="T2318" s="2" t="str">
        <f t="shared" si="200"/>
        <v>Nguyễn Huỳnh Giao_12VH6</v>
      </c>
      <c r="U2318" s="28">
        <f t="array" ref="U2318">IFERROR(VLOOKUP($T2318,'Nghi hoc T12'!$H$7:$I$160,2,0),0)</f>
        <v>0</v>
      </c>
      <c r="V2318" s="28"/>
      <c r="W2318" s="28">
        <f t="shared" si="201"/>
        <v>0</v>
      </c>
      <c r="X2318" s="333">
        <f t="shared" si="202"/>
        <v>0</v>
      </c>
      <c r="Y2318" s="333">
        <f t="shared" si="203"/>
        <v>0</v>
      </c>
    </row>
    <row r="2319" spans="1:25" s="2" customFormat="1" ht="21.95" customHeight="1">
      <c r="A2319" s="82">
        <v>16</v>
      </c>
      <c r="B2319" s="91" t="str">
        <f t="shared" si="204"/>
        <v>303.T</v>
      </c>
      <c r="C2319" s="83" t="s">
        <v>365</v>
      </c>
      <c r="D2319" s="81" t="s">
        <v>2269</v>
      </c>
      <c r="E2319" s="48">
        <v>400666</v>
      </c>
      <c r="F2319" s="30" t="s">
        <v>202</v>
      </c>
      <c r="G2319" s="29" t="s">
        <v>171</v>
      </c>
      <c r="H2319" s="30" t="s">
        <v>2578</v>
      </c>
      <c r="I2319" s="78"/>
      <c r="J2319" s="20"/>
      <c r="K2319" s="20"/>
      <c r="L2319" s="20"/>
      <c r="M2319" s="20"/>
      <c r="N2319" s="179" t="s">
        <v>502</v>
      </c>
      <c r="O2319" s="70">
        <v>0</v>
      </c>
      <c r="P2319" s="70">
        <v>0</v>
      </c>
      <c r="Q2319" s="70">
        <f t="shared" si="199"/>
        <v>0</v>
      </c>
      <c r="R2319" s="70"/>
      <c r="S2319" s="67"/>
      <c r="T2319" s="2" t="str">
        <f t="shared" si="200"/>
        <v>Nguyễn Chí Hải_12VH7</v>
      </c>
      <c r="U2319" s="28">
        <f t="array" ref="U2319">IFERROR(VLOOKUP($T2319,'Nghi hoc T12'!$H$7:$I$160,2,0),0)</f>
        <v>0</v>
      </c>
      <c r="V2319" s="28"/>
      <c r="W2319" s="28">
        <f t="shared" si="201"/>
        <v>0</v>
      </c>
      <c r="X2319" s="333">
        <f t="shared" si="202"/>
        <v>0</v>
      </c>
      <c r="Y2319" s="333">
        <f t="shared" si="203"/>
        <v>0</v>
      </c>
    </row>
    <row r="2320" spans="1:25" s="2" customFormat="1" ht="21.95" customHeight="1">
      <c r="A2320" s="82">
        <v>17</v>
      </c>
      <c r="B2320" s="91" t="str">
        <f t="shared" si="204"/>
        <v>303.T</v>
      </c>
      <c r="C2320" s="83" t="s">
        <v>365</v>
      </c>
      <c r="D2320" s="81" t="s">
        <v>2269</v>
      </c>
      <c r="E2320" s="48">
        <v>400667</v>
      </c>
      <c r="F2320" s="30" t="s">
        <v>337</v>
      </c>
      <c r="G2320" s="29" t="s">
        <v>171</v>
      </c>
      <c r="H2320" s="30" t="s">
        <v>2574</v>
      </c>
      <c r="I2320" s="78"/>
      <c r="J2320" s="20"/>
      <c r="K2320" s="20"/>
      <c r="L2320" s="20"/>
      <c r="M2320" s="20"/>
      <c r="N2320" s="179" t="s">
        <v>502</v>
      </c>
      <c r="O2320" s="70">
        <v>0</v>
      </c>
      <c r="P2320" s="70">
        <v>0</v>
      </c>
      <c r="Q2320" s="70">
        <f t="shared" si="199"/>
        <v>0</v>
      </c>
      <c r="R2320" s="70"/>
      <c r="S2320" s="67"/>
      <c r="T2320" s="2" t="str">
        <f t="shared" si="200"/>
        <v>Trần Anh Hải_12VH4</v>
      </c>
      <c r="U2320" s="28">
        <f t="array" ref="U2320">IFERROR(VLOOKUP($T2320,'Nghi hoc T12'!$H$7:$I$160,2,0),0)</f>
        <v>0</v>
      </c>
      <c r="V2320" s="28"/>
      <c r="W2320" s="28">
        <f t="shared" si="201"/>
        <v>0</v>
      </c>
      <c r="X2320" s="333">
        <f t="shared" si="202"/>
        <v>0</v>
      </c>
      <c r="Y2320" s="333">
        <f t="shared" si="203"/>
        <v>0</v>
      </c>
    </row>
    <row r="2321" spans="1:25" s="2" customFormat="1" ht="21.95" customHeight="1">
      <c r="A2321" s="82">
        <v>18</v>
      </c>
      <c r="B2321" s="91" t="str">
        <f t="shared" si="204"/>
        <v>303.T</v>
      </c>
      <c r="C2321" s="83" t="s">
        <v>365</v>
      </c>
      <c r="D2321" s="81" t="s">
        <v>2269</v>
      </c>
      <c r="E2321" s="48">
        <v>400668</v>
      </c>
      <c r="F2321" s="30" t="s">
        <v>183</v>
      </c>
      <c r="G2321" s="29" t="s">
        <v>78</v>
      </c>
      <c r="H2321" s="30" t="s">
        <v>2581</v>
      </c>
      <c r="I2321" s="78"/>
      <c r="J2321" s="20"/>
      <c r="K2321" s="20"/>
      <c r="L2321" s="20"/>
      <c r="M2321" s="20"/>
      <c r="N2321" s="179" t="s">
        <v>502</v>
      </c>
      <c r="O2321" s="70">
        <v>0</v>
      </c>
      <c r="P2321" s="70">
        <v>0</v>
      </c>
      <c r="Q2321" s="70">
        <f t="shared" si="199"/>
        <v>0</v>
      </c>
      <c r="R2321" s="70"/>
      <c r="S2321" s="67"/>
      <c r="T2321" s="2" t="str">
        <f t="shared" si="200"/>
        <v>Nguyễn Thanh Hào_12VH6</v>
      </c>
      <c r="U2321" s="28">
        <f t="array" ref="U2321">IFERROR(VLOOKUP($T2321,'Nghi hoc T12'!$H$7:$I$160,2,0),0)</f>
        <v>0</v>
      </c>
      <c r="V2321" s="28"/>
      <c r="W2321" s="28">
        <f t="shared" si="201"/>
        <v>0</v>
      </c>
      <c r="X2321" s="333">
        <f t="shared" si="202"/>
        <v>0</v>
      </c>
      <c r="Y2321" s="333">
        <f t="shared" si="203"/>
        <v>0</v>
      </c>
    </row>
    <row r="2322" spans="1:25" s="2" customFormat="1" ht="21.95" customHeight="1">
      <c r="A2322" s="82">
        <v>19</v>
      </c>
      <c r="B2322" s="91" t="str">
        <f t="shared" si="204"/>
        <v>303.T</v>
      </c>
      <c r="C2322" s="83" t="s">
        <v>365</v>
      </c>
      <c r="D2322" s="81" t="s">
        <v>2269</v>
      </c>
      <c r="E2322" s="48">
        <v>400669</v>
      </c>
      <c r="F2322" s="30" t="s">
        <v>2604</v>
      </c>
      <c r="G2322" s="29" t="s">
        <v>173</v>
      </c>
      <c r="H2322" s="30" t="s">
        <v>2578</v>
      </c>
      <c r="I2322" s="78"/>
      <c r="J2322" s="20"/>
      <c r="K2322" s="20"/>
      <c r="L2322" s="20"/>
      <c r="M2322" s="20"/>
      <c r="N2322" s="179" t="s">
        <v>502</v>
      </c>
      <c r="O2322" s="70">
        <v>0</v>
      </c>
      <c r="P2322" s="70">
        <v>0</v>
      </c>
      <c r="Q2322" s="70">
        <f t="shared" si="199"/>
        <v>0</v>
      </c>
      <c r="R2322" s="70"/>
      <c r="S2322" s="67"/>
      <c r="T2322" s="2" t="str">
        <f t="shared" si="200"/>
        <v>Phạm Thị Mỹ Hằng_12VH7</v>
      </c>
      <c r="U2322" s="28">
        <f t="array" ref="U2322">IFERROR(VLOOKUP($T2322,'Nghi hoc T12'!$H$7:$I$160,2,0),0)</f>
        <v>0</v>
      </c>
      <c r="V2322" s="28"/>
      <c r="W2322" s="28">
        <f t="shared" si="201"/>
        <v>0</v>
      </c>
      <c r="X2322" s="333">
        <f t="shared" si="202"/>
        <v>0</v>
      </c>
      <c r="Y2322" s="333">
        <f t="shared" si="203"/>
        <v>0</v>
      </c>
    </row>
    <row r="2323" spans="1:25" s="2" customFormat="1" ht="21.95" customHeight="1">
      <c r="A2323" s="82">
        <v>20</v>
      </c>
      <c r="B2323" s="91" t="str">
        <f t="shared" si="204"/>
        <v>303.T</v>
      </c>
      <c r="C2323" s="83" t="s">
        <v>365</v>
      </c>
      <c r="D2323" s="81" t="s">
        <v>2269</v>
      </c>
      <c r="E2323" s="48">
        <v>400670</v>
      </c>
      <c r="F2323" s="30" t="s">
        <v>2605</v>
      </c>
      <c r="G2323" s="29" t="s">
        <v>84</v>
      </c>
      <c r="H2323" s="30" t="s">
        <v>2576</v>
      </c>
      <c r="I2323" s="78"/>
      <c r="J2323" s="20"/>
      <c r="K2323" s="20"/>
      <c r="L2323" s="20"/>
      <c r="M2323" s="20"/>
      <c r="N2323" s="179" t="s">
        <v>502</v>
      </c>
      <c r="O2323" s="70">
        <v>0</v>
      </c>
      <c r="P2323" s="70">
        <v>0</v>
      </c>
      <c r="Q2323" s="70">
        <f t="shared" si="199"/>
        <v>0</v>
      </c>
      <c r="R2323" s="70"/>
      <c r="S2323" s="67"/>
      <c r="T2323" s="2" t="str">
        <f t="shared" si="200"/>
        <v>Lê Phạm Bảo Hân_12VH5</v>
      </c>
      <c r="U2323" s="28">
        <f t="array" ref="U2323">IFERROR(VLOOKUP($T2323,'Nghi hoc T12'!$H$7:$I$160,2,0),0)</f>
        <v>0</v>
      </c>
      <c r="V2323" s="28"/>
      <c r="W2323" s="28">
        <f t="shared" si="201"/>
        <v>0</v>
      </c>
      <c r="X2323" s="333">
        <f t="shared" si="202"/>
        <v>0</v>
      </c>
      <c r="Y2323" s="333">
        <f t="shared" si="203"/>
        <v>0</v>
      </c>
    </row>
    <row r="2324" spans="1:25" s="2" customFormat="1" ht="21.95" customHeight="1">
      <c r="A2324" s="82">
        <v>21</v>
      </c>
      <c r="B2324" s="91" t="str">
        <f t="shared" si="204"/>
        <v>303.T</v>
      </c>
      <c r="C2324" s="83" t="s">
        <v>365</v>
      </c>
      <c r="D2324" s="81" t="s">
        <v>2269</v>
      </c>
      <c r="E2324" s="48">
        <v>400671</v>
      </c>
      <c r="F2324" s="30" t="s">
        <v>338</v>
      </c>
      <c r="G2324" s="29" t="s">
        <v>104</v>
      </c>
      <c r="H2324" s="30" t="s">
        <v>2576</v>
      </c>
      <c r="I2324" s="78"/>
      <c r="J2324" s="20"/>
      <c r="K2324" s="20"/>
      <c r="L2324" s="20"/>
      <c r="M2324" s="20"/>
      <c r="N2324" s="179" t="s">
        <v>502</v>
      </c>
      <c r="O2324" s="70">
        <v>0</v>
      </c>
      <c r="P2324" s="70">
        <v>0</v>
      </c>
      <c r="Q2324" s="70">
        <f t="shared" si="199"/>
        <v>0</v>
      </c>
      <c r="R2324" s="70"/>
      <c r="S2324" s="67"/>
      <c r="T2324" s="2" t="str">
        <f t="shared" si="200"/>
        <v>Lê Thị Kim Hậu_12VH5</v>
      </c>
      <c r="U2324" s="28">
        <f t="array" ref="U2324">IFERROR(VLOOKUP($T2324,'Nghi hoc T12'!$H$7:$I$160,2,0),0)</f>
        <v>0</v>
      </c>
      <c r="V2324" s="28"/>
      <c r="W2324" s="28">
        <f t="shared" si="201"/>
        <v>0</v>
      </c>
      <c r="X2324" s="333">
        <f t="shared" si="202"/>
        <v>0</v>
      </c>
      <c r="Y2324" s="333">
        <f t="shared" si="203"/>
        <v>0</v>
      </c>
    </row>
    <row r="2325" spans="1:25" s="2" customFormat="1" ht="21.95" customHeight="1">
      <c r="A2325" s="82">
        <v>22</v>
      </c>
      <c r="B2325" s="91" t="str">
        <f t="shared" si="204"/>
        <v>303.T</v>
      </c>
      <c r="C2325" s="83" t="s">
        <v>365</v>
      </c>
      <c r="D2325" s="81" t="s">
        <v>2269</v>
      </c>
      <c r="E2325" s="48">
        <v>400672</v>
      </c>
      <c r="F2325" s="30" t="s">
        <v>276</v>
      </c>
      <c r="G2325" s="29" t="s">
        <v>104</v>
      </c>
      <c r="H2325" s="30" t="s">
        <v>2581</v>
      </c>
      <c r="I2325" s="78"/>
      <c r="J2325" s="20"/>
      <c r="K2325" s="20"/>
      <c r="L2325" s="20"/>
      <c r="M2325" s="20"/>
      <c r="N2325" s="179" t="s">
        <v>502</v>
      </c>
      <c r="O2325" s="70">
        <v>0</v>
      </c>
      <c r="P2325" s="70">
        <v>0</v>
      </c>
      <c r="Q2325" s="70">
        <f t="shared" si="199"/>
        <v>0</v>
      </c>
      <c r="R2325" s="70"/>
      <c r="S2325" s="67"/>
      <c r="T2325" s="2" t="str">
        <f t="shared" si="200"/>
        <v>Nguyễn Trung Hậu_12VH6</v>
      </c>
      <c r="U2325" s="28">
        <f t="array" ref="U2325">IFERROR(VLOOKUP($T2325,'Nghi hoc T12'!$H$7:$I$160,2,0),0)</f>
        <v>0</v>
      </c>
      <c r="V2325" s="28"/>
      <c r="W2325" s="28">
        <f t="shared" si="201"/>
        <v>0</v>
      </c>
      <c r="X2325" s="333">
        <f t="shared" si="202"/>
        <v>0</v>
      </c>
      <c r="Y2325" s="333">
        <f t="shared" si="203"/>
        <v>0</v>
      </c>
    </row>
    <row r="2326" spans="1:25" s="2" customFormat="1" ht="21.95" customHeight="1">
      <c r="A2326" s="82">
        <v>23</v>
      </c>
      <c r="B2326" s="91" t="str">
        <f t="shared" si="204"/>
        <v>303.T</v>
      </c>
      <c r="C2326" s="83" t="s">
        <v>365</v>
      </c>
      <c r="D2326" s="81" t="s">
        <v>2269</v>
      </c>
      <c r="E2326" s="48">
        <v>400673</v>
      </c>
      <c r="F2326" s="30" t="s">
        <v>334</v>
      </c>
      <c r="G2326" s="29" t="s">
        <v>9</v>
      </c>
      <c r="H2326" s="30" t="s">
        <v>2578</v>
      </c>
      <c r="I2326" s="78"/>
      <c r="J2326" s="20"/>
      <c r="K2326" s="20"/>
      <c r="L2326" s="20"/>
      <c r="M2326" s="20"/>
      <c r="N2326" s="179" t="s">
        <v>502</v>
      </c>
      <c r="O2326" s="70">
        <v>0</v>
      </c>
      <c r="P2326" s="70">
        <v>0</v>
      </c>
      <c r="Q2326" s="70">
        <f t="shared" si="199"/>
        <v>0</v>
      </c>
      <c r="R2326" s="70"/>
      <c r="S2326" s="67"/>
      <c r="T2326" s="2" t="str">
        <f t="shared" si="200"/>
        <v>Hoàng Trung Hiếu_12VH7</v>
      </c>
      <c r="U2326" s="28">
        <f t="array" ref="U2326">IFERROR(VLOOKUP($T2326,'Nghi hoc T12'!$H$7:$I$160,2,0),0)</f>
        <v>0</v>
      </c>
      <c r="V2326" s="28"/>
      <c r="W2326" s="28">
        <f t="shared" si="201"/>
        <v>0</v>
      </c>
      <c r="X2326" s="333">
        <f t="shared" si="202"/>
        <v>0</v>
      </c>
      <c r="Y2326" s="333">
        <f t="shared" si="203"/>
        <v>0</v>
      </c>
    </row>
    <row r="2327" spans="1:25" s="2" customFormat="1" ht="21.95" customHeight="1">
      <c r="A2327" s="82">
        <v>24</v>
      </c>
      <c r="B2327" s="91" t="str">
        <f t="shared" si="204"/>
        <v>303.T</v>
      </c>
      <c r="C2327" s="83" t="s">
        <v>365</v>
      </c>
      <c r="D2327" s="81" t="s">
        <v>2269</v>
      </c>
      <c r="E2327" s="48">
        <v>400674</v>
      </c>
      <c r="F2327" s="30" t="s">
        <v>2606</v>
      </c>
      <c r="G2327" s="29" t="s">
        <v>9</v>
      </c>
      <c r="H2327" s="30" t="s">
        <v>2574</v>
      </c>
      <c r="I2327" s="78"/>
      <c r="J2327" s="20"/>
      <c r="K2327" s="20"/>
      <c r="L2327" s="20"/>
      <c r="M2327" s="20"/>
      <c r="N2327" s="179" t="s">
        <v>502</v>
      </c>
      <c r="O2327" s="70">
        <v>0</v>
      </c>
      <c r="P2327" s="70">
        <v>0</v>
      </c>
      <c r="Q2327" s="70">
        <f t="shared" si="199"/>
        <v>0</v>
      </c>
      <c r="R2327" s="70"/>
      <c r="S2327" s="67"/>
      <c r="T2327" s="2" t="str">
        <f t="shared" si="200"/>
        <v>Võ Trọng Hiếu_12VH4</v>
      </c>
      <c r="U2327" s="28">
        <f t="array" ref="U2327">IFERROR(VLOOKUP($T2327,'Nghi hoc T12'!$H$7:$I$160,2,0),0)</f>
        <v>0</v>
      </c>
      <c r="V2327" s="28"/>
      <c r="W2327" s="28">
        <f t="shared" si="201"/>
        <v>0</v>
      </c>
      <c r="X2327" s="333">
        <f t="shared" si="202"/>
        <v>0</v>
      </c>
      <c r="Y2327" s="333">
        <f t="shared" si="203"/>
        <v>0</v>
      </c>
    </row>
    <row r="2328" spans="1:25" s="2" customFormat="1" ht="21.95" customHeight="1">
      <c r="A2328" s="321">
        <v>1</v>
      </c>
      <c r="B2328" s="91" t="str">
        <f t="shared" si="204"/>
        <v>304.T</v>
      </c>
      <c r="C2328" s="185" t="s">
        <v>365</v>
      </c>
      <c r="D2328" s="186" t="s">
        <v>2282</v>
      </c>
      <c r="E2328" s="187">
        <v>400675</v>
      </c>
      <c r="F2328" s="188" t="s">
        <v>183</v>
      </c>
      <c r="G2328" s="189" t="s">
        <v>353</v>
      </c>
      <c r="H2328" s="188" t="s">
        <v>2576</v>
      </c>
      <c r="I2328" s="190"/>
      <c r="J2328" s="191"/>
      <c r="K2328" s="191"/>
      <c r="L2328" s="191"/>
      <c r="M2328" s="191"/>
      <c r="N2328" s="179" t="s">
        <v>502</v>
      </c>
      <c r="O2328" s="70">
        <v>0</v>
      </c>
      <c r="P2328" s="70">
        <v>0</v>
      </c>
      <c r="Q2328" s="70">
        <f t="shared" si="199"/>
        <v>0</v>
      </c>
      <c r="R2328" s="70"/>
      <c r="S2328" s="67"/>
      <c r="T2328" s="2" t="str">
        <f t="shared" si="200"/>
        <v>Nguyễn Thanh Hóa_12VH5</v>
      </c>
      <c r="U2328" s="28">
        <f t="array" ref="U2328">IFERROR(VLOOKUP($T2328,'Nghi hoc T12'!$H$7:$I$160,2,0),0)</f>
        <v>0</v>
      </c>
      <c r="V2328" s="28"/>
      <c r="W2328" s="28">
        <f t="shared" si="201"/>
        <v>0</v>
      </c>
      <c r="X2328" s="333">
        <f t="shared" si="202"/>
        <v>0</v>
      </c>
      <c r="Y2328" s="333">
        <f t="shared" si="203"/>
        <v>0</v>
      </c>
    </row>
    <row r="2329" spans="1:25" s="2" customFormat="1" ht="21.95" customHeight="1">
      <c r="A2329" s="82">
        <v>2</v>
      </c>
      <c r="B2329" s="91" t="str">
        <f t="shared" si="204"/>
        <v>304.T</v>
      </c>
      <c r="C2329" s="83" t="s">
        <v>365</v>
      </c>
      <c r="D2329" s="81" t="s">
        <v>2282</v>
      </c>
      <c r="E2329" s="48">
        <v>400676</v>
      </c>
      <c r="F2329" s="30" t="s">
        <v>2607</v>
      </c>
      <c r="G2329" s="29" t="s">
        <v>10</v>
      </c>
      <c r="H2329" s="30" t="s">
        <v>2581</v>
      </c>
      <c r="I2329" s="78"/>
      <c r="J2329" s="20"/>
      <c r="K2329" s="20"/>
      <c r="L2329" s="20"/>
      <c r="M2329" s="20"/>
      <c r="N2329" s="179" t="s">
        <v>502</v>
      </c>
      <c r="O2329" s="70">
        <v>0</v>
      </c>
      <c r="P2329" s="70">
        <v>0</v>
      </c>
      <c r="Q2329" s="70">
        <f t="shared" si="199"/>
        <v>0</v>
      </c>
      <c r="R2329" s="70"/>
      <c r="S2329" s="67"/>
      <c r="T2329" s="2" t="str">
        <f t="shared" si="200"/>
        <v>Huỳnh Nguyễn Huy Hoàng_12VH6</v>
      </c>
      <c r="U2329" s="28">
        <f t="array" ref="U2329">IFERROR(VLOOKUP($T2329,'Nghi hoc T12'!$H$7:$I$160,2,0),0)</f>
        <v>0</v>
      </c>
      <c r="V2329" s="28"/>
      <c r="W2329" s="28">
        <f t="shared" si="201"/>
        <v>0</v>
      </c>
      <c r="X2329" s="333">
        <f t="shared" si="202"/>
        <v>0</v>
      </c>
      <c r="Y2329" s="333">
        <f t="shared" si="203"/>
        <v>0</v>
      </c>
    </row>
    <row r="2330" spans="1:25" s="2" customFormat="1" ht="21.95" customHeight="1">
      <c r="A2330" s="82">
        <v>3</v>
      </c>
      <c r="B2330" s="91" t="str">
        <f t="shared" si="204"/>
        <v>304.T</v>
      </c>
      <c r="C2330" s="83" t="s">
        <v>365</v>
      </c>
      <c r="D2330" s="81" t="s">
        <v>2282</v>
      </c>
      <c r="E2330" s="48">
        <v>400677</v>
      </c>
      <c r="F2330" s="30" t="s">
        <v>2499</v>
      </c>
      <c r="G2330" s="29" t="s">
        <v>11</v>
      </c>
      <c r="H2330" s="30" t="s">
        <v>2576</v>
      </c>
      <c r="I2330" s="78"/>
      <c r="J2330" s="20"/>
      <c r="K2330" s="20"/>
      <c r="L2330" s="20"/>
      <c r="M2330" s="20"/>
      <c r="N2330" s="179" t="s">
        <v>502</v>
      </c>
      <c r="O2330" s="70">
        <v>0</v>
      </c>
      <c r="P2330" s="70">
        <v>0</v>
      </c>
      <c r="Q2330" s="70">
        <f t="shared" si="199"/>
        <v>0</v>
      </c>
      <c r="R2330" s="70"/>
      <c r="S2330" s="67"/>
      <c r="T2330" s="2" t="str">
        <f t="shared" si="200"/>
        <v>Nguyễn Lê Gia Huy_12VH5</v>
      </c>
      <c r="U2330" s="28">
        <f t="array" ref="U2330">IFERROR(VLOOKUP($T2330,'Nghi hoc T12'!$H$7:$I$160,2,0),0)</f>
        <v>0</v>
      </c>
      <c r="V2330" s="28"/>
      <c r="W2330" s="28">
        <f t="shared" si="201"/>
        <v>0</v>
      </c>
      <c r="X2330" s="333">
        <f t="shared" si="202"/>
        <v>0</v>
      </c>
      <c r="Y2330" s="333">
        <f t="shared" si="203"/>
        <v>0</v>
      </c>
    </row>
    <row r="2331" spans="1:25" s="2" customFormat="1" ht="21.95" customHeight="1">
      <c r="A2331" s="82">
        <v>4</v>
      </c>
      <c r="B2331" s="91" t="str">
        <f t="shared" si="204"/>
        <v>304.T</v>
      </c>
      <c r="C2331" s="83" t="s">
        <v>365</v>
      </c>
      <c r="D2331" s="81" t="s">
        <v>2282</v>
      </c>
      <c r="E2331" s="48">
        <v>400678</v>
      </c>
      <c r="F2331" s="30" t="s">
        <v>2608</v>
      </c>
      <c r="G2331" s="29" t="s">
        <v>11</v>
      </c>
      <c r="H2331" s="30" t="s">
        <v>2578</v>
      </c>
      <c r="I2331" s="78"/>
      <c r="J2331" s="20"/>
      <c r="K2331" s="20"/>
      <c r="L2331" s="20"/>
      <c r="M2331" s="20"/>
      <c r="N2331" s="179" t="s">
        <v>502</v>
      </c>
      <c r="O2331" s="70">
        <v>0</v>
      </c>
      <c r="P2331" s="70">
        <v>0</v>
      </c>
      <c r="Q2331" s="70">
        <f t="shared" si="199"/>
        <v>0</v>
      </c>
      <c r="R2331" s="70"/>
      <c r="S2331" s="67"/>
      <c r="T2331" s="2" t="str">
        <f t="shared" si="200"/>
        <v>Nguyễn Lê Quốc Huy_12VH7</v>
      </c>
      <c r="U2331" s="28">
        <f t="array" ref="U2331">IFERROR(VLOOKUP($T2331,'Nghi hoc T12'!$H$7:$I$160,2,0),0)</f>
        <v>0</v>
      </c>
      <c r="V2331" s="28"/>
      <c r="W2331" s="28">
        <f t="shared" si="201"/>
        <v>0</v>
      </c>
      <c r="X2331" s="333">
        <f t="shared" si="202"/>
        <v>0</v>
      </c>
      <c r="Y2331" s="333">
        <f t="shared" si="203"/>
        <v>0</v>
      </c>
    </row>
    <row r="2332" spans="1:25" s="2" customFormat="1" ht="21.95" customHeight="1">
      <c r="A2332" s="82">
        <v>5</v>
      </c>
      <c r="B2332" s="91" t="str">
        <f t="shared" si="204"/>
        <v>304.T</v>
      </c>
      <c r="C2332" s="83" t="s">
        <v>365</v>
      </c>
      <c r="D2332" s="81" t="s">
        <v>2282</v>
      </c>
      <c r="E2332" s="48">
        <v>400679</v>
      </c>
      <c r="F2332" s="30" t="s">
        <v>216</v>
      </c>
      <c r="G2332" s="29" t="s">
        <v>11</v>
      </c>
      <c r="H2332" s="30" t="s">
        <v>2574</v>
      </c>
      <c r="I2332" s="78"/>
      <c r="J2332" s="20"/>
      <c r="K2332" s="20"/>
      <c r="L2332" s="20"/>
      <c r="M2332" s="20"/>
      <c r="N2332" s="179" t="s">
        <v>502</v>
      </c>
      <c r="O2332" s="70">
        <v>0</v>
      </c>
      <c r="P2332" s="70">
        <v>0</v>
      </c>
      <c r="Q2332" s="70">
        <f t="shared" si="199"/>
        <v>0</v>
      </c>
      <c r="R2332" s="70"/>
      <c r="S2332" s="67"/>
      <c r="T2332" s="2" t="str">
        <f t="shared" si="200"/>
        <v>Nguyễn Nhật Huy_12VH4</v>
      </c>
      <c r="U2332" s="28">
        <f t="array" ref="U2332">IFERROR(VLOOKUP($T2332,'Nghi hoc T12'!$H$7:$I$160,2,0),0)</f>
        <v>0</v>
      </c>
      <c r="V2332" s="28"/>
      <c r="W2332" s="28">
        <f t="shared" si="201"/>
        <v>0</v>
      </c>
      <c r="X2332" s="333">
        <f t="shared" si="202"/>
        <v>0</v>
      </c>
      <c r="Y2332" s="333">
        <f t="shared" si="203"/>
        <v>0</v>
      </c>
    </row>
    <row r="2333" spans="1:25" s="2" customFormat="1" ht="21.95" customHeight="1">
      <c r="A2333" s="82">
        <v>6</v>
      </c>
      <c r="B2333" s="91" t="str">
        <f t="shared" si="204"/>
        <v>304.T</v>
      </c>
      <c r="C2333" s="83" t="s">
        <v>365</v>
      </c>
      <c r="D2333" s="81" t="s">
        <v>2282</v>
      </c>
      <c r="E2333" s="48">
        <v>400680</v>
      </c>
      <c r="F2333" s="30" t="s">
        <v>118</v>
      </c>
      <c r="G2333" s="29" t="s">
        <v>11</v>
      </c>
      <c r="H2333" s="30" t="s">
        <v>2576</v>
      </c>
      <c r="I2333" s="78"/>
      <c r="J2333" s="20"/>
      <c r="K2333" s="20"/>
      <c r="L2333" s="20"/>
      <c r="M2333" s="20"/>
      <c r="N2333" s="179" t="s">
        <v>502</v>
      </c>
      <c r="O2333" s="70">
        <v>0</v>
      </c>
      <c r="P2333" s="70">
        <v>0</v>
      </c>
      <c r="Q2333" s="70">
        <f t="shared" si="199"/>
        <v>0</v>
      </c>
      <c r="R2333" s="70"/>
      <c r="S2333" s="67"/>
      <c r="T2333" s="2" t="str">
        <f t="shared" si="200"/>
        <v>Nguyễn Quốc Huy_12VH5</v>
      </c>
      <c r="U2333" s="28">
        <f t="array" ref="U2333">IFERROR(VLOOKUP($T2333,'Nghi hoc T12'!$H$7:$I$160,2,0),0)</f>
        <v>0</v>
      </c>
      <c r="V2333" s="28"/>
      <c r="W2333" s="28">
        <f t="shared" si="201"/>
        <v>0</v>
      </c>
      <c r="X2333" s="333">
        <f t="shared" si="202"/>
        <v>0</v>
      </c>
      <c r="Y2333" s="333">
        <f t="shared" si="203"/>
        <v>0</v>
      </c>
    </row>
    <row r="2334" spans="1:25" s="2" customFormat="1" ht="21.95" customHeight="1">
      <c r="A2334" s="82">
        <v>7</v>
      </c>
      <c r="B2334" s="91" t="str">
        <f t="shared" si="204"/>
        <v>304.T</v>
      </c>
      <c r="C2334" s="83" t="s">
        <v>365</v>
      </c>
      <c r="D2334" s="81" t="s">
        <v>2282</v>
      </c>
      <c r="E2334" s="48">
        <v>400681</v>
      </c>
      <c r="F2334" s="30" t="s">
        <v>2609</v>
      </c>
      <c r="G2334" s="29" t="s">
        <v>11</v>
      </c>
      <c r="H2334" s="30" t="s">
        <v>2581</v>
      </c>
      <c r="I2334" s="78"/>
      <c r="J2334" s="20"/>
      <c r="K2334" s="20"/>
      <c r="L2334" s="20"/>
      <c r="M2334" s="20"/>
      <c r="N2334" s="179" t="s">
        <v>502</v>
      </c>
      <c r="O2334" s="70">
        <v>0</v>
      </c>
      <c r="P2334" s="70">
        <v>0</v>
      </c>
      <c r="Q2334" s="70">
        <f t="shared" si="199"/>
        <v>0</v>
      </c>
      <c r="R2334" s="70"/>
      <c r="S2334" s="67"/>
      <c r="T2334" s="2" t="str">
        <f t="shared" si="200"/>
        <v>Phạm Trần Quốc Huy_12VH6</v>
      </c>
      <c r="U2334" s="28">
        <f t="array" ref="U2334">IFERROR(VLOOKUP($T2334,'Nghi hoc T12'!$H$7:$I$160,2,0),0)</f>
        <v>0</v>
      </c>
      <c r="V2334" s="28"/>
      <c r="W2334" s="28">
        <f t="shared" si="201"/>
        <v>0</v>
      </c>
      <c r="X2334" s="333">
        <f t="shared" si="202"/>
        <v>0</v>
      </c>
      <c r="Y2334" s="333">
        <f t="shared" si="203"/>
        <v>0</v>
      </c>
    </row>
    <row r="2335" spans="1:25" s="2" customFormat="1" ht="21.95" customHeight="1">
      <c r="A2335" s="82">
        <v>8</v>
      </c>
      <c r="B2335" s="91" t="str">
        <f t="shared" si="204"/>
        <v>304.T</v>
      </c>
      <c r="C2335" s="83" t="s">
        <v>365</v>
      </c>
      <c r="D2335" s="81" t="s">
        <v>2282</v>
      </c>
      <c r="E2335" s="48">
        <v>400682</v>
      </c>
      <c r="F2335" s="30" t="s">
        <v>2610</v>
      </c>
      <c r="G2335" s="29" t="s">
        <v>2611</v>
      </c>
      <c r="H2335" s="30" t="s">
        <v>2576</v>
      </c>
      <c r="I2335" s="78"/>
      <c r="J2335" s="20"/>
      <c r="K2335" s="20"/>
      <c r="L2335" s="20"/>
      <c r="M2335" s="20"/>
      <c r="N2335" s="179" t="s">
        <v>502</v>
      </c>
      <c r="O2335" s="70">
        <v>0</v>
      </c>
      <c r="P2335" s="70">
        <v>0</v>
      </c>
      <c r="Q2335" s="70">
        <f t="shared" si="199"/>
        <v>0</v>
      </c>
      <c r="R2335" s="70"/>
      <c r="S2335" s="67"/>
      <c r="T2335" s="2" t="str">
        <f t="shared" si="200"/>
        <v>Nguyễn Lệ Huyên_12VH5</v>
      </c>
      <c r="U2335" s="28">
        <f t="array" ref="U2335">IFERROR(VLOOKUP($T2335,'Nghi hoc T12'!$H$7:$I$160,2,0),0)</f>
        <v>0</v>
      </c>
      <c r="V2335" s="28"/>
      <c r="W2335" s="28">
        <f t="shared" si="201"/>
        <v>0</v>
      </c>
      <c r="X2335" s="333">
        <f t="shared" si="202"/>
        <v>0</v>
      </c>
      <c r="Y2335" s="333">
        <f t="shared" si="203"/>
        <v>0</v>
      </c>
    </row>
    <row r="2336" spans="1:25" s="2" customFormat="1" ht="21.95" customHeight="1">
      <c r="A2336" s="82">
        <v>9</v>
      </c>
      <c r="B2336" s="91" t="str">
        <f t="shared" si="204"/>
        <v>304.T</v>
      </c>
      <c r="C2336" s="83" t="s">
        <v>365</v>
      </c>
      <c r="D2336" s="81" t="s">
        <v>2282</v>
      </c>
      <c r="E2336" s="48">
        <v>400683</v>
      </c>
      <c r="F2336" s="30" t="s">
        <v>2612</v>
      </c>
      <c r="G2336" s="29" t="s">
        <v>12</v>
      </c>
      <c r="H2336" s="30" t="s">
        <v>2581</v>
      </c>
      <c r="I2336" s="78"/>
      <c r="J2336" s="20"/>
      <c r="K2336" s="20"/>
      <c r="L2336" s="20"/>
      <c r="M2336" s="20"/>
      <c r="N2336" s="179" t="s">
        <v>502</v>
      </c>
      <c r="O2336" s="70">
        <v>0</v>
      </c>
      <c r="P2336" s="70">
        <v>0</v>
      </c>
      <c r="Q2336" s="70">
        <f t="shared" si="199"/>
        <v>0</v>
      </c>
      <c r="R2336" s="70"/>
      <c r="S2336" s="67"/>
      <c r="T2336" s="2" t="str">
        <f t="shared" si="200"/>
        <v>Đỗ Nguyễn Quang Khải_12VH6</v>
      </c>
      <c r="U2336" s="28">
        <f t="array" ref="U2336">IFERROR(VLOOKUP($T2336,'Nghi hoc T12'!$H$7:$I$160,2,0),0)</f>
        <v>0</v>
      </c>
      <c r="V2336" s="28"/>
      <c r="W2336" s="28">
        <f t="shared" si="201"/>
        <v>0</v>
      </c>
      <c r="X2336" s="333">
        <f t="shared" si="202"/>
        <v>0</v>
      </c>
      <c r="Y2336" s="333">
        <f t="shared" si="203"/>
        <v>0</v>
      </c>
    </row>
    <row r="2337" spans="1:25" s="2" customFormat="1" ht="21.95" customHeight="1">
      <c r="A2337" s="82">
        <v>10</v>
      </c>
      <c r="B2337" s="91" t="str">
        <f t="shared" si="204"/>
        <v>304.T</v>
      </c>
      <c r="C2337" s="83" t="s">
        <v>365</v>
      </c>
      <c r="D2337" s="81" t="s">
        <v>2282</v>
      </c>
      <c r="E2337" s="48">
        <v>400684</v>
      </c>
      <c r="F2337" s="30" t="s">
        <v>2613</v>
      </c>
      <c r="G2337" s="29" t="s">
        <v>79</v>
      </c>
      <c r="H2337" s="30" t="s">
        <v>2578</v>
      </c>
      <c r="I2337" s="78"/>
      <c r="J2337" s="20"/>
      <c r="K2337" s="20"/>
      <c r="L2337" s="20"/>
      <c r="M2337" s="20"/>
      <c r="N2337" s="179" t="s">
        <v>502</v>
      </c>
      <c r="O2337" s="70">
        <v>0</v>
      </c>
      <c r="P2337" s="70">
        <v>0</v>
      </c>
      <c r="Q2337" s="70">
        <f t="shared" si="199"/>
        <v>0</v>
      </c>
      <c r="R2337" s="70"/>
      <c r="S2337" s="67"/>
      <c r="T2337" s="2" t="str">
        <f t="shared" si="200"/>
        <v>Bùi Ngọc Hùng Khang_12VH7</v>
      </c>
      <c r="U2337" s="28">
        <f t="array" ref="U2337">IFERROR(VLOOKUP($T2337,'Nghi hoc T12'!$H$7:$I$160,2,0),0)</f>
        <v>0</v>
      </c>
      <c r="V2337" s="28"/>
      <c r="W2337" s="28">
        <f t="shared" si="201"/>
        <v>0</v>
      </c>
      <c r="X2337" s="333">
        <f t="shared" si="202"/>
        <v>0</v>
      </c>
      <c r="Y2337" s="333">
        <f t="shared" si="203"/>
        <v>0</v>
      </c>
    </row>
    <row r="2338" spans="1:25" s="2" customFormat="1" ht="21.95" customHeight="1">
      <c r="A2338" s="82">
        <v>11</v>
      </c>
      <c r="B2338" s="91" t="str">
        <f t="shared" si="204"/>
        <v>304.T</v>
      </c>
      <c r="C2338" s="83" t="s">
        <v>365</v>
      </c>
      <c r="D2338" s="81" t="s">
        <v>2282</v>
      </c>
      <c r="E2338" s="48">
        <v>400685</v>
      </c>
      <c r="F2338" s="30" t="s">
        <v>2614</v>
      </c>
      <c r="G2338" s="29" t="s">
        <v>79</v>
      </c>
      <c r="H2338" s="30" t="s">
        <v>2574</v>
      </c>
      <c r="I2338" s="78"/>
      <c r="J2338" s="20"/>
      <c r="K2338" s="20"/>
      <c r="L2338" s="20"/>
      <c r="M2338" s="20"/>
      <c r="N2338" s="179" t="s">
        <v>502</v>
      </c>
      <c r="O2338" s="70">
        <v>0</v>
      </c>
      <c r="P2338" s="70">
        <v>0</v>
      </c>
      <c r="Q2338" s="70">
        <f t="shared" si="199"/>
        <v>0</v>
      </c>
      <c r="R2338" s="70"/>
      <c r="S2338" s="67"/>
      <c r="T2338" s="2" t="str">
        <f t="shared" si="200"/>
        <v>Chí Minh Khang_12VH4</v>
      </c>
      <c r="U2338" s="28">
        <f t="array" ref="U2338">IFERROR(VLOOKUP($T2338,'Nghi hoc T12'!$H$7:$I$160,2,0),0)</f>
        <v>0</v>
      </c>
      <c r="V2338" s="28"/>
      <c r="W2338" s="28">
        <f t="shared" si="201"/>
        <v>0</v>
      </c>
      <c r="X2338" s="333">
        <f t="shared" si="202"/>
        <v>0</v>
      </c>
      <c r="Y2338" s="333">
        <f t="shared" si="203"/>
        <v>0</v>
      </c>
    </row>
    <row r="2339" spans="1:25" s="2" customFormat="1" ht="21.95" customHeight="1">
      <c r="A2339" s="82">
        <v>12</v>
      </c>
      <c r="B2339" s="91" t="str">
        <f t="shared" si="204"/>
        <v>304.T</v>
      </c>
      <c r="C2339" s="83" t="s">
        <v>365</v>
      </c>
      <c r="D2339" s="81" t="s">
        <v>2282</v>
      </c>
      <c r="E2339" s="48">
        <v>400686</v>
      </c>
      <c r="F2339" s="30" t="s">
        <v>2615</v>
      </c>
      <c r="G2339" s="29" t="s">
        <v>79</v>
      </c>
      <c r="H2339" s="30" t="s">
        <v>2576</v>
      </c>
      <c r="I2339" s="78"/>
      <c r="J2339" s="20"/>
      <c r="K2339" s="20"/>
      <c r="L2339" s="20"/>
      <c r="M2339" s="20"/>
      <c r="N2339" s="179" t="s">
        <v>502</v>
      </c>
      <c r="O2339" s="70">
        <v>0</v>
      </c>
      <c r="P2339" s="70">
        <v>0</v>
      </c>
      <c r="Q2339" s="70">
        <f t="shared" si="199"/>
        <v>0</v>
      </c>
      <c r="R2339" s="70"/>
      <c r="S2339" s="67"/>
      <c r="T2339" s="2" t="str">
        <f t="shared" si="200"/>
        <v>Hà Tuấn Khang_12VH5</v>
      </c>
      <c r="U2339" s="28">
        <f t="array" ref="U2339">IFERROR(VLOOKUP($T2339,'Nghi hoc T12'!$H$7:$I$160,2,0),0)</f>
        <v>0</v>
      </c>
      <c r="V2339" s="28"/>
      <c r="W2339" s="28">
        <f t="shared" si="201"/>
        <v>0</v>
      </c>
      <c r="X2339" s="333">
        <f t="shared" si="202"/>
        <v>0</v>
      </c>
      <c r="Y2339" s="333">
        <f t="shared" si="203"/>
        <v>0</v>
      </c>
    </row>
    <row r="2340" spans="1:25" s="2" customFormat="1" ht="21.95" customHeight="1">
      <c r="A2340" s="82">
        <v>13</v>
      </c>
      <c r="B2340" s="91" t="str">
        <f t="shared" si="204"/>
        <v>304.T</v>
      </c>
      <c r="C2340" s="83" t="s">
        <v>365</v>
      </c>
      <c r="D2340" s="81" t="s">
        <v>2282</v>
      </c>
      <c r="E2340" s="48">
        <v>400687</v>
      </c>
      <c r="F2340" s="30" t="s">
        <v>2616</v>
      </c>
      <c r="G2340" s="29" t="s">
        <v>79</v>
      </c>
      <c r="H2340" s="30" t="s">
        <v>2581</v>
      </c>
      <c r="I2340" s="78"/>
      <c r="J2340" s="20"/>
      <c r="K2340" s="20"/>
      <c r="L2340" s="20"/>
      <c r="M2340" s="20"/>
      <c r="N2340" s="179" t="s">
        <v>502</v>
      </c>
      <c r="O2340" s="70">
        <v>0</v>
      </c>
      <c r="P2340" s="70">
        <v>0</v>
      </c>
      <c r="Q2340" s="70">
        <f t="shared" si="199"/>
        <v>0</v>
      </c>
      <c r="R2340" s="70"/>
      <c r="S2340" s="67"/>
      <c r="T2340" s="2" t="str">
        <f t="shared" si="200"/>
        <v>Nguyễn Hồng Duy Khang_12VH6</v>
      </c>
      <c r="U2340" s="28">
        <f t="array" ref="U2340">IFERROR(VLOOKUP($T2340,'Nghi hoc T12'!$H$7:$I$160,2,0),0)</f>
        <v>0</v>
      </c>
      <c r="V2340" s="28"/>
      <c r="W2340" s="28">
        <f t="shared" si="201"/>
        <v>0</v>
      </c>
      <c r="X2340" s="333">
        <f t="shared" si="202"/>
        <v>0</v>
      </c>
      <c r="Y2340" s="333">
        <f t="shared" si="203"/>
        <v>0</v>
      </c>
    </row>
    <row r="2341" spans="1:25" s="2" customFormat="1" ht="21.95" customHeight="1">
      <c r="A2341" s="82">
        <v>14</v>
      </c>
      <c r="B2341" s="91" t="str">
        <f t="shared" si="204"/>
        <v>304.T</v>
      </c>
      <c r="C2341" s="83" t="s">
        <v>365</v>
      </c>
      <c r="D2341" s="81" t="s">
        <v>2282</v>
      </c>
      <c r="E2341" s="48">
        <v>400688</v>
      </c>
      <c r="F2341" s="30" t="s">
        <v>2617</v>
      </c>
      <c r="G2341" s="29" t="s">
        <v>79</v>
      </c>
      <c r="H2341" s="30" t="s">
        <v>2578</v>
      </c>
      <c r="I2341" s="78"/>
      <c r="J2341" s="20"/>
      <c r="K2341" s="20"/>
      <c r="L2341" s="20"/>
      <c r="M2341" s="20"/>
      <c r="N2341" s="179" t="s">
        <v>502</v>
      </c>
      <c r="O2341" s="70">
        <v>0</v>
      </c>
      <c r="P2341" s="70">
        <v>0</v>
      </c>
      <c r="Q2341" s="70">
        <f t="shared" si="199"/>
        <v>0</v>
      </c>
      <c r="R2341" s="70"/>
      <c r="S2341" s="67"/>
      <c r="T2341" s="2" t="str">
        <f t="shared" si="200"/>
        <v>Trần Mai Thế Khang_12VH7</v>
      </c>
      <c r="U2341" s="28">
        <f t="array" ref="U2341">IFERROR(VLOOKUP($T2341,'Nghi hoc T12'!$H$7:$I$160,2,0),0)</f>
        <v>0</v>
      </c>
      <c r="V2341" s="28"/>
      <c r="W2341" s="28">
        <f t="shared" si="201"/>
        <v>0</v>
      </c>
      <c r="X2341" s="333">
        <f t="shared" si="202"/>
        <v>0</v>
      </c>
      <c r="Y2341" s="333">
        <f t="shared" si="203"/>
        <v>0</v>
      </c>
    </row>
    <row r="2342" spans="1:25" s="2" customFormat="1" ht="21.95" customHeight="1">
      <c r="A2342" s="82">
        <v>15</v>
      </c>
      <c r="B2342" s="91" t="str">
        <f t="shared" si="204"/>
        <v>304.T</v>
      </c>
      <c r="C2342" s="83" t="s">
        <v>365</v>
      </c>
      <c r="D2342" s="81" t="s">
        <v>2282</v>
      </c>
      <c r="E2342" s="48">
        <v>400689</v>
      </c>
      <c r="F2342" s="30" t="s">
        <v>2359</v>
      </c>
      <c r="G2342" s="29" t="s">
        <v>94</v>
      </c>
      <c r="H2342" s="30" t="s">
        <v>2574</v>
      </c>
      <c r="I2342" s="78"/>
      <c r="J2342" s="20"/>
      <c r="K2342" s="20"/>
      <c r="L2342" s="20"/>
      <c r="M2342" s="20"/>
      <c r="N2342" s="179" t="s">
        <v>502</v>
      </c>
      <c r="O2342" s="70">
        <v>0</v>
      </c>
      <c r="P2342" s="70">
        <v>0</v>
      </c>
      <c r="Q2342" s="70">
        <f t="shared" si="199"/>
        <v>0</v>
      </c>
      <c r="R2342" s="70"/>
      <c r="S2342" s="67"/>
      <c r="T2342" s="2" t="str">
        <f t="shared" si="200"/>
        <v>Lê Trọng Khánh_12VH4</v>
      </c>
      <c r="U2342" s="28">
        <f t="array" ref="U2342">IFERROR(VLOOKUP($T2342,'Nghi hoc T12'!$H$7:$I$160,2,0),0)</f>
        <v>0</v>
      </c>
      <c r="V2342" s="28"/>
      <c r="W2342" s="28">
        <f t="shared" si="201"/>
        <v>0</v>
      </c>
      <c r="X2342" s="333">
        <f t="shared" si="202"/>
        <v>0</v>
      </c>
      <c r="Y2342" s="333">
        <f t="shared" si="203"/>
        <v>0</v>
      </c>
    </row>
    <row r="2343" spans="1:25" s="2" customFormat="1" ht="21.95" customHeight="1">
      <c r="A2343" s="82">
        <v>16</v>
      </c>
      <c r="B2343" s="91" t="str">
        <f t="shared" si="204"/>
        <v>304.T</v>
      </c>
      <c r="C2343" s="83" t="s">
        <v>365</v>
      </c>
      <c r="D2343" s="81" t="s">
        <v>2282</v>
      </c>
      <c r="E2343" s="48">
        <v>400690</v>
      </c>
      <c r="F2343" s="30" t="s">
        <v>2247</v>
      </c>
      <c r="G2343" s="29" t="s">
        <v>2618</v>
      </c>
      <c r="H2343" s="30" t="s">
        <v>2576</v>
      </c>
      <c r="I2343" s="78"/>
      <c r="J2343" s="20"/>
      <c r="K2343" s="20"/>
      <c r="L2343" s="20"/>
      <c r="M2343" s="20"/>
      <c r="N2343" s="179" t="s">
        <v>502</v>
      </c>
      <c r="O2343" s="70">
        <v>0</v>
      </c>
      <c r="P2343" s="70">
        <v>0</v>
      </c>
      <c r="Q2343" s="70">
        <f t="shared" si="199"/>
        <v>0</v>
      </c>
      <c r="R2343" s="70"/>
      <c r="S2343" s="67"/>
      <c r="T2343" s="2" t="str">
        <f t="shared" si="200"/>
        <v>Phạm Gia Khiêm_12VH5</v>
      </c>
      <c r="U2343" s="28">
        <f t="array" ref="U2343">IFERROR(VLOOKUP($T2343,'Nghi hoc T12'!$H$7:$I$160,2,0),0)</f>
        <v>0</v>
      </c>
      <c r="V2343" s="28"/>
      <c r="W2343" s="28">
        <f t="shared" si="201"/>
        <v>0</v>
      </c>
      <c r="X2343" s="333">
        <f t="shared" si="202"/>
        <v>0</v>
      </c>
      <c r="Y2343" s="333">
        <f t="shared" si="203"/>
        <v>0</v>
      </c>
    </row>
    <row r="2344" spans="1:25" s="2" customFormat="1" ht="21.95" customHeight="1">
      <c r="A2344" s="82">
        <v>17</v>
      </c>
      <c r="B2344" s="91" t="str">
        <f t="shared" si="204"/>
        <v>304.T</v>
      </c>
      <c r="C2344" s="83" t="s">
        <v>365</v>
      </c>
      <c r="D2344" s="81" t="s">
        <v>2282</v>
      </c>
      <c r="E2344" s="48">
        <v>400691</v>
      </c>
      <c r="F2344" s="30" t="s">
        <v>2619</v>
      </c>
      <c r="G2344" s="29" t="s">
        <v>55</v>
      </c>
      <c r="H2344" s="30" t="s">
        <v>2576</v>
      </c>
      <c r="I2344" s="78"/>
      <c r="J2344" s="20"/>
      <c r="K2344" s="20"/>
      <c r="L2344" s="20"/>
      <c r="M2344" s="20"/>
      <c r="N2344" s="179" t="s">
        <v>502</v>
      </c>
      <c r="O2344" s="70">
        <v>0</v>
      </c>
      <c r="P2344" s="70">
        <v>0</v>
      </c>
      <c r="Q2344" s="70">
        <f t="shared" si="199"/>
        <v>0</v>
      </c>
      <c r="R2344" s="70"/>
      <c r="S2344" s="67"/>
      <c r="T2344" s="2" t="str">
        <f t="shared" si="200"/>
        <v>Phạm Hoàng Đăng Khoa_12VH5</v>
      </c>
      <c r="U2344" s="28">
        <f t="array" ref="U2344">IFERROR(VLOOKUP($T2344,'Nghi hoc T12'!$H$7:$I$160,2,0),0)</f>
        <v>0</v>
      </c>
      <c r="V2344" s="28"/>
      <c r="W2344" s="28">
        <f t="shared" si="201"/>
        <v>0</v>
      </c>
      <c r="X2344" s="333">
        <f t="shared" si="202"/>
        <v>0</v>
      </c>
      <c r="Y2344" s="333">
        <f t="shared" si="203"/>
        <v>0</v>
      </c>
    </row>
    <row r="2345" spans="1:25" s="2" customFormat="1" ht="21.95" customHeight="1">
      <c r="A2345" s="82">
        <v>18</v>
      </c>
      <c r="B2345" s="91" t="str">
        <f t="shared" si="204"/>
        <v>304.T</v>
      </c>
      <c r="C2345" s="83" t="s">
        <v>365</v>
      </c>
      <c r="D2345" s="81" t="s">
        <v>2282</v>
      </c>
      <c r="E2345" s="48">
        <v>400692</v>
      </c>
      <c r="F2345" s="30" t="s">
        <v>208</v>
      </c>
      <c r="G2345" s="29" t="s">
        <v>13</v>
      </c>
      <c r="H2345" s="30" t="s">
        <v>2581</v>
      </c>
      <c r="I2345" s="78"/>
      <c r="J2345" s="20"/>
      <c r="K2345" s="20"/>
      <c r="L2345" s="20"/>
      <c r="M2345" s="20"/>
      <c r="N2345" s="179" t="s">
        <v>502</v>
      </c>
      <c r="O2345" s="70">
        <v>0</v>
      </c>
      <c r="P2345" s="70">
        <v>0</v>
      </c>
      <c r="Q2345" s="70">
        <f t="shared" si="199"/>
        <v>0</v>
      </c>
      <c r="R2345" s="70"/>
      <c r="S2345" s="67"/>
      <c r="T2345" s="2" t="str">
        <f t="shared" si="200"/>
        <v>Nguyễn Đăng Khôi_12VH6</v>
      </c>
      <c r="U2345" s="28">
        <f t="array" ref="U2345">IFERROR(VLOOKUP($T2345,'Nghi hoc T12'!$H$7:$I$160,2,0),0)</f>
        <v>0</v>
      </c>
      <c r="V2345" s="28"/>
      <c r="W2345" s="28">
        <f t="shared" si="201"/>
        <v>0</v>
      </c>
      <c r="X2345" s="333">
        <f t="shared" si="202"/>
        <v>0</v>
      </c>
      <c r="Y2345" s="333">
        <f t="shared" si="203"/>
        <v>0</v>
      </c>
    </row>
    <row r="2346" spans="1:25" s="2" customFormat="1" ht="21.95" customHeight="1">
      <c r="A2346" s="82">
        <v>19</v>
      </c>
      <c r="B2346" s="91" t="str">
        <f t="shared" si="204"/>
        <v>304.T</v>
      </c>
      <c r="C2346" s="83" t="s">
        <v>365</v>
      </c>
      <c r="D2346" s="81" t="s">
        <v>2282</v>
      </c>
      <c r="E2346" s="48">
        <v>400693</v>
      </c>
      <c r="F2346" s="30" t="s">
        <v>337</v>
      </c>
      <c r="G2346" s="29" t="s">
        <v>68</v>
      </c>
      <c r="H2346" s="30" t="s">
        <v>2578</v>
      </c>
      <c r="I2346" s="78"/>
      <c r="J2346" s="20"/>
      <c r="K2346" s="20"/>
      <c r="L2346" s="20"/>
      <c r="M2346" s="20"/>
      <c r="N2346" s="179" t="s">
        <v>502</v>
      </c>
      <c r="O2346" s="70">
        <v>0</v>
      </c>
      <c r="P2346" s="70">
        <v>0</v>
      </c>
      <c r="Q2346" s="70">
        <f t="shared" si="199"/>
        <v>0</v>
      </c>
      <c r="R2346" s="70"/>
      <c r="S2346" s="67"/>
      <c r="T2346" s="2" t="str">
        <f t="shared" si="200"/>
        <v>Trần Anh Kiệt_12VH7</v>
      </c>
      <c r="U2346" s="28">
        <f t="array" ref="U2346">IFERROR(VLOOKUP($T2346,'Nghi hoc T12'!$H$7:$I$160,2,0),0)</f>
        <v>0</v>
      </c>
      <c r="V2346" s="28"/>
      <c r="W2346" s="28">
        <f t="shared" si="201"/>
        <v>0</v>
      </c>
      <c r="X2346" s="333">
        <f t="shared" si="202"/>
        <v>0</v>
      </c>
      <c r="Y2346" s="333">
        <f t="shared" si="203"/>
        <v>0</v>
      </c>
    </row>
    <row r="2347" spans="1:25" s="2" customFormat="1" ht="21.95" customHeight="1">
      <c r="A2347" s="82">
        <v>20</v>
      </c>
      <c r="B2347" s="91" t="str">
        <f t="shared" si="204"/>
        <v>304.T</v>
      </c>
      <c r="C2347" s="83" t="s">
        <v>365</v>
      </c>
      <c r="D2347" s="81" t="s">
        <v>2282</v>
      </c>
      <c r="E2347" s="48">
        <v>400694</v>
      </c>
      <c r="F2347" s="30" t="s">
        <v>2620</v>
      </c>
      <c r="G2347" s="29" t="s">
        <v>86</v>
      </c>
      <c r="H2347" s="30" t="s">
        <v>2574</v>
      </c>
      <c r="I2347" s="78"/>
      <c r="J2347" s="20"/>
      <c r="K2347" s="20"/>
      <c r="L2347" s="20"/>
      <c r="M2347" s="20"/>
      <c r="N2347" s="179" t="s">
        <v>502</v>
      </c>
      <c r="O2347" s="70">
        <v>0</v>
      </c>
      <c r="P2347" s="70">
        <v>0</v>
      </c>
      <c r="Q2347" s="70">
        <f t="shared" si="199"/>
        <v>0</v>
      </c>
      <c r="R2347" s="70"/>
      <c r="S2347" s="67"/>
      <c r="T2347" s="2" t="str">
        <f t="shared" si="200"/>
        <v>Võ Hoàng Thiên Kim_12VH4</v>
      </c>
      <c r="U2347" s="28">
        <f t="array" ref="U2347">IFERROR(VLOOKUP($T2347,'Nghi hoc T12'!$H$7:$I$160,2,0),0)</f>
        <v>0</v>
      </c>
      <c r="V2347" s="28"/>
      <c r="W2347" s="28">
        <f t="shared" si="201"/>
        <v>0</v>
      </c>
      <c r="X2347" s="333">
        <f t="shared" si="202"/>
        <v>0</v>
      </c>
      <c r="Y2347" s="333">
        <f t="shared" si="203"/>
        <v>0</v>
      </c>
    </row>
    <row r="2348" spans="1:25" s="2" customFormat="1" ht="21.95" customHeight="1">
      <c r="A2348" s="82">
        <v>21</v>
      </c>
      <c r="B2348" s="91" t="str">
        <f t="shared" si="204"/>
        <v>304.T</v>
      </c>
      <c r="C2348" s="83" t="s">
        <v>365</v>
      </c>
      <c r="D2348" s="81" t="s">
        <v>2282</v>
      </c>
      <c r="E2348" s="48">
        <v>400695</v>
      </c>
      <c r="F2348" s="30" t="s">
        <v>2621</v>
      </c>
      <c r="G2348" s="29" t="s">
        <v>113</v>
      </c>
      <c r="H2348" s="30" t="s">
        <v>2581</v>
      </c>
      <c r="I2348" s="78"/>
      <c r="J2348" s="20"/>
      <c r="K2348" s="20"/>
      <c r="L2348" s="20"/>
      <c r="M2348" s="20"/>
      <c r="N2348" s="179" t="s">
        <v>502</v>
      </c>
      <c r="O2348" s="70">
        <v>0</v>
      </c>
      <c r="P2348" s="70">
        <v>0</v>
      </c>
      <c r="Q2348" s="70">
        <f t="shared" si="199"/>
        <v>0</v>
      </c>
      <c r="R2348" s="70"/>
      <c r="S2348" s="67"/>
      <c r="T2348" s="2" t="str">
        <f t="shared" si="200"/>
        <v>Lý Thị Hồng Lan_12VH6</v>
      </c>
      <c r="U2348" s="28">
        <f t="array" ref="U2348">IFERROR(VLOOKUP($T2348,'Nghi hoc T12'!$H$7:$I$160,2,0),0)</f>
        <v>0</v>
      </c>
      <c r="V2348" s="28"/>
      <c r="W2348" s="28">
        <f t="shared" si="201"/>
        <v>0</v>
      </c>
      <c r="X2348" s="333">
        <f t="shared" si="202"/>
        <v>0</v>
      </c>
      <c r="Y2348" s="333">
        <f t="shared" si="203"/>
        <v>0</v>
      </c>
    </row>
    <row r="2349" spans="1:25" s="2" customFormat="1" ht="21.95" customHeight="1">
      <c r="A2349" s="82">
        <v>22</v>
      </c>
      <c r="B2349" s="91" t="str">
        <f t="shared" si="204"/>
        <v>304.T</v>
      </c>
      <c r="C2349" s="83" t="s">
        <v>365</v>
      </c>
      <c r="D2349" s="81" t="s">
        <v>2282</v>
      </c>
      <c r="E2349" s="48">
        <v>400696</v>
      </c>
      <c r="F2349" s="30" t="s">
        <v>146</v>
      </c>
      <c r="G2349" s="29" t="s">
        <v>2622</v>
      </c>
      <c r="H2349" s="30" t="s">
        <v>2574</v>
      </c>
      <c r="I2349" s="78"/>
      <c r="J2349" s="20"/>
      <c r="K2349" s="20"/>
      <c r="L2349" s="20"/>
      <c r="M2349" s="20"/>
      <c r="N2349" s="179" t="s">
        <v>502</v>
      </c>
      <c r="O2349" s="70">
        <v>0</v>
      </c>
      <c r="P2349" s="70">
        <v>0</v>
      </c>
      <c r="Q2349" s="70">
        <f t="shared" si="199"/>
        <v>0</v>
      </c>
      <c r="R2349" s="70"/>
      <c r="S2349" s="67"/>
      <c r="T2349" s="2" t="str">
        <f t="shared" si="200"/>
        <v>Nguyễn Bá Lân_12VH4</v>
      </c>
      <c r="U2349" s="28">
        <f t="array" ref="U2349">IFERROR(VLOOKUP($T2349,'Nghi hoc T12'!$H$7:$I$160,2,0),0)</f>
        <v>0</v>
      </c>
      <c r="V2349" s="28"/>
      <c r="W2349" s="28">
        <f t="shared" si="201"/>
        <v>0</v>
      </c>
      <c r="X2349" s="333">
        <f t="shared" si="202"/>
        <v>0</v>
      </c>
      <c r="Y2349" s="333">
        <f t="shared" si="203"/>
        <v>0</v>
      </c>
    </row>
    <row r="2350" spans="1:25" s="2" customFormat="1" ht="21.95" customHeight="1">
      <c r="A2350" s="82">
        <v>23</v>
      </c>
      <c r="B2350" s="91" t="str">
        <f t="shared" si="204"/>
        <v>304.T</v>
      </c>
      <c r="C2350" s="83" t="s">
        <v>365</v>
      </c>
      <c r="D2350" s="81" t="s">
        <v>2282</v>
      </c>
      <c r="E2350" s="48">
        <v>400697</v>
      </c>
      <c r="F2350" s="30" t="s">
        <v>219</v>
      </c>
      <c r="G2350" s="29" t="s">
        <v>351</v>
      </c>
      <c r="H2350" s="30" t="s">
        <v>2578</v>
      </c>
      <c r="I2350" s="78"/>
      <c r="J2350" s="20"/>
      <c r="K2350" s="20"/>
      <c r="L2350" s="20"/>
      <c r="M2350" s="20"/>
      <c r="N2350" s="179" t="s">
        <v>502</v>
      </c>
      <c r="O2350" s="70">
        <v>0</v>
      </c>
      <c r="P2350" s="70">
        <v>0</v>
      </c>
      <c r="Q2350" s="70">
        <f t="shared" si="199"/>
        <v>0</v>
      </c>
      <c r="R2350" s="70"/>
      <c r="S2350" s="67"/>
      <c r="T2350" s="2" t="str">
        <f t="shared" si="200"/>
        <v>Trần Thảo Liên_12VH7</v>
      </c>
      <c r="U2350" s="28">
        <f t="array" ref="U2350">IFERROR(VLOOKUP($T2350,'Nghi hoc T12'!$H$7:$I$160,2,0),0)</f>
        <v>0</v>
      </c>
      <c r="V2350" s="28"/>
      <c r="W2350" s="28">
        <f t="shared" si="201"/>
        <v>0</v>
      </c>
      <c r="X2350" s="333">
        <f t="shared" si="202"/>
        <v>0</v>
      </c>
      <c r="Y2350" s="333">
        <f t="shared" si="203"/>
        <v>0</v>
      </c>
    </row>
    <row r="2351" spans="1:25" s="2" customFormat="1" ht="21.95" customHeight="1">
      <c r="A2351" s="82">
        <v>24</v>
      </c>
      <c r="B2351" s="91" t="str">
        <f t="shared" si="204"/>
        <v>304.T</v>
      </c>
      <c r="C2351" s="83" t="s">
        <v>365</v>
      </c>
      <c r="D2351" s="81" t="s">
        <v>2282</v>
      </c>
      <c r="E2351" s="48">
        <v>400698</v>
      </c>
      <c r="F2351" s="30" t="s">
        <v>2623</v>
      </c>
      <c r="G2351" s="29" t="s">
        <v>38</v>
      </c>
      <c r="H2351" s="30" t="s">
        <v>2574</v>
      </c>
      <c r="I2351" s="78"/>
      <c r="J2351" s="20"/>
      <c r="K2351" s="20"/>
      <c r="L2351" s="20"/>
      <c r="M2351" s="20"/>
      <c r="N2351" s="179" t="s">
        <v>502</v>
      </c>
      <c r="O2351" s="70">
        <v>0</v>
      </c>
      <c r="P2351" s="70">
        <v>0</v>
      </c>
      <c r="Q2351" s="70">
        <f t="shared" si="199"/>
        <v>0</v>
      </c>
      <c r="R2351" s="70"/>
      <c r="S2351" s="67"/>
      <c r="T2351" s="2" t="str">
        <f t="shared" si="200"/>
        <v>Hoàng Thị Yến Linh_12VH4</v>
      </c>
      <c r="U2351" s="28">
        <f t="array" ref="U2351">IFERROR(VLOOKUP($T2351,'Nghi hoc T12'!$H$7:$I$160,2,0),0)</f>
        <v>0</v>
      </c>
      <c r="V2351" s="28"/>
      <c r="W2351" s="28">
        <f t="shared" si="201"/>
        <v>0</v>
      </c>
      <c r="X2351" s="333">
        <f t="shared" si="202"/>
        <v>0</v>
      </c>
      <c r="Y2351" s="333">
        <f t="shared" si="203"/>
        <v>0</v>
      </c>
    </row>
    <row r="2352" spans="1:25" s="2" customFormat="1" ht="21.95" customHeight="1">
      <c r="A2352" s="321">
        <v>1</v>
      </c>
      <c r="B2352" s="91" t="str">
        <f t="shared" si="204"/>
        <v>305.T</v>
      </c>
      <c r="C2352" s="185" t="s">
        <v>365</v>
      </c>
      <c r="D2352" s="186" t="s">
        <v>2298</v>
      </c>
      <c r="E2352" s="187">
        <v>400699</v>
      </c>
      <c r="F2352" s="188" t="s">
        <v>2624</v>
      </c>
      <c r="G2352" s="189" t="s">
        <v>38</v>
      </c>
      <c r="H2352" s="188" t="s">
        <v>2576</v>
      </c>
      <c r="I2352" s="190"/>
      <c r="J2352" s="191"/>
      <c r="K2352" s="191"/>
      <c r="L2352" s="191"/>
      <c r="M2352" s="191"/>
      <c r="N2352" s="179" t="s">
        <v>502</v>
      </c>
      <c r="O2352" s="70">
        <v>0</v>
      </c>
      <c r="P2352" s="70">
        <v>0</v>
      </c>
      <c r="Q2352" s="70">
        <f t="shared" si="199"/>
        <v>0</v>
      </c>
      <c r="R2352" s="70"/>
      <c r="S2352" s="67"/>
      <c r="T2352" s="2" t="str">
        <f t="shared" si="200"/>
        <v>Trần Hà Linh_12VH5</v>
      </c>
      <c r="U2352" s="28">
        <f t="array" ref="U2352">IFERROR(VLOOKUP($T2352,'Nghi hoc T12'!$H$7:$I$160,2,0),0)</f>
        <v>0</v>
      </c>
      <c r="V2352" s="28"/>
      <c r="W2352" s="28">
        <f t="shared" si="201"/>
        <v>0</v>
      </c>
      <c r="X2352" s="333">
        <f t="shared" si="202"/>
        <v>0</v>
      </c>
      <c r="Y2352" s="333">
        <f t="shared" si="203"/>
        <v>0</v>
      </c>
    </row>
    <row r="2353" spans="1:25" s="2" customFormat="1" ht="21.95" customHeight="1">
      <c r="A2353" s="82">
        <v>2</v>
      </c>
      <c r="B2353" s="91" t="str">
        <f t="shared" si="204"/>
        <v>305.T</v>
      </c>
      <c r="C2353" s="83" t="s">
        <v>365</v>
      </c>
      <c r="D2353" s="81" t="s">
        <v>2298</v>
      </c>
      <c r="E2353" s="48">
        <v>400700</v>
      </c>
      <c r="F2353" s="30" t="s">
        <v>2625</v>
      </c>
      <c r="G2353" s="29" t="s">
        <v>38</v>
      </c>
      <c r="H2353" s="30" t="s">
        <v>2578</v>
      </c>
      <c r="I2353" s="78"/>
      <c r="J2353" s="20"/>
      <c r="K2353" s="20"/>
      <c r="L2353" s="20"/>
      <c r="M2353" s="20"/>
      <c r="N2353" s="179" t="s">
        <v>502</v>
      </c>
      <c r="O2353" s="70">
        <v>0</v>
      </c>
      <c r="P2353" s="70">
        <v>0</v>
      </c>
      <c r="Q2353" s="70">
        <f t="shared" si="199"/>
        <v>0</v>
      </c>
      <c r="R2353" s="70"/>
      <c r="S2353" s="67"/>
      <c r="T2353" s="2" t="str">
        <f t="shared" si="200"/>
        <v>Trương Vũ Khánh Linh_12VH7</v>
      </c>
      <c r="U2353" s="28">
        <f t="array" ref="U2353">IFERROR(VLOOKUP($T2353,'Nghi hoc T12'!$H$7:$I$160,2,0),0)</f>
        <v>0</v>
      </c>
      <c r="V2353" s="28"/>
      <c r="W2353" s="28">
        <f t="shared" si="201"/>
        <v>0</v>
      </c>
      <c r="X2353" s="333">
        <f t="shared" si="202"/>
        <v>0</v>
      </c>
      <c r="Y2353" s="333">
        <f t="shared" si="203"/>
        <v>0</v>
      </c>
    </row>
    <row r="2354" spans="1:25" s="2" customFormat="1" ht="21.95" customHeight="1">
      <c r="A2354" s="82">
        <v>3</v>
      </c>
      <c r="B2354" s="91" t="str">
        <f t="shared" si="204"/>
        <v>305.T</v>
      </c>
      <c r="C2354" s="83" t="s">
        <v>365</v>
      </c>
      <c r="D2354" s="81" t="s">
        <v>2298</v>
      </c>
      <c r="E2354" s="48">
        <v>400701</v>
      </c>
      <c r="F2354" s="30" t="s">
        <v>2626</v>
      </c>
      <c r="G2354" s="29" t="s">
        <v>14</v>
      </c>
      <c r="H2354" s="30" t="s">
        <v>2574</v>
      </c>
      <c r="I2354" s="78"/>
      <c r="J2354" s="20"/>
      <c r="K2354" s="20"/>
      <c r="L2354" s="20"/>
      <c r="M2354" s="20"/>
      <c r="N2354" s="179" t="s">
        <v>502</v>
      </c>
      <c r="O2354" s="70">
        <v>0</v>
      </c>
      <c r="P2354" s="70">
        <v>0</v>
      </c>
      <c r="Q2354" s="70">
        <f t="shared" si="199"/>
        <v>0</v>
      </c>
      <c r="R2354" s="70"/>
      <c r="S2354" s="67"/>
      <c r="T2354" s="2" t="str">
        <f t="shared" si="200"/>
        <v>Nguyễn Minh Trường Long_12VH4</v>
      </c>
      <c r="U2354" s="28">
        <f t="array" ref="U2354">IFERROR(VLOOKUP($T2354,'Nghi hoc T12'!$H$7:$I$160,2,0),0)</f>
        <v>0</v>
      </c>
      <c r="V2354" s="28"/>
      <c r="W2354" s="28">
        <f t="shared" si="201"/>
        <v>0</v>
      </c>
      <c r="X2354" s="333">
        <f t="shared" si="202"/>
        <v>0</v>
      </c>
      <c r="Y2354" s="333">
        <f t="shared" si="203"/>
        <v>0</v>
      </c>
    </row>
    <row r="2355" spans="1:25" s="2" customFormat="1" ht="21.95" customHeight="1">
      <c r="A2355" s="82">
        <v>4</v>
      </c>
      <c r="B2355" s="91" t="str">
        <f t="shared" si="204"/>
        <v>305.T</v>
      </c>
      <c r="C2355" s="83" t="s">
        <v>365</v>
      </c>
      <c r="D2355" s="81" t="s">
        <v>2298</v>
      </c>
      <c r="E2355" s="48">
        <v>400702</v>
      </c>
      <c r="F2355" s="30" t="s">
        <v>2391</v>
      </c>
      <c r="G2355" s="29" t="s">
        <v>14</v>
      </c>
      <c r="H2355" s="30" t="s">
        <v>2574</v>
      </c>
      <c r="I2355" s="78"/>
      <c r="J2355" s="20"/>
      <c r="K2355" s="20"/>
      <c r="L2355" s="20"/>
      <c r="M2355" s="20"/>
      <c r="N2355" s="179" t="s">
        <v>502</v>
      </c>
      <c r="O2355" s="70">
        <v>0</v>
      </c>
      <c r="P2355" s="70">
        <v>0</v>
      </c>
      <c r="Q2355" s="70">
        <f t="shared" si="199"/>
        <v>0</v>
      </c>
      <c r="R2355" s="70"/>
      <c r="S2355" s="67"/>
      <c r="T2355" s="2" t="str">
        <f t="shared" si="200"/>
        <v>Phạm Hoàng Long_12VH4</v>
      </c>
      <c r="U2355" s="28">
        <f t="array" ref="U2355">IFERROR(VLOOKUP($T2355,'Nghi hoc T12'!$H$7:$I$160,2,0),0)</f>
        <v>0</v>
      </c>
      <c r="V2355" s="28"/>
      <c r="W2355" s="28">
        <f t="shared" si="201"/>
        <v>0</v>
      </c>
      <c r="X2355" s="333">
        <f t="shared" si="202"/>
        <v>0</v>
      </c>
      <c r="Y2355" s="333">
        <f t="shared" si="203"/>
        <v>0</v>
      </c>
    </row>
    <row r="2356" spans="1:25" s="2" customFormat="1" ht="21.95" customHeight="1">
      <c r="A2356" s="82">
        <v>5</v>
      </c>
      <c r="B2356" s="91" t="str">
        <f t="shared" si="204"/>
        <v>305.T</v>
      </c>
      <c r="C2356" s="83" t="s">
        <v>365</v>
      </c>
      <c r="D2356" s="81" t="s">
        <v>2298</v>
      </c>
      <c r="E2356" s="48">
        <v>400703</v>
      </c>
      <c r="F2356" s="30" t="s">
        <v>2627</v>
      </c>
      <c r="G2356" s="29" t="s">
        <v>14</v>
      </c>
      <c r="H2356" s="30" t="s">
        <v>2578</v>
      </c>
      <c r="I2356" s="78"/>
      <c r="J2356" s="20"/>
      <c r="K2356" s="20"/>
      <c r="L2356" s="20"/>
      <c r="M2356" s="20"/>
      <c r="N2356" s="179" t="s">
        <v>502</v>
      </c>
      <c r="O2356" s="70">
        <v>0</v>
      </c>
      <c r="P2356" s="70">
        <v>0</v>
      </c>
      <c r="Q2356" s="70">
        <f t="shared" si="199"/>
        <v>0</v>
      </c>
      <c r="R2356" s="70"/>
      <c r="S2356" s="67"/>
      <c r="T2356" s="2" t="str">
        <f t="shared" si="200"/>
        <v>Phan Xuân Hoàng Long_12VH7</v>
      </c>
      <c r="U2356" s="28">
        <f t="array" ref="U2356">IFERROR(VLOOKUP($T2356,'Nghi hoc T12'!$H$7:$I$160,2,0),0)</f>
        <v>0</v>
      </c>
      <c r="V2356" s="28"/>
      <c r="W2356" s="28">
        <f t="shared" si="201"/>
        <v>0</v>
      </c>
      <c r="X2356" s="333">
        <f t="shared" si="202"/>
        <v>0</v>
      </c>
      <c r="Y2356" s="333">
        <f t="shared" si="203"/>
        <v>0</v>
      </c>
    </row>
    <row r="2357" spans="1:25" s="2" customFormat="1" ht="21.95" customHeight="1">
      <c r="A2357" s="82">
        <v>6</v>
      </c>
      <c r="B2357" s="91" t="str">
        <f t="shared" si="204"/>
        <v>305.T</v>
      </c>
      <c r="C2357" s="83" t="s">
        <v>365</v>
      </c>
      <c r="D2357" s="81" t="s">
        <v>2298</v>
      </c>
      <c r="E2357" s="48">
        <v>400704</v>
      </c>
      <c r="F2357" s="30" t="s">
        <v>343</v>
      </c>
      <c r="G2357" s="29" t="s">
        <v>14</v>
      </c>
      <c r="H2357" s="30" t="s">
        <v>2581</v>
      </c>
      <c r="I2357" s="78"/>
      <c r="J2357" s="20"/>
      <c r="K2357" s="20"/>
      <c r="L2357" s="20"/>
      <c r="M2357" s="20"/>
      <c r="N2357" s="179" t="s">
        <v>502</v>
      </c>
      <c r="O2357" s="70">
        <v>0</v>
      </c>
      <c r="P2357" s="70">
        <v>0</v>
      </c>
      <c r="Q2357" s="70">
        <f t="shared" si="199"/>
        <v>0</v>
      </c>
      <c r="R2357" s="70"/>
      <c r="S2357" s="67"/>
      <c r="T2357" s="2" t="str">
        <f t="shared" si="200"/>
        <v>Trần Nguyễn Hoàng Long_12VH6</v>
      </c>
      <c r="U2357" s="28">
        <f t="array" ref="U2357">IFERROR(VLOOKUP($T2357,'Nghi hoc T12'!$H$7:$I$160,2,0),0)</f>
        <v>0</v>
      </c>
      <c r="V2357" s="28"/>
      <c r="W2357" s="28">
        <f t="shared" si="201"/>
        <v>0</v>
      </c>
      <c r="X2357" s="333">
        <f t="shared" si="202"/>
        <v>0</v>
      </c>
      <c r="Y2357" s="333">
        <f t="shared" si="203"/>
        <v>0</v>
      </c>
    </row>
    <row r="2358" spans="1:25" s="2" customFormat="1" ht="21.95" customHeight="1">
      <c r="A2358" s="82">
        <v>7</v>
      </c>
      <c r="B2358" s="91" t="str">
        <f t="shared" si="204"/>
        <v>305.T</v>
      </c>
      <c r="C2358" s="83" t="s">
        <v>365</v>
      </c>
      <c r="D2358" s="81" t="s">
        <v>2298</v>
      </c>
      <c r="E2358" s="48">
        <v>400705</v>
      </c>
      <c r="F2358" s="30" t="s">
        <v>2628</v>
      </c>
      <c r="G2358" s="29" t="s">
        <v>152</v>
      </c>
      <c r="H2358" s="30" t="s">
        <v>2578</v>
      </c>
      <c r="I2358" s="78"/>
      <c r="J2358" s="20"/>
      <c r="K2358" s="20"/>
      <c r="L2358" s="20"/>
      <c r="M2358" s="20"/>
      <c r="N2358" s="179" t="s">
        <v>502</v>
      </c>
      <c r="O2358" s="70">
        <v>0</v>
      </c>
      <c r="P2358" s="70">
        <v>0</v>
      </c>
      <c r="Q2358" s="70">
        <f t="shared" si="199"/>
        <v>0</v>
      </c>
      <c r="R2358" s="70"/>
      <c r="S2358" s="67"/>
      <c r="T2358" s="2" t="str">
        <f t="shared" si="200"/>
        <v>Huỳnh Phúc Lộc_12VH7</v>
      </c>
      <c r="U2358" s="28">
        <f t="array" ref="U2358">IFERROR(VLOOKUP($T2358,'Nghi hoc T12'!$H$7:$I$160,2,0),0)</f>
        <v>0</v>
      </c>
      <c r="V2358" s="28"/>
      <c r="W2358" s="28">
        <f t="shared" si="201"/>
        <v>0</v>
      </c>
      <c r="X2358" s="333">
        <f t="shared" si="202"/>
        <v>0</v>
      </c>
      <c r="Y2358" s="333">
        <f t="shared" si="203"/>
        <v>0</v>
      </c>
    </row>
    <row r="2359" spans="1:25" s="2" customFormat="1" ht="21.95" customHeight="1">
      <c r="A2359" s="82">
        <v>8</v>
      </c>
      <c r="B2359" s="91" t="str">
        <f t="shared" si="204"/>
        <v>305.T</v>
      </c>
      <c r="C2359" s="83" t="s">
        <v>365</v>
      </c>
      <c r="D2359" s="81" t="s">
        <v>2298</v>
      </c>
      <c r="E2359" s="48">
        <v>400706</v>
      </c>
      <c r="F2359" s="30" t="s">
        <v>142</v>
      </c>
      <c r="G2359" s="29" t="s">
        <v>152</v>
      </c>
      <c r="H2359" s="30" t="s">
        <v>2574</v>
      </c>
      <c r="I2359" s="78"/>
      <c r="J2359" s="20"/>
      <c r="K2359" s="20"/>
      <c r="L2359" s="20"/>
      <c r="M2359" s="20"/>
      <c r="N2359" s="179" t="s">
        <v>502</v>
      </c>
      <c r="O2359" s="70">
        <v>0</v>
      </c>
      <c r="P2359" s="70">
        <v>0</v>
      </c>
      <c r="Q2359" s="70">
        <f t="shared" si="199"/>
        <v>0</v>
      </c>
      <c r="R2359" s="70"/>
      <c r="S2359" s="67"/>
      <c r="T2359" s="2" t="str">
        <f t="shared" si="200"/>
        <v>Nguyễn Tấn Lộc_12VH4</v>
      </c>
      <c r="U2359" s="28">
        <f t="array" ref="U2359">IFERROR(VLOOKUP($T2359,'Nghi hoc T12'!$H$7:$I$160,2,0),0)</f>
        <v>0</v>
      </c>
      <c r="V2359" s="28"/>
      <c r="W2359" s="28">
        <f t="shared" si="201"/>
        <v>0</v>
      </c>
      <c r="X2359" s="333">
        <f t="shared" si="202"/>
        <v>0</v>
      </c>
      <c r="Y2359" s="333">
        <f t="shared" si="203"/>
        <v>0</v>
      </c>
    </row>
    <row r="2360" spans="1:25" s="2" customFormat="1" ht="21.95" customHeight="1">
      <c r="A2360" s="82">
        <v>9</v>
      </c>
      <c r="B2360" s="91" t="str">
        <f t="shared" si="204"/>
        <v>305.T</v>
      </c>
      <c r="C2360" s="83" t="s">
        <v>365</v>
      </c>
      <c r="D2360" s="81" t="s">
        <v>2298</v>
      </c>
      <c r="E2360" s="48">
        <v>400707</v>
      </c>
      <c r="F2360" s="30" t="s">
        <v>2629</v>
      </c>
      <c r="G2360" s="29" t="s">
        <v>2630</v>
      </c>
      <c r="H2360" s="30" t="s">
        <v>2581</v>
      </c>
      <c r="I2360" s="78"/>
      <c r="J2360" s="20"/>
      <c r="K2360" s="20"/>
      <c r="L2360" s="20"/>
      <c r="M2360" s="20"/>
      <c r="N2360" s="179" t="s">
        <v>502</v>
      </c>
      <c r="O2360" s="70">
        <v>0</v>
      </c>
      <c r="P2360" s="70">
        <v>0</v>
      </c>
      <c r="Q2360" s="70">
        <f t="shared" si="199"/>
        <v>0</v>
      </c>
      <c r="R2360" s="70"/>
      <c r="S2360" s="67"/>
      <c r="T2360" s="2" t="str">
        <f t="shared" si="200"/>
        <v>Huỳnh Đào Tư Lượng_12VH6</v>
      </c>
      <c r="U2360" s="28">
        <f t="array" ref="U2360">IFERROR(VLOOKUP($T2360,'Nghi hoc T12'!$H$7:$I$160,2,0),0)</f>
        <v>0</v>
      </c>
      <c r="V2360" s="28"/>
      <c r="W2360" s="28">
        <f t="shared" si="201"/>
        <v>0</v>
      </c>
      <c r="X2360" s="333">
        <f t="shared" si="202"/>
        <v>0</v>
      </c>
      <c r="Y2360" s="333">
        <f t="shared" si="203"/>
        <v>0</v>
      </c>
    </row>
    <row r="2361" spans="1:25" s="2" customFormat="1" ht="21.95" customHeight="1">
      <c r="A2361" s="82">
        <v>10</v>
      </c>
      <c r="B2361" s="91" t="str">
        <f t="shared" si="204"/>
        <v>305.T</v>
      </c>
      <c r="C2361" s="83" t="s">
        <v>365</v>
      </c>
      <c r="D2361" s="81" t="s">
        <v>2298</v>
      </c>
      <c r="E2361" s="48">
        <v>400708</v>
      </c>
      <c r="F2361" s="30" t="s">
        <v>344</v>
      </c>
      <c r="G2361" s="29" t="s">
        <v>233</v>
      </c>
      <c r="H2361" s="30" t="s">
        <v>2581</v>
      </c>
      <c r="I2361" s="78"/>
      <c r="J2361" s="20"/>
      <c r="K2361" s="20"/>
      <c r="L2361" s="20"/>
      <c r="M2361" s="20"/>
      <c r="N2361" s="179" t="s">
        <v>502</v>
      </c>
      <c r="O2361" s="70">
        <v>0</v>
      </c>
      <c r="P2361" s="70">
        <v>0</v>
      </c>
      <c r="Q2361" s="70">
        <f t="shared" si="199"/>
        <v>0</v>
      </c>
      <c r="R2361" s="70"/>
      <c r="S2361" s="67"/>
      <c r="T2361" s="2" t="str">
        <f t="shared" si="200"/>
        <v>Lê Duy Mạnh_12VH6</v>
      </c>
      <c r="U2361" s="28">
        <f t="array" ref="U2361">IFERROR(VLOOKUP($T2361,'Nghi hoc T12'!$H$7:$I$160,2,0),0)</f>
        <v>0</v>
      </c>
      <c r="V2361" s="28"/>
      <c r="W2361" s="28">
        <f t="shared" si="201"/>
        <v>0</v>
      </c>
      <c r="X2361" s="333">
        <f t="shared" si="202"/>
        <v>0</v>
      </c>
      <c r="Y2361" s="333">
        <f t="shared" si="203"/>
        <v>0</v>
      </c>
    </row>
    <row r="2362" spans="1:25" s="2" customFormat="1" ht="21.95" customHeight="1">
      <c r="A2362" s="82">
        <v>11</v>
      </c>
      <c r="B2362" s="91" t="str">
        <f t="shared" si="204"/>
        <v>305.T</v>
      </c>
      <c r="C2362" s="83" t="s">
        <v>365</v>
      </c>
      <c r="D2362" s="81" t="s">
        <v>2298</v>
      </c>
      <c r="E2362" s="48">
        <v>400709</v>
      </c>
      <c r="F2362" s="30" t="s">
        <v>207</v>
      </c>
      <c r="G2362" s="29" t="s">
        <v>16</v>
      </c>
      <c r="H2362" s="30" t="s">
        <v>2578</v>
      </c>
      <c r="I2362" s="78"/>
      <c r="J2362" s="20"/>
      <c r="K2362" s="20"/>
      <c r="L2362" s="20"/>
      <c r="M2362" s="20"/>
      <c r="N2362" s="179" t="s">
        <v>502</v>
      </c>
      <c r="O2362" s="70">
        <v>0</v>
      </c>
      <c r="P2362" s="70">
        <v>0</v>
      </c>
      <c r="Q2362" s="70">
        <f t="shared" si="199"/>
        <v>0</v>
      </c>
      <c r="R2362" s="70"/>
      <c r="S2362" s="67"/>
      <c r="T2362" s="2" t="str">
        <f t="shared" si="200"/>
        <v>Phạm Văn Minh_12VH7</v>
      </c>
      <c r="U2362" s="28">
        <f t="array" ref="U2362">IFERROR(VLOOKUP($T2362,'Nghi hoc T12'!$H$7:$I$160,2,0),0)</f>
        <v>0</v>
      </c>
      <c r="V2362" s="28"/>
      <c r="W2362" s="28">
        <f t="shared" si="201"/>
        <v>0</v>
      </c>
      <c r="X2362" s="333">
        <f t="shared" si="202"/>
        <v>0</v>
      </c>
      <c r="Y2362" s="333">
        <f t="shared" si="203"/>
        <v>0</v>
      </c>
    </row>
    <row r="2363" spans="1:25" s="2" customFormat="1" ht="21.95" customHeight="1">
      <c r="A2363" s="82">
        <v>12</v>
      </c>
      <c r="B2363" s="91" t="str">
        <f t="shared" si="204"/>
        <v>305.T</v>
      </c>
      <c r="C2363" s="83" t="s">
        <v>365</v>
      </c>
      <c r="D2363" s="81" t="s">
        <v>2298</v>
      </c>
      <c r="E2363" s="48">
        <v>400710</v>
      </c>
      <c r="F2363" s="30" t="s">
        <v>2631</v>
      </c>
      <c r="G2363" s="29" t="s">
        <v>40</v>
      </c>
      <c r="H2363" s="30" t="s">
        <v>2581</v>
      </c>
      <c r="I2363" s="78"/>
      <c r="J2363" s="20"/>
      <c r="K2363" s="20"/>
      <c r="L2363" s="20"/>
      <c r="M2363" s="20"/>
      <c r="N2363" s="179" t="s">
        <v>502</v>
      </c>
      <c r="O2363" s="70">
        <v>0</v>
      </c>
      <c r="P2363" s="70">
        <v>0</v>
      </c>
      <c r="Q2363" s="70">
        <f t="shared" si="199"/>
        <v>0</v>
      </c>
      <c r="R2363" s="70"/>
      <c r="S2363" s="67"/>
      <c r="T2363" s="2" t="str">
        <f t="shared" si="200"/>
        <v>Nguyễn Lê Trà My_12VH6</v>
      </c>
      <c r="U2363" s="28">
        <f t="array" ref="U2363">IFERROR(VLOOKUP($T2363,'Nghi hoc T12'!$H$7:$I$160,2,0),0)</f>
        <v>0</v>
      </c>
      <c r="V2363" s="28"/>
      <c r="W2363" s="28">
        <f t="shared" si="201"/>
        <v>0</v>
      </c>
      <c r="X2363" s="333">
        <f t="shared" si="202"/>
        <v>0</v>
      </c>
      <c r="Y2363" s="333">
        <f t="shared" si="203"/>
        <v>0</v>
      </c>
    </row>
    <row r="2364" spans="1:25" s="2" customFormat="1" ht="21.95" customHeight="1">
      <c r="A2364" s="82">
        <v>13</v>
      </c>
      <c r="B2364" s="91" t="str">
        <f t="shared" si="204"/>
        <v>305.T</v>
      </c>
      <c r="C2364" s="83" t="s">
        <v>365</v>
      </c>
      <c r="D2364" s="81" t="s">
        <v>2298</v>
      </c>
      <c r="E2364" s="48">
        <v>400711</v>
      </c>
      <c r="F2364" s="30" t="s">
        <v>2632</v>
      </c>
      <c r="G2364" s="29" t="s">
        <v>40</v>
      </c>
      <c r="H2364" s="30" t="s">
        <v>2578</v>
      </c>
      <c r="I2364" s="78"/>
      <c r="J2364" s="20"/>
      <c r="K2364" s="20"/>
      <c r="L2364" s="20"/>
      <c r="M2364" s="20"/>
      <c r="N2364" s="179" t="s">
        <v>502</v>
      </c>
      <c r="O2364" s="70">
        <v>0</v>
      </c>
      <c r="P2364" s="70">
        <v>0</v>
      </c>
      <c r="Q2364" s="70">
        <f t="shared" si="199"/>
        <v>0</v>
      </c>
      <c r="R2364" s="70"/>
      <c r="S2364" s="67"/>
      <c r="T2364" s="2" t="str">
        <f t="shared" si="200"/>
        <v>Phạm Thảo My_12VH7</v>
      </c>
      <c r="U2364" s="28">
        <f t="array" ref="U2364">IFERROR(VLOOKUP($T2364,'Nghi hoc T12'!$H$7:$I$160,2,0),0)</f>
        <v>0</v>
      </c>
      <c r="V2364" s="28"/>
      <c r="W2364" s="28">
        <f t="shared" si="201"/>
        <v>0</v>
      </c>
      <c r="X2364" s="333">
        <f t="shared" si="202"/>
        <v>0</v>
      </c>
      <c r="Y2364" s="333">
        <f t="shared" si="203"/>
        <v>0</v>
      </c>
    </row>
    <row r="2365" spans="1:25" s="2" customFormat="1" ht="21.95" customHeight="1">
      <c r="A2365" s="82">
        <v>14</v>
      </c>
      <c r="B2365" s="91" t="str">
        <f t="shared" si="204"/>
        <v>305.T</v>
      </c>
      <c r="C2365" s="83" t="s">
        <v>365</v>
      </c>
      <c r="D2365" s="81" t="s">
        <v>2298</v>
      </c>
      <c r="E2365" s="48">
        <v>400712</v>
      </c>
      <c r="F2365" s="30" t="s">
        <v>2633</v>
      </c>
      <c r="G2365" s="29" t="s">
        <v>339</v>
      </c>
      <c r="H2365" s="30" t="s">
        <v>2574</v>
      </c>
      <c r="I2365" s="78"/>
      <c r="J2365" s="20"/>
      <c r="K2365" s="20"/>
      <c r="L2365" s="20"/>
      <c r="M2365" s="20"/>
      <c r="N2365" s="179" t="s">
        <v>502</v>
      </c>
      <c r="O2365" s="70">
        <v>0</v>
      </c>
      <c r="P2365" s="70">
        <v>0</v>
      </c>
      <c r="Q2365" s="70">
        <f t="shared" si="199"/>
        <v>0</v>
      </c>
      <c r="R2365" s="70"/>
      <c r="S2365" s="67"/>
      <c r="T2365" s="2" t="str">
        <f t="shared" si="200"/>
        <v>Mai Hữu Mỹ_12VH4</v>
      </c>
      <c r="U2365" s="28">
        <f t="array" ref="U2365">IFERROR(VLOOKUP($T2365,'Nghi hoc T12'!$H$7:$I$160,2,0),0)</f>
        <v>0</v>
      </c>
      <c r="V2365" s="28"/>
      <c r="W2365" s="28">
        <f t="shared" si="201"/>
        <v>0</v>
      </c>
      <c r="X2365" s="333">
        <f t="shared" si="202"/>
        <v>0</v>
      </c>
      <c r="Y2365" s="333">
        <f t="shared" si="203"/>
        <v>0</v>
      </c>
    </row>
    <row r="2366" spans="1:25" s="2" customFormat="1" ht="21.95" customHeight="1">
      <c r="A2366" s="82">
        <v>15</v>
      </c>
      <c r="B2366" s="91" t="str">
        <f t="shared" si="204"/>
        <v>305.T</v>
      </c>
      <c r="C2366" s="83" t="s">
        <v>365</v>
      </c>
      <c r="D2366" s="81" t="s">
        <v>2298</v>
      </c>
      <c r="E2366" s="48">
        <v>400713</v>
      </c>
      <c r="F2366" s="30" t="s">
        <v>2285</v>
      </c>
      <c r="G2366" s="29" t="s">
        <v>2634</v>
      </c>
      <c r="H2366" s="30" t="s">
        <v>2574</v>
      </c>
      <c r="I2366" s="78"/>
      <c r="J2366" s="20"/>
      <c r="K2366" s="20"/>
      <c r="L2366" s="20"/>
      <c r="M2366" s="20"/>
      <c r="N2366" s="179" t="s">
        <v>502</v>
      </c>
      <c r="O2366" s="70">
        <v>0</v>
      </c>
      <c r="P2366" s="70">
        <v>0</v>
      </c>
      <c r="Q2366" s="70">
        <f t="shared" si="199"/>
        <v>0</v>
      </c>
      <c r="R2366" s="70"/>
      <c r="S2366" s="67"/>
      <c r="T2366" s="2" t="str">
        <f t="shared" si="200"/>
        <v>Nguyễn An Na_12VH4</v>
      </c>
      <c r="U2366" s="28">
        <f t="array" ref="U2366">IFERROR(VLOOKUP($T2366,'Nghi hoc T12'!$H$7:$I$160,2,0),0)</f>
        <v>0</v>
      </c>
      <c r="V2366" s="28"/>
      <c r="W2366" s="28">
        <f t="shared" si="201"/>
        <v>0</v>
      </c>
      <c r="X2366" s="333">
        <f t="shared" si="202"/>
        <v>0</v>
      </c>
      <c r="Y2366" s="333">
        <f t="shared" si="203"/>
        <v>0</v>
      </c>
    </row>
    <row r="2367" spans="1:25" s="2" customFormat="1" ht="21.95" customHeight="1">
      <c r="A2367" s="82">
        <v>16</v>
      </c>
      <c r="B2367" s="91" t="str">
        <f t="shared" si="204"/>
        <v>305.T</v>
      </c>
      <c r="C2367" s="83" t="s">
        <v>365</v>
      </c>
      <c r="D2367" s="81" t="s">
        <v>2298</v>
      </c>
      <c r="E2367" s="48">
        <v>400714</v>
      </c>
      <c r="F2367" s="30" t="s">
        <v>327</v>
      </c>
      <c r="G2367" s="29" t="s">
        <v>17</v>
      </c>
      <c r="H2367" s="30" t="s">
        <v>2574</v>
      </c>
      <c r="I2367" s="78"/>
      <c r="J2367" s="20"/>
      <c r="K2367" s="20"/>
      <c r="L2367" s="20"/>
      <c r="M2367" s="20"/>
      <c r="N2367" s="179" t="s">
        <v>502</v>
      </c>
      <c r="O2367" s="70">
        <v>0</v>
      </c>
      <c r="P2367" s="70">
        <v>0</v>
      </c>
      <c r="Q2367" s="70">
        <f t="shared" si="199"/>
        <v>0</v>
      </c>
      <c r="R2367" s="70"/>
      <c r="S2367" s="67"/>
      <c r="T2367" s="2" t="str">
        <f t="shared" si="200"/>
        <v>Nguyễn Phương Nam_12VH4</v>
      </c>
      <c r="U2367" s="28">
        <f t="array" ref="U2367">IFERROR(VLOOKUP($T2367,'Nghi hoc T12'!$H$7:$I$160,2,0),0)</f>
        <v>0</v>
      </c>
      <c r="V2367" s="28"/>
      <c r="W2367" s="28">
        <f t="shared" si="201"/>
        <v>0</v>
      </c>
      <c r="X2367" s="333">
        <f t="shared" si="202"/>
        <v>0</v>
      </c>
      <c r="Y2367" s="333">
        <f t="shared" si="203"/>
        <v>0</v>
      </c>
    </row>
    <row r="2368" spans="1:25" s="2" customFormat="1" ht="21.95" customHeight="1">
      <c r="A2368" s="82">
        <v>17</v>
      </c>
      <c r="B2368" s="91" t="str">
        <f t="shared" si="204"/>
        <v>305.T</v>
      </c>
      <c r="C2368" s="83" t="s">
        <v>365</v>
      </c>
      <c r="D2368" s="81" t="s">
        <v>2298</v>
      </c>
      <c r="E2368" s="48">
        <v>400715</v>
      </c>
      <c r="F2368" s="30" t="s">
        <v>2391</v>
      </c>
      <c r="G2368" s="29" t="s">
        <v>17</v>
      </c>
      <c r="H2368" s="30" t="s">
        <v>2576</v>
      </c>
      <c r="I2368" s="78"/>
      <c r="J2368" s="20"/>
      <c r="K2368" s="20"/>
      <c r="L2368" s="20"/>
      <c r="M2368" s="20"/>
      <c r="N2368" s="179" t="s">
        <v>502</v>
      </c>
      <c r="O2368" s="70">
        <v>0</v>
      </c>
      <c r="P2368" s="70">
        <v>0</v>
      </c>
      <c r="Q2368" s="70">
        <f t="shared" si="199"/>
        <v>0</v>
      </c>
      <c r="R2368" s="70"/>
      <c r="S2368" s="67"/>
      <c r="T2368" s="2" t="str">
        <f t="shared" si="200"/>
        <v>Phạm Hoàng Nam_12VH5</v>
      </c>
      <c r="U2368" s="28">
        <f t="array" ref="U2368">IFERROR(VLOOKUP($T2368,'Nghi hoc T12'!$H$7:$I$160,2,0),0)</f>
        <v>0</v>
      </c>
      <c r="V2368" s="28"/>
      <c r="W2368" s="28">
        <f t="shared" si="201"/>
        <v>0</v>
      </c>
      <c r="X2368" s="333">
        <f t="shared" si="202"/>
        <v>0</v>
      </c>
      <c r="Y2368" s="333">
        <f t="shared" si="203"/>
        <v>0</v>
      </c>
    </row>
    <row r="2369" spans="1:25" s="2" customFormat="1" ht="21.95" customHeight="1">
      <c r="A2369" s="82">
        <v>18</v>
      </c>
      <c r="B2369" s="91" t="str">
        <f t="shared" si="204"/>
        <v>305.T</v>
      </c>
      <c r="C2369" s="83" t="s">
        <v>365</v>
      </c>
      <c r="D2369" s="81" t="s">
        <v>2298</v>
      </c>
      <c r="E2369" s="48">
        <v>400716</v>
      </c>
      <c r="F2369" s="30" t="s">
        <v>2635</v>
      </c>
      <c r="G2369" s="29" t="s">
        <v>17</v>
      </c>
      <c r="H2369" s="30" t="s">
        <v>2578</v>
      </c>
      <c r="I2369" s="78"/>
      <c r="J2369" s="20"/>
      <c r="K2369" s="20"/>
      <c r="L2369" s="20"/>
      <c r="M2369" s="20"/>
      <c r="N2369" s="179" t="s">
        <v>502</v>
      </c>
      <c r="O2369" s="70">
        <v>0</v>
      </c>
      <c r="P2369" s="70">
        <v>0</v>
      </c>
      <c r="Q2369" s="70">
        <f t="shared" si="199"/>
        <v>0</v>
      </c>
      <c r="R2369" s="70"/>
      <c r="S2369" s="67"/>
      <c r="T2369" s="2" t="str">
        <f t="shared" si="200"/>
        <v>Trần Nghĩa Nam_12VH7</v>
      </c>
      <c r="U2369" s="28">
        <f t="array" ref="U2369">IFERROR(VLOOKUP($T2369,'Nghi hoc T12'!$H$7:$I$160,2,0),0)</f>
        <v>0</v>
      </c>
      <c r="V2369" s="28"/>
      <c r="W2369" s="28">
        <f t="shared" si="201"/>
        <v>0</v>
      </c>
      <c r="X2369" s="333">
        <f t="shared" si="202"/>
        <v>0</v>
      </c>
      <c r="Y2369" s="333">
        <f t="shared" si="203"/>
        <v>0</v>
      </c>
    </row>
    <row r="2370" spans="1:25" s="2" customFormat="1" ht="21.95" customHeight="1">
      <c r="A2370" s="82">
        <v>19</v>
      </c>
      <c r="B2370" s="91" t="str">
        <f t="shared" si="204"/>
        <v>305.T</v>
      </c>
      <c r="C2370" s="83" t="s">
        <v>365</v>
      </c>
      <c r="D2370" s="81" t="s">
        <v>2298</v>
      </c>
      <c r="E2370" s="48">
        <v>400717</v>
      </c>
      <c r="F2370" s="30" t="s">
        <v>340</v>
      </c>
      <c r="G2370" s="29" t="s">
        <v>18</v>
      </c>
      <c r="H2370" s="30" t="s">
        <v>2578</v>
      </c>
      <c r="I2370" s="78"/>
      <c r="J2370" s="20"/>
      <c r="K2370" s="20"/>
      <c r="L2370" s="20"/>
      <c r="M2370" s="20"/>
      <c r="N2370" s="179" t="s">
        <v>502</v>
      </c>
      <c r="O2370" s="70">
        <v>0</v>
      </c>
      <c r="P2370" s="70">
        <v>0</v>
      </c>
      <c r="Q2370" s="70">
        <f t="shared" si="199"/>
        <v>0</v>
      </c>
      <c r="R2370" s="70"/>
      <c r="S2370" s="67"/>
      <c r="T2370" s="2" t="str">
        <f t="shared" si="200"/>
        <v>Hồ Thị Thanh Ngân_12VH7</v>
      </c>
      <c r="U2370" s="28">
        <f t="array" ref="U2370">IFERROR(VLOOKUP($T2370,'Nghi hoc T12'!$H$7:$I$160,2,0),0)</f>
        <v>0</v>
      </c>
      <c r="V2370" s="28"/>
      <c r="W2370" s="28">
        <f t="shared" si="201"/>
        <v>0</v>
      </c>
      <c r="X2370" s="333">
        <f t="shared" si="202"/>
        <v>0</v>
      </c>
      <c r="Y2370" s="333">
        <f t="shared" si="203"/>
        <v>0</v>
      </c>
    </row>
    <row r="2371" spans="1:25" s="2" customFormat="1" ht="21.95" customHeight="1">
      <c r="A2371" s="82">
        <v>20</v>
      </c>
      <c r="B2371" s="91" t="str">
        <f t="shared" si="204"/>
        <v>305.T</v>
      </c>
      <c r="C2371" s="83" t="s">
        <v>365</v>
      </c>
      <c r="D2371" s="81" t="s">
        <v>2298</v>
      </c>
      <c r="E2371" s="48">
        <v>400718</v>
      </c>
      <c r="F2371" s="30" t="s">
        <v>2636</v>
      </c>
      <c r="G2371" s="29" t="s">
        <v>18</v>
      </c>
      <c r="H2371" s="30" t="s">
        <v>2574</v>
      </c>
      <c r="I2371" s="78"/>
      <c r="J2371" s="20"/>
      <c r="K2371" s="20"/>
      <c r="L2371" s="20"/>
      <c r="M2371" s="20"/>
      <c r="N2371" s="179" t="s">
        <v>502</v>
      </c>
      <c r="O2371" s="70">
        <v>0</v>
      </c>
      <c r="P2371" s="70">
        <v>0</v>
      </c>
      <c r="Q2371" s="70">
        <f t="shared" si="199"/>
        <v>0</v>
      </c>
      <c r="R2371" s="70"/>
      <c r="S2371" s="67"/>
      <c r="T2371" s="2" t="str">
        <f t="shared" si="200"/>
        <v>Nguyễn Trần Kim Ngân_12VH4</v>
      </c>
      <c r="U2371" s="28">
        <f t="array" ref="U2371">IFERROR(VLOOKUP($T2371,'Nghi hoc T12'!$H$7:$I$160,2,0),0)</f>
        <v>0</v>
      </c>
      <c r="V2371" s="28"/>
      <c r="W2371" s="28">
        <f t="shared" si="201"/>
        <v>0</v>
      </c>
      <c r="X2371" s="333">
        <f t="shared" si="202"/>
        <v>0</v>
      </c>
      <c r="Y2371" s="333">
        <f t="shared" si="203"/>
        <v>0</v>
      </c>
    </row>
    <row r="2372" spans="1:25" s="2" customFormat="1" ht="21.95" customHeight="1">
      <c r="A2372" s="82">
        <v>21</v>
      </c>
      <c r="B2372" s="91" t="str">
        <f t="shared" si="204"/>
        <v>305.T</v>
      </c>
      <c r="C2372" s="83" t="s">
        <v>365</v>
      </c>
      <c r="D2372" s="81" t="s">
        <v>2298</v>
      </c>
      <c r="E2372" s="48">
        <v>400719</v>
      </c>
      <c r="F2372" s="30" t="s">
        <v>2637</v>
      </c>
      <c r="G2372" s="29" t="s">
        <v>18</v>
      </c>
      <c r="H2372" s="30" t="s">
        <v>2576</v>
      </c>
      <c r="I2372" s="78"/>
      <c r="J2372" s="20"/>
      <c r="K2372" s="20"/>
      <c r="L2372" s="20"/>
      <c r="M2372" s="20"/>
      <c r="N2372" s="179" t="s">
        <v>502</v>
      </c>
      <c r="O2372" s="70">
        <v>0</v>
      </c>
      <c r="P2372" s="70">
        <v>0</v>
      </c>
      <c r="Q2372" s="70">
        <f t="shared" si="199"/>
        <v>0</v>
      </c>
      <c r="R2372" s="70"/>
      <c r="S2372" s="67"/>
      <c r="T2372" s="2" t="str">
        <f t="shared" si="200"/>
        <v>Trần Kim Ngân_12VH5</v>
      </c>
      <c r="U2372" s="28">
        <f t="array" ref="U2372">IFERROR(VLOOKUP($T2372,'Nghi hoc T12'!$H$7:$I$160,2,0),0)</f>
        <v>0</v>
      </c>
      <c r="V2372" s="28"/>
      <c r="W2372" s="28">
        <f t="shared" si="201"/>
        <v>0</v>
      </c>
      <c r="X2372" s="333">
        <f t="shared" si="202"/>
        <v>0</v>
      </c>
      <c r="Y2372" s="333">
        <f t="shared" si="203"/>
        <v>0</v>
      </c>
    </row>
    <row r="2373" spans="1:25" s="2" customFormat="1" ht="21.95" customHeight="1">
      <c r="A2373" s="82">
        <v>22</v>
      </c>
      <c r="B2373" s="91" t="str">
        <f t="shared" si="204"/>
        <v>305.T</v>
      </c>
      <c r="C2373" s="83" t="s">
        <v>365</v>
      </c>
      <c r="D2373" s="81" t="s">
        <v>2298</v>
      </c>
      <c r="E2373" s="48">
        <v>400720</v>
      </c>
      <c r="F2373" s="30" t="s">
        <v>2638</v>
      </c>
      <c r="G2373" s="29" t="s">
        <v>101</v>
      </c>
      <c r="H2373" s="30" t="s">
        <v>2581</v>
      </c>
      <c r="I2373" s="78"/>
      <c r="J2373" s="20"/>
      <c r="K2373" s="20"/>
      <c r="L2373" s="20"/>
      <c r="M2373" s="20"/>
      <c r="N2373" s="179" t="s">
        <v>502</v>
      </c>
      <c r="O2373" s="70">
        <v>0</v>
      </c>
      <c r="P2373" s="70">
        <v>0</v>
      </c>
      <c r="Q2373" s="70">
        <f t="shared" si="199"/>
        <v>0</v>
      </c>
      <c r="R2373" s="70"/>
      <c r="S2373" s="67"/>
      <c r="T2373" s="2" t="str">
        <f t="shared" si="200"/>
        <v>Dương Đông Nghi_12VH6</v>
      </c>
      <c r="U2373" s="28">
        <f t="array" ref="U2373">IFERROR(VLOOKUP($T2373,'Nghi hoc T12'!$H$7:$I$160,2,0),0)</f>
        <v>0</v>
      </c>
      <c r="V2373" s="28"/>
      <c r="W2373" s="28">
        <f t="shared" si="201"/>
        <v>0</v>
      </c>
      <c r="X2373" s="333">
        <f t="shared" si="202"/>
        <v>0</v>
      </c>
      <c r="Y2373" s="333">
        <f t="shared" si="203"/>
        <v>0</v>
      </c>
    </row>
    <row r="2374" spans="1:25" s="2" customFormat="1" ht="21.95" customHeight="1">
      <c r="A2374" s="82">
        <v>23</v>
      </c>
      <c r="B2374" s="91" t="str">
        <f t="shared" si="204"/>
        <v>305.T</v>
      </c>
      <c r="C2374" s="83" t="s">
        <v>365</v>
      </c>
      <c r="D2374" s="81" t="s">
        <v>2298</v>
      </c>
      <c r="E2374" s="48">
        <v>400721</v>
      </c>
      <c r="F2374" s="30" t="s">
        <v>2639</v>
      </c>
      <c r="G2374" s="29" t="s">
        <v>96</v>
      </c>
      <c r="H2374" s="30" t="s">
        <v>2581</v>
      </c>
      <c r="I2374" s="78"/>
      <c r="J2374" s="20"/>
      <c r="K2374" s="20"/>
      <c r="L2374" s="20"/>
      <c r="M2374" s="20"/>
      <c r="N2374" s="179" t="s">
        <v>502</v>
      </c>
      <c r="O2374" s="70">
        <v>0</v>
      </c>
      <c r="P2374" s="70">
        <v>0</v>
      </c>
      <c r="Q2374" s="70">
        <f t="shared" si="199"/>
        <v>0</v>
      </c>
      <c r="R2374" s="70"/>
      <c r="S2374" s="67"/>
      <c r="T2374" s="2" t="str">
        <f t="shared" si="200"/>
        <v>Bùi Trọng Nghĩa_12VH6</v>
      </c>
      <c r="U2374" s="28">
        <f t="array" ref="U2374">IFERROR(VLOOKUP($T2374,'Nghi hoc T12'!$H$7:$I$160,2,0),0)</f>
        <v>0</v>
      </c>
      <c r="V2374" s="28"/>
      <c r="W2374" s="28">
        <f t="shared" si="201"/>
        <v>0</v>
      </c>
      <c r="X2374" s="333">
        <f t="shared" si="202"/>
        <v>0</v>
      </c>
      <c r="Y2374" s="333">
        <f t="shared" si="203"/>
        <v>0</v>
      </c>
    </row>
    <row r="2375" spans="1:25" s="2" customFormat="1" ht="21.95" customHeight="1">
      <c r="A2375" s="82">
        <v>24</v>
      </c>
      <c r="B2375" s="91" t="str">
        <f t="shared" si="204"/>
        <v>305.T</v>
      </c>
      <c r="C2375" s="83" t="s">
        <v>365</v>
      </c>
      <c r="D2375" s="81" t="s">
        <v>2298</v>
      </c>
      <c r="E2375" s="48">
        <v>400722</v>
      </c>
      <c r="F2375" s="30" t="s">
        <v>2640</v>
      </c>
      <c r="G2375" s="29" t="s">
        <v>19</v>
      </c>
      <c r="H2375" s="30" t="s">
        <v>2581</v>
      </c>
      <c r="I2375" s="78"/>
      <c r="J2375" s="20"/>
      <c r="K2375" s="20"/>
      <c r="L2375" s="20"/>
      <c r="M2375" s="20"/>
      <c r="N2375" s="179" t="s">
        <v>502</v>
      </c>
      <c r="O2375" s="70">
        <v>0</v>
      </c>
      <c r="P2375" s="70">
        <v>0</v>
      </c>
      <c r="Q2375" s="70">
        <f t="shared" si="199"/>
        <v>0</v>
      </c>
      <c r="R2375" s="70"/>
      <c r="S2375" s="67"/>
      <c r="T2375" s="2" t="str">
        <f t="shared" si="200"/>
        <v>Đinh Bảo Ngọc_12VH6</v>
      </c>
      <c r="U2375" s="28">
        <f t="array" ref="U2375">IFERROR(VLOOKUP($T2375,'Nghi hoc T12'!$H$7:$I$160,2,0),0)</f>
        <v>0</v>
      </c>
      <c r="V2375" s="28"/>
      <c r="W2375" s="28">
        <f t="shared" si="201"/>
        <v>0</v>
      </c>
      <c r="X2375" s="333">
        <f t="shared" si="202"/>
        <v>0</v>
      </c>
      <c r="Y2375" s="333">
        <f t="shared" si="203"/>
        <v>0</v>
      </c>
    </row>
    <row r="2376" spans="1:25" s="2" customFormat="1" ht="21.95" customHeight="1">
      <c r="A2376" s="321">
        <v>1</v>
      </c>
      <c r="B2376" s="91" t="str">
        <f t="shared" si="204"/>
        <v>306.T</v>
      </c>
      <c r="C2376" s="185" t="s">
        <v>365</v>
      </c>
      <c r="D2376" s="186" t="s">
        <v>2307</v>
      </c>
      <c r="E2376" s="187">
        <v>400723</v>
      </c>
      <c r="F2376" s="188" t="s">
        <v>2641</v>
      </c>
      <c r="G2376" s="189" t="s">
        <v>19</v>
      </c>
      <c r="H2376" s="188" t="s">
        <v>2574</v>
      </c>
      <c r="I2376" s="190"/>
      <c r="J2376" s="191"/>
      <c r="K2376" s="191"/>
      <c r="L2376" s="191"/>
      <c r="M2376" s="191"/>
      <c r="N2376" s="179" t="s">
        <v>502</v>
      </c>
      <c r="O2376" s="70">
        <v>0</v>
      </c>
      <c r="P2376" s="70">
        <v>0</v>
      </c>
      <c r="Q2376" s="70">
        <f t="shared" si="199"/>
        <v>0</v>
      </c>
      <c r="R2376" s="70"/>
      <c r="S2376" s="67"/>
      <c r="T2376" s="2" t="str">
        <f t="shared" si="200"/>
        <v>Lê Hoàng Bảo Ngọc_12VH4</v>
      </c>
      <c r="U2376" s="28">
        <f t="array" ref="U2376">IFERROR(VLOOKUP($T2376,'Nghi hoc T12'!$H$7:$I$160,2,0),0)</f>
        <v>0</v>
      </c>
      <c r="V2376" s="28"/>
      <c r="W2376" s="28">
        <f t="shared" si="201"/>
        <v>0</v>
      </c>
      <c r="X2376" s="333">
        <f t="shared" si="202"/>
        <v>0</v>
      </c>
      <c r="Y2376" s="333">
        <f t="shared" si="203"/>
        <v>0</v>
      </c>
    </row>
    <row r="2377" spans="1:25" s="2" customFormat="1" ht="21.95" customHeight="1">
      <c r="A2377" s="82">
        <v>2</v>
      </c>
      <c r="B2377" s="91" t="str">
        <f t="shared" si="204"/>
        <v>306.T</v>
      </c>
      <c r="C2377" s="83" t="s">
        <v>365</v>
      </c>
      <c r="D2377" s="81" t="s">
        <v>2307</v>
      </c>
      <c r="E2377" s="48">
        <v>400724</v>
      </c>
      <c r="F2377" s="30" t="s">
        <v>141</v>
      </c>
      <c r="G2377" s="29" t="s">
        <v>19</v>
      </c>
      <c r="H2377" s="30" t="s">
        <v>2576</v>
      </c>
      <c r="I2377" s="78"/>
      <c r="J2377" s="20"/>
      <c r="K2377" s="20"/>
      <c r="L2377" s="20"/>
      <c r="M2377" s="20"/>
      <c r="N2377" s="179" t="s">
        <v>502</v>
      </c>
      <c r="O2377" s="70">
        <v>0</v>
      </c>
      <c r="P2377" s="70">
        <v>0</v>
      </c>
      <c r="Q2377" s="70">
        <f t="shared" si="199"/>
        <v>0</v>
      </c>
      <c r="R2377" s="70"/>
      <c r="S2377" s="67"/>
      <c r="T2377" s="2" t="str">
        <f t="shared" si="200"/>
        <v>Nguyễn Thị Mỹ Ngọc_12VH5</v>
      </c>
      <c r="U2377" s="28">
        <f t="array" ref="U2377">IFERROR(VLOOKUP($T2377,'Nghi hoc T12'!$H$7:$I$160,2,0),0)</f>
        <v>0</v>
      </c>
      <c r="V2377" s="28"/>
      <c r="W2377" s="28">
        <f t="shared" si="201"/>
        <v>0</v>
      </c>
      <c r="X2377" s="333">
        <f t="shared" si="202"/>
        <v>0</v>
      </c>
      <c r="Y2377" s="333">
        <f t="shared" si="203"/>
        <v>0</v>
      </c>
    </row>
    <row r="2378" spans="1:25" s="2" customFormat="1" ht="21.95" customHeight="1">
      <c r="A2378" s="82">
        <v>3</v>
      </c>
      <c r="B2378" s="91" t="str">
        <f t="shared" si="204"/>
        <v>306.T</v>
      </c>
      <c r="C2378" s="83" t="s">
        <v>365</v>
      </c>
      <c r="D2378" s="81" t="s">
        <v>2307</v>
      </c>
      <c r="E2378" s="48">
        <v>400725</v>
      </c>
      <c r="F2378" s="30" t="s">
        <v>345</v>
      </c>
      <c r="G2378" s="29" t="s">
        <v>19</v>
      </c>
      <c r="H2378" s="30" t="s">
        <v>2581</v>
      </c>
      <c r="I2378" s="78"/>
      <c r="J2378" s="20"/>
      <c r="K2378" s="20"/>
      <c r="L2378" s="20"/>
      <c r="M2378" s="20"/>
      <c r="N2378" s="179" t="s">
        <v>502</v>
      </c>
      <c r="O2378" s="70">
        <v>0</v>
      </c>
      <c r="P2378" s="70">
        <v>0</v>
      </c>
      <c r="Q2378" s="70">
        <f t="shared" ref="Q2378:Q2441" si="205">U2378</f>
        <v>0</v>
      </c>
      <c r="R2378" s="70"/>
      <c r="S2378" s="67"/>
      <c r="T2378" s="2" t="str">
        <f t="shared" ref="T2378:T2441" si="206">TRIM(F2378&amp;" "&amp;G2378&amp;"_"&amp;H2378)</f>
        <v>Trần Nguyễn Minh Ngọc_12VH6</v>
      </c>
      <c r="U2378" s="28">
        <f t="array" ref="U2378">IFERROR(VLOOKUP($T2378,'Nghi hoc T12'!$H$7:$I$160,2,0),0)</f>
        <v>0</v>
      </c>
      <c r="V2378" s="28"/>
      <c r="W2378" s="28">
        <f t="shared" ref="W2378:W2441" si="207">I2378</f>
        <v>0</v>
      </c>
      <c r="X2378" s="333">
        <f t="shared" ref="X2378:X2441" si="208">O2378</f>
        <v>0</v>
      </c>
      <c r="Y2378" s="333">
        <f t="shared" ref="Y2378:Y2441" si="209">P2378</f>
        <v>0</v>
      </c>
    </row>
    <row r="2379" spans="1:25" s="2" customFormat="1" ht="21.95" customHeight="1">
      <c r="A2379" s="82">
        <v>4</v>
      </c>
      <c r="B2379" s="91" t="str">
        <f t="shared" ref="B2379:B2442" si="210">RIGHT(D2379,LEN(D2379)-2)&amp;"."&amp;LEFT(N2379,1)</f>
        <v>306.T</v>
      </c>
      <c r="C2379" s="83" t="s">
        <v>365</v>
      </c>
      <c r="D2379" s="81" t="s">
        <v>2307</v>
      </c>
      <c r="E2379" s="48">
        <v>400726</v>
      </c>
      <c r="F2379" s="30" t="s">
        <v>2642</v>
      </c>
      <c r="G2379" s="29" t="s">
        <v>19</v>
      </c>
      <c r="H2379" s="30" t="s">
        <v>2578</v>
      </c>
      <c r="I2379" s="78"/>
      <c r="J2379" s="20"/>
      <c r="K2379" s="20"/>
      <c r="L2379" s="20"/>
      <c r="M2379" s="20"/>
      <c r="N2379" s="179" t="s">
        <v>502</v>
      </c>
      <c r="O2379" s="70">
        <v>0</v>
      </c>
      <c r="P2379" s="70">
        <v>0</v>
      </c>
      <c r="Q2379" s="70">
        <f t="shared" si="205"/>
        <v>0</v>
      </c>
      <c r="R2379" s="70"/>
      <c r="S2379" s="67"/>
      <c r="T2379" s="2" t="str">
        <f t="shared" si="206"/>
        <v>Vũ Thị Hồng Ngọc_12VH7</v>
      </c>
      <c r="U2379" s="28">
        <f t="array" ref="U2379">IFERROR(VLOOKUP($T2379,'Nghi hoc T12'!$H$7:$I$160,2,0),0)</f>
        <v>0</v>
      </c>
      <c r="V2379" s="28"/>
      <c r="W2379" s="28">
        <f t="shared" si="207"/>
        <v>0</v>
      </c>
      <c r="X2379" s="333">
        <f t="shared" si="208"/>
        <v>0</v>
      </c>
      <c r="Y2379" s="333">
        <f t="shared" si="209"/>
        <v>0</v>
      </c>
    </row>
    <row r="2380" spans="1:25" s="2" customFormat="1" ht="21.95" customHeight="1">
      <c r="A2380" s="82">
        <v>5</v>
      </c>
      <c r="B2380" s="91" t="str">
        <f t="shared" si="210"/>
        <v>306.T</v>
      </c>
      <c r="C2380" s="83" t="s">
        <v>365</v>
      </c>
      <c r="D2380" s="81" t="s">
        <v>2307</v>
      </c>
      <c r="E2380" s="48">
        <v>400727</v>
      </c>
      <c r="F2380" s="30" t="s">
        <v>2643</v>
      </c>
      <c r="G2380" s="29" t="s">
        <v>87</v>
      </c>
      <c r="H2380" s="30" t="s">
        <v>2574</v>
      </c>
      <c r="I2380" s="78"/>
      <c r="J2380" s="20"/>
      <c r="K2380" s="20"/>
      <c r="L2380" s="20"/>
      <c r="M2380" s="20"/>
      <c r="N2380" s="179" t="s">
        <v>502</v>
      </c>
      <c r="O2380" s="70">
        <v>0</v>
      </c>
      <c r="P2380" s="70">
        <v>0</v>
      </c>
      <c r="Q2380" s="70">
        <f t="shared" si="205"/>
        <v>0</v>
      </c>
      <c r="R2380" s="70"/>
      <c r="S2380" s="67"/>
      <c r="T2380" s="2" t="str">
        <f t="shared" si="206"/>
        <v>Nguyễn Thạch Thảo Nguyên_12VH4</v>
      </c>
      <c r="U2380" s="28">
        <f t="array" ref="U2380">IFERROR(VLOOKUP($T2380,'Nghi hoc T12'!$H$7:$I$160,2,0),0)</f>
        <v>0</v>
      </c>
      <c r="V2380" s="28"/>
      <c r="W2380" s="28">
        <f t="shared" si="207"/>
        <v>0</v>
      </c>
      <c r="X2380" s="333">
        <f t="shared" si="208"/>
        <v>0</v>
      </c>
      <c r="Y2380" s="333">
        <f t="shared" si="209"/>
        <v>0</v>
      </c>
    </row>
    <row r="2381" spans="1:25" s="2" customFormat="1" ht="21.95" customHeight="1">
      <c r="A2381" s="82">
        <v>6</v>
      </c>
      <c r="B2381" s="91" t="str">
        <f t="shared" si="210"/>
        <v>306.T</v>
      </c>
      <c r="C2381" s="83" t="s">
        <v>365</v>
      </c>
      <c r="D2381" s="81" t="s">
        <v>2307</v>
      </c>
      <c r="E2381" s="48">
        <v>400728</v>
      </c>
      <c r="F2381" s="30" t="s">
        <v>2644</v>
      </c>
      <c r="G2381" s="29" t="s">
        <v>87</v>
      </c>
      <c r="H2381" s="30" t="s">
        <v>2576</v>
      </c>
      <c r="I2381" s="78"/>
      <c r="J2381" s="20"/>
      <c r="K2381" s="20"/>
      <c r="L2381" s="20"/>
      <c r="M2381" s="20"/>
      <c r="N2381" s="179" t="s">
        <v>502</v>
      </c>
      <c r="O2381" s="70">
        <v>0</v>
      </c>
      <c r="P2381" s="70">
        <v>0</v>
      </c>
      <c r="Q2381" s="70">
        <f t="shared" si="205"/>
        <v>0</v>
      </c>
      <c r="R2381" s="70"/>
      <c r="S2381" s="67"/>
      <c r="T2381" s="2" t="str">
        <f t="shared" si="206"/>
        <v>Phạm Trần Khôi Nguyên_12VH5</v>
      </c>
      <c r="U2381" s="28">
        <f t="array" ref="U2381">IFERROR(VLOOKUP($T2381,'Nghi hoc T12'!$H$7:$I$160,2,0),0)</f>
        <v>0</v>
      </c>
      <c r="V2381" s="28"/>
      <c r="W2381" s="28">
        <f t="shared" si="207"/>
        <v>0</v>
      </c>
      <c r="X2381" s="333">
        <f t="shared" si="208"/>
        <v>0</v>
      </c>
      <c r="Y2381" s="333">
        <f t="shared" si="209"/>
        <v>0</v>
      </c>
    </row>
    <row r="2382" spans="1:25" s="2" customFormat="1" ht="21.95" customHeight="1">
      <c r="A2382" s="82">
        <v>7</v>
      </c>
      <c r="B2382" s="91" t="str">
        <f t="shared" si="210"/>
        <v>306.T</v>
      </c>
      <c r="C2382" s="83" t="s">
        <v>365</v>
      </c>
      <c r="D2382" s="81" t="s">
        <v>2307</v>
      </c>
      <c r="E2382" s="48">
        <v>400729</v>
      </c>
      <c r="F2382" s="30" t="s">
        <v>2645</v>
      </c>
      <c r="G2382" s="29" t="s">
        <v>87</v>
      </c>
      <c r="H2382" s="30" t="s">
        <v>2581</v>
      </c>
      <c r="I2382" s="78"/>
      <c r="J2382" s="20"/>
      <c r="K2382" s="20"/>
      <c r="L2382" s="20"/>
      <c r="M2382" s="20"/>
      <c r="N2382" s="179" t="s">
        <v>502</v>
      </c>
      <c r="O2382" s="70">
        <v>0</v>
      </c>
      <c r="P2382" s="70">
        <v>0</v>
      </c>
      <c r="Q2382" s="70">
        <f t="shared" si="205"/>
        <v>0</v>
      </c>
      <c r="R2382" s="70"/>
      <c r="S2382" s="67"/>
      <c r="T2382" s="2" t="str">
        <f t="shared" si="206"/>
        <v>Trần Phúc Nguyên_12VH6</v>
      </c>
      <c r="U2382" s="28">
        <f t="array" ref="U2382">IFERROR(VLOOKUP($T2382,'Nghi hoc T12'!$H$7:$I$160,2,0),0)</f>
        <v>0</v>
      </c>
      <c r="V2382" s="28"/>
      <c r="W2382" s="28">
        <f t="shared" si="207"/>
        <v>0</v>
      </c>
      <c r="X2382" s="333">
        <f t="shared" si="208"/>
        <v>0</v>
      </c>
      <c r="Y2382" s="333">
        <f t="shared" si="209"/>
        <v>0</v>
      </c>
    </row>
    <row r="2383" spans="1:25" s="2" customFormat="1" ht="21.95" customHeight="1">
      <c r="A2383" s="82">
        <v>8</v>
      </c>
      <c r="B2383" s="91" t="str">
        <f t="shared" si="210"/>
        <v>306.T</v>
      </c>
      <c r="C2383" s="83" t="s">
        <v>365</v>
      </c>
      <c r="D2383" s="81" t="s">
        <v>2307</v>
      </c>
      <c r="E2383" s="48">
        <v>400730</v>
      </c>
      <c r="F2383" s="30" t="s">
        <v>2646</v>
      </c>
      <c r="G2383" s="29" t="s">
        <v>102</v>
      </c>
      <c r="H2383" s="30" t="s">
        <v>2574</v>
      </c>
      <c r="I2383" s="78"/>
      <c r="J2383" s="20"/>
      <c r="K2383" s="20"/>
      <c r="L2383" s="20"/>
      <c r="M2383" s="20"/>
      <c r="N2383" s="179" t="s">
        <v>502</v>
      </c>
      <c r="O2383" s="70">
        <v>0</v>
      </c>
      <c r="P2383" s="70">
        <v>0</v>
      </c>
      <c r="Q2383" s="70">
        <f t="shared" si="205"/>
        <v>0</v>
      </c>
      <c r="R2383" s="70"/>
      <c r="S2383" s="67"/>
      <c r="T2383" s="2" t="str">
        <f t="shared" si="206"/>
        <v>Đồng Thái Nhân_12VH4</v>
      </c>
      <c r="U2383" s="28">
        <f t="array" ref="U2383">IFERROR(VLOOKUP($T2383,'Nghi hoc T12'!$H$7:$I$160,2,0),0)</f>
        <v>0</v>
      </c>
      <c r="V2383" s="28"/>
      <c r="W2383" s="28">
        <f t="shared" si="207"/>
        <v>0</v>
      </c>
      <c r="X2383" s="333">
        <f t="shared" si="208"/>
        <v>0</v>
      </c>
      <c r="Y2383" s="333">
        <f t="shared" si="209"/>
        <v>0</v>
      </c>
    </row>
    <row r="2384" spans="1:25" s="2" customFormat="1" ht="21.95" customHeight="1">
      <c r="A2384" s="82">
        <v>9</v>
      </c>
      <c r="B2384" s="91" t="str">
        <f t="shared" si="210"/>
        <v>306.T</v>
      </c>
      <c r="C2384" s="83" t="s">
        <v>365</v>
      </c>
      <c r="D2384" s="81" t="s">
        <v>2307</v>
      </c>
      <c r="E2384" s="48">
        <v>400731</v>
      </c>
      <c r="F2384" s="30" t="s">
        <v>2647</v>
      </c>
      <c r="G2384" s="29" t="s">
        <v>20</v>
      </c>
      <c r="H2384" s="30" t="s">
        <v>2578</v>
      </c>
      <c r="I2384" s="78"/>
      <c r="J2384" s="20"/>
      <c r="K2384" s="20"/>
      <c r="L2384" s="20"/>
      <c r="M2384" s="20"/>
      <c r="N2384" s="179" t="s">
        <v>502</v>
      </c>
      <c r="O2384" s="70">
        <v>0</v>
      </c>
      <c r="P2384" s="70">
        <v>0</v>
      </c>
      <c r="Q2384" s="70">
        <f t="shared" si="205"/>
        <v>0</v>
      </c>
      <c r="R2384" s="70"/>
      <c r="S2384" s="67"/>
      <c r="T2384" s="2" t="str">
        <f t="shared" si="206"/>
        <v>Nguyễn Hoàng Linh Nhi_12VH7</v>
      </c>
      <c r="U2384" s="28">
        <f t="array" ref="U2384">IFERROR(VLOOKUP($T2384,'Nghi hoc T12'!$H$7:$I$160,2,0),0)</f>
        <v>0</v>
      </c>
      <c r="V2384" s="28"/>
      <c r="W2384" s="28">
        <f t="shared" si="207"/>
        <v>0</v>
      </c>
      <c r="X2384" s="333">
        <f t="shared" si="208"/>
        <v>0</v>
      </c>
      <c r="Y2384" s="333">
        <f t="shared" si="209"/>
        <v>0</v>
      </c>
    </row>
    <row r="2385" spans="1:25" s="2" customFormat="1" ht="21.95" customHeight="1">
      <c r="A2385" s="82">
        <v>10</v>
      </c>
      <c r="B2385" s="91" t="str">
        <f t="shared" si="210"/>
        <v>306.T</v>
      </c>
      <c r="C2385" s="83" t="s">
        <v>365</v>
      </c>
      <c r="D2385" s="81" t="s">
        <v>2307</v>
      </c>
      <c r="E2385" s="48">
        <v>400732</v>
      </c>
      <c r="F2385" s="30" t="s">
        <v>2648</v>
      </c>
      <c r="G2385" s="29" t="s">
        <v>20</v>
      </c>
      <c r="H2385" s="30" t="s">
        <v>2574</v>
      </c>
      <c r="I2385" s="78"/>
      <c r="J2385" s="20"/>
      <c r="K2385" s="20"/>
      <c r="L2385" s="20"/>
      <c r="M2385" s="20"/>
      <c r="N2385" s="179" t="s">
        <v>502</v>
      </c>
      <c r="O2385" s="70">
        <v>0</v>
      </c>
      <c r="P2385" s="70">
        <v>0</v>
      </c>
      <c r="Q2385" s="70">
        <f t="shared" si="205"/>
        <v>0</v>
      </c>
      <c r="R2385" s="70"/>
      <c r="S2385" s="67"/>
      <c r="T2385" s="2" t="str">
        <f t="shared" si="206"/>
        <v>Vũ Hoàng Uyên Nhi_12VH4</v>
      </c>
      <c r="U2385" s="28">
        <f t="array" ref="U2385">IFERROR(VLOOKUP($T2385,'Nghi hoc T12'!$H$7:$I$160,2,0),0)</f>
        <v>0</v>
      </c>
      <c r="V2385" s="28"/>
      <c r="W2385" s="28">
        <f t="shared" si="207"/>
        <v>0</v>
      </c>
      <c r="X2385" s="333">
        <f t="shared" si="208"/>
        <v>0</v>
      </c>
      <c r="Y2385" s="333">
        <f t="shared" si="209"/>
        <v>0</v>
      </c>
    </row>
    <row r="2386" spans="1:25" s="2" customFormat="1" ht="21.95" customHeight="1">
      <c r="A2386" s="82">
        <v>11</v>
      </c>
      <c r="B2386" s="91" t="str">
        <f t="shared" si="210"/>
        <v>306.T</v>
      </c>
      <c r="C2386" s="83" t="s">
        <v>365</v>
      </c>
      <c r="D2386" s="81" t="s">
        <v>2307</v>
      </c>
      <c r="E2386" s="48">
        <v>400733</v>
      </c>
      <c r="F2386" s="30" t="s">
        <v>2649</v>
      </c>
      <c r="G2386" s="29" t="s">
        <v>2650</v>
      </c>
      <c r="H2386" s="30" t="s">
        <v>2576</v>
      </c>
      <c r="I2386" s="78"/>
      <c r="J2386" s="20"/>
      <c r="K2386" s="20"/>
      <c r="L2386" s="20"/>
      <c r="M2386" s="20"/>
      <c r="N2386" s="179" t="s">
        <v>502</v>
      </c>
      <c r="O2386" s="70">
        <v>0</v>
      </c>
      <c r="P2386" s="70">
        <v>0</v>
      </c>
      <c r="Q2386" s="70">
        <f t="shared" si="205"/>
        <v>0</v>
      </c>
      <c r="R2386" s="70"/>
      <c r="S2386" s="67"/>
      <c r="T2386" s="2" t="str">
        <f t="shared" si="206"/>
        <v>Nguyễn Thiên Ngọc Quý Nhơn_12VH5</v>
      </c>
      <c r="U2386" s="28">
        <f t="array" ref="U2386">IFERROR(VLOOKUP($T2386,'Nghi hoc T12'!$H$7:$I$160,2,0),0)</f>
        <v>0</v>
      </c>
      <c r="V2386" s="28"/>
      <c r="W2386" s="28">
        <f t="shared" si="207"/>
        <v>0</v>
      </c>
      <c r="X2386" s="333">
        <f t="shared" si="208"/>
        <v>0</v>
      </c>
      <c r="Y2386" s="333">
        <f t="shared" si="209"/>
        <v>0</v>
      </c>
    </row>
    <row r="2387" spans="1:25" s="2" customFormat="1" ht="21.95" customHeight="1">
      <c r="A2387" s="82">
        <v>12</v>
      </c>
      <c r="B2387" s="91" t="str">
        <f t="shared" si="210"/>
        <v>306.T</v>
      </c>
      <c r="C2387" s="83" t="s">
        <v>365</v>
      </c>
      <c r="D2387" s="81" t="s">
        <v>2307</v>
      </c>
      <c r="E2387" s="48">
        <v>400734</v>
      </c>
      <c r="F2387" s="30" t="s">
        <v>2651</v>
      </c>
      <c r="G2387" s="29" t="s">
        <v>21</v>
      </c>
      <c r="H2387" s="30" t="s">
        <v>2581</v>
      </c>
      <c r="I2387" s="78"/>
      <c r="J2387" s="20"/>
      <c r="K2387" s="20"/>
      <c r="L2387" s="20"/>
      <c r="M2387" s="20"/>
      <c r="N2387" s="179" t="s">
        <v>502</v>
      </c>
      <c r="O2387" s="70">
        <v>0</v>
      </c>
      <c r="P2387" s="70">
        <v>0</v>
      </c>
      <c r="Q2387" s="70">
        <f t="shared" si="205"/>
        <v>0</v>
      </c>
      <c r="R2387" s="70"/>
      <c r="S2387" s="67"/>
      <c r="T2387" s="2" t="str">
        <f t="shared" si="206"/>
        <v>Võ Huỳnh Ái Như_12VH6</v>
      </c>
      <c r="U2387" s="28">
        <f t="array" ref="U2387">IFERROR(VLOOKUP($T2387,'Nghi hoc T12'!$H$7:$I$160,2,0),0)</f>
        <v>0</v>
      </c>
      <c r="V2387" s="28"/>
      <c r="W2387" s="28">
        <f t="shared" si="207"/>
        <v>0</v>
      </c>
      <c r="X2387" s="333">
        <f t="shared" si="208"/>
        <v>0</v>
      </c>
      <c r="Y2387" s="333">
        <f t="shared" si="209"/>
        <v>0</v>
      </c>
    </row>
    <row r="2388" spans="1:25" s="2" customFormat="1" ht="21.95" customHeight="1">
      <c r="A2388" s="82">
        <v>13</v>
      </c>
      <c r="B2388" s="91" t="str">
        <f t="shared" si="210"/>
        <v>306.T</v>
      </c>
      <c r="C2388" s="83" t="s">
        <v>365</v>
      </c>
      <c r="D2388" s="81" t="s">
        <v>2307</v>
      </c>
      <c r="E2388" s="48">
        <v>400735</v>
      </c>
      <c r="F2388" s="30" t="s">
        <v>2652</v>
      </c>
      <c r="G2388" s="29" t="s">
        <v>155</v>
      </c>
      <c r="H2388" s="30" t="s">
        <v>2574</v>
      </c>
      <c r="I2388" s="78"/>
      <c r="J2388" s="20"/>
      <c r="K2388" s="20"/>
      <c r="L2388" s="20"/>
      <c r="M2388" s="20"/>
      <c r="N2388" s="179" t="s">
        <v>502</v>
      </c>
      <c r="O2388" s="70">
        <v>0</v>
      </c>
      <c r="P2388" s="70">
        <v>0</v>
      </c>
      <c r="Q2388" s="70">
        <f t="shared" si="205"/>
        <v>0</v>
      </c>
      <c r="R2388" s="70"/>
      <c r="S2388" s="67"/>
      <c r="T2388" s="2" t="str">
        <f t="shared" si="206"/>
        <v>Hồ Long Nhựt_12VH4</v>
      </c>
      <c r="U2388" s="28">
        <f t="array" ref="U2388">IFERROR(VLOOKUP($T2388,'Nghi hoc T12'!$H$7:$I$160,2,0),0)</f>
        <v>0</v>
      </c>
      <c r="V2388" s="28"/>
      <c r="W2388" s="28">
        <f t="shared" si="207"/>
        <v>0</v>
      </c>
      <c r="X2388" s="333">
        <f t="shared" si="208"/>
        <v>0</v>
      </c>
      <c r="Y2388" s="333">
        <f t="shared" si="209"/>
        <v>0</v>
      </c>
    </row>
    <row r="2389" spans="1:25" s="2" customFormat="1" ht="21.95" customHeight="1">
      <c r="A2389" s="82">
        <v>14</v>
      </c>
      <c r="B2389" s="91" t="str">
        <f t="shared" si="210"/>
        <v>306.T</v>
      </c>
      <c r="C2389" s="83" t="s">
        <v>365</v>
      </c>
      <c r="D2389" s="81" t="s">
        <v>2307</v>
      </c>
      <c r="E2389" s="48">
        <v>400736</v>
      </c>
      <c r="F2389" s="30" t="s">
        <v>2653</v>
      </c>
      <c r="G2389" s="29" t="s">
        <v>181</v>
      </c>
      <c r="H2389" s="30" t="s">
        <v>2578</v>
      </c>
      <c r="I2389" s="78"/>
      <c r="J2389" s="20"/>
      <c r="K2389" s="20"/>
      <c r="L2389" s="20"/>
      <c r="M2389" s="20"/>
      <c r="N2389" s="179" t="s">
        <v>502</v>
      </c>
      <c r="O2389" s="70">
        <v>0</v>
      </c>
      <c r="P2389" s="70">
        <v>0</v>
      </c>
      <c r="Q2389" s="70">
        <f t="shared" si="205"/>
        <v>0</v>
      </c>
      <c r="R2389" s="70"/>
      <c r="S2389" s="67"/>
      <c r="T2389" s="2" t="str">
        <f t="shared" si="206"/>
        <v>Phan Thị Kiều Oanh_12VH7</v>
      </c>
      <c r="U2389" s="28">
        <f t="array" ref="U2389">IFERROR(VLOOKUP($T2389,'Nghi hoc T12'!$H$7:$I$160,2,0),0)</f>
        <v>0</v>
      </c>
      <c r="V2389" s="28"/>
      <c r="W2389" s="28">
        <f t="shared" si="207"/>
        <v>0</v>
      </c>
      <c r="X2389" s="333">
        <f t="shared" si="208"/>
        <v>0</v>
      </c>
      <c r="Y2389" s="333">
        <f t="shared" si="209"/>
        <v>0</v>
      </c>
    </row>
    <row r="2390" spans="1:25" s="2" customFormat="1" ht="21.95" customHeight="1">
      <c r="A2390" s="82">
        <v>15</v>
      </c>
      <c r="B2390" s="91" t="str">
        <f t="shared" si="210"/>
        <v>306.T</v>
      </c>
      <c r="C2390" s="83" t="s">
        <v>365</v>
      </c>
      <c r="D2390" s="81" t="s">
        <v>2307</v>
      </c>
      <c r="E2390" s="48">
        <v>400737</v>
      </c>
      <c r="F2390" s="30" t="s">
        <v>205</v>
      </c>
      <c r="G2390" s="29" t="s">
        <v>42</v>
      </c>
      <c r="H2390" s="30" t="s">
        <v>2576</v>
      </c>
      <c r="I2390" s="78"/>
      <c r="J2390" s="20"/>
      <c r="K2390" s="20"/>
      <c r="L2390" s="20"/>
      <c r="M2390" s="20"/>
      <c r="N2390" s="179" t="s">
        <v>502</v>
      </c>
      <c r="O2390" s="70">
        <v>0</v>
      </c>
      <c r="P2390" s="70">
        <v>0</v>
      </c>
      <c r="Q2390" s="70">
        <f t="shared" si="205"/>
        <v>0</v>
      </c>
      <c r="R2390" s="70"/>
      <c r="S2390" s="67"/>
      <c r="T2390" s="2" t="str">
        <f t="shared" si="206"/>
        <v>Đinh Tiến Phát_12VH5</v>
      </c>
      <c r="U2390" s="28">
        <f t="array" ref="U2390">IFERROR(VLOOKUP($T2390,'Nghi hoc T12'!$H$7:$I$160,2,0),0)</f>
        <v>0</v>
      </c>
      <c r="V2390" s="28"/>
      <c r="W2390" s="28">
        <f t="shared" si="207"/>
        <v>0</v>
      </c>
      <c r="X2390" s="333">
        <f t="shared" si="208"/>
        <v>0</v>
      </c>
      <c r="Y2390" s="333">
        <f t="shared" si="209"/>
        <v>0</v>
      </c>
    </row>
    <row r="2391" spans="1:25" s="2" customFormat="1" ht="21.95" customHeight="1">
      <c r="A2391" s="82">
        <v>16</v>
      </c>
      <c r="B2391" s="91" t="str">
        <f t="shared" si="210"/>
        <v>306.T</v>
      </c>
      <c r="C2391" s="83" t="s">
        <v>365</v>
      </c>
      <c r="D2391" s="81" t="s">
        <v>2307</v>
      </c>
      <c r="E2391" s="48">
        <v>400738</v>
      </c>
      <c r="F2391" s="30" t="s">
        <v>2654</v>
      </c>
      <c r="G2391" s="29" t="s">
        <v>42</v>
      </c>
      <c r="H2391" s="30" t="s">
        <v>2581</v>
      </c>
      <c r="I2391" s="78"/>
      <c r="J2391" s="20"/>
      <c r="K2391" s="20"/>
      <c r="L2391" s="20"/>
      <c r="M2391" s="20"/>
      <c r="N2391" s="179" t="s">
        <v>502</v>
      </c>
      <c r="O2391" s="70">
        <v>0</v>
      </c>
      <c r="P2391" s="70">
        <v>0</v>
      </c>
      <c r="Q2391" s="70">
        <f t="shared" si="205"/>
        <v>0</v>
      </c>
      <c r="R2391" s="70"/>
      <c r="S2391" s="67"/>
      <c r="T2391" s="2" t="str">
        <f t="shared" si="206"/>
        <v>Ngô Hào Phát_12VH6</v>
      </c>
      <c r="U2391" s="28">
        <f t="array" ref="U2391">IFERROR(VLOOKUP($T2391,'Nghi hoc T12'!$H$7:$I$160,2,0),0)</f>
        <v>0</v>
      </c>
      <c r="V2391" s="28"/>
      <c r="W2391" s="28">
        <f t="shared" si="207"/>
        <v>0</v>
      </c>
      <c r="X2391" s="333">
        <f t="shared" si="208"/>
        <v>0</v>
      </c>
      <c r="Y2391" s="333">
        <f t="shared" si="209"/>
        <v>0</v>
      </c>
    </row>
    <row r="2392" spans="1:25" s="2" customFormat="1" ht="21.95" customHeight="1">
      <c r="A2392" s="82">
        <v>17</v>
      </c>
      <c r="B2392" s="91" t="str">
        <f t="shared" si="210"/>
        <v>306.T</v>
      </c>
      <c r="C2392" s="83" t="s">
        <v>365</v>
      </c>
      <c r="D2392" s="81" t="s">
        <v>2307</v>
      </c>
      <c r="E2392" s="48">
        <v>400739</v>
      </c>
      <c r="F2392" s="30" t="s">
        <v>221</v>
      </c>
      <c r="G2392" s="29" t="s">
        <v>42</v>
      </c>
      <c r="H2392" s="30" t="s">
        <v>2578</v>
      </c>
      <c r="I2392" s="78"/>
      <c r="J2392" s="20"/>
      <c r="K2392" s="20"/>
      <c r="L2392" s="20"/>
      <c r="M2392" s="20"/>
      <c r="N2392" s="179" t="s">
        <v>502</v>
      </c>
      <c r="O2392" s="70">
        <v>0</v>
      </c>
      <c r="P2392" s="70">
        <v>0</v>
      </c>
      <c r="Q2392" s="70">
        <f t="shared" si="205"/>
        <v>0</v>
      </c>
      <c r="R2392" s="70"/>
      <c r="S2392" s="67"/>
      <c r="T2392" s="2" t="str">
        <f t="shared" si="206"/>
        <v>Nguyễn Tiến Phát_12VH7</v>
      </c>
      <c r="U2392" s="28">
        <f t="array" ref="U2392">IFERROR(VLOOKUP($T2392,'Nghi hoc T12'!$H$7:$I$160,2,0),0)</f>
        <v>0</v>
      </c>
      <c r="V2392" s="28"/>
      <c r="W2392" s="28">
        <f t="shared" si="207"/>
        <v>0</v>
      </c>
      <c r="X2392" s="333">
        <f t="shared" si="208"/>
        <v>0</v>
      </c>
      <c r="Y2392" s="333">
        <f t="shared" si="209"/>
        <v>0</v>
      </c>
    </row>
    <row r="2393" spans="1:25" s="2" customFormat="1" ht="21.95" customHeight="1">
      <c r="A2393" s="82">
        <v>18</v>
      </c>
      <c r="B2393" s="91" t="str">
        <f t="shared" si="210"/>
        <v>306.T</v>
      </c>
      <c r="C2393" s="83" t="s">
        <v>365</v>
      </c>
      <c r="D2393" s="81" t="s">
        <v>2307</v>
      </c>
      <c r="E2393" s="48">
        <v>400740</v>
      </c>
      <c r="F2393" s="30" t="s">
        <v>268</v>
      </c>
      <c r="G2393" s="29" t="s">
        <v>42</v>
      </c>
      <c r="H2393" s="30" t="s">
        <v>2574</v>
      </c>
      <c r="I2393" s="78"/>
      <c r="J2393" s="20"/>
      <c r="K2393" s="20"/>
      <c r="L2393" s="20"/>
      <c r="M2393" s="20"/>
      <c r="N2393" s="179" t="s">
        <v>502</v>
      </c>
      <c r="O2393" s="70">
        <v>0</v>
      </c>
      <c r="P2393" s="70">
        <v>0</v>
      </c>
      <c r="Q2393" s="70">
        <f t="shared" si="205"/>
        <v>0</v>
      </c>
      <c r="R2393" s="70"/>
      <c r="S2393" s="67"/>
      <c r="T2393" s="2" t="str">
        <f t="shared" si="206"/>
        <v>Nguyễn Văn Phát_12VH4</v>
      </c>
      <c r="U2393" s="28">
        <f t="array" ref="U2393">IFERROR(VLOOKUP($T2393,'Nghi hoc T12'!$H$7:$I$160,2,0),0)</f>
        <v>0</v>
      </c>
      <c r="V2393" s="28"/>
      <c r="W2393" s="28">
        <f t="shared" si="207"/>
        <v>0</v>
      </c>
      <c r="X2393" s="333">
        <f t="shared" si="208"/>
        <v>0</v>
      </c>
      <c r="Y2393" s="333">
        <f t="shared" si="209"/>
        <v>0</v>
      </c>
    </row>
    <row r="2394" spans="1:25" s="2" customFormat="1" ht="21.95" customHeight="1">
      <c r="A2394" s="82">
        <v>19</v>
      </c>
      <c r="B2394" s="91" t="str">
        <f t="shared" si="210"/>
        <v>306.T</v>
      </c>
      <c r="C2394" s="83" t="s">
        <v>365</v>
      </c>
      <c r="D2394" s="81" t="s">
        <v>2307</v>
      </c>
      <c r="E2394" s="48">
        <v>400741</v>
      </c>
      <c r="F2394" s="30" t="s">
        <v>268</v>
      </c>
      <c r="G2394" s="29" t="s">
        <v>271</v>
      </c>
      <c r="H2394" s="30" t="s">
        <v>2576</v>
      </c>
      <c r="I2394" s="78"/>
      <c r="J2394" s="20"/>
      <c r="K2394" s="20"/>
      <c r="L2394" s="20"/>
      <c r="M2394" s="20"/>
      <c r="N2394" s="179" t="s">
        <v>502</v>
      </c>
      <c r="O2394" s="70">
        <v>0</v>
      </c>
      <c r="P2394" s="70">
        <v>0</v>
      </c>
      <c r="Q2394" s="70">
        <f t="shared" si="205"/>
        <v>0</v>
      </c>
      <c r="R2394" s="70"/>
      <c r="S2394" s="67"/>
      <c r="T2394" s="2" t="str">
        <f t="shared" si="206"/>
        <v>Nguyễn Văn Phi_12VH5</v>
      </c>
      <c r="U2394" s="28">
        <f t="array" ref="U2394">IFERROR(VLOOKUP($T2394,'Nghi hoc T12'!$H$7:$I$160,2,0),0)</f>
        <v>0</v>
      </c>
      <c r="V2394" s="28"/>
      <c r="W2394" s="28">
        <f t="shared" si="207"/>
        <v>0</v>
      </c>
      <c r="X2394" s="333">
        <f t="shared" si="208"/>
        <v>0</v>
      </c>
      <c r="Y2394" s="333">
        <f t="shared" si="209"/>
        <v>0</v>
      </c>
    </row>
    <row r="2395" spans="1:25" s="2" customFormat="1" ht="21.95" customHeight="1">
      <c r="A2395" s="82">
        <v>20</v>
      </c>
      <c r="B2395" s="91" t="str">
        <f t="shared" si="210"/>
        <v>306.T</v>
      </c>
      <c r="C2395" s="83" t="s">
        <v>365</v>
      </c>
      <c r="D2395" s="81" t="s">
        <v>2307</v>
      </c>
      <c r="E2395" s="48">
        <v>400742</v>
      </c>
      <c r="F2395" s="30" t="s">
        <v>315</v>
      </c>
      <c r="G2395" s="29" t="s">
        <v>70</v>
      </c>
      <c r="H2395" s="30" t="s">
        <v>2578</v>
      </c>
      <c r="I2395" s="78"/>
      <c r="J2395" s="20"/>
      <c r="K2395" s="20"/>
      <c r="L2395" s="20"/>
      <c r="M2395" s="20"/>
      <c r="N2395" s="179" t="s">
        <v>502</v>
      </c>
      <c r="O2395" s="70">
        <v>0</v>
      </c>
      <c r="P2395" s="70">
        <v>0</v>
      </c>
      <c r="Q2395" s="70">
        <f t="shared" si="205"/>
        <v>0</v>
      </c>
      <c r="R2395" s="70"/>
      <c r="S2395" s="67"/>
      <c r="T2395" s="2" t="str">
        <f t="shared" si="206"/>
        <v>Nguyễn Tuấn Phong_12VH7</v>
      </c>
      <c r="U2395" s="28">
        <f t="array" ref="U2395">IFERROR(VLOOKUP($T2395,'Nghi hoc T12'!$H$7:$I$160,2,0),0)</f>
        <v>0</v>
      </c>
      <c r="V2395" s="28"/>
      <c r="W2395" s="28">
        <f t="shared" si="207"/>
        <v>0</v>
      </c>
      <c r="X2395" s="333">
        <f t="shared" si="208"/>
        <v>0</v>
      </c>
      <c r="Y2395" s="333">
        <f t="shared" si="209"/>
        <v>0</v>
      </c>
    </row>
    <row r="2396" spans="1:25" s="2" customFormat="1" ht="21.95" customHeight="1">
      <c r="A2396" s="82">
        <v>21</v>
      </c>
      <c r="B2396" s="91" t="str">
        <f t="shared" si="210"/>
        <v>306.T</v>
      </c>
      <c r="C2396" s="83" t="s">
        <v>365</v>
      </c>
      <c r="D2396" s="81" t="s">
        <v>2307</v>
      </c>
      <c r="E2396" s="48">
        <v>400743</v>
      </c>
      <c r="F2396" s="30" t="s">
        <v>276</v>
      </c>
      <c r="G2396" s="29" t="s">
        <v>71</v>
      </c>
      <c r="H2396" s="30" t="s">
        <v>2576</v>
      </c>
      <c r="I2396" s="78"/>
      <c r="J2396" s="20"/>
      <c r="K2396" s="20"/>
      <c r="L2396" s="20"/>
      <c r="M2396" s="20"/>
      <c r="N2396" s="179" t="s">
        <v>502</v>
      </c>
      <c r="O2396" s="70">
        <v>0</v>
      </c>
      <c r="P2396" s="70">
        <v>0</v>
      </c>
      <c r="Q2396" s="70">
        <f t="shared" si="205"/>
        <v>0</v>
      </c>
      <c r="R2396" s="70"/>
      <c r="S2396" s="67"/>
      <c r="T2396" s="2" t="str">
        <f t="shared" si="206"/>
        <v>Nguyễn Trung Phúc_12VH5</v>
      </c>
      <c r="U2396" s="28">
        <f t="array" ref="U2396">IFERROR(VLOOKUP($T2396,'Nghi hoc T12'!$H$7:$I$160,2,0),0)</f>
        <v>0</v>
      </c>
      <c r="V2396" s="28"/>
      <c r="W2396" s="28">
        <f t="shared" si="207"/>
        <v>0</v>
      </c>
      <c r="X2396" s="333">
        <f t="shared" si="208"/>
        <v>0</v>
      </c>
      <c r="Y2396" s="333">
        <f t="shared" si="209"/>
        <v>0</v>
      </c>
    </row>
    <row r="2397" spans="1:25" s="2" customFormat="1" ht="21.95" customHeight="1">
      <c r="A2397" s="82">
        <v>22</v>
      </c>
      <c r="B2397" s="91" t="str">
        <f t="shared" si="210"/>
        <v>306.T</v>
      </c>
      <c r="C2397" s="83" t="s">
        <v>365</v>
      </c>
      <c r="D2397" s="81" t="s">
        <v>2307</v>
      </c>
      <c r="E2397" s="48">
        <v>400744</v>
      </c>
      <c r="F2397" s="30" t="s">
        <v>354</v>
      </c>
      <c r="G2397" s="29" t="s">
        <v>71</v>
      </c>
      <c r="H2397" s="30" t="s">
        <v>2581</v>
      </c>
      <c r="I2397" s="78"/>
      <c r="J2397" s="20"/>
      <c r="K2397" s="20"/>
      <c r="L2397" s="20"/>
      <c r="M2397" s="20"/>
      <c r="N2397" s="179" t="s">
        <v>502</v>
      </c>
      <c r="O2397" s="70">
        <v>0</v>
      </c>
      <c r="P2397" s="70">
        <v>0</v>
      </c>
      <c r="Q2397" s="70">
        <f t="shared" si="205"/>
        <v>0</v>
      </c>
      <c r="R2397" s="70"/>
      <c r="S2397" s="67"/>
      <c r="T2397" s="2" t="str">
        <f t="shared" si="206"/>
        <v>Trần Hoàng Phúc_12VH6</v>
      </c>
      <c r="U2397" s="28">
        <f t="array" ref="U2397">IFERROR(VLOOKUP($T2397,'Nghi hoc T12'!$H$7:$I$160,2,0),0)</f>
        <v>0</v>
      </c>
      <c r="V2397" s="28"/>
      <c r="W2397" s="28">
        <f t="shared" si="207"/>
        <v>0</v>
      </c>
      <c r="X2397" s="333">
        <f t="shared" si="208"/>
        <v>0</v>
      </c>
      <c r="Y2397" s="333">
        <f t="shared" si="209"/>
        <v>0</v>
      </c>
    </row>
    <row r="2398" spans="1:25" s="2" customFormat="1" ht="21.95" customHeight="1">
      <c r="A2398" s="82">
        <v>23</v>
      </c>
      <c r="B2398" s="91" t="str">
        <f t="shared" si="210"/>
        <v>306.T</v>
      </c>
      <c r="C2398" s="83" t="s">
        <v>365</v>
      </c>
      <c r="D2398" s="81" t="s">
        <v>2307</v>
      </c>
      <c r="E2398" s="48">
        <v>400745</v>
      </c>
      <c r="F2398" s="30" t="s">
        <v>2655</v>
      </c>
      <c r="G2398" s="29" t="s">
        <v>284</v>
      </c>
      <c r="H2398" s="30" t="s">
        <v>2574</v>
      </c>
      <c r="I2398" s="78"/>
      <c r="J2398" s="20"/>
      <c r="K2398" s="20"/>
      <c r="L2398" s="20"/>
      <c r="M2398" s="20"/>
      <c r="N2398" s="179" t="s">
        <v>502</v>
      </c>
      <c r="O2398" s="70">
        <v>0</v>
      </c>
      <c r="P2398" s="70">
        <v>0</v>
      </c>
      <c r="Q2398" s="70">
        <f t="shared" si="205"/>
        <v>0</v>
      </c>
      <c r="R2398" s="70"/>
      <c r="S2398" s="67"/>
      <c r="T2398" s="2" t="str">
        <f t="shared" si="206"/>
        <v>Trần Công Thanh Phước_12VH4</v>
      </c>
      <c r="U2398" s="28">
        <f t="array" ref="U2398">IFERROR(VLOOKUP($T2398,'Nghi hoc T12'!$H$7:$I$160,2,0),0)</f>
        <v>0</v>
      </c>
      <c r="V2398" s="28"/>
      <c r="W2398" s="28">
        <f t="shared" si="207"/>
        <v>0</v>
      </c>
      <c r="X2398" s="333">
        <f t="shared" si="208"/>
        <v>0</v>
      </c>
      <c r="Y2398" s="333">
        <f t="shared" si="209"/>
        <v>0</v>
      </c>
    </row>
    <row r="2399" spans="1:25" s="2" customFormat="1" ht="21.95" customHeight="1">
      <c r="A2399" s="82">
        <v>24</v>
      </c>
      <c r="B2399" s="91" t="str">
        <f t="shared" si="210"/>
        <v>306.T</v>
      </c>
      <c r="C2399" s="83" t="s">
        <v>365</v>
      </c>
      <c r="D2399" s="81" t="s">
        <v>2307</v>
      </c>
      <c r="E2399" s="48">
        <v>400746</v>
      </c>
      <c r="F2399" s="30" t="s">
        <v>207</v>
      </c>
      <c r="G2399" s="29" t="s">
        <v>2656</v>
      </c>
      <c r="H2399" s="30" t="s">
        <v>2576</v>
      </c>
      <c r="I2399" s="78"/>
      <c r="J2399" s="20"/>
      <c r="K2399" s="20"/>
      <c r="L2399" s="20"/>
      <c r="M2399" s="20"/>
      <c r="N2399" s="179" t="s">
        <v>502</v>
      </c>
      <c r="O2399" s="70">
        <v>0</v>
      </c>
      <c r="P2399" s="70">
        <v>0</v>
      </c>
      <c r="Q2399" s="70">
        <f t="shared" si="205"/>
        <v>0</v>
      </c>
      <c r="R2399" s="70"/>
      <c r="S2399" s="67"/>
      <c r="T2399" s="2" t="str">
        <f t="shared" si="206"/>
        <v>Phạm Văn Quyền_12VH5</v>
      </c>
      <c r="U2399" s="28">
        <f t="array" ref="U2399">IFERROR(VLOOKUP($T2399,'Nghi hoc T12'!$H$7:$I$160,2,0),0)</f>
        <v>0</v>
      </c>
      <c r="V2399" s="28"/>
      <c r="W2399" s="28">
        <f t="shared" si="207"/>
        <v>0</v>
      </c>
      <c r="X2399" s="333">
        <f t="shared" si="208"/>
        <v>0</v>
      </c>
      <c r="Y2399" s="333">
        <f t="shared" si="209"/>
        <v>0</v>
      </c>
    </row>
    <row r="2400" spans="1:25" s="2" customFormat="1" ht="21.95" customHeight="1">
      <c r="A2400" s="321">
        <v>1</v>
      </c>
      <c r="B2400" s="91" t="str">
        <f t="shared" si="210"/>
        <v>310.T</v>
      </c>
      <c r="C2400" s="185" t="s">
        <v>365</v>
      </c>
      <c r="D2400" s="186" t="s">
        <v>2657</v>
      </c>
      <c r="E2400" s="187">
        <v>400747</v>
      </c>
      <c r="F2400" s="188" t="s">
        <v>2658</v>
      </c>
      <c r="G2400" s="189" t="s">
        <v>22</v>
      </c>
      <c r="H2400" s="188" t="s">
        <v>2581</v>
      </c>
      <c r="I2400" s="190"/>
      <c r="J2400" s="191"/>
      <c r="K2400" s="191"/>
      <c r="L2400" s="191"/>
      <c r="M2400" s="191"/>
      <c r="N2400" s="179" t="s">
        <v>502</v>
      </c>
      <c r="O2400" s="70">
        <v>0</v>
      </c>
      <c r="P2400" s="70">
        <v>0</v>
      </c>
      <c r="Q2400" s="70">
        <f t="shared" si="205"/>
        <v>0</v>
      </c>
      <c r="R2400" s="70"/>
      <c r="S2400" s="67"/>
      <c r="T2400" s="2" t="str">
        <f t="shared" si="206"/>
        <v>Nguyễn Võ Như Quỳnh_12VH6</v>
      </c>
      <c r="U2400" s="28">
        <f t="array" ref="U2400">IFERROR(VLOOKUP($T2400,'Nghi hoc T12'!$H$7:$I$160,2,0),0)</f>
        <v>0</v>
      </c>
      <c r="V2400" s="28"/>
      <c r="W2400" s="28">
        <f t="shared" si="207"/>
        <v>0</v>
      </c>
      <c r="X2400" s="333">
        <f t="shared" si="208"/>
        <v>0</v>
      </c>
      <c r="Y2400" s="333">
        <f t="shared" si="209"/>
        <v>0</v>
      </c>
    </row>
    <row r="2401" spans="1:25" s="2" customFormat="1" ht="21.95" customHeight="1">
      <c r="A2401" s="82">
        <v>2</v>
      </c>
      <c r="B2401" s="91" t="str">
        <f t="shared" si="210"/>
        <v>310.T</v>
      </c>
      <c r="C2401" s="83" t="s">
        <v>365</v>
      </c>
      <c r="D2401" s="81" t="s">
        <v>2657</v>
      </c>
      <c r="E2401" s="48">
        <v>400748</v>
      </c>
      <c r="F2401" s="30" t="s">
        <v>220</v>
      </c>
      <c r="G2401" s="29" t="s">
        <v>47</v>
      </c>
      <c r="H2401" s="30" t="s">
        <v>2581</v>
      </c>
      <c r="I2401" s="78"/>
      <c r="J2401" s="20"/>
      <c r="K2401" s="20"/>
      <c r="L2401" s="20"/>
      <c r="M2401" s="20"/>
      <c r="N2401" s="179" t="s">
        <v>502</v>
      </c>
      <c r="O2401" s="70">
        <v>0</v>
      </c>
      <c r="P2401" s="70">
        <v>0</v>
      </c>
      <c r="Q2401" s="70">
        <f t="shared" si="205"/>
        <v>0</v>
      </c>
      <c r="R2401" s="70"/>
      <c r="S2401" s="67"/>
      <c r="T2401" s="2" t="str">
        <f t="shared" si="206"/>
        <v>Võ Thanh Sang_12VH6</v>
      </c>
      <c r="U2401" s="28">
        <f t="array" ref="U2401">IFERROR(VLOOKUP($T2401,'Nghi hoc T12'!$H$7:$I$160,2,0),0)</f>
        <v>0</v>
      </c>
      <c r="V2401" s="28"/>
      <c r="W2401" s="28">
        <f t="shared" si="207"/>
        <v>0</v>
      </c>
      <c r="X2401" s="333">
        <f t="shared" si="208"/>
        <v>0</v>
      </c>
      <c r="Y2401" s="333">
        <f t="shared" si="209"/>
        <v>0</v>
      </c>
    </row>
    <row r="2402" spans="1:25" s="2" customFormat="1" ht="21.95" customHeight="1">
      <c r="A2402" s="82">
        <v>3</v>
      </c>
      <c r="B2402" s="91" t="str">
        <f t="shared" si="210"/>
        <v>310.T</v>
      </c>
      <c r="C2402" s="83" t="s">
        <v>365</v>
      </c>
      <c r="D2402" s="81" t="s">
        <v>2657</v>
      </c>
      <c r="E2402" s="48">
        <v>400749</v>
      </c>
      <c r="F2402" s="30" t="s">
        <v>182</v>
      </c>
      <c r="G2402" s="29" t="s">
        <v>23</v>
      </c>
      <c r="H2402" s="30" t="s">
        <v>2578</v>
      </c>
      <c r="I2402" s="78"/>
      <c r="J2402" s="20"/>
      <c r="K2402" s="20"/>
      <c r="L2402" s="20"/>
      <c r="M2402" s="20"/>
      <c r="N2402" s="179" t="s">
        <v>502</v>
      </c>
      <c r="O2402" s="70">
        <v>0</v>
      </c>
      <c r="P2402" s="70">
        <v>0</v>
      </c>
      <c r="Q2402" s="70">
        <f t="shared" si="205"/>
        <v>0</v>
      </c>
      <c r="R2402" s="70"/>
      <c r="S2402" s="67"/>
      <c r="T2402" s="2" t="str">
        <f t="shared" si="206"/>
        <v>Lê Thanh Sơn_12VH7</v>
      </c>
      <c r="U2402" s="28">
        <f t="array" ref="U2402">IFERROR(VLOOKUP($T2402,'Nghi hoc T12'!$H$7:$I$160,2,0),0)</f>
        <v>0</v>
      </c>
      <c r="V2402" s="28"/>
      <c r="W2402" s="28">
        <f t="shared" si="207"/>
        <v>0</v>
      </c>
      <c r="X2402" s="333">
        <f t="shared" si="208"/>
        <v>0</v>
      </c>
      <c r="Y2402" s="333">
        <f t="shared" si="209"/>
        <v>0</v>
      </c>
    </row>
    <row r="2403" spans="1:25" s="2" customFormat="1" ht="21.95" customHeight="1">
      <c r="A2403" s="82">
        <v>4</v>
      </c>
      <c r="B2403" s="91" t="str">
        <f t="shared" si="210"/>
        <v>310.T</v>
      </c>
      <c r="C2403" s="83" t="s">
        <v>365</v>
      </c>
      <c r="D2403" s="81" t="s">
        <v>2657</v>
      </c>
      <c r="E2403" s="48">
        <v>400750</v>
      </c>
      <c r="F2403" s="30" t="s">
        <v>2659</v>
      </c>
      <c r="G2403" s="29" t="s">
        <v>23</v>
      </c>
      <c r="H2403" s="30" t="s">
        <v>2574</v>
      </c>
      <c r="I2403" s="78"/>
      <c r="J2403" s="20"/>
      <c r="K2403" s="20"/>
      <c r="L2403" s="20"/>
      <c r="M2403" s="20"/>
      <c r="N2403" s="179" t="s">
        <v>502</v>
      </c>
      <c r="O2403" s="70">
        <v>0</v>
      </c>
      <c r="P2403" s="70">
        <v>0</v>
      </c>
      <c r="Q2403" s="70">
        <f t="shared" si="205"/>
        <v>0</v>
      </c>
      <c r="R2403" s="70"/>
      <c r="S2403" s="67"/>
      <c r="T2403" s="2" t="str">
        <f t="shared" si="206"/>
        <v>Lê Thế Sơn_12VH4</v>
      </c>
      <c r="U2403" s="28">
        <f t="array" ref="U2403">IFERROR(VLOOKUP($T2403,'Nghi hoc T12'!$H$7:$I$160,2,0),0)</f>
        <v>0</v>
      </c>
      <c r="V2403" s="28"/>
      <c r="W2403" s="28">
        <f t="shared" si="207"/>
        <v>0</v>
      </c>
      <c r="X2403" s="333">
        <f t="shared" si="208"/>
        <v>0</v>
      </c>
      <c r="Y2403" s="333">
        <f t="shared" si="209"/>
        <v>0</v>
      </c>
    </row>
    <row r="2404" spans="1:25" s="2" customFormat="1" ht="21.95" customHeight="1">
      <c r="A2404" s="82">
        <v>5</v>
      </c>
      <c r="B2404" s="91" t="str">
        <f t="shared" si="210"/>
        <v>310.T</v>
      </c>
      <c r="C2404" s="83" t="s">
        <v>365</v>
      </c>
      <c r="D2404" s="81" t="s">
        <v>2657</v>
      </c>
      <c r="E2404" s="48">
        <v>400751</v>
      </c>
      <c r="F2404" s="30" t="s">
        <v>2660</v>
      </c>
      <c r="G2404" s="29" t="s">
        <v>24</v>
      </c>
      <c r="H2404" s="30" t="s">
        <v>2578</v>
      </c>
      <c r="I2404" s="78"/>
      <c r="J2404" s="20"/>
      <c r="K2404" s="20"/>
      <c r="L2404" s="20"/>
      <c r="M2404" s="20"/>
      <c r="N2404" s="179" t="s">
        <v>502</v>
      </c>
      <c r="O2404" s="70">
        <v>0</v>
      </c>
      <c r="P2404" s="70">
        <v>0</v>
      </c>
      <c r="Q2404" s="70">
        <f t="shared" si="205"/>
        <v>0</v>
      </c>
      <c r="R2404" s="70"/>
      <c r="S2404" s="67"/>
      <c r="T2404" s="2" t="str">
        <f t="shared" si="206"/>
        <v>Lê Duy Đức Tâm_12VH7</v>
      </c>
      <c r="U2404" s="28">
        <f t="array" ref="U2404">IFERROR(VLOOKUP($T2404,'Nghi hoc T12'!$H$7:$I$160,2,0),0)</f>
        <v>0</v>
      </c>
      <c r="V2404" s="28"/>
      <c r="W2404" s="28">
        <f t="shared" si="207"/>
        <v>0</v>
      </c>
      <c r="X2404" s="333">
        <f t="shared" si="208"/>
        <v>0</v>
      </c>
      <c r="Y2404" s="333">
        <f t="shared" si="209"/>
        <v>0</v>
      </c>
    </row>
    <row r="2405" spans="1:25" s="2" customFormat="1" ht="21.95" customHeight="1">
      <c r="A2405" s="82">
        <v>6</v>
      </c>
      <c r="B2405" s="91" t="str">
        <f t="shared" si="210"/>
        <v>310.T</v>
      </c>
      <c r="C2405" s="83" t="s">
        <v>365</v>
      </c>
      <c r="D2405" s="81" t="s">
        <v>2657</v>
      </c>
      <c r="E2405" s="48">
        <v>400752</v>
      </c>
      <c r="F2405" s="30" t="s">
        <v>251</v>
      </c>
      <c r="G2405" s="29" t="s">
        <v>2217</v>
      </c>
      <c r="H2405" s="30" t="s">
        <v>2574</v>
      </c>
      <c r="I2405" s="78"/>
      <c r="J2405" s="20"/>
      <c r="K2405" s="20"/>
      <c r="L2405" s="20"/>
      <c r="M2405" s="20"/>
      <c r="N2405" s="179" t="s">
        <v>502</v>
      </c>
      <c r="O2405" s="70">
        <v>0</v>
      </c>
      <c r="P2405" s="70">
        <v>0</v>
      </c>
      <c r="Q2405" s="70">
        <f t="shared" si="205"/>
        <v>0</v>
      </c>
      <c r="R2405" s="70"/>
      <c r="S2405" s="67"/>
      <c r="T2405" s="2" t="str">
        <f t="shared" si="206"/>
        <v>Lê Thành Tấn_12VH4</v>
      </c>
      <c r="U2405" s="28">
        <f t="array" ref="U2405">IFERROR(VLOOKUP($T2405,'Nghi hoc T12'!$H$7:$I$160,2,0),0)</f>
        <v>0</v>
      </c>
      <c r="V2405" s="28"/>
      <c r="W2405" s="28">
        <f t="shared" si="207"/>
        <v>0</v>
      </c>
      <c r="X2405" s="333">
        <f t="shared" si="208"/>
        <v>0</v>
      </c>
      <c r="Y2405" s="333">
        <f t="shared" si="209"/>
        <v>0</v>
      </c>
    </row>
    <row r="2406" spans="1:25" s="2" customFormat="1" ht="21.95" customHeight="1">
      <c r="A2406" s="82">
        <v>7</v>
      </c>
      <c r="B2406" s="91" t="str">
        <f t="shared" si="210"/>
        <v>310.T</v>
      </c>
      <c r="C2406" s="83" t="s">
        <v>365</v>
      </c>
      <c r="D2406" s="81" t="s">
        <v>2657</v>
      </c>
      <c r="E2406" s="48">
        <v>400753</v>
      </c>
      <c r="F2406" s="30" t="s">
        <v>2661</v>
      </c>
      <c r="G2406" s="29" t="s">
        <v>2662</v>
      </c>
      <c r="H2406" s="30" t="s">
        <v>2578</v>
      </c>
      <c r="I2406" s="78"/>
      <c r="J2406" s="20"/>
      <c r="K2406" s="20"/>
      <c r="L2406" s="20"/>
      <c r="M2406" s="20"/>
      <c r="N2406" s="179" t="s">
        <v>502</v>
      </c>
      <c r="O2406" s="70">
        <v>0</v>
      </c>
      <c r="P2406" s="70">
        <v>0</v>
      </c>
      <c r="Q2406" s="70">
        <f t="shared" si="205"/>
        <v>0</v>
      </c>
      <c r="R2406" s="70"/>
      <c r="S2406" s="67"/>
      <c r="T2406" s="2" t="str">
        <f t="shared" si="206"/>
        <v>Võ Ngọc Thạch_12VH7</v>
      </c>
      <c r="U2406" s="28">
        <f t="array" ref="U2406">IFERROR(VLOOKUP($T2406,'Nghi hoc T12'!$H$7:$I$160,2,0),0)</f>
        <v>0</v>
      </c>
      <c r="V2406" s="28"/>
      <c r="W2406" s="28">
        <f t="shared" si="207"/>
        <v>0</v>
      </c>
      <c r="X2406" s="333">
        <f t="shared" si="208"/>
        <v>0</v>
      </c>
      <c r="Y2406" s="333">
        <f t="shared" si="209"/>
        <v>0</v>
      </c>
    </row>
    <row r="2407" spans="1:25" s="2" customFormat="1" ht="21.95" customHeight="1">
      <c r="A2407" s="82">
        <v>8</v>
      </c>
      <c r="B2407" s="91" t="str">
        <f t="shared" si="210"/>
        <v>310.T</v>
      </c>
      <c r="C2407" s="83" t="s">
        <v>365</v>
      </c>
      <c r="D2407" s="81" t="s">
        <v>2657</v>
      </c>
      <c r="E2407" s="48">
        <v>400754</v>
      </c>
      <c r="F2407" s="30" t="s">
        <v>276</v>
      </c>
      <c r="G2407" s="29" t="s">
        <v>27</v>
      </c>
      <c r="H2407" s="30" t="s">
        <v>2576</v>
      </c>
      <c r="I2407" s="78"/>
      <c r="J2407" s="20"/>
      <c r="K2407" s="20"/>
      <c r="L2407" s="20"/>
      <c r="M2407" s="20"/>
      <c r="N2407" s="179" t="s">
        <v>502</v>
      </c>
      <c r="O2407" s="70">
        <v>0</v>
      </c>
      <c r="P2407" s="70">
        <v>0</v>
      </c>
      <c r="Q2407" s="70">
        <f t="shared" si="205"/>
        <v>0</v>
      </c>
      <c r="R2407" s="70"/>
      <c r="S2407" s="67"/>
      <c r="T2407" s="2" t="str">
        <f t="shared" si="206"/>
        <v>Nguyễn Trung Thành_12VH5</v>
      </c>
      <c r="U2407" s="28">
        <f t="array" ref="U2407">IFERROR(VLOOKUP($T2407,'Nghi hoc T12'!$H$7:$I$160,2,0),0)</f>
        <v>0</v>
      </c>
      <c r="V2407" s="28"/>
      <c r="W2407" s="28">
        <f t="shared" si="207"/>
        <v>0</v>
      </c>
      <c r="X2407" s="333">
        <f t="shared" si="208"/>
        <v>0</v>
      </c>
      <c r="Y2407" s="333">
        <f t="shared" si="209"/>
        <v>0</v>
      </c>
    </row>
    <row r="2408" spans="1:25" s="2" customFormat="1" ht="21.95" customHeight="1">
      <c r="A2408" s="82">
        <v>9</v>
      </c>
      <c r="B2408" s="91" t="str">
        <f t="shared" si="210"/>
        <v>310.T</v>
      </c>
      <c r="C2408" s="83" t="s">
        <v>365</v>
      </c>
      <c r="D2408" s="81" t="s">
        <v>2657</v>
      </c>
      <c r="E2408" s="48">
        <v>400755</v>
      </c>
      <c r="F2408" s="30" t="s">
        <v>2663</v>
      </c>
      <c r="G2408" s="29" t="s">
        <v>27</v>
      </c>
      <c r="H2408" s="30" t="s">
        <v>2581</v>
      </c>
      <c r="I2408" s="78"/>
      <c r="J2408" s="20"/>
      <c r="K2408" s="20"/>
      <c r="L2408" s="20"/>
      <c r="M2408" s="20"/>
      <c r="N2408" s="179" t="s">
        <v>502</v>
      </c>
      <c r="O2408" s="70">
        <v>0</v>
      </c>
      <c r="P2408" s="70">
        <v>0</v>
      </c>
      <c r="Q2408" s="70">
        <f t="shared" si="205"/>
        <v>0</v>
      </c>
      <c r="R2408" s="70"/>
      <c r="S2408" s="67"/>
      <c r="T2408" s="2" t="str">
        <f t="shared" si="206"/>
        <v>Phạm Lưu Quang Thành_12VH6</v>
      </c>
      <c r="U2408" s="28">
        <f t="array" ref="U2408">IFERROR(VLOOKUP($T2408,'Nghi hoc T12'!$H$7:$I$160,2,0),0)</f>
        <v>0</v>
      </c>
      <c r="V2408" s="28"/>
      <c r="W2408" s="28">
        <f t="shared" si="207"/>
        <v>0</v>
      </c>
      <c r="X2408" s="333">
        <f t="shared" si="208"/>
        <v>0</v>
      </c>
      <c r="Y2408" s="333">
        <f t="shared" si="209"/>
        <v>0</v>
      </c>
    </row>
    <row r="2409" spans="1:25" s="2" customFormat="1" ht="21.95" customHeight="1">
      <c r="A2409" s="82">
        <v>10</v>
      </c>
      <c r="B2409" s="91" t="str">
        <f t="shared" si="210"/>
        <v>310.T</v>
      </c>
      <c r="C2409" s="83" t="s">
        <v>365</v>
      </c>
      <c r="D2409" s="81" t="s">
        <v>2657</v>
      </c>
      <c r="E2409" s="48">
        <v>400756</v>
      </c>
      <c r="F2409" s="30" t="s">
        <v>2664</v>
      </c>
      <c r="G2409" s="29" t="s">
        <v>27</v>
      </c>
      <c r="H2409" s="30" t="s">
        <v>2578</v>
      </c>
      <c r="I2409" s="78"/>
      <c r="J2409" s="20"/>
      <c r="K2409" s="20"/>
      <c r="L2409" s="20"/>
      <c r="M2409" s="20"/>
      <c r="N2409" s="179" t="s">
        <v>502</v>
      </c>
      <c r="O2409" s="70">
        <v>0</v>
      </c>
      <c r="P2409" s="70">
        <v>0</v>
      </c>
      <c r="Q2409" s="70">
        <f t="shared" si="205"/>
        <v>0</v>
      </c>
      <c r="R2409" s="70"/>
      <c r="S2409" s="67"/>
      <c r="T2409" s="2" t="str">
        <f t="shared" si="206"/>
        <v>Tháng Hoàng Thành_12VH7</v>
      </c>
      <c r="U2409" s="28">
        <f t="array" ref="U2409">IFERROR(VLOOKUP($T2409,'Nghi hoc T12'!$H$7:$I$160,2,0),0)</f>
        <v>0</v>
      </c>
      <c r="V2409" s="28"/>
      <c r="W2409" s="28">
        <f t="shared" si="207"/>
        <v>0</v>
      </c>
      <c r="X2409" s="333">
        <f t="shared" si="208"/>
        <v>0</v>
      </c>
      <c r="Y2409" s="333">
        <f t="shared" si="209"/>
        <v>0</v>
      </c>
    </row>
    <row r="2410" spans="1:25" s="2" customFormat="1" ht="21.95" customHeight="1">
      <c r="A2410" s="82">
        <v>11</v>
      </c>
      <c r="B2410" s="91" t="str">
        <f t="shared" si="210"/>
        <v>310.T</v>
      </c>
      <c r="C2410" s="83" t="s">
        <v>365</v>
      </c>
      <c r="D2410" s="81" t="s">
        <v>2657</v>
      </c>
      <c r="E2410" s="48">
        <v>400757</v>
      </c>
      <c r="F2410" s="30" t="s">
        <v>2665</v>
      </c>
      <c r="G2410" s="29" t="s">
        <v>49</v>
      </c>
      <c r="H2410" s="30" t="s">
        <v>2574</v>
      </c>
      <c r="I2410" s="78"/>
      <c r="J2410" s="20"/>
      <c r="K2410" s="20"/>
      <c r="L2410" s="20"/>
      <c r="M2410" s="20"/>
      <c r="N2410" s="179" t="s">
        <v>502</v>
      </c>
      <c r="O2410" s="70">
        <v>0</v>
      </c>
      <c r="P2410" s="70">
        <v>0</v>
      </c>
      <c r="Q2410" s="70">
        <f t="shared" si="205"/>
        <v>0</v>
      </c>
      <c r="R2410" s="70"/>
      <c r="S2410" s="67"/>
      <c r="T2410" s="2" t="str">
        <f t="shared" si="206"/>
        <v>Tống Thiên Thảo_12VH4</v>
      </c>
      <c r="U2410" s="28">
        <f t="array" ref="U2410">IFERROR(VLOOKUP($T2410,'Nghi hoc T12'!$H$7:$I$160,2,0),0)</f>
        <v>0</v>
      </c>
      <c r="V2410" s="28"/>
      <c r="W2410" s="28">
        <f t="shared" si="207"/>
        <v>0</v>
      </c>
      <c r="X2410" s="333">
        <f t="shared" si="208"/>
        <v>0</v>
      </c>
      <c r="Y2410" s="333">
        <f t="shared" si="209"/>
        <v>0</v>
      </c>
    </row>
    <row r="2411" spans="1:25" s="2" customFormat="1" ht="21.95" customHeight="1">
      <c r="A2411" s="82">
        <v>12</v>
      </c>
      <c r="B2411" s="91" t="str">
        <f t="shared" si="210"/>
        <v>310.T</v>
      </c>
      <c r="C2411" s="83" t="s">
        <v>365</v>
      </c>
      <c r="D2411" s="81" t="s">
        <v>2657</v>
      </c>
      <c r="E2411" s="48">
        <v>400758</v>
      </c>
      <c r="F2411" s="30" t="s">
        <v>346</v>
      </c>
      <c r="G2411" s="29" t="s">
        <v>49</v>
      </c>
      <c r="H2411" s="30" t="s">
        <v>2576</v>
      </c>
      <c r="I2411" s="78"/>
      <c r="J2411" s="20"/>
      <c r="K2411" s="20"/>
      <c r="L2411" s="20"/>
      <c r="M2411" s="20"/>
      <c r="N2411" s="179" t="s">
        <v>502</v>
      </c>
      <c r="O2411" s="70">
        <v>0</v>
      </c>
      <c r="P2411" s="70">
        <v>0</v>
      </c>
      <c r="Q2411" s="70">
        <f t="shared" si="205"/>
        <v>0</v>
      </c>
      <c r="R2411" s="70"/>
      <c r="S2411" s="67"/>
      <c r="T2411" s="2" t="str">
        <f t="shared" si="206"/>
        <v>Trịnh Ngọc Thảo_12VH5</v>
      </c>
      <c r="U2411" s="28">
        <f t="array" ref="U2411">IFERROR(VLOOKUP($T2411,'Nghi hoc T12'!$H$7:$I$160,2,0),0)</f>
        <v>0</v>
      </c>
      <c r="V2411" s="28"/>
      <c r="W2411" s="28">
        <f t="shared" si="207"/>
        <v>0</v>
      </c>
      <c r="X2411" s="333">
        <f t="shared" si="208"/>
        <v>0</v>
      </c>
      <c r="Y2411" s="333">
        <f t="shared" si="209"/>
        <v>0</v>
      </c>
    </row>
    <row r="2412" spans="1:25" s="2" customFormat="1" ht="21.95" customHeight="1">
      <c r="A2412" s="82">
        <v>13</v>
      </c>
      <c r="B2412" s="91" t="str">
        <f t="shared" si="210"/>
        <v>310.T</v>
      </c>
      <c r="C2412" s="83" t="s">
        <v>365</v>
      </c>
      <c r="D2412" s="81" t="s">
        <v>2657</v>
      </c>
      <c r="E2412" s="48">
        <v>400759</v>
      </c>
      <c r="F2412" s="30" t="s">
        <v>2666</v>
      </c>
      <c r="G2412" s="29" t="s">
        <v>48</v>
      </c>
      <c r="H2412" s="30" t="s">
        <v>2581</v>
      </c>
      <c r="I2412" s="78"/>
      <c r="J2412" s="20"/>
      <c r="K2412" s="20"/>
      <c r="L2412" s="20"/>
      <c r="M2412" s="20"/>
      <c r="N2412" s="179" t="s">
        <v>502</v>
      </c>
      <c r="O2412" s="70">
        <v>0</v>
      </c>
      <c r="P2412" s="70">
        <v>0</v>
      </c>
      <c r="Q2412" s="70">
        <f t="shared" si="205"/>
        <v>0</v>
      </c>
      <c r="R2412" s="70"/>
      <c r="S2412" s="67"/>
      <c r="T2412" s="2" t="str">
        <f t="shared" si="206"/>
        <v>Đỗ Mạnh Thắng_12VH6</v>
      </c>
      <c r="U2412" s="28">
        <f t="array" ref="U2412">IFERROR(VLOOKUP($T2412,'Nghi hoc T12'!$H$7:$I$160,2,0),0)</f>
        <v>0</v>
      </c>
      <c r="V2412" s="28"/>
      <c r="W2412" s="28">
        <f t="shared" si="207"/>
        <v>0</v>
      </c>
      <c r="X2412" s="333">
        <f t="shared" si="208"/>
        <v>0</v>
      </c>
      <c r="Y2412" s="333">
        <f t="shared" si="209"/>
        <v>0</v>
      </c>
    </row>
    <row r="2413" spans="1:25" s="2" customFormat="1" ht="21.95" customHeight="1">
      <c r="A2413" s="82">
        <v>14</v>
      </c>
      <c r="B2413" s="91" t="str">
        <f t="shared" si="210"/>
        <v>310.T</v>
      </c>
      <c r="C2413" s="83" t="s">
        <v>365</v>
      </c>
      <c r="D2413" s="81" t="s">
        <v>2657</v>
      </c>
      <c r="E2413" s="48">
        <v>400760</v>
      </c>
      <c r="F2413" s="30" t="s">
        <v>333</v>
      </c>
      <c r="G2413" s="29" t="s">
        <v>48</v>
      </c>
      <c r="H2413" s="30" t="s">
        <v>2578</v>
      </c>
      <c r="I2413" s="78"/>
      <c r="J2413" s="20"/>
      <c r="K2413" s="20"/>
      <c r="L2413" s="20"/>
      <c r="M2413" s="20"/>
      <c r="N2413" s="179" t="s">
        <v>502</v>
      </c>
      <c r="O2413" s="70">
        <v>0</v>
      </c>
      <c r="P2413" s="70">
        <v>0</v>
      </c>
      <c r="Q2413" s="70">
        <f t="shared" si="205"/>
        <v>0</v>
      </c>
      <c r="R2413" s="70"/>
      <c r="S2413" s="67"/>
      <c r="T2413" s="2" t="str">
        <f t="shared" si="206"/>
        <v>Phạm Đức Thắng_12VH7</v>
      </c>
      <c r="U2413" s="28">
        <f t="array" ref="U2413">IFERROR(VLOOKUP($T2413,'Nghi hoc T12'!$H$7:$I$160,2,0),0)</f>
        <v>0</v>
      </c>
      <c r="V2413" s="28"/>
      <c r="W2413" s="28">
        <f t="shared" si="207"/>
        <v>0</v>
      </c>
      <c r="X2413" s="333">
        <f t="shared" si="208"/>
        <v>0</v>
      </c>
      <c r="Y2413" s="333">
        <f t="shared" si="209"/>
        <v>0</v>
      </c>
    </row>
    <row r="2414" spans="1:25" s="2" customFormat="1" ht="21.95" customHeight="1">
      <c r="A2414" s="82">
        <v>15</v>
      </c>
      <c r="B2414" s="91" t="str">
        <f t="shared" si="210"/>
        <v>310.T</v>
      </c>
      <c r="C2414" s="83" t="s">
        <v>365</v>
      </c>
      <c r="D2414" s="81" t="s">
        <v>2657</v>
      </c>
      <c r="E2414" s="48">
        <v>400761</v>
      </c>
      <c r="F2414" s="30" t="s">
        <v>2667</v>
      </c>
      <c r="G2414" s="29" t="s">
        <v>58</v>
      </c>
      <c r="H2414" s="30" t="s">
        <v>2581</v>
      </c>
      <c r="I2414" s="78"/>
      <c r="J2414" s="20"/>
      <c r="K2414" s="20"/>
      <c r="L2414" s="20"/>
      <c r="M2414" s="20"/>
      <c r="N2414" s="179" t="s">
        <v>502</v>
      </c>
      <c r="O2414" s="70">
        <v>0</v>
      </c>
      <c r="P2414" s="70">
        <v>0</v>
      </c>
      <c r="Q2414" s="70">
        <f t="shared" si="205"/>
        <v>0</v>
      </c>
      <c r="R2414" s="70"/>
      <c r="S2414" s="67"/>
      <c r="T2414" s="2" t="str">
        <f t="shared" si="206"/>
        <v>Nguyễn Đức Duy Thịnh_12VH6</v>
      </c>
      <c r="U2414" s="28">
        <f t="array" ref="U2414">IFERROR(VLOOKUP($T2414,'Nghi hoc T12'!$H$7:$I$160,2,0),0)</f>
        <v>0</v>
      </c>
      <c r="V2414" s="28"/>
      <c r="W2414" s="28">
        <f t="shared" si="207"/>
        <v>0</v>
      </c>
      <c r="X2414" s="333">
        <f t="shared" si="208"/>
        <v>0</v>
      </c>
      <c r="Y2414" s="333">
        <f t="shared" si="209"/>
        <v>0</v>
      </c>
    </row>
    <row r="2415" spans="1:25" s="2" customFormat="1" ht="21.95" customHeight="1">
      <c r="A2415" s="82">
        <v>16</v>
      </c>
      <c r="B2415" s="91" t="str">
        <f t="shared" si="210"/>
        <v>310.T</v>
      </c>
      <c r="C2415" s="83" t="s">
        <v>365</v>
      </c>
      <c r="D2415" s="81" t="s">
        <v>2657</v>
      </c>
      <c r="E2415" s="48">
        <v>400762</v>
      </c>
      <c r="F2415" s="30" t="s">
        <v>341</v>
      </c>
      <c r="G2415" s="29" t="s">
        <v>2668</v>
      </c>
      <c r="H2415" s="30" t="s">
        <v>2581</v>
      </c>
      <c r="I2415" s="78"/>
      <c r="J2415" s="20"/>
      <c r="K2415" s="20"/>
      <c r="L2415" s="20"/>
      <c r="M2415" s="20"/>
      <c r="N2415" s="179" t="s">
        <v>502</v>
      </c>
      <c r="O2415" s="70">
        <v>0</v>
      </c>
      <c r="P2415" s="70">
        <v>0</v>
      </c>
      <c r="Q2415" s="70">
        <f t="shared" si="205"/>
        <v>0</v>
      </c>
      <c r="R2415" s="70"/>
      <c r="S2415" s="67"/>
      <c r="T2415" s="2" t="str">
        <f t="shared" si="206"/>
        <v>Hà Huy Thuần_12VH6</v>
      </c>
      <c r="U2415" s="28">
        <f t="array" ref="U2415">IFERROR(VLOOKUP($T2415,'Nghi hoc T12'!$H$7:$I$160,2,0),0)</f>
        <v>0</v>
      </c>
      <c r="V2415" s="28"/>
      <c r="W2415" s="28">
        <f t="shared" si="207"/>
        <v>0</v>
      </c>
      <c r="X2415" s="333">
        <f t="shared" si="208"/>
        <v>0</v>
      </c>
      <c r="Y2415" s="333">
        <f t="shared" si="209"/>
        <v>0</v>
      </c>
    </row>
    <row r="2416" spans="1:25" s="2" customFormat="1" ht="21.95" customHeight="1">
      <c r="A2416" s="82">
        <v>17</v>
      </c>
      <c r="B2416" s="91" t="str">
        <f t="shared" si="210"/>
        <v>310.T</v>
      </c>
      <c r="C2416" s="83" t="s">
        <v>365</v>
      </c>
      <c r="D2416" s="81" t="s">
        <v>2657</v>
      </c>
      <c r="E2416" s="48">
        <v>400763</v>
      </c>
      <c r="F2416" s="30" t="s">
        <v>183</v>
      </c>
      <c r="G2416" s="29" t="s">
        <v>162</v>
      </c>
      <c r="H2416" s="30" t="s">
        <v>2574</v>
      </c>
      <c r="I2416" s="78"/>
      <c r="J2416" s="20"/>
      <c r="K2416" s="20"/>
      <c r="L2416" s="20"/>
      <c r="M2416" s="20"/>
      <c r="N2416" s="179" t="s">
        <v>502</v>
      </c>
      <c r="O2416" s="70">
        <v>0</v>
      </c>
      <c r="P2416" s="70">
        <v>0</v>
      </c>
      <c r="Q2416" s="70">
        <f t="shared" si="205"/>
        <v>0</v>
      </c>
      <c r="R2416" s="70"/>
      <c r="S2416" s="67"/>
      <c r="T2416" s="2" t="str">
        <f t="shared" si="206"/>
        <v>Nguyễn Thanh Thùy_12VH4</v>
      </c>
      <c r="U2416" s="28">
        <f t="array" ref="U2416">IFERROR(VLOOKUP($T2416,'Nghi hoc T12'!$H$7:$I$160,2,0),0)</f>
        <v>0</v>
      </c>
      <c r="V2416" s="28"/>
      <c r="W2416" s="28">
        <f t="shared" si="207"/>
        <v>0</v>
      </c>
      <c r="X2416" s="333">
        <f t="shared" si="208"/>
        <v>0</v>
      </c>
      <c r="Y2416" s="333">
        <f t="shared" si="209"/>
        <v>0</v>
      </c>
    </row>
    <row r="2417" spans="1:25" s="2" customFormat="1" ht="21.95" customHeight="1">
      <c r="A2417" s="82">
        <v>18</v>
      </c>
      <c r="B2417" s="91" t="str">
        <f t="shared" si="210"/>
        <v>310.T</v>
      </c>
      <c r="C2417" s="83" t="s">
        <v>365</v>
      </c>
      <c r="D2417" s="81" t="s">
        <v>2657</v>
      </c>
      <c r="E2417" s="48">
        <v>400764</v>
      </c>
      <c r="F2417" s="30" t="s">
        <v>2669</v>
      </c>
      <c r="G2417" s="29" t="s">
        <v>213</v>
      </c>
      <c r="H2417" s="30" t="s">
        <v>2574</v>
      </c>
      <c r="I2417" s="78"/>
      <c r="J2417" s="20"/>
      <c r="K2417" s="20"/>
      <c r="L2417" s="20"/>
      <c r="M2417" s="20"/>
      <c r="N2417" s="179" t="s">
        <v>502</v>
      </c>
      <c r="O2417" s="70">
        <v>0</v>
      </c>
      <c r="P2417" s="70">
        <v>0</v>
      </c>
      <c r="Q2417" s="70">
        <f t="shared" si="205"/>
        <v>0</v>
      </c>
      <c r="R2417" s="70"/>
      <c r="S2417" s="67"/>
      <c r="T2417" s="2" t="str">
        <f t="shared" si="206"/>
        <v>Cao Phạm Bảo Thy_12VH4</v>
      </c>
      <c r="U2417" s="28">
        <f t="array" ref="U2417">IFERROR(VLOOKUP($T2417,'Nghi hoc T12'!$H$7:$I$160,2,0),0)</f>
        <v>0</v>
      </c>
      <c r="V2417" s="28"/>
      <c r="W2417" s="28">
        <f t="shared" si="207"/>
        <v>0</v>
      </c>
      <c r="X2417" s="333">
        <f t="shared" si="208"/>
        <v>0</v>
      </c>
      <c r="Y2417" s="333">
        <f t="shared" si="209"/>
        <v>0</v>
      </c>
    </row>
    <row r="2418" spans="1:25" s="2" customFormat="1" ht="21.95" customHeight="1">
      <c r="A2418" s="82">
        <v>19</v>
      </c>
      <c r="B2418" s="91" t="str">
        <f t="shared" si="210"/>
        <v>310.T</v>
      </c>
      <c r="C2418" s="83" t="s">
        <v>365</v>
      </c>
      <c r="D2418" s="81" t="s">
        <v>2657</v>
      </c>
      <c r="E2418" s="48">
        <v>400765</v>
      </c>
      <c r="F2418" s="30" t="s">
        <v>352</v>
      </c>
      <c r="G2418" s="29" t="s">
        <v>213</v>
      </c>
      <c r="H2418" s="30" t="s">
        <v>2576</v>
      </c>
      <c r="I2418" s="78"/>
      <c r="J2418" s="20"/>
      <c r="K2418" s="20"/>
      <c r="L2418" s="20"/>
      <c r="M2418" s="20"/>
      <c r="N2418" s="179" t="s">
        <v>502</v>
      </c>
      <c r="O2418" s="70">
        <v>0</v>
      </c>
      <c r="P2418" s="70">
        <v>0</v>
      </c>
      <c r="Q2418" s="70">
        <f t="shared" si="205"/>
        <v>0</v>
      </c>
      <c r="R2418" s="70"/>
      <c r="S2418" s="67"/>
      <c r="T2418" s="2" t="str">
        <f t="shared" si="206"/>
        <v>Nguyễn Kiều Thy_12VH5</v>
      </c>
      <c r="U2418" s="28">
        <f t="array" ref="U2418">IFERROR(VLOOKUP($T2418,'Nghi hoc T12'!$H$7:$I$160,2,0),0)</f>
        <v>0</v>
      </c>
      <c r="V2418" s="28"/>
      <c r="W2418" s="28">
        <f t="shared" si="207"/>
        <v>0</v>
      </c>
      <c r="X2418" s="333">
        <f t="shared" si="208"/>
        <v>0</v>
      </c>
      <c r="Y2418" s="333">
        <f t="shared" si="209"/>
        <v>0</v>
      </c>
    </row>
    <row r="2419" spans="1:25" s="2" customFormat="1" ht="21.95" customHeight="1">
      <c r="A2419" s="82">
        <v>20</v>
      </c>
      <c r="B2419" s="91" t="str">
        <f t="shared" si="210"/>
        <v>310.T</v>
      </c>
      <c r="C2419" s="83" t="s">
        <v>365</v>
      </c>
      <c r="D2419" s="81" t="s">
        <v>2657</v>
      </c>
      <c r="E2419" s="48">
        <v>400766</v>
      </c>
      <c r="F2419" s="30" t="s">
        <v>2670</v>
      </c>
      <c r="G2419" s="29" t="s">
        <v>213</v>
      </c>
      <c r="H2419" s="30" t="s">
        <v>2581</v>
      </c>
      <c r="I2419" s="78"/>
      <c r="J2419" s="20"/>
      <c r="K2419" s="20"/>
      <c r="L2419" s="20"/>
      <c r="M2419" s="20"/>
      <c r="N2419" s="179" t="s">
        <v>502</v>
      </c>
      <c r="O2419" s="70">
        <v>0</v>
      </c>
      <c r="P2419" s="70">
        <v>0</v>
      </c>
      <c r="Q2419" s="70">
        <f t="shared" si="205"/>
        <v>0</v>
      </c>
      <c r="R2419" s="70"/>
      <c r="S2419" s="67"/>
      <c r="T2419" s="2" t="str">
        <f t="shared" si="206"/>
        <v>Nguyễn Vũ Thông Thy_12VH6</v>
      </c>
      <c r="U2419" s="28">
        <f t="array" ref="U2419">IFERROR(VLOOKUP($T2419,'Nghi hoc T12'!$H$7:$I$160,2,0),0)</f>
        <v>0</v>
      </c>
      <c r="V2419" s="28"/>
      <c r="W2419" s="28">
        <f t="shared" si="207"/>
        <v>0</v>
      </c>
      <c r="X2419" s="333">
        <f t="shared" si="208"/>
        <v>0</v>
      </c>
      <c r="Y2419" s="333">
        <f t="shared" si="209"/>
        <v>0</v>
      </c>
    </row>
    <row r="2420" spans="1:25" s="2" customFormat="1" ht="21.95" customHeight="1">
      <c r="A2420" s="82">
        <v>21</v>
      </c>
      <c r="B2420" s="91" t="str">
        <f t="shared" si="210"/>
        <v>310.T</v>
      </c>
      <c r="C2420" s="83" t="s">
        <v>365</v>
      </c>
      <c r="D2420" s="81" t="s">
        <v>2657</v>
      </c>
      <c r="E2420" s="48">
        <v>400767</v>
      </c>
      <c r="F2420" s="30" t="s">
        <v>2671</v>
      </c>
      <c r="G2420" s="29" t="s">
        <v>215</v>
      </c>
      <c r="H2420" s="30" t="s">
        <v>2576</v>
      </c>
      <c r="I2420" s="78"/>
      <c r="J2420" s="20"/>
      <c r="K2420" s="20"/>
      <c r="L2420" s="20"/>
      <c r="M2420" s="20"/>
      <c r="N2420" s="179" t="s">
        <v>502</v>
      </c>
      <c r="O2420" s="70">
        <v>0</v>
      </c>
      <c r="P2420" s="70">
        <v>0</v>
      </c>
      <c r="Q2420" s="70">
        <f t="shared" si="205"/>
        <v>0</v>
      </c>
      <c r="R2420" s="70"/>
      <c r="S2420" s="67"/>
      <c r="T2420" s="2" t="str">
        <f t="shared" si="206"/>
        <v>Nguyễn Huỳnh Thịnh Tiến_12VH5</v>
      </c>
      <c r="U2420" s="28">
        <f t="array" ref="U2420">IFERROR(VLOOKUP($T2420,'Nghi hoc T12'!$H$7:$I$160,2,0),0)</f>
        <v>0</v>
      </c>
      <c r="V2420" s="28"/>
      <c r="W2420" s="28">
        <f t="shared" si="207"/>
        <v>0</v>
      </c>
      <c r="X2420" s="333">
        <f t="shared" si="208"/>
        <v>0</v>
      </c>
      <c r="Y2420" s="333">
        <f t="shared" si="209"/>
        <v>0</v>
      </c>
    </row>
    <row r="2421" spans="1:25" s="2" customFormat="1" ht="21.95" customHeight="1">
      <c r="A2421" s="82">
        <v>22</v>
      </c>
      <c r="B2421" s="91" t="str">
        <f t="shared" si="210"/>
        <v>310.T</v>
      </c>
      <c r="C2421" s="83" t="s">
        <v>365</v>
      </c>
      <c r="D2421" s="81" t="s">
        <v>2657</v>
      </c>
      <c r="E2421" s="48">
        <v>400768</v>
      </c>
      <c r="F2421" s="30" t="s">
        <v>2672</v>
      </c>
      <c r="G2421" s="29" t="s">
        <v>72</v>
      </c>
      <c r="H2421" s="30" t="s">
        <v>2578</v>
      </c>
      <c r="I2421" s="78"/>
      <c r="J2421" s="20"/>
      <c r="K2421" s="20"/>
      <c r="L2421" s="20"/>
      <c r="M2421" s="20"/>
      <c r="N2421" s="179" t="s">
        <v>502</v>
      </c>
      <c r="O2421" s="70">
        <v>0</v>
      </c>
      <c r="P2421" s="70">
        <v>0</v>
      </c>
      <c r="Q2421" s="70">
        <f t="shared" si="205"/>
        <v>0</v>
      </c>
      <c r="R2421" s="70"/>
      <c r="S2421" s="67"/>
      <c r="T2421" s="2" t="str">
        <f t="shared" si="206"/>
        <v>Phạm Nguyễn Ngọc Tín_12VH7</v>
      </c>
      <c r="U2421" s="28">
        <f t="array" ref="U2421">IFERROR(VLOOKUP($T2421,'Nghi hoc T12'!$H$7:$I$160,2,0),0)</f>
        <v>0</v>
      </c>
      <c r="V2421" s="28"/>
      <c r="W2421" s="28">
        <f t="shared" si="207"/>
        <v>0</v>
      </c>
      <c r="X2421" s="333">
        <f t="shared" si="208"/>
        <v>0</v>
      </c>
      <c r="Y2421" s="333">
        <f t="shared" si="209"/>
        <v>0</v>
      </c>
    </row>
    <row r="2422" spans="1:25" s="2" customFormat="1" ht="21.95" customHeight="1">
      <c r="A2422" s="82">
        <v>23</v>
      </c>
      <c r="B2422" s="91" t="str">
        <f t="shared" si="210"/>
        <v>310.T</v>
      </c>
      <c r="C2422" s="83" t="s">
        <v>365</v>
      </c>
      <c r="D2422" s="81" t="s">
        <v>2657</v>
      </c>
      <c r="E2422" s="48">
        <v>400769</v>
      </c>
      <c r="F2422" s="30" t="s">
        <v>268</v>
      </c>
      <c r="G2422" s="29" t="s">
        <v>2673</v>
      </c>
      <c r="H2422" s="30" t="s">
        <v>2576</v>
      </c>
      <c r="I2422" s="78"/>
      <c r="J2422" s="20"/>
      <c r="K2422" s="20"/>
      <c r="L2422" s="20"/>
      <c r="M2422" s="20"/>
      <c r="N2422" s="179" t="s">
        <v>502</v>
      </c>
      <c r="O2422" s="70">
        <v>0</v>
      </c>
      <c r="P2422" s="70">
        <v>0</v>
      </c>
      <c r="Q2422" s="70">
        <f t="shared" si="205"/>
        <v>0</v>
      </c>
      <c r="R2422" s="70"/>
      <c r="S2422" s="67"/>
      <c r="T2422" s="2" t="str">
        <f t="shared" si="206"/>
        <v>Nguyễn Văn Trà_12VH5</v>
      </c>
      <c r="U2422" s="28">
        <f t="array" ref="U2422">IFERROR(VLOOKUP($T2422,'Nghi hoc T12'!$H$7:$I$160,2,0),0)</f>
        <v>0</v>
      </c>
      <c r="V2422" s="28"/>
      <c r="W2422" s="28">
        <f t="shared" si="207"/>
        <v>0</v>
      </c>
      <c r="X2422" s="333">
        <f t="shared" si="208"/>
        <v>0</v>
      </c>
      <c r="Y2422" s="333">
        <f t="shared" si="209"/>
        <v>0</v>
      </c>
    </row>
    <row r="2423" spans="1:25" s="2" customFormat="1" ht="21.95" customHeight="1">
      <c r="A2423" s="321">
        <v>1</v>
      </c>
      <c r="B2423" s="91" t="str">
        <f t="shared" si="210"/>
        <v>311.T</v>
      </c>
      <c r="C2423" s="185" t="s">
        <v>365</v>
      </c>
      <c r="D2423" s="186" t="s">
        <v>2674</v>
      </c>
      <c r="E2423" s="187">
        <v>400770</v>
      </c>
      <c r="F2423" s="188" t="s">
        <v>243</v>
      </c>
      <c r="G2423" s="189" t="s">
        <v>30</v>
      </c>
      <c r="H2423" s="188" t="s">
        <v>2576</v>
      </c>
      <c r="I2423" s="190"/>
      <c r="J2423" s="191"/>
      <c r="K2423" s="191"/>
      <c r="L2423" s="191"/>
      <c r="M2423" s="191"/>
      <c r="N2423" s="179" t="s">
        <v>502</v>
      </c>
      <c r="O2423" s="70">
        <v>0</v>
      </c>
      <c r="P2423" s="70">
        <v>0</v>
      </c>
      <c r="Q2423" s="70">
        <f t="shared" si="205"/>
        <v>0</v>
      </c>
      <c r="R2423" s="70"/>
      <c r="S2423" s="67"/>
      <c r="T2423" s="2" t="str">
        <f t="shared" si="206"/>
        <v>Đỗ Phương Trang_12VH5</v>
      </c>
      <c r="U2423" s="28">
        <f t="array" ref="U2423">IFERROR(VLOOKUP($T2423,'Nghi hoc T12'!$H$7:$I$160,2,0),0)</f>
        <v>0</v>
      </c>
      <c r="V2423" s="28"/>
      <c r="W2423" s="28">
        <f t="shared" si="207"/>
        <v>0</v>
      </c>
      <c r="X2423" s="333">
        <f t="shared" si="208"/>
        <v>0</v>
      </c>
      <c r="Y2423" s="333">
        <f t="shared" si="209"/>
        <v>0</v>
      </c>
    </row>
    <row r="2424" spans="1:25" s="2" customFormat="1" ht="21.95" customHeight="1">
      <c r="A2424" s="82">
        <v>2</v>
      </c>
      <c r="B2424" s="91" t="str">
        <f t="shared" si="210"/>
        <v>311.T</v>
      </c>
      <c r="C2424" s="83" t="s">
        <v>365</v>
      </c>
      <c r="D2424" s="81" t="s">
        <v>2674</v>
      </c>
      <c r="E2424" s="48">
        <v>400771</v>
      </c>
      <c r="F2424" s="30" t="s">
        <v>2675</v>
      </c>
      <c r="G2424" s="29" t="s">
        <v>206</v>
      </c>
      <c r="H2424" s="30" t="s">
        <v>2574</v>
      </c>
      <c r="I2424" s="78"/>
      <c r="J2424" s="20"/>
      <c r="K2424" s="20"/>
      <c r="L2424" s="20"/>
      <c r="M2424" s="20"/>
      <c r="N2424" s="179" t="s">
        <v>502</v>
      </c>
      <c r="O2424" s="70">
        <v>0</v>
      </c>
      <c r="P2424" s="70">
        <v>0</v>
      </c>
      <c r="Q2424" s="70">
        <f t="shared" si="205"/>
        <v>0</v>
      </c>
      <c r="R2424" s="70"/>
      <c r="S2424" s="67"/>
      <c r="T2424" s="2" t="str">
        <f t="shared" si="206"/>
        <v>Thạch Cao Minh Trí_12VH4</v>
      </c>
      <c r="U2424" s="28">
        <f t="array" ref="U2424">IFERROR(VLOOKUP($T2424,'Nghi hoc T12'!$H$7:$I$160,2,0),0)</f>
        <v>0</v>
      </c>
      <c r="V2424" s="28"/>
      <c r="W2424" s="28">
        <f t="shared" si="207"/>
        <v>0</v>
      </c>
      <c r="X2424" s="333">
        <f t="shared" si="208"/>
        <v>0</v>
      </c>
      <c r="Y2424" s="333">
        <f t="shared" si="209"/>
        <v>0</v>
      </c>
    </row>
    <row r="2425" spans="1:25" s="2" customFormat="1" ht="21.95" customHeight="1">
      <c r="A2425" s="82">
        <v>3</v>
      </c>
      <c r="B2425" s="91" t="str">
        <f t="shared" si="210"/>
        <v>311.T</v>
      </c>
      <c r="C2425" s="83" t="s">
        <v>365</v>
      </c>
      <c r="D2425" s="81" t="s">
        <v>2674</v>
      </c>
      <c r="E2425" s="48">
        <v>400772</v>
      </c>
      <c r="F2425" s="30" t="s">
        <v>210</v>
      </c>
      <c r="G2425" s="29" t="s">
        <v>218</v>
      </c>
      <c r="H2425" s="30" t="s">
        <v>2578</v>
      </c>
      <c r="I2425" s="78"/>
      <c r="J2425" s="20"/>
      <c r="K2425" s="20"/>
      <c r="L2425" s="20"/>
      <c r="M2425" s="20"/>
      <c r="N2425" s="179" t="s">
        <v>502</v>
      </c>
      <c r="O2425" s="70">
        <v>0</v>
      </c>
      <c r="P2425" s="70">
        <v>0</v>
      </c>
      <c r="Q2425" s="70">
        <f t="shared" si="205"/>
        <v>0</v>
      </c>
      <c r="R2425" s="70"/>
      <c r="S2425" s="67"/>
      <c r="T2425" s="2" t="str">
        <f t="shared" si="206"/>
        <v>Võ Minh Triết_12VH7</v>
      </c>
      <c r="U2425" s="28">
        <f t="array" ref="U2425">IFERROR(VLOOKUP($T2425,'Nghi hoc T12'!$H$7:$I$160,2,0),0)</f>
        <v>0</v>
      </c>
      <c r="V2425" s="28"/>
      <c r="W2425" s="28">
        <f t="shared" si="207"/>
        <v>0</v>
      </c>
      <c r="X2425" s="333">
        <f t="shared" si="208"/>
        <v>0</v>
      </c>
      <c r="Y2425" s="333">
        <f t="shared" si="209"/>
        <v>0</v>
      </c>
    </row>
    <row r="2426" spans="1:25" s="2" customFormat="1" ht="21.95" customHeight="1">
      <c r="A2426" s="82">
        <v>4</v>
      </c>
      <c r="B2426" s="91" t="str">
        <f t="shared" si="210"/>
        <v>311.T</v>
      </c>
      <c r="C2426" s="83" t="s">
        <v>365</v>
      </c>
      <c r="D2426" s="81" t="s">
        <v>2674</v>
      </c>
      <c r="E2426" s="48">
        <v>400773</v>
      </c>
      <c r="F2426" s="30" t="s">
        <v>2317</v>
      </c>
      <c r="G2426" s="29" t="s">
        <v>98</v>
      </c>
      <c r="H2426" s="30" t="s">
        <v>2578</v>
      </c>
      <c r="I2426" s="78"/>
      <c r="J2426" s="20"/>
      <c r="K2426" s="20"/>
      <c r="L2426" s="20"/>
      <c r="M2426" s="20"/>
      <c r="N2426" s="179" t="s">
        <v>502</v>
      </c>
      <c r="O2426" s="70">
        <v>0</v>
      </c>
      <c r="P2426" s="70">
        <v>0</v>
      </c>
      <c r="Q2426" s="70">
        <f t="shared" si="205"/>
        <v>0</v>
      </c>
      <c r="R2426" s="70"/>
      <c r="S2426" s="67"/>
      <c r="T2426" s="2" t="str">
        <f t="shared" si="206"/>
        <v>Nguyễn Hoàng Phương Trinh_12VH7</v>
      </c>
      <c r="U2426" s="28">
        <f t="array" ref="U2426">IFERROR(VLOOKUP($T2426,'Nghi hoc T12'!$H$7:$I$160,2,0),0)</f>
        <v>0</v>
      </c>
      <c r="V2426" s="28"/>
      <c r="W2426" s="28">
        <f t="shared" si="207"/>
        <v>0</v>
      </c>
      <c r="X2426" s="333">
        <f t="shared" si="208"/>
        <v>0</v>
      </c>
      <c r="Y2426" s="333">
        <f t="shared" si="209"/>
        <v>0</v>
      </c>
    </row>
    <row r="2427" spans="1:25" s="2" customFormat="1" ht="21.95" customHeight="1">
      <c r="A2427" s="82">
        <v>5</v>
      </c>
      <c r="B2427" s="91" t="str">
        <f t="shared" si="210"/>
        <v>311.T</v>
      </c>
      <c r="C2427" s="83" t="s">
        <v>365</v>
      </c>
      <c r="D2427" s="81" t="s">
        <v>2674</v>
      </c>
      <c r="E2427" s="48">
        <v>400774</v>
      </c>
      <c r="F2427" s="30" t="s">
        <v>174</v>
      </c>
      <c r="G2427" s="29" t="s">
        <v>82</v>
      </c>
      <c r="H2427" s="30" t="s">
        <v>2581</v>
      </c>
      <c r="I2427" s="78"/>
      <c r="J2427" s="20"/>
      <c r="K2427" s="20"/>
      <c r="L2427" s="20"/>
      <c r="M2427" s="20"/>
      <c r="N2427" s="179" t="s">
        <v>502</v>
      </c>
      <c r="O2427" s="70">
        <v>0</v>
      </c>
      <c r="P2427" s="70">
        <v>0</v>
      </c>
      <c r="Q2427" s="70">
        <f t="shared" si="205"/>
        <v>0</v>
      </c>
      <c r="R2427" s="70"/>
      <c r="S2427" s="67"/>
      <c r="T2427" s="2" t="str">
        <f t="shared" si="206"/>
        <v>Lê Văn Trọng_12VH6</v>
      </c>
      <c r="U2427" s="28">
        <f t="array" ref="U2427">IFERROR(VLOOKUP($T2427,'Nghi hoc T12'!$H$7:$I$160,2,0),0)</f>
        <v>0</v>
      </c>
      <c r="V2427" s="28"/>
      <c r="W2427" s="28">
        <f t="shared" si="207"/>
        <v>0</v>
      </c>
      <c r="X2427" s="333">
        <f t="shared" si="208"/>
        <v>0</v>
      </c>
      <c r="Y2427" s="333">
        <f t="shared" si="209"/>
        <v>0</v>
      </c>
    </row>
    <row r="2428" spans="1:25" s="2" customFormat="1" ht="21.95" customHeight="1">
      <c r="A2428" s="82">
        <v>6</v>
      </c>
      <c r="B2428" s="91" t="str">
        <f t="shared" si="210"/>
        <v>311.T</v>
      </c>
      <c r="C2428" s="83" t="s">
        <v>365</v>
      </c>
      <c r="D2428" s="81" t="s">
        <v>2674</v>
      </c>
      <c r="E2428" s="48">
        <v>400775</v>
      </c>
      <c r="F2428" s="30" t="s">
        <v>2676</v>
      </c>
      <c r="G2428" s="29" t="s">
        <v>32</v>
      </c>
      <c r="H2428" s="30" t="s">
        <v>2574</v>
      </c>
      <c r="I2428" s="78"/>
      <c r="J2428" s="20"/>
      <c r="K2428" s="20"/>
      <c r="L2428" s="20"/>
      <c r="M2428" s="20"/>
      <c r="N2428" s="179" t="s">
        <v>502</v>
      </c>
      <c r="O2428" s="70">
        <v>0</v>
      </c>
      <c r="P2428" s="70">
        <v>0</v>
      </c>
      <c r="Q2428" s="70">
        <f t="shared" si="205"/>
        <v>0</v>
      </c>
      <c r="R2428" s="70"/>
      <c r="S2428" s="67"/>
      <c r="T2428" s="2" t="str">
        <f t="shared" si="206"/>
        <v>Hoàng Thành Trung_12VH4</v>
      </c>
      <c r="U2428" s="28">
        <f t="array" ref="U2428">IFERROR(VLOOKUP($T2428,'Nghi hoc T12'!$H$7:$I$160,2,0),0)</f>
        <v>0</v>
      </c>
      <c r="V2428" s="28"/>
      <c r="W2428" s="28">
        <f t="shared" si="207"/>
        <v>0</v>
      </c>
      <c r="X2428" s="333">
        <f t="shared" si="208"/>
        <v>0</v>
      </c>
      <c r="Y2428" s="333">
        <f t="shared" si="209"/>
        <v>0</v>
      </c>
    </row>
    <row r="2429" spans="1:25" s="2" customFormat="1" ht="21.95" customHeight="1">
      <c r="A2429" s="82">
        <v>7</v>
      </c>
      <c r="B2429" s="91" t="str">
        <f t="shared" si="210"/>
        <v>311.T</v>
      </c>
      <c r="C2429" s="83" t="s">
        <v>365</v>
      </c>
      <c r="D2429" s="81" t="s">
        <v>2674</v>
      </c>
      <c r="E2429" s="48">
        <v>400776</v>
      </c>
      <c r="F2429" s="30" t="s">
        <v>320</v>
      </c>
      <c r="G2429" s="29" t="s">
        <v>51</v>
      </c>
      <c r="H2429" s="30" t="s">
        <v>2576</v>
      </c>
      <c r="I2429" s="78"/>
      <c r="J2429" s="20"/>
      <c r="K2429" s="20"/>
      <c r="L2429" s="20"/>
      <c r="M2429" s="20"/>
      <c r="N2429" s="179" t="s">
        <v>502</v>
      </c>
      <c r="O2429" s="70">
        <v>0</v>
      </c>
      <c r="P2429" s="70">
        <v>0</v>
      </c>
      <c r="Q2429" s="70">
        <f t="shared" si="205"/>
        <v>0</v>
      </c>
      <c r="R2429" s="70"/>
      <c r="S2429" s="67"/>
      <c r="T2429" s="2" t="str">
        <f t="shared" si="206"/>
        <v>Đặng Thị Cẩm Tú_12VH5</v>
      </c>
      <c r="U2429" s="28">
        <f t="array" ref="U2429">IFERROR(VLOOKUP($T2429,'Nghi hoc T12'!$H$7:$I$160,2,0),0)</f>
        <v>0</v>
      </c>
      <c r="V2429" s="28"/>
      <c r="W2429" s="28">
        <f t="shared" si="207"/>
        <v>0</v>
      </c>
      <c r="X2429" s="333">
        <f t="shared" si="208"/>
        <v>0</v>
      </c>
      <c r="Y2429" s="333">
        <f t="shared" si="209"/>
        <v>0</v>
      </c>
    </row>
    <row r="2430" spans="1:25" s="2" customFormat="1" ht="21.95" customHeight="1">
      <c r="A2430" s="82">
        <v>8</v>
      </c>
      <c r="B2430" s="91" t="str">
        <f t="shared" si="210"/>
        <v>311.T</v>
      </c>
      <c r="C2430" s="83" t="s">
        <v>365</v>
      </c>
      <c r="D2430" s="81" t="s">
        <v>2674</v>
      </c>
      <c r="E2430" s="48">
        <v>400777</v>
      </c>
      <c r="F2430" s="30" t="s">
        <v>167</v>
      </c>
      <c r="G2430" s="29" t="s">
        <v>51</v>
      </c>
      <c r="H2430" s="30" t="s">
        <v>2581</v>
      </c>
      <c r="I2430" s="78"/>
      <c r="J2430" s="20"/>
      <c r="K2430" s="20"/>
      <c r="L2430" s="20"/>
      <c r="M2430" s="20"/>
      <c r="N2430" s="179" t="s">
        <v>502</v>
      </c>
      <c r="O2430" s="70">
        <v>0</v>
      </c>
      <c r="P2430" s="70">
        <v>0</v>
      </c>
      <c r="Q2430" s="70">
        <f t="shared" si="205"/>
        <v>0</v>
      </c>
      <c r="R2430" s="70"/>
      <c r="S2430" s="67"/>
      <c r="T2430" s="2" t="str">
        <f t="shared" si="206"/>
        <v>Trần Thanh Tú_12VH6</v>
      </c>
      <c r="U2430" s="28">
        <f t="array" ref="U2430">IFERROR(VLOOKUP($T2430,'Nghi hoc T12'!$H$7:$I$160,2,0),0)</f>
        <v>0</v>
      </c>
      <c r="V2430" s="28"/>
      <c r="W2430" s="28">
        <f t="shared" si="207"/>
        <v>0</v>
      </c>
      <c r="X2430" s="333">
        <f t="shared" si="208"/>
        <v>0</v>
      </c>
      <c r="Y2430" s="333">
        <f t="shared" si="209"/>
        <v>0</v>
      </c>
    </row>
    <row r="2431" spans="1:25" s="2" customFormat="1" ht="21.95" customHeight="1">
      <c r="A2431" s="82">
        <v>9</v>
      </c>
      <c r="B2431" s="91" t="str">
        <f t="shared" si="210"/>
        <v>311.T</v>
      </c>
      <c r="C2431" s="83" t="s">
        <v>365</v>
      </c>
      <c r="D2431" s="81" t="s">
        <v>2674</v>
      </c>
      <c r="E2431" s="48">
        <v>400778</v>
      </c>
      <c r="F2431" s="30" t="s">
        <v>2677</v>
      </c>
      <c r="G2431" s="29" t="s">
        <v>52</v>
      </c>
      <c r="H2431" s="30" t="s">
        <v>2578</v>
      </c>
      <c r="I2431" s="78"/>
      <c r="J2431" s="20"/>
      <c r="K2431" s="20"/>
      <c r="L2431" s="20"/>
      <c r="M2431" s="20"/>
      <c r="N2431" s="179" t="s">
        <v>502</v>
      </c>
      <c r="O2431" s="70">
        <v>0</v>
      </c>
      <c r="P2431" s="70">
        <v>0</v>
      </c>
      <c r="Q2431" s="70">
        <f t="shared" si="205"/>
        <v>0</v>
      </c>
      <c r="R2431" s="70"/>
      <c r="S2431" s="67"/>
      <c r="T2431" s="2" t="str">
        <f t="shared" si="206"/>
        <v>Huỳnh Ngọc Anh Tuấn_12VH7</v>
      </c>
      <c r="U2431" s="28">
        <f t="array" ref="U2431">IFERROR(VLOOKUP($T2431,'Nghi hoc T12'!$H$7:$I$160,2,0),0)</f>
        <v>0</v>
      </c>
      <c r="V2431" s="28"/>
      <c r="W2431" s="28">
        <f t="shared" si="207"/>
        <v>0</v>
      </c>
      <c r="X2431" s="333">
        <f t="shared" si="208"/>
        <v>0</v>
      </c>
      <c r="Y2431" s="333">
        <f t="shared" si="209"/>
        <v>0</v>
      </c>
    </row>
    <row r="2432" spans="1:25" s="2" customFormat="1" ht="21.95" customHeight="1">
      <c r="A2432" s="82">
        <v>10</v>
      </c>
      <c r="B2432" s="91" t="str">
        <f t="shared" si="210"/>
        <v>311.T</v>
      </c>
      <c r="C2432" s="83" t="s">
        <v>365</v>
      </c>
      <c r="D2432" s="81" t="s">
        <v>2674</v>
      </c>
      <c r="E2432" s="48">
        <v>400779</v>
      </c>
      <c r="F2432" s="30" t="s">
        <v>165</v>
      </c>
      <c r="G2432" s="29" t="s">
        <v>52</v>
      </c>
      <c r="H2432" s="30" t="s">
        <v>2574</v>
      </c>
      <c r="I2432" s="78"/>
      <c r="J2432" s="20"/>
      <c r="K2432" s="20"/>
      <c r="L2432" s="20"/>
      <c r="M2432" s="20"/>
      <c r="N2432" s="179" t="s">
        <v>502</v>
      </c>
      <c r="O2432" s="70">
        <v>0</v>
      </c>
      <c r="P2432" s="70">
        <v>0</v>
      </c>
      <c r="Q2432" s="70">
        <f t="shared" si="205"/>
        <v>0</v>
      </c>
      <c r="R2432" s="70"/>
      <c r="S2432" s="67"/>
      <c r="T2432" s="2" t="str">
        <f t="shared" si="206"/>
        <v>Nguyễn Đức Tuấn_12VH4</v>
      </c>
      <c r="U2432" s="28">
        <f t="array" ref="U2432">IFERROR(VLOOKUP($T2432,'Nghi hoc T12'!$H$7:$I$160,2,0),0)</f>
        <v>0</v>
      </c>
      <c r="V2432" s="28"/>
      <c r="W2432" s="28">
        <f t="shared" si="207"/>
        <v>0</v>
      </c>
      <c r="X2432" s="333">
        <f t="shared" si="208"/>
        <v>0</v>
      </c>
      <c r="Y2432" s="333">
        <f t="shared" si="209"/>
        <v>0</v>
      </c>
    </row>
    <row r="2433" spans="1:25" s="2" customFormat="1" ht="21.95" customHeight="1">
      <c r="A2433" s="82">
        <v>11</v>
      </c>
      <c r="B2433" s="91" t="str">
        <f t="shared" si="210"/>
        <v>311.T</v>
      </c>
      <c r="C2433" s="83" t="s">
        <v>365</v>
      </c>
      <c r="D2433" s="81" t="s">
        <v>2674</v>
      </c>
      <c r="E2433" s="48">
        <v>400780</v>
      </c>
      <c r="F2433" s="30" t="s">
        <v>2678</v>
      </c>
      <c r="G2433" s="29" t="s">
        <v>241</v>
      </c>
      <c r="H2433" s="30" t="s">
        <v>2576</v>
      </c>
      <c r="I2433" s="78"/>
      <c r="J2433" s="20"/>
      <c r="K2433" s="20"/>
      <c r="L2433" s="20"/>
      <c r="M2433" s="20"/>
      <c r="N2433" s="179" t="s">
        <v>502</v>
      </c>
      <c r="O2433" s="70">
        <v>0</v>
      </c>
      <c r="P2433" s="70">
        <v>0</v>
      </c>
      <c r="Q2433" s="70">
        <f t="shared" si="205"/>
        <v>0</v>
      </c>
      <c r="R2433" s="70"/>
      <c r="S2433" s="67"/>
      <c r="T2433" s="2" t="str">
        <f t="shared" si="206"/>
        <v>Dương Nguyễn Ngọc Tuyên_12VH5</v>
      </c>
      <c r="U2433" s="28">
        <f t="array" ref="U2433">IFERROR(VLOOKUP($T2433,'Nghi hoc T12'!$H$7:$I$160,2,0),0)</f>
        <v>0</v>
      </c>
      <c r="V2433" s="28"/>
      <c r="W2433" s="28">
        <f t="shared" si="207"/>
        <v>0</v>
      </c>
      <c r="X2433" s="333">
        <f t="shared" si="208"/>
        <v>0</v>
      </c>
      <c r="Y2433" s="333">
        <f t="shared" si="209"/>
        <v>0</v>
      </c>
    </row>
    <row r="2434" spans="1:25" s="2" customFormat="1" ht="21.95" customHeight="1">
      <c r="A2434" s="82">
        <v>12</v>
      </c>
      <c r="B2434" s="91" t="str">
        <f t="shared" si="210"/>
        <v>311.T</v>
      </c>
      <c r="C2434" s="83" t="s">
        <v>365</v>
      </c>
      <c r="D2434" s="81" t="s">
        <v>2674</v>
      </c>
      <c r="E2434" s="48">
        <v>400781</v>
      </c>
      <c r="F2434" s="30" t="s">
        <v>2679</v>
      </c>
      <c r="G2434" s="29" t="s">
        <v>241</v>
      </c>
      <c r="H2434" s="30" t="s">
        <v>2581</v>
      </c>
      <c r="I2434" s="78"/>
      <c r="J2434" s="20"/>
      <c r="K2434" s="20"/>
      <c r="L2434" s="20"/>
      <c r="M2434" s="20"/>
      <c r="N2434" s="179" t="s">
        <v>502</v>
      </c>
      <c r="O2434" s="70">
        <v>0</v>
      </c>
      <c r="P2434" s="70">
        <v>0</v>
      </c>
      <c r="Q2434" s="70">
        <f t="shared" si="205"/>
        <v>0</v>
      </c>
      <c r="R2434" s="70"/>
      <c r="S2434" s="67"/>
      <c r="T2434" s="2" t="str">
        <f t="shared" si="206"/>
        <v>Phương Hữu Đức Tuyên_12VH6</v>
      </c>
      <c r="U2434" s="28">
        <f t="array" ref="U2434">IFERROR(VLOOKUP($T2434,'Nghi hoc T12'!$H$7:$I$160,2,0),0)</f>
        <v>0</v>
      </c>
      <c r="V2434" s="28"/>
      <c r="W2434" s="28">
        <f t="shared" si="207"/>
        <v>0</v>
      </c>
      <c r="X2434" s="333">
        <f t="shared" si="208"/>
        <v>0</v>
      </c>
      <c r="Y2434" s="333">
        <f t="shared" si="209"/>
        <v>0</v>
      </c>
    </row>
    <row r="2435" spans="1:25" s="2" customFormat="1" ht="21.95" customHeight="1">
      <c r="A2435" s="82">
        <v>13</v>
      </c>
      <c r="B2435" s="91" t="str">
        <f t="shared" si="210"/>
        <v>311.T</v>
      </c>
      <c r="C2435" s="83" t="s">
        <v>365</v>
      </c>
      <c r="D2435" s="81" t="s">
        <v>2674</v>
      </c>
      <c r="E2435" s="48">
        <v>400782</v>
      </c>
      <c r="F2435" s="30" t="s">
        <v>226</v>
      </c>
      <c r="G2435" s="29" t="s">
        <v>73</v>
      </c>
      <c r="H2435" s="30" t="s">
        <v>2578</v>
      </c>
      <c r="I2435" s="78"/>
      <c r="J2435" s="20"/>
      <c r="K2435" s="20"/>
      <c r="L2435" s="20"/>
      <c r="M2435" s="20"/>
      <c r="N2435" s="179" t="s">
        <v>502</v>
      </c>
      <c r="O2435" s="70">
        <v>0</v>
      </c>
      <c r="P2435" s="70">
        <v>0</v>
      </c>
      <c r="Q2435" s="70">
        <f t="shared" si="205"/>
        <v>0</v>
      </c>
      <c r="R2435" s="70"/>
      <c r="S2435" s="67"/>
      <c r="T2435" s="2" t="str">
        <f t="shared" si="206"/>
        <v>Nguyễn Thị Thanh Tuyền_12VH7</v>
      </c>
      <c r="U2435" s="28">
        <f t="array" ref="U2435">IFERROR(VLOOKUP($T2435,'Nghi hoc T12'!$H$7:$I$160,2,0),0)</f>
        <v>0</v>
      </c>
      <c r="V2435" s="28"/>
      <c r="W2435" s="28">
        <f t="shared" si="207"/>
        <v>0</v>
      </c>
      <c r="X2435" s="333">
        <f t="shared" si="208"/>
        <v>0</v>
      </c>
      <c r="Y2435" s="333">
        <f t="shared" si="209"/>
        <v>0</v>
      </c>
    </row>
    <row r="2436" spans="1:25" s="2" customFormat="1" ht="21.95" customHeight="1">
      <c r="A2436" s="82">
        <v>14</v>
      </c>
      <c r="B2436" s="91" t="str">
        <f t="shared" si="210"/>
        <v>311.T</v>
      </c>
      <c r="C2436" s="83" t="s">
        <v>365</v>
      </c>
      <c r="D2436" s="81" t="s">
        <v>2674</v>
      </c>
      <c r="E2436" s="48">
        <v>400783</v>
      </c>
      <c r="F2436" s="30" t="s">
        <v>2680</v>
      </c>
      <c r="G2436" s="29" t="s">
        <v>188</v>
      </c>
      <c r="H2436" s="30" t="s">
        <v>2574</v>
      </c>
      <c r="I2436" s="78"/>
      <c r="J2436" s="20"/>
      <c r="K2436" s="20"/>
      <c r="L2436" s="20"/>
      <c r="M2436" s="20"/>
      <c r="N2436" s="179" t="s">
        <v>502</v>
      </c>
      <c r="O2436" s="70">
        <v>0</v>
      </c>
      <c r="P2436" s="70">
        <v>0</v>
      </c>
      <c r="Q2436" s="70">
        <f t="shared" si="205"/>
        <v>0</v>
      </c>
      <c r="R2436" s="70"/>
      <c r="S2436" s="67"/>
      <c r="T2436" s="2" t="str">
        <f t="shared" si="206"/>
        <v>Nguyễn Ngọc Tú Uyên_12VH4</v>
      </c>
      <c r="U2436" s="28">
        <f t="array" ref="U2436">IFERROR(VLOOKUP($T2436,'Nghi hoc T12'!$H$7:$I$160,2,0),0)</f>
        <v>0</v>
      </c>
      <c r="V2436" s="28"/>
      <c r="W2436" s="28">
        <f t="shared" si="207"/>
        <v>0</v>
      </c>
      <c r="X2436" s="333">
        <f t="shared" si="208"/>
        <v>0</v>
      </c>
      <c r="Y2436" s="333">
        <f t="shared" si="209"/>
        <v>0</v>
      </c>
    </row>
    <row r="2437" spans="1:25" s="2" customFormat="1" ht="21.95" customHeight="1">
      <c r="A2437" s="82">
        <v>15</v>
      </c>
      <c r="B2437" s="91" t="str">
        <f t="shared" si="210"/>
        <v>311.T</v>
      </c>
      <c r="C2437" s="83" t="s">
        <v>365</v>
      </c>
      <c r="D2437" s="81" t="s">
        <v>2674</v>
      </c>
      <c r="E2437" s="48">
        <v>400784</v>
      </c>
      <c r="F2437" s="30" t="s">
        <v>222</v>
      </c>
      <c r="G2437" s="29" t="s">
        <v>74</v>
      </c>
      <c r="H2437" s="30" t="s">
        <v>2578</v>
      </c>
      <c r="I2437" s="78"/>
      <c r="J2437" s="20"/>
      <c r="K2437" s="20"/>
      <c r="L2437" s="20"/>
      <c r="M2437" s="20"/>
      <c r="N2437" s="179" t="s">
        <v>502</v>
      </c>
      <c r="O2437" s="70">
        <v>0</v>
      </c>
      <c r="P2437" s="70">
        <v>0</v>
      </c>
      <c r="Q2437" s="70">
        <f t="shared" si="205"/>
        <v>0</v>
      </c>
      <c r="R2437" s="70"/>
      <c r="S2437" s="67"/>
      <c r="T2437" s="2" t="str">
        <f t="shared" si="206"/>
        <v>Nguyễn Ngọc Vi_12VH7</v>
      </c>
      <c r="U2437" s="28">
        <f t="array" ref="U2437">IFERROR(VLOOKUP($T2437,'Nghi hoc T12'!$H$7:$I$160,2,0),0)</f>
        <v>0</v>
      </c>
      <c r="V2437" s="28"/>
      <c r="W2437" s="28">
        <f t="shared" si="207"/>
        <v>0</v>
      </c>
      <c r="X2437" s="333">
        <f t="shared" si="208"/>
        <v>0</v>
      </c>
      <c r="Y2437" s="333">
        <f t="shared" si="209"/>
        <v>0</v>
      </c>
    </row>
    <row r="2438" spans="1:25" s="2" customFormat="1" ht="21.95" customHeight="1">
      <c r="A2438" s="82">
        <v>16</v>
      </c>
      <c r="B2438" s="91" t="str">
        <f t="shared" si="210"/>
        <v>311.T</v>
      </c>
      <c r="C2438" s="83" t="s">
        <v>365</v>
      </c>
      <c r="D2438" s="81" t="s">
        <v>2674</v>
      </c>
      <c r="E2438" s="48">
        <v>400785</v>
      </c>
      <c r="F2438" s="30" t="s">
        <v>348</v>
      </c>
      <c r="G2438" s="29" t="s">
        <v>61</v>
      </c>
      <c r="H2438" s="30" t="s">
        <v>2578</v>
      </c>
      <c r="I2438" s="78"/>
      <c r="J2438" s="20"/>
      <c r="K2438" s="20"/>
      <c r="L2438" s="20"/>
      <c r="M2438" s="20"/>
      <c r="N2438" s="179" t="s">
        <v>502</v>
      </c>
      <c r="O2438" s="70">
        <v>0</v>
      </c>
      <c r="P2438" s="70">
        <v>0</v>
      </c>
      <c r="Q2438" s="70">
        <f t="shared" si="205"/>
        <v>0</v>
      </c>
      <c r="R2438" s="70"/>
      <c r="S2438" s="67"/>
      <c r="T2438" s="2" t="str">
        <f t="shared" si="206"/>
        <v>Đỗ Hoàng Vinh_12VH7</v>
      </c>
      <c r="U2438" s="28">
        <f t="array" ref="U2438">IFERROR(VLOOKUP($T2438,'Nghi hoc T12'!$H$7:$I$160,2,0),0)</f>
        <v>0</v>
      </c>
      <c r="V2438" s="28"/>
      <c r="W2438" s="28">
        <f t="shared" si="207"/>
        <v>0</v>
      </c>
      <c r="X2438" s="333">
        <f t="shared" si="208"/>
        <v>0</v>
      </c>
      <c r="Y2438" s="333">
        <f t="shared" si="209"/>
        <v>0</v>
      </c>
    </row>
    <row r="2439" spans="1:25" s="2" customFormat="1" ht="21.95" customHeight="1">
      <c r="A2439" s="82">
        <v>17</v>
      </c>
      <c r="B2439" s="91" t="str">
        <f t="shared" si="210"/>
        <v>311.T</v>
      </c>
      <c r="C2439" s="83" t="s">
        <v>365</v>
      </c>
      <c r="D2439" s="81" t="s">
        <v>2674</v>
      </c>
      <c r="E2439" s="48">
        <v>400786</v>
      </c>
      <c r="F2439" s="30" t="s">
        <v>2681</v>
      </c>
      <c r="G2439" s="29" t="s">
        <v>61</v>
      </c>
      <c r="H2439" s="30" t="s">
        <v>2574</v>
      </c>
      <c r="I2439" s="78"/>
      <c r="J2439" s="20"/>
      <c r="K2439" s="20"/>
      <c r="L2439" s="20"/>
      <c r="M2439" s="20"/>
      <c r="N2439" s="179" t="s">
        <v>502</v>
      </c>
      <c r="O2439" s="70">
        <v>0</v>
      </c>
      <c r="P2439" s="70">
        <v>0</v>
      </c>
      <c r="Q2439" s="70">
        <f t="shared" si="205"/>
        <v>0</v>
      </c>
      <c r="R2439" s="70"/>
      <c r="S2439" s="67"/>
      <c r="T2439" s="2" t="str">
        <f t="shared" si="206"/>
        <v>Lương Thanh Vinh_12VH4</v>
      </c>
      <c r="U2439" s="28">
        <f t="array" ref="U2439">IFERROR(VLOOKUP($T2439,'Nghi hoc T12'!$H$7:$I$160,2,0),0)</f>
        <v>0</v>
      </c>
      <c r="V2439" s="28"/>
      <c r="W2439" s="28">
        <f t="shared" si="207"/>
        <v>0</v>
      </c>
      <c r="X2439" s="333">
        <f t="shared" si="208"/>
        <v>0</v>
      </c>
      <c r="Y2439" s="333">
        <f t="shared" si="209"/>
        <v>0</v>
      </c>
    </row>
    <row r="2440" spans="1:25" s="2" customFormat="1" ht="21.95" customHeight="1">
      <c r="A2440" s="82">
        <v>18</v>
      </c>
      <c r="B2440" s="91" t="str">
        <f t="shared" si="210"/>
        <v>311.T</v>
      </c>
      <c r="C2440" s="83" t="s">
        <v>365</v>
      </c>
      <c r="D2440" s="81" t="s">
        <v>2674</v>
      </c>
      <c r="E2440" s="48">
        <v>400787</v>
      </c>
      <c r="F2440" s="30" t="s">
        <v>149</v>
      </c>
      <c r="G2440" s="29" t="s">
        <v>99</v>
      </c>
      <c r="H2440" s="30" t="s">
        <v>2576</v>
      </c>
      <c r="I2440" s="78"/>
      <c r="J2440" s="20"/>
      <c r="K2440" s="20"/>
      <c r="L2440" s="20"/>
      <c r="M2440" s="20"/>
      <c r="N2440" s="179" t="s">
        <v>502</v>
      </c>
      <c r="O2440" s="70">
        <v>0</v>
      </c>
      <c r="P2440" s="70">
        <v>0</v>
      </c>
      <c r="Q2440" s="70">
        <f t="shared" si="205"/>
        <v>0</v>
      </c>
      <c r="R2440" s="70"/>
      <c r="S2440" s="67"/>
      <c r="T2440" s="2" t="str">
        <f t="shared" si="206"/>
        <v>Hoàng Anh Vũ_12VH5</v>
      </c>
      <c r="U2440" s="28">
        <f t="array" ref="U2440">IFERROR(VLOOKUP($T2440,'Nghi hoc T12'!$H$7:$I$160,2,0),0)</f>
        <v>0</v>
      </c>
      <c r="V2440" s="28"/>
      <c r="W2440" s="28">
        <f t="shared" si="207"/>
        <v>0</v>
      </c>
      <c r="X2440" s="333">
        <f t="shared" si="208"/>
        <v>0</v>
      </c>
      <c r="Y2440" s="333">
        <f t="shared" si="209"/>
        <v>0</v>
      </c>
    </row>
    <row r="2441" spans="1:25" s="2" customFormat="1" ht="21.95" customHeight="1">
      <c r="A2441" s="82">
        <v>19</v>
      </c>
      <c r="B2441" s="91" t="str">
        <f t="shared" si="210"/>
        <v>311.T</v>
      </c>
      <c r="C2441" s="83" t="s">
        <v>365</v>
      </c>
      <c r="D2441" s="81" t="s">
        <v>2674</v>
      </c>
      <c r="E2441" s="48">
        <v>400788</v>
      </c>
      <c r="F2441" s="30" t="s">
        <v>2682</v>
      </c>
      <c r="G2441" s="29" t="s">
        <v>34</v>
      </c>
      <c r="H2441" s="30" t="s">
        <v>2578</v>
      </c>
      <c r="I2441" s="78"/>
      <c r="J2441" s="20"/>
      <c r="K2441" s="20"/>
      <c r="L2441" s="20"/>
      <c r="M2441" s="20"/>
      <c r="N2441" s="179" t="s">
        <v>502</v>
      </c>
      <c r="O2441" s="70">
        <v>0</v>
      </c>
      <c r="P2441" s="70">
        <v>0</v>
      </c>
      <c r="Q2441" s="70">
        <f t="shared" si="205"/>
        <v>0</v>
      </c>
      <c r="R2441" s="70"/>
      <c r="S2441" s="67"/>
      <c r="T2441" s="2" t="str">
        <f t="shared" si="206"/>
        <v>Lê Trần Phương Vy_12VH7</v>
      </c>
      <c r="U2441" s="28">
        <f t="array" ref="U2441">IFERROR(VLOOKUP($T2441,'Nghi hoc T12'!$H$7:$I$160,2,0),0)</f>
        <v>0</v>
      </c>
      <c r="V2441" s="28"/>
      <c r="W2441" s="28">
        <f t="shared" si="207"/>
        <v>0</v>
      </c>
      <c r="X2441" s="333">
        <f t="shared" si="208"/>
        <v>0</v>
      </c>
      <c r="Y2441" s="333">
        <f t="shared" si="209"/>
        <v>0</v>
      </c>
    </row>
    <row r="2442" spans="1:25" s="2" customFormat="1" ht="21.95" customHeight="1">
      <c r="A2442" s="82">
        <v>20</v>
      </c>
      <c r="B2442" s="91" t="str">
        <f t="shared" si="210"/>
        <v>311.T</v>
      </c>
      <c r="C2442" s="83" t="s">
        <v>365</v>
      </c>
      <c r="D2442" s="81" t="s">
        <v>2674</v>
      </c>
      <c r="E2442" s="48">
        <v>400789</v>
      </c>
      <c r="F2442" s="30" t="s">
        <v>321</v>
      </c>
      <c r="G2442" s="29" t="s">
        <v>34</v>
      </c>
      <c r="H2442" s="30" t="s">
        <v>2574</v>
      </c>
      <c r="I2442" s="78"/>
      <c r="J2442" s="20"/>
      <c r="K2442" s="20"/>
      <c r="L2442" s="20"/>
      <c r="M2442" s="20"/>
      <c r="N2442" s="179" t="s">
        <v>502</v>
      </c>
      <c r="O2442" s="70">
        <v>0</v>
      </c>
      <c r="P2442" s="70">
        <v>0</v>
      </c>
      <c r="Q2442" s="70">
        <f t="shared" ref="Q2442:Q2505" si="211">U2442</f>
        <v>0</v>
      </c>
      <c r="R2442" s="70"/>
      <c r="S2442" s="67"/>
      <c r="T2442" s="2" t="str">
        <f t="shared" ref="T2442:T2505" si="212">TRIM(F2442&amp;" "&amp;G2442&amp;"_"&amp;H2442)</f>
        <v>Nguyễn Ngọc Thảo Vy_12VH4</v>
      </c>
      <c r="U2442" s="28">
        <f t="array" ref="U2442">IFERROR(VLOOKUP($T2442,'Nghi hoc T12'!$H$7:$I$160,2,0),0)</f>
        <v>0</v>
      </c>
      <c r="V2442" s="28"/>
      <c r="W2442" s="28">
        <f t="shared" ref="W2442:W2505" si="213">I2442</f>
        <v>0</v>
      </c>
      <c r="X2442" s="333">
        <f t="shared" ref="X2442:X2505" si="214">O2442</f>
        <v>0</v>
      </c>
      <c r="Y2442" s="333">
        <f t="shared" ref="Y2442:Y2505" si="215">P2442</f>
        <v>0</v>
      </c>
    </row>
    <row r="2443" spans="1:25" s="2" customFormat="1" ht="21.95" customHeight="1">
      <c r="A2443" s="82">
        <v>21</v>
      </c>
      <c r="B2443" s="91" t="str">
        <f t="shared" ref="B2443:B2506" si="216">RIGHT(D2443,LEN(D2443)-2)&amp;"."&amp;LEFT(N2443,1)</f>
        <v>311.T</v>
      </c>
      <c r="C2443" s="83" t="s">
        <v>365</v>
      </c>
      <c r="D2443" s="81" t="s">
        <v>2674</v>
      </c>
      <c r="E2443" s="48">
        <v>400790</v>
      </c>
      <c r="F2443" s="30" t="s">
        <v>132</v>
      </c>
      <c r="G2443" s="29" t="s">
        <v>34</v>
      </c>
      <c r="H2443" s="30" t="s">
        <v>2576</v>
      </c>
      <c r="I2443" s="78"/>
      <c r="J2443" s="20"/>
      <c r="K2443" s="20"/>
      <c r="L2443" s="20"/>
      <c r="M2443" s="20"/>
      <c r="N2443" s="179" t="s">
        <v>502</v>
      </c>
      <c r="O2443" s="70">
        <v>0</v>
      </c>
      <c r="P2443" s="70">
        <v>0</v>
      </c>
      <c r="Q2443" s="70">
        <f t="shared" si="211"/>
        <v>0</v>
      </c>
      <c r="R2443" s="70"/>
      <c r="S2443" s="67"/>
      <c r="T2443" s="2" t="str">
        <f t="shared" si="212"/>
        <v>Nguyễn Thị Thảo Vy_12VH5</v>
      </c>
      <c r="U2443" s="28">
        <f t="array" ref="U2443">IFERROR(VLOOKUP($T2443,'Nghi hoc T12'!$H$7:$I$160,2,0),0)</f>
        <v>0</v>
      </c>
      <c r="V2443" s="28"/>
      <c r="W2443" s="28">
        <f t="shared" si="213"/>
        <v>0</v>
      </c>
      <c r="X2443" s="333">
        <f t="shared" si="214"/>
        <v>0</v>
      </c>
      <c r="Y2443" s="333">
        <f t="shared" si="215"/>
        <v>0</v>
      </c>
    </row>
    <row r="2444" spans="1:25" s="2" customFormat="1" ht="21.95" customHeight="1">
      <c r="A2444" s="82">
        <v>22</v>
      </c>
      <c r="B2444" s="91" t="str">
        <f t="shared" si="216"/>
        <v>311.T</v>
      </c>
      <c r="C2444" s="83" t="s">
        <v>365</v>
      </c>
      <c r="D2444" s="81" t="s">
        <v>2674</v>
      </c>
      <c r="E2444" s="48">
        <v>400791</v>
      </c>
      <c r="F2444" s="30" t="s">
        <v>2683</v>
      </c>
      <c r="G2444" s="29" t="s">
        <v>34</v>
      </c>
      <c r="H2444" s="30" t="s">
        <v>2581</v>
      </c>
      <c r="I2444" s="78"/>
      <c r="J2444" s="20"/>
      <c r="K2444" s="20"/>
      <c r="L2444" s="20"/>
      <c r="M2444" s="20"/>
      <c r="N2444" s="179" t="s">
        <v>502</v>
      </c>
      <c r="O2444" s="70">
        <v>0</v>
      </c>
      <c r="P2444" s="70">
        <v>0</v>
      </c>
      <c r="Q2444" s="70">
        <f t="shared" si="211"/>
        <v>0</v>
      </c>
      <c r="R2444" s="70"/>
      <c r="S2444" s="67"/>
      <c r="T2444" s="2" t="str">
        <f t="shared" si="212"/>
        <v>Phạm Dương Tường Vy_12VH6</v>
      </c>
      <c r="U2444" s="28">
        <f t="array" ref="U2444">IFERROR(VLOOKUP($T2444,'Nghi hoc T12'!$H$7:$I$160,2,0),0)</f>
        <v>0</v>
      </c>
      <c r="V2444" s="28"/>
      <c r="W2444" s="28">
        <f t="shared" si="213"/>
        <v>0</v>
      </c>
      <c r="X2444" s="333">
        <f t="shared" si="214"/>
        <v>0</v>
      </c>
      <c r="Y2444" s="333">
        <f t="shared" si="215"/>
        <v>0</v>
      </c>
    </row>
    <row r="2445" spans="1:25" s="2" customFormat="1" ht="21.95" customHeight="1">
      <c r="A2445" s="82">
        <v>23</v>
      </c>
      <c r="B2445" s="91" t="str">
        <f t="shared" si="216"/>
        <v>311.T</v>
      </c>
      <c r="C2445" s="83" t="s">
        <v>365</v>
      </c>
      <c r="D2445" s="81" t="s">
        <v>2674</v>
      </c>
      <c r="E2445" s="48">
        <v>400792</v>
      </c>
      <c r="F2445" s="30" t="s">
        <v>2684</v>
      </c>
      <c r="G2445" s="29" t="s">
        <v>75</v>
      </c>
      <c r="H2445" s="30" t="s">
        <v>2581</v>
      </c>
      <c r="I2445" s="78"/>
      <c r="J2445" s="20"/>
      <c r="K2445" s="20"/>
      <c r="L2445" s="20"/>
      <c r="M2445" s="20"/>
      <c r="N2445" s="179" t="s">
        <v>502</v>
      </c>
      <c r="O2445" s="70">
        <v>0</v>
      </c>
      <c r="P2445" s="70">
        <v>0</v>
      </c>
      <c r="Q2445" s="70">
        <f t="shared" si="211"/>
        <v>0</v>
      </c>
      <c r="R2445" s="70"/>
      <c r="S2445" s="67"/>
      <c r="T2445" s="2" t="str">
        <f t="shared" si="212"/>
        <v>Võ Trần Như Ý_12VH6</v>
      </c>
      <c r="U2445" s="28">
        <f t="array" ref="U2445">IFERROR(VLOOKUP($T2445,'Nghi hoc T12'!$H$7:$I$160,2,0),0)</f>
        <v>0</v>
      </c>
      <c r="V2445" s="28"/>
      <c r="W2445" s="28">
        <f t="shared" si="213"/>
        <v>0</v>
      </c>
      <c r="X2445" s="333">
        <f t="shared" si="214"/>
        <v>0</v>
      </c>
      <c r="Y2445" s="333">
        <f t="shared" si="215"/>
        <v>0</v>
      </c>
    </row>
    <row r="2446" spans="1:25" s="2" customFormat="1" ht="21.95" customHeight="1">
      <c r="A2446" s="321">
        <v>1</v>
      </c>
      <c r="B2446" s="91" t="str">
        <f t="shared" si="216"/>
        <v>HT2-1.C</v>
      </c>
      <c r="C2446" s="185" t="s">
        <v>366</v>
      </c>
      <c r="D2446" s="186" t="s">
        <v>3009</v>
      </c>
      <c r="E2446" s="187">
        <v>500001</v>
      </c>
      <c r="F2446" s="188" t="s">
        <v>2687</v>
      </c>
      <c r="G2446" s="189" t="s">
        <v>2688</v>
      </c>
      <c r="H2446" s="188" t="s">
        <v>2996</v>
      </c>
      <c r="I2446" s="190"/>
      <c r="J2446" s="191"/>
      <c r="K2446" s="191"/>
      <c r="L2446" s="191"/>
      <c r="M2446" s="191"/>
      <c r="N2446" s="320" t="s">
        <v>2685</v>
      </c>
      <c r="O2446" s="70">
        <v>0</v>
      </c>
      <c r="P2446" s="70">
        <v>0</v>
      </c>
      <c r="Q2446" s="70">
        <f t="shared" si="211"/>
        <v>0</v>
      </c>
      <c r="R2446" s="70"/>
      <c r="S2446" s="67"/>
      <c r="T2446" s="2" t="str">
        <f t="shared" si="212"/>
        <v>Trần Ngọc Nhân Ái_10KT1</v>
      </c>
      <c r="U2446" s="28">
        <f t="array" ref="U2446">IFERROR(VLOOKUP($T2446,'Nghi hoc T12'!$H$7:$I$160,2,0),0)</f>
        <v>0</v>
      </c>
      <c r="V2446" s="28"/>
      <c r="W2446" s="28">
        <f t="shared" si="213"/>
        <v>0</v>
      </c>
      <c r="X2446" s="333">
        <f t="shared" si="214"/>
        <v>0</v>
      </c>
      <c r="Y2446" s="333">
        <f t="shared" si="215"/>
        <v>0</v>
      </c>
    </row>
    <row r="2447" spans="1:25" s="2" customFormat="1" ht="21.95" customHeight="1">
      <c r="A2447" s="82">
        <v>2</v>
      </c>
      <c r="B2447" s="91" t="str">
        <f t="shared" si="216"/>
        <v>HT2-1.C</v>
      </c>
      <c r="C2447" s="83" t="s">
        <v>366</v>
      </c>
      <c r="D2447" s="81" t="s">
        <v>3009</v>
      </c>
      <c r="E2447" s="48">
        <v>500002</v>
      </c>
      <c r="F2447" s="30" t="s">
        <v>2689</v>
      </c>
      <c r="G2447" s="29" t="s">
        <v>63</v>
      </c>
      <c r="H2447" s="30" t="s">
        <v>2997</v>
      </c>
      <c r="I2447" s="78"/>
      <c r="J2447" s="20"/>
      <c r="K2447" s="20"/>
      <c r="L2447" s="20"/>
      <c r="M2447" s="20"/>
      <c r="N2447" s="320" t="s">
        <v>2685</v>
      </c>
      <c r="O2447" s="70">
        <v>0</v>
      </c>
      <c r="P2447" s="70">
        <v>0</v>
      </c>
      <c r="Q2447" s="70">
        <f t="shared" si="211"/>
        <v>0</v>
      </c>
      <c r="R2447" s="70"/>
      <c r="S2447" s="67"/>
      <c r="T2447" s="2" t="str">
        <f t="shared" si="212"/>
        <v>Đàm Ngọc Mỹ An_10KT2</v>
      </c>
      <c r="U2447" s="28">
        <f t="array" ref="U2447">IFERROR(VLOOKUP($T2447,'Nghi hoc T12'!$H$7:$I$160,2,0),0)</f>
        <v>0</v>
      </c>
      <c r="V2447" s="28"/>
      <c r="W2447" s="28">
        <f t="shared" si="213"/>
        <v>0</v>
      </c>
      <c r="X2447" s="333">
        <f t="shared" si="214"/>
        <v>0</v>
      </c>
      <c r="Y2447" s="333">
        <f t="shared" si="215"/>
        <v>0</v>
      </c>
    </row>
    <row r="2448" spans="1:25" s="2" customFormat="1" ht="21.95" customHeight="1">
      <c r="A2448" s="82">
        <v>3</v>
      </c>
      <c r="B2448" s="91" t="str">
        <f t="shared" si="216"/>
        <v>HT2-1.C</v>
      </c>
      <c r="C2448" s="83" t="s">
        <v>366</v>
      </c>
      <c r="D2448" s="81" t="s">
        <v>3009</v>
      </c>
      <c r="E2448" s="48">
        <v>500003</v>
      </c>
      <c r="F2448" s="30" t="s">
        <v>2690</v>
      </c>
      <c r="G2448" s="29" t="s">
        <v>63</v>
      </c>
      <c r="H2448" s="30" t="s">
        <v>2996</v>
      </c>
      <c r="I2448" s="78"/>
      <c r="J2448" s="20"/>
      <c r="K2448" s="20"/>
      <c r="L2448" s="20"/>
      <c r="M2448" s="20"/>
      <c r="N2448" s="320" t="s">
        <v>2685</v>
      </c>
      <c r="O2448" s="70">
        <v>0</v>
      </c>
      <c r="P2448" s="70">
        <v>0</v>
      </c>
      <c r="Q2448" s="70">
        <f t="shared" si="211"/>
        <v>0</v>
      </c>
      <c r="R2448" s="70"/>
      <c r="S2448" s="67"/>
      <c r="T2448" s="2" t="str">
        <f t="shared" si="212"/>
        <v>Huỳnh Nhựt An_10KT1</v>
      </c>
      <c r="U2448" s="28">
        <f t="array" ref="U2448">IFERROR(VLOOKUP($T2448,'Nghi hoc T12'!$H$7:$I$160,2,0),0)</f>
        <v>0</v>
      </c>
      <c r="V2448" s="28"/>
      <c r="W2448" s="28">
        <f t="shared" si="213"/>
        <v>0</v>
      </c>
      <c r="X2448" s="333">
        <f t="shared" si="214"/>
        <v>0</v>
      </c>
      <c r="Y2448" s="333">
        <f t="shared" si="215"/>
        <v>0</v>
      </c>
    </row>
    <row r="2449" spans="1:25" s="2" customFormat="1" ht="21.95" customHeight="1">
      <c r="A2449" s="82">
        <v>4</v>
      </c>
      <c r="B2449" s="91" t="str">
        <f t="shared" si="216"/>
        <v>HT2-1.C</v>
      </c>
      <c r="C2449" s="83" t="s">
        <v>366</v>
      </c>
      <c r="D2449" s="81" t="s">
        <v>3009</v>
      </c>
      <c r="E2449" s="48">
        <v>500004</v>
      </c>
      <c r="F2449" s="30" t="s">
        <v>1738</v>
      </c>
      <c r="G2449" s="29" t="s">
        <v>63</v>
      </c>
      <c r="H2449" s="30" t="s">
        <v>2998</v>
      </c>
      <c r="I2449" s="78"/>
      <c r="J2449" s="20"/>
      <c r="K2449" s="20"/>
      <c r="L2449" s="20"/>
      <c r="M2449" s="20"/>
      <c r="N2449" s="320" t="s">
        <v>2685</v>
      </c>
      <c r="O2449" s="70">
        <v>0</v>
      </c>
      <c r="P2449" s="70">
        <v>0</v>
      </c>
      <c r="Q2449" s="70">
        <f t="shared" si="211"/>
        <v>0</v>
      </c>
      <c r="R2449" s="70"/>
      <c r="S2449" s="67"/>
      <c r="T2449" s="2" t="str">
        <f t="shared" si="212"/>
        <v>Trần Trọng An_10KT3</v>
      </c>
      <c r="U2449" s="28">
        <f t="array" ref="U2449">IFERROR(VLOOKUP($T2449,'Nghi hoc T12'!$H$7:$I$160,2,0),0)</f>
        <v>0</v>
      </c>
      <c r="V2449" s="28"/>
      <c r="W2449" s="28">
        <f t="shared" si="213"/>
        <v>0</v>
      </c>
      <c r="X2449" s="333">
        <f t="shared" si="214"/>
        <v>0</v>
      </c>
      <c r="Y2449" s="333">
        <f t="shared" si="215"/>
        <v>0</v>
      </c>
    </row>
    <row r="2450" spans="1:25" s="2" customFormat="1" ht="21.95" customHeight="1">
      <c r="A2450" s="82">
        <v>5</v>
      </c>
      <c r="B2450" s="91" t="str">
        <f t="shared" si="216"/>
        <v>HT2-1.C</v>
      </c>
      <c r="C2450" s="83" t="s">
        <v>366</v>
      </c>
      <c r="D2450" s="81" t="s">
        <v>3009</v>
      </c>
      <c r="E2450" s="48">
        <v>500005</v>
      </c>
      <c r="F2450" s="30" t="s">
        <v>1786</v>
      </c>
      <c r="G2450" s="29" t="s">
        <v>63</v>
      </c>
      <c r="H2450" s="30" t="s">
        <v>2997</v>
      </c>
      <c r="I2450" s="78"/>
      <c r="J2450" s="20"/>
      <c r="K2450" s="20"/>
      <c r="L2450" s="20"/>
      <c r="M2450" s="20"/>
      <c r="N2450" s="320" t="s">
        <v>2685</v>
      </c>
      <c r="O2450" s="70">
        <v>0</v>
      </c>
      <c r="P2450" s="70">
        <v>0</v>
      </c>
      <c r="Q2450" s="70">
        <f t="shared" si="211"/>
        <v>0</v>
      </c>
      <c r="R2450" s="70"/>
      <c r="S2450" s="67"/>
      <c r="T2450" s="2" t="str">
        <f t="shared" si="212"/>
        <v>Trần Xuân An_10KT2</v>
      </c>
      <c r="U2450" s="28">
        <f t="array" ref="U2450">IFERROR(VLOOKUP($T2450,'Nghi hoc T12'!$H$7:$I$160,2,0),0)</f>
        <v>0</v>
      </c>
      <c r="V2450" s="28"/>
      <c r="W2450" s="28">
        <f t="shared" si="213"/>
        <v>0</v>
      </c>
      <c r="X2450" s="333">
        <f t="shared" si="214"/>
        <v>0</v>
      </c>
      <c r="Y2450" s="333">
        <f t="shared" si="215"/>
        <v>0</v>
      </c>
    </row>
    <row r="2451" spans="1:25" s="2" customFormat="1" ht="21.95" customHeight="1">
      <c r="A2451" s="82">
        <v>6</v>
      </c>
      <c r="B2451" s="91" t="str">
        <f t="shared" si="216"/>
        <v>HT2-1.C</v>
      </c>
      <c r="C2451" s="83" t="s">
        <v>366</v>
      </c>
      <c r="D2451" s="81" t="s">
        <v>3009</v>
      </c>
      <c r="E2451" s="48">
        <v>500006</v>
      </c>
      <c r="F2451" s="30" t="s">
        <v>326</v>
      </c>
      <c r="G2451" s="29" t="s">
        <v>5</v>
      </c>
      <c r="H2451" s="30" t="s">
        <v>2996</v>
      </c>
      <c r="I2451" s="78"/>
      <c r="J2451" s="20"/>
      <c r="K2451" s="20"/>
      <c r="L2451" s="20"/>
      <c r="M2451" s="20"/>
      <c r="N2451" s="320" t="s">
        <v>2685</v>
      </c>
      <c r="O2451" s="70">
        <v>0</v>
      </c>
      <c r="P2451" s="70">
        <v>0</v>
      </c>
      <c r="Q2451" s="70">
        <f t="shared" si="211"/>
        <v>0</v>
      </c>
      <c r="R2451" s="70"/>
      <c r="S2451" s="67"/>
      <c r="T2451" s="2" t="str">
        <f t="shared" si="212"/>
        <v>Ngô Văn Anh_10KT1</v>
      </c>
      <c r="U2451" s="28">
        <f t="array" ref="U2451">IFERROR(VLOOKUP($T2451,'Nghi hoc T12'!$H$7:$I$160,2,0),0)</f>
        <v>0</v>
      </c>
      <c r="V2451" s="28"/>
      <c r="W2451" s="28">
        <f t="shared" si="213"/>
        <v>0</v>
      </c>
      <c r="X2451" s="333">
        <f t="shared" si="214"/>
        <v>0</v>
      </c>
      <c r="Y2451" s="333">
        <f t="shared" si="215"/>
        <v>0</v>
      </c>
    </row>
    <row r="2452" spans="1:25" s="2" customFormat="1" ht="21.95" customHeight="1">
      <c r="A2452" s="82">
        <v>7</v>
      </c>
      <c r="B2452" s="91" t="str">
        <f t="shared" si="216"/>
        <v>HT2-1.C</v>
      </c>
      <c r="C2452" s="83" t="s">
        <v>366</v>
      </c>
      <c r="D2452" s="81" t="s">
        <v>3009</v>
      </c>
      <c r="E2452" s="48">
        <v>500007</v>
      </c>
      <c r="F2452" s="30" t="s">
        <v>184</v>
      </c>
      <c r="G2452" s="29" t="s">
        <v>5</v>
      </c>
      <c r="H2452" s="30" t="s">
        <v>2998</v>
      </c>
      <c r="I2452" s="78"/>
      <c r="J2452" s="20"/>
      <c r="K2452" s="20"/>
      <c r="L2452" s="20"/>
      <c r="M2452" s="20"/>
      <c r="N2452" s="320" t="s">
        <v>2685</v>
      </c>
      <c r="O2452" s="70">
        <v>0</v>
      </c>
      <c r="P2452" s="70">
        <v>0</v>
      </c>
      <c r="Q2452" s="70">
        <f t="shared" si="211"/>
        <v>0</v>
      </c>
      <c r="R2452" s="70"/>
      <c r="S2452" s="67"/>
      <c r="T2452" s="2" t="str">
        <f t="shared" si="212"/>
        <v>Nguyễn Duy Anh_10KT3</v>
      </c>
      <c r="U2452" s="28">
        <f t="array" ref="U2452">IFERROR(VLOOKUP($T2452,'Nghi hoc T12'!$H$7:$I$160,2,0),0)</f>
        <v>0</v>
      </c>
      <c r="V2452" s="28"/>
      <c r="W2452" s="28">
        <f t="shared" si="213"/>
        <v>0</v>
      </c>
      <c r="X2452" s="333">
        <f t="shared" si="214"/>
        <v>0</v>
      </c>
      <c r="Y2452" s="333">
        <f t="shared" si="215"/>
        <v>0</v>
      </c>
    </row>
    <row r="2453" spans="1:25" s="2" customFormat="1" ht="21.95" customHeight="1">
      <c r="A2453" s="82">
        <v>8</v>
      </c>
      <c r="B2453" s="91" t="str">
        <f t="shared" si="216"/>
        <v>HT2-1.C</v>
      </c>
      <c r="C2453" s="83" t="s">
        <v>366</v>
      </c>
      <c r="D2453" s="81" t="s">
        <v>3009</v>
      </c>
      <c r="E2453" s="48">
        <v>500008</v>
      </c>
      <c r="F2453" s="30" t="s">
        <v>151</v>
      </c>
      <c r="G2453" s="29" t="s">
        <v>5</v>
      </c>
      <c r="H2453" s="30" t="s">
        <v>2999</v>
      </c>
      <c r="I2453" s="78"/>
      <c r="J2453" s="20"/>
      <c r="K2453" s="20"/>
      <c r="L2453" s="20"/>
      <c r="M2453" s="20"/>
      <c r="N2453" s="320" t="s">
        <v>2685</v>
      </c>
      <c r="O2453" s="70">
        <v>0</v>
      </c>
      <c r="P2453" s="70">
        <v>0</v>
      </c>
      <c r="Q2453" s="70">
        <f t="shared" si="211"/>
        <v>0</v>
      </c>
      <c r="R2453" s="70"/>
      <c r="S2453" s="67"/>
      <c r="T2453" s="2" t="str">
        <f t="shared" si="212"/>
        <v>Nguyễn Hoàng Anh_10KT4</v>
      </c>
      <c r="U2453" s="28">
        <f t="array" ref="U2453">IFERROR(VLOOKUP($T2453,'Nghi hoc T12'!$H$7:$I$160,2,0),0)</f>
        <v>0</v>
      </c>
      <c r="V2453" s="28"/>
      <c r="W2453" s="28">
        <f t="shared" si="213"/>
        <v>0</v>
      </c>
      <c r="X2453" s="333">
        <f t="shared" si="214"/>
        <v>0</v>
      </c>
      <c r="Y2453" s="333">
        <f t="shared" si="215"/>
        <v>0</v>
      </c>
    </row>
    <row r="2454" spans="1:25" s="2" customFormat="1" ht="21.95" customHeight="1">
      <c r="A2454" s="82">
        <v>9</v>
      </c>
      <c r="B2454" s="91" t="str">
        <f t="shared" si="216"/>
        <v>HT2-1.C</v>
      </c>
      <c r="C2454" s="83" t="s">
        <v>366</v>
      </c>
      <c r="D2454" s="81" t="s">
        <v>3009</v>
      </c>
      <c r="E2454" s="48">
        <v>500009</v>
      </c>
      <c r="F2454" s="30" t="s">
        <v>2691</v>
      </c>
      <c r="G2454" s="29" t="s">
        <v>5</v>
      </c>
      <c r="H2454" s="30" t="s">
        <v>2999</v>
      </c>
      <c r="I2454" s="78"/>
      <c r="J2454" s="20"/>
      <c r="K2454" s="20"/>
      <c r="L2454" s="20"/>
      <c r="M2454" s="20"/>
      <c r="N2454" s="320" t="s">
        <v>2685</v>
      </c>
      <c r="O2454" s="70">
        <v>0</v>
      </c>
      <c r="P2454" s="70">
        <v>0</v>
      </c>
      <c r="Q2454" s="70">
        <f t="shared" si="211"/>
        <v>0</v>
      </c>
      <c r="R2454" s="70"/>
      <c r="S2454" s="67"/>
      <c r="T2454" s="2" t="str">
        <f t="shared" si="212"/>
        <v>Nguyễn Ngọc Trâm Anh_10KT4</v>
      </c>
      <c r="U2454" s="28">
        <f t="array" ref="U2454">IFERROR(VLOOKUP($T2454,'Nghi hoc T12'!$H$7:$I$160,2,0),0)</f>
        <v>0</v>
      </c>
      <c r="V2454" s="28"/>
      <c r="W2454" s="28">
        <f t="shared" si="213"/>
        <v>0</v>
      </c>
      <c r="X2454" s="333">
        <f t="shared" si="214"/>
        <v>0</v>
      </c>
      <c r="Y2454" s="333">
        <f t="shared" si="215"/>
        <v>0</v>
      </c>
    </row>
    <row r="2455" spans="1:25" s="2" customFormat="1" ht="21.95" customHeight="1">
      <c r="A2455" s="82">
        <v>10</v>
      </c>
      <c r="B2455" s="91" t="str">
        <f t="shared" si="216"/>
        <v>HT2-1.C</v>
      </c>
      <c r="C2455" s="83" t="s">
        <v>366</v>
      </c>
      <c r="D2455" s="81" t="s">
        <v>3009</v>
      </c>
      <c r="E2455" s="48">
        <v>500010</v>
      </c>
      <c r="F2455" s="30" t="s">
        <v>315</v>
      </c>
      <c r="G2455" s="29" t="s">
        <v>5</v>
      </c>
      <c r="H2455" s="30" t="s">
        <v>2997</v>
      </c>
      <c r="I2455" s="78"/>
      <c r="J2455" s="20"/>
      <c r="K2455" s="20"/>
      <c r="L2455" s="20"/>
      <c r="M2455" s="20"/>
      <c r="N2455" s="320" t="s">
        <v>2685</v>
      </c>
      <c r="O2455" s="70">
        <v>0</v>
      </c>
      <c r="P2455" s="70">
        <v>0</v>
      </c>
      <c r="Q2455" s="70">
        <f t="shared" si="211"/>
        <v>0</v>
      </c>
      <c r="R2455" s="70"/>
      <c r="S2455" s="67"/>
      <c r="T2455" s="2" t="str">
        <f t="shared" si="212"/>
        <v>Nguyễn Tuấn Anh_10KT2</v>
      </c>
      <c r="U2455" s="28">
        <f t="array" ref="U2455">IFERROR(VLOOKUP($T2455,'Nghi hoc T12'!$H$7:$I$160,2,0),0)</f>
        <v>0</v>
      </c>
      <c r="V2455" s="28"/>
      <c r="W2455" s="28">
        <f t="shared" si="213"/>
        <v>0</v>
      </c>
      <c r="X2455" s="333">
        <f t="shared" si="214"/>
        <v>0</v>
      </c>
      <c r="Y2455" s="333">
        <f t="shared" si="215"/>
        <v>0</v>
      </c>
    </row>
    <row r="2456" spans="1:25" s="2" customFormat="1" ht="21.95" customHeight="1">
      <c r="A2456" s="82">
        <v>11</v>
      </c>
      <c r="B2456" s="91" t="str">
        <f t="shared" si="216"/>
        <v>HT2-1.C</v>
      </c>
      <c r="C2456" s="83" t="s">
        <v>366</v>
      </c>
      <c r="D2456" s="81" t="s">
        <v>3009</v>
      </c>
      <c r="E2456" s="48">
        <v>500011</v>
      </c>
      <c r="F2456" s="30" t="s">
        <v>314</v>
      </c>
      <c r="G2456" s="29" t="s">
        <v>5</v>
      </c>
      <c r="H2456" s="30" t="s">
        <v>2998</v>
      </c>
      <c r="I2456" s="78"/>
      <c r="J2456" s="20"/>
      <c r="K2456" s="20"/>
      <c r="L2456" s="20"/>
      <c r="M2456" s="20"/>
      <c r="N2456" s="320" t="s">
        <v>2685</v>
      </c>
      <c r="O2456" s="70">
        <v>0</v>
      </c>
      <c r="P2456" s="70">
        <v>0</v>
      </c>
      <c r="Q2456" s="70">
        <f t="shared" si="211"/>
        <v>0</v>
      </c>
      <c r="R2456" s="70"/>
      <c r="S2456" s="67"/>
      <c r="T2456" s="2" t="str">
        <f t="shared" si="212"/>
        <v>Phạm Minh Anh_10KT3</v>
      </c>
      <c r="U2456" s="28">
        <f t="array" ref="U2456">IFERROR(VLOOKUP($T2456,'Nghi hoc T12'!$H$7:$I$160,2,0),0)</f>
        <v>0</v>
      </c>
      <c r="V2456" s="28"/>
      <c r="W2456" s="28">
        <f t="shared" si="213"/>
        <v>0</v>
      </c>
      <c r="X2456" s="333">
        <f t="shared" si="214"/>
        <v>0</v>
      </c>
      <c r="Y2456" s="333">
        <f t="shared" si="215"/>
        <v>0</v>
      </c>
    </row>
    <row r="2457" spans="1:25" s="2" customFormat="1" ht="21.95" customHeight="1">
      <c r="A2457" s="82">
        <v>12</v>
      </c>
      <c r="B2457" s="91" t="str">
        <f t="shared" si="216"/>
        <v>HT2-1.C</v>
      </c>
      <c r="C2457" s="83" t="s">
        <v>366</v>
      </c>
      <c r="D2457" s="81" t="s">
        <v>3009</v>
      </c>
      <c r="E2457" s="48">
        <v>500012</v>
      </c>
      <c r="F2457" s="30" t="s">
        <v>2692</v>
      </c>
      <c r="G2457" s="29" t="s">
        <v>76</v>
      </c>
      <c r="H2457" s="30" t="s">
        <v>2998</v>
      </c>
      <c r="I2457" s="78"/>
      <c r="J2457" s="20"/>
      <c r="K2457" s="20"/>
      <c r="L2457" s="20"/>
      <c r="M2457" s="20"/>
      <c r="N2457" s="320" t="s">
        <v>2685</v>
      </c>
      <c r="O2457" s="70">
        <v>0</v>
      </c>
      <c r="P2457" s="70">
        <v>0</v>
      </c>
      <c r="Q2457" s="70">
        <f t="shared" si="211"/>
        <v>0</v>
      </c>
      <c r="R2457" s="70"/>
      <c r="S2457" s="67"/>
      <c r="T2457" s="2" t="str">
        <f t="shared" si="212"/>
        <v>Nguyễn Dương Ngọc Ánh_10KT3</v>
      </c>
      <c r="U2457" s="28">
        <f t="array" ref="U2457">IFERROR(VLOOKUP($T2457,'Nghi hoc T12'!$H$7:$I$160,2,0),0)</f>
        <v>0</v>
      </c>
      <c r="V2457" s="28"/>
      <c r="W2457" s="28">
        <f t="shared" si="213"/>
        <v>0</v>
      </c>
      <c r="X2457" s="333">
        <f t="shared" si="214"/>
        <v>0</v>
      </c>
      <c r="Y2457" s="333">
        <f t="shared" si="215"/>
        <v>0</v>
      </c>
    </row>
    <row r="2458" spans="1:25" s="2" customFormat="1" ht="21.95" customHeight="1">
      <c r="A2458" s="82">
        <v>13</v>
      </c>
      <c r="B2458" s="91" t="str">
        <f t="shared" si="216"/>
        <v>HT2-1.C</v>
      </c>
      <c r="C2458" s="83" t="s">
        <v>366</v>
      </c>
      <c r="D2458" s="81" t="s">
        <v>3009</v>
      </c>
      <c r="E2458" s="48">
        <v>500013</v>
      </c>
      <c r="F2458" s="30" t="s">
        <v>2693</v>
      </c>
      <c r="G2458" s="29" t="s">
        <v>108</v>
      </c>
      <c r="H2458" s="30" t="s">
        <v>2999</v>
      </c>
      <c r="I2458" s="78"/>
      <c r="J2458" s="20"/>
      <c r="K2458" s="20"/>
      <c r="L2458" s="20"/>
      <c r="M2458" s="20"/>
      <c r="N2458" s="320" t="s">
        <v>2685</v>
      </c>
      <c r="O2458" s="70">
        <v>0</v>
      </c>
      <c r="P2458" s="70">
        <v>0</v>
      </c>
      <c r="Q2458" s="70">
        <f t="shared" si="211"/>
        <v>0</v>
      </c>
      <c r="R2458" s="70"/>
      <c r="S2458" s="67"/>
      <c r="T2458" s="2" t="str">
        <f t="shared" si="212"/>
        <v>Nguyễn Trần Thiên Ân_10KT4</v>
      </c>
      <c r="U2458" s="28">
        <f t="array" ref="U2458">IFERROR(VLOOKUP($T2458,'Nghi hoc T12'!$H$7:$I$160,2,0),0)</f>
        <v>0</v>
      </c>
      <c r="V2458" s="28"/>
      <c r="W2458" s="28">
        <f t="shared" si="213"/>
        <v>0</v>
      </c>
      <c r="X2458" s="333">
        <f t="shared" si="214"/>
        <v>0</v>
      </c>
      <c r="Y2458" s="333">
        <f t="shared" si="215"/>
        <v>0</v>
      </c>
    </row>
    <row r="2459" spans="1:25" s="2" customFormat="1" ht="21.95" customHeight="1">
      <c r="A2459" s="82">
        <v>14</v>
      </c>
      <c r="B2459" s="91" t="str">
        <f t="shared" si="216"/>
        <v>HT2-1.C</v>
      </c>
      <c r="C2459" s="83" t="s">
        <v>366</v>
      </c>
      <c r="D2459" s="81" t="s">
        <v>3009</v>
      </c>
      <c r="E2459" s="48">
        <v>500014</v>
      </c>
      <c r="F2459" s="30" t="s">
        <v>2694</v>
      </c>
      <c r="G2459" s="29" t="s">
        <v>83</v>
      </c>
      <c r="H2459" s="30" t="s">
        <v>2996</v>
      </c>
      <c r="I2459" s="78"/>
      <c r="J2459" s="20"/>
      <c r="K2459" s="20"/>
      <c r="L2459" s="20"/>
      <c r="M2459" s="20"/>
      <c r="N2459" s="320" t="s">
        <v>2685</v>
      </c>
      <c r="O2459" s="70">
        <v>0</v>
      </c>
      <c r="P2459" s="70">
        <v>0</v>
      </c>
      <c r="Q2459" s="70">
        <f t="shared" si="211"/>
        <v>0</v>
      </c>
      <c r="R2459" s="70"/>
      <c r="S2459" s="67"/>
      <c r="T2459" s="2" t="str">
        <f t="shared" si="212"/>
        <v>Lê Xuân Gia Bảo_10KT1</v>
      </c>
      <c r="U2459" s="28">
        <f t="array" ref="U2459">IFERROR(VLOOKUP($T2459,'Nghi hoc T12'!$H$7:$I$160,2,0),0)</f>
        <v>0</v>
      </c>
      <c r="V2459" s="28"/>
      <c r="W2459" s="28">
        <f t="shared" si="213"/>
        <v>0</v>
      </c>
      <c r="X2459" s="333">
        <f t="shared" si="214"/>
        <v>0</v>
      </c>
      <c r="Y2459" s="333">
        <f t="shared" si="215"/>
        <v>0</v>
      </c>
    </row>
    <row r="2460" spans="1:25" s="2" customFormat="1" ht="21.95" customHeight="1">
      <c r="A2460" s="82">
        <v>15</v>
      </c>
      <c r="B2460" s="91" t="str">
        <f t="shared" si="216"/>
        <v>HT2-1.C</v>
      </c>
      <c r="C2460" s="83" t="s">
        <v>366</v>
      </c>
      <c r="D2460" s="81" t="s">
        <v>3009</v>
      </c>
      <c r="E2460" s="48">
        <v>500015</v>
      </c>
      <c r="F2460" s="30" t="s">
        <v>2695</v>
      </c>
      <c r="G2460" s="29" t="s">
        <v>83</v>
      </c>
      <c r="H2460" s="30" t="s">
        <v>2997</v>
      </c>
      <c r="I2460" s="78"/>
      <c r="J2460" s="20"/>
      <c r="K2460" s="20"/>
      <c r="L2460" s="20"/>
      <c r="M2460" s="20"/>
      <c r="N2460" s="320" t="s">
        <v>2685</v>
      </c>
      <c r="O2460" s="70">
        <v>0</v>
      </c>
      <c r="P2460" s="70">
        <v>0</v>
      </c>
      <c r="Q2460" s="70">
        <f t="shared" si="211"/>
        <v>0</v>
      </c>
      <c r="R2460" s="70"/>
      <c r="S2460" s="67"/>
      <c r="T2460" s="2" t="str">
        <f t="shared" si="212"/>
        <v>Nguyễn Trịnh Quốc Bảo_10KT2</v>
      </c>
      <c r="U2460" s="28">
        <f t="array" ref="U2460">IFERROR(VLOOKUP($T2460,'Nghi hoc T12'!$H$7:$I$160,2,0),0)</f>
        <v>0</v>
      </c>
      <c r="V2460" s="28"/>
      <c r="W2460" s="28">
        <f t="shared" si="213"/>
        <v>0</v>
      </c>
      <c r="X2460" s="333">
        <f t="shared" si="214"/>
        <v>0</v>
      </c>
      <c r="Y2460" s="333">
        <f t="shared" si="215"/>
        <v>0</v>
      </c>
    </row>
    <row r="2461" spans="1:25" s="2" customFormat="1" ht="21.95" customHeight="1">
      <c r="A2461" s="82">
        <v>16</v>
      </c>
      <c r="B2461" s="91" t="str">
        <f t="shared" si="216"/>
        <v>HT2-1.C</v>
      </c>
      <c r="C2461" s="83" t="s">
        <v>366</v>
      </c>
      <c r="D2461" s="81" t="s">
        <v>3009</v>
      </c>
      <c r="E2461" s="48">
        <v>500016</v>
      </c>
      <c r="F2461" s="30" t="s">
        <v>1574</v>
      </c>
      <c r="G2461" s="29" t="s">
        <v>83</v>
      </c>
      <c r="H2461" s="30" t="s">
        <v>2999</v>
      </c>
      <c r="I2461" s="78"/>
      <c r="J2461" s="20"/>
      <c r="K2461" s="20"/>
      <c r="L2461" s="20"/>
      <c r="M2461" s="20"/>
      <c r="N2461" s="320" t="s">
        <v>2685</v>
      </c>
      <c r="O2461" s="70">
        <v>0</v>
      </c>
      <c r="P2461" s="70">
        <v>0</v>
      </c>
      <c r="Q2461" s="70">
        <f t="shared" si="211"/>
        <v>0</v>
      </c>
      <c r="R2461" s="70"/>
      <c r="S2461" s="67"/>
      <c r="T2461" s="2" t="str">
        <f t="shared" si="212"/>
        <v>Phan Gia Bảo_10KT4</v>
      </c>
      <c r="U2461" s="28">
        <f t="array" ref="U2461">IFERROR(VLOOKUP($T2461,'Nghi hoc T12'!$H$7:$I$160,2,0),0)</f>
        <v>0</v>
      </c>
      <c r="V2461" s="28"/>
      <c r="W2461" s="28">
        <f t="shared" si="213"/>
        <v>0</v>
      </c>
      <c r="X2461" s="333">
        <f t="shared" si="214"/>
        <v>0</v>
      </c>
      <c r="Y2461" s="333">
        <f t="shared" si="215"/>
        <v>0</v>
      </c>
    </row>
    <row r="2462" spans="1:25" s="2" customFormat="1" ht="21.95" customHeight="1">
      <c r="A2462" s="82">
        <v>17</v>
      </c>
      <c r="B2462" s="91" t="str">
        <f t="shared" si="216"/>
        <v>HT2-1.C</v>
      </c>
      <c r="C2462" s="83" t="s">
        <v>366</v>
      </c>
      <c r="D2462" s="81" t="s">
        <v>3009</v>
      </c>
      <c r="E2462" s="48">
        <v>500017</v>
      </c>
      <c r="F2462" s="30" t="s">
        <v>196</v>
      </c>
      <c r="G2462" s="29" t="s">
        <v>83</v>
      </c>
      <c r="H2462" s="30" t="s">
        <v>2998</v>
      </c>
      <c r="I2462" s="78"/>
      <c r="J2462" s="20"/>
      <c r="K2462" s="20"/>
      <c r="L2462" s="20"/>
      <c r="M2462" s="20"/>
      <c r="N2462" s="320" t="s">
        <v>2685</v>
      </c>
      <c r="O2462" s="70">
        <v>0</v>
      </c>
      <c r="P2462" s="70">
        <v>0</v>
      </c>
      <c r="Q2462" s="70">
        <f t="shared" si="211"/>
        <v>0</v>
      </c>
      <c r="R2462" s="70"/>
      <c r="S2462" s="67"/>
      <c r="T2462" s="2" t="str">
        <f t="shared" si="212"/>
        <v>Trần Gia Bảo_10KT3</v>
      </c>
      <c r="U2462" s="28">
        <f t="array" ref="U2462">IFERROR(VLOOKUP($T2462,'Nghi hoc T12'!$H$7:$I$160,2,0),0)</f>
        <v>0</v>
      </c>
      <c r="V2462" s="28"/>
      <c r="W2462" s="28">
        <f t="shared" si="213"/>
        <v>0</v>
      </c>
      <c r="X2462" s="333">
        <f t="shared" si="214"/>
        <v>0</v>
      </c>
      <c r="Y2462" s="333">
        <f t="shared" si="215"/>
        <v>0</v>
      </c>
    </row>
    <row r="2463" spans="1:25" s="2" customFormat="1" ht="21.95" customHeight="1">
      <c r="A2463" s="82">
        <v>18</v>
      </c>
      <c r="B2463" s="91" t="str">
        <f t="shared" si="216"/>
        <v>HT2-1.C</v>
      </c>
      <c r="C2463" s="83" t="s">
        <v>366</v>
      </c>
      <c r="D2463" s="81" t="s">
        <v>3009</v>
      </c>
      <c r="E2463" s="48">
        <v>500018</v>
      </c>
      <c r="F2463" s="30" t="s">
        <v>2696</v>
      </c>
      <c r="G2463" s="29" t="s">
        <v>1183</v>
      </c>
      <c r="H2463" s="30" t="s">
        <v>2996</v>
      </c>
      <c r="I2463" s="78"/>
      <c r="J2463" s="20"/>
      <c r="K2463" s="20"/>
      <c r="L2463" s="20"/>
      <c r="M2463" s="20"/>
      <c r="N2463" s="320" t="s">
        <v>2685</v>
      </c>
      <c r="O2463" s="70">
        <v>0</v>
      </c>
      <c r="P2463" s="70">
        <v>0</v>
      </c>
      <c r="Q2463" s="70">
        <f t="shared" si="211"/>
        <v>0</v>
      </c>
      <c r="R2463" s="70"/>
      <c r="S2463" s="67"/>
      <c r="T2463" s="2" t="str">
        <f t="shared" si="212"/>
        <v>Thái Băng Băng_10KT1</v>
      </c>
      <c r="U2463" s="28">
        <f t="array" ref="U2463">IFERROR(VLOOKUP($T2463,'Nghi hoc T12'!$H$7:$I$160,2,0),0)</f>
        <v>0</v>
      </c>
      <c r="V2463" s="28"/>
      <c r="W2463" s="28">
        <f t="shared" si="213"/>
        <v>0</v>
      </c>
      <c r="X2463" s="333">
        <f t="shared" si="214"/>
        <v>0</v>
      </c>
      <c r="Y2463" s="333">
        <f t="shared" si="215"/>
        <v>0</v>
      </c>
    </row>
    <row r="2464" spans="1:25" s="2" customFormat="1" ht="21.95" customHeight="1">
      <c r="A2464" s="82">
        <v>19</v>
      </c>
      <c r="B2464" s="91" t="str">
        <f t="shared" si="216"/>
        <v>HT2-1.C</v>
      </c>
      <c r="C2464" s="83" t="s">
        <v>366</v>
      </c>
      <c r="D2464" s="81" t="s">
        <v>3009</v>
      </c>
      <c r="E2464" s="48">
        <v>500019</v>
      </c>
      <c r="F2464" s="30" t="s">
        <v>2697</v>
      </c>
      <c r="G2464" s="29" t="s">
        <v>77</v>
      </c>
      <c r="H2464" s="30" t="s">
        <v>2998</v>
      </c>
      <c r="I2464" s="78"/>
      <c r="J2464" s="20"/>
      <c r="K2464" s="20"/>
      <c r="L2464" s="20"/>
      <c r="M2464" s="20"/>
      <c r="N2464" s="320" t="s">
        <v>2685</v>
      </c>
      <c r="O2464" s="70">
        <v>0</v>
      </c>
      <c r="P2464" s="70">
        <v>0</v>
      </c>
      <c r="Q2464" s="70">
        <f t="shared" si="211"/>
        <v>0</v>
      </c>
      <c r="R2464" s="70"/>
      <c r="S2464" s="67"/>
      <c r="T2464" s="2" t="str">
        <f t="shared" si="212"/>
        <v>Nguyễn Phương Nhật Bình_10KT3</v>
      </c>
      <c r="U2464" s="28">
        <f t="array" ref="U2464">IFERROR(VLOOKUP($T2464,'Nghi hoc T12'!$H$7:$I$160,2,0),0)</f>
        <v>0</v>
      </c>
      <c r="V2464" s="28"/>
      <c r="W2464" s="28">
        <f t="shared" si="213"/>
        <v>0</v>
      </c>
      <c r="X2464" s="333">
        <f t="shared" si="214"/>
        <v>0</v>
      </c>
      <c r="Y2464" s="333">
        <f t="shared" si="215"/>
        <v>0</v>
      </c>
    </row>
    <row r="2465" spans="1:25" s="2" customFormat="1" ht="21.95" customHeight="1">
      <c r="A2465" s="82">
        <v>20</v>
      </c>
      <c r="B2465" s="91" t="str">
        <f t="shared" si="216"/>
        <v>HT2-1.C</v>
      </c>
      <c r="C2465" s="83" t="s">
        <v>366</v>
      </c>
      <c r="D2465" s="81" t="s">
        <v>3009</v>
      </c>
      <c r="E2465" s="48">
        <v>500020</v>
      </c>
      <c r="F2465" s="30" t="s">
        <v>2698</v>
      </c>
      <c r="G2465" s="29" t="s">
        <v>77</v>
      </c>
      <c r="H2465" s="30" t="s">
        <v>2999</v>
      </c>
      <c r="I2465" s="78"/>
      <c r="J2465" s="20"/>
      <c r="K2465" s="20"/>
      <c r="L2465" s="20"/>
      <c r="M2465" s="20"/>
      <c r="N2465" s="320" t="s">
        <v>2685</v>
      </c>
      <c r="O2465" s="70">
        <v>0</v>
      </c>
      <c r="P2465" s="70">
        <v>0</v>
      </c>
      <c r="Q2465" s="70">
        <f t="shared" si="211"/>
        <v>0</v>
      </c>
      <c r="R2465" s="70"/>
      <c r="S2465" s="67"/>
      <c r="T2465" s="2" t="str">
        <f t="shared" si="212"/>
        <v>Thái Đình Bình_10KT4</v>
      </c>
      <c r="U2465" s="28">
        <f t="array" ref="U2465">IFERROR(VLOOKUP($T2465,'Nghi hoc T12'!$H$7:$I$160,2,0),0)</f>
        <v>0</v>
      </c>
      <c r="V2465" s="28"/>
      <c r="W2465" s="28">
        <f t="shared" si="213"/>
        <v>0</v>
      </c>
      <c r="X2465" s="333">
        <f t="shared" si="214"/>
        <v>0</v>
      </c>
      <c r="Y2465" s="333">
        <f t="shared" si="215"/>
        <v>0</v>
      </c>
    </row>
    <row r="2466" spans="1:25" s="2" customFormat="1" ht="21.95" customHeight="1">
      <c r="A2466" s="82">
        <v>21</v>
      </c>
      <c r="B2466" s="91" t="str">
        <f t="shared" si="216"/>
        <v>HT2-1.C</v>
      </c>
      <c r="C2466" s="83" t="s">
        <v>366</v>
      </c>
      <c r="D2466" s="81" t="s">
        <v>3009</v>
      </c>
      <c r="E2466" s="48">
        <v>500021</v>
      </c>
      <c r="F2466" s="30" t="s">
        <v>1271</v>
      </c>
      <c r="G2466" s="29" t="s">
        <v>342</v>
      </c>
      <c r="H2466" s="30" t="s">
        <v>2999</v>
      </c>
      <c r="I2466" s="78"/>
      <c r="J2466" s="20"/>
      <c r="K2466" s="20"/>
      <c r="L2466" s="20"/>
      <c r="M2466" s="20"/>
      <c r="N2466" s="320" t="s">
        <v>2685</v>
      </c>
      <c r="O2466" s="70">
        <v>0</v>
      </c>
      <c r="P2466" s="70">
        <v>0</v>
      </c>
      <c r="Q2466" s="70">
        <f t="shared" si="211"/>
        <v>0</v>
      </c>
      <c r="R2466" s="70"/>
      <c r="S2466" s="67"/>
      <c r="T2466" s="2" t="str">
        <f t="shared" si="212"/>
        <v>Phạm Thành Cảnh_10KT4</v>
      </c>
      <c r="U2466" s="28">
        <f t="array" ref="U2466">IFERROR(VLOOKUP($T2466,'Nghi hoc T12'!$H$7:$I$160,2,0),0)</f>
        <v>0</v>
      </c>
      <c r="V2466" s="28"/>
      <c r="W2466" s="28">
        <f t="shared" si="213"/>
        <v>0</v>
      </c>
      <c r="X2466" s="333">
        <f t="shared" si="214"/>
        <v>0</v>
      </c>
      <c r="Y2466" s="333">
        <f t="shared" si="215"/>
        <v>0</v>
      </c>
    </row>
    <row r="2467" spans="1:25" s="2" customFormat="1" ht="21.95" customHeight="1">
      <c r="A2467" s="82">
        <v>22</v>
      </c>
      <c r="B2467" s="91" t="str">
        <f t="shared" si="216"/>
        <v>HT2-1.C</v>
      </c>
      <c r="C2467" s="83" t="s">
        <v>366</v>
      </c>
      <c r="D2467" s="81" t="s">
        <v>3009</v>
      </c>
      <c r="E2467" s="48">
        <v>500022</v>
      </c>
      <c r="F2467" s="30" t="s">
        <v>1679</v>
      </c>
      <c r="G2467" s="29" t="s">
        <v>261</v>
      </c>
      <c r="H2467" s="30" t="s">
        <v>2997</v>
      </c>
      <c r="I2467" s="78"/>
      <c r="J2467" s="20"/>
      <c r="K2467" s="20"/>
      <c r="L2467" s="20"/>
      <c r="M2467" s="20"/>
      <c r="N2467" s="320" t="s">
        <v>2685</v>
      </c>
      <c r="O2467" s="70">
        <v>0</v>
      </c>
      <c r="P2467" s="70">
        <v>0</v>
      </c>
      <c r="Q2467" s="70">
        <f t="shared" si="211"/>
        <v>0</v>
      </c>
      <c r="R2467" s="70"/>
      <c r="S2467" s="67"/>
      <c r="T2467" s="2" t="str">
        <f t="shared" si="212"/>
        <v>Lê Thị Ánh Chi_10KT2</v>
      </c>
      <c r="U2467" s="28">
        <f t="array" ref="U2467">IFERROR(VLOOKUP($T2467,'Nghi hoc T12'!$H$7:$I$160,2,0),0)</f>
        <v>0</v>
      </c>
      <c r="V2467" s="28"/>
      <c r="W2467" s="28">
        <f t="shared" si="213"/>
        <v>0</v>
      </c>
      <c r="X2467" s="333">
        <f t="shared" si="214"/>
        <v>0</v>
      </c>
      <c r="Y2467" s="333">
        <f t="shared" si="215"/>
        <v>0</v>
      </c>
    </row>
    <row r="2468" spans="1:25" s="2" customFormat="1" ht="21.95" customHeight="1">
      <c r="A2468" s="82">
        <v>23</v>
      </c>
      <c r="B2468" s="91" t="str">
        <f t="shared" si="216"/>
        <v>HT2-1.C</v>
      </c>
      <c r="C2468" s="83" t="s">
        <v>366</v>
      </c>
      <c r="D2468" s="81" t="s">
        <v>3009</v>
      </c>
      <c r="E2468" s="48">
        <v>500023</v>
      </c>
      <c r="F2468" s="30" t="s">
        <v>1201</v>
      </c>
      <c r="G2468" s="29" t="s">
        <v>1251</v>
      </c>
      <c r="H2468" s="30" t="s">
        <v>2996</v>
      </c>
      <c r="I2468" s="78"/>
      <c r="J2468" s="20"/>
      <c r="K2468" s="20"/>
      <c r="L2468" s="20"/>
      <c r="M2468" s="20"/>
      <c r="N2468" s="320" t="s">
        <v>2685</v>
      </c>
      <c r="O2468" s="70">
        <v>0</v>
      </c>
      <c r="P2468" s="70">
        <v>0</v>
      </c>
      <c r="Q2468" s="70">
        <f t="shared" si="211"/>
        <v>0</v>
      </c>
      <c r="R2468" s="70"/>
      <c r="S2468" s="67"/>
      <c r="T2468" s="2" t="str">
        <f t="shared" si="212"/>
        <v>Nguyễn Công Chiến_10KT1</v>
      </c>
      <c r="U2468" s="28">
        <f t="array" ref="U2468">IFERROR(VLOOKUP($T2468,'Nghi hoc T12'!$H$7:$I$160,2,0),0)</f>
        <v>0</v>
      </c>
      <c r="V2468" s="28"/>
      <c r="W2468" s="28">
        <f t="shared" si="213"/>
        <v>0</v>
      </c>
      <c r="X2468" s="333">
        <f t="shared" si="214"/>
        <v>0</v>
      </c>
      <c r="Y2468" s="333">
        <f t="shared" si="215"/>
        <v>0</v>
      </c>
    </row>
    <row r="2469" spans="1:25" s="2" customFormat="1" ht="21.95" customHeight="1">
      <c r="A2469" s="82">
        <v>24</v>
      </c>
      <c r="B2469" s="91" t="str">
        <f t="shared" si="216"/>
        <v>HT2-1.C</v>
      </c>
      <c r="C2469" s="83" t="s">
        <v>366</v>
      </c>
      <c r="D2469" s="81" t="s">
        <v>3009</v>
      </c>
      <c r="E2469" s="48">
        <v>500024</v>
      </c>
      <c r="F2469" s="30" t="s">
        <v>2503</v>
      </c>
      <c r="G2469" s="29" t="s">
        <v>89</v>
      </c>
      <c r="H2469" s="30" t="s">
        <v>2997</v>
      </c>
      <c r="I2469" s="78"/>
      <c r="J2469" s="20"/>
      <c r="K2469" s="20"/>
      <c r="L2469" s="20"/>
      <c r="M2469" s="20"/>
      <c r="N2469" s="320" t="s">
        <v>2685</v>
      </c>
      <c r="O2469" s="70">
        <v>0</v>
      </c>
      <c r="P2469" s="70">
        <v>0</v>
      </c>
      <c r="Q2469" s="70">
        <f t="shared" si="211"/>
        <v>0</v>
      </c>
      <c r="R2469" s="70"/>
      <c r="S2469" s="67"/>
      <c r="T2469" s="2" t="str">
        <f t="shared" si="212"/>
        <v>Trần Thế Danh_10KT2</v>
      </c>
      <c r="U2469" s="28">
        <f t="array" ref="U2469">IFERROR(VLOOKUP($T2469,'Nghi hoc T12'!$H$7:$I$160,2,0),0)</f>
        <v>0</v>
      </c>
      <c r="V2469" s="28"/>
      <c r="W2469" s="28">
        <f t="shared" si="213"/>
        <v>0</v>
      </c>
      <c r="X2469" s="333">
        <f t="shared" si="214"/>
        <v>0</v>
      </c>
      <c r="Y2469" s="333">
        <f t="shared" si="215"/>
        <v>0</v>
      </c>
    </row>
    <row r="2470" spans="1:25" s="2" customFormat="1" ht="21.95" customHeight="1">
      <c r="A2470" s="82">
        <v>25</v>
      </c>
      <c r="B2470" s="91" t="str">
        <f t="shared" si="216"/>
        <v>HT2-1.C</v>
      </c>
      <c r="C2470" s="83" t="s">
        <v>366</v>
      </c>
      <c r="D2470" s="81" t="s">
        <v>3009</v>
      </c>
      <c r="E2470" s="48">
        <v>500025</v>
      </c>
      <c r="F2470" s="30" t="s">
        <v>2115</v>
      </c>
      <c r="G2470" s="29" t="s">
        <v>89</v>
      </c>
      <c r="H2470" s="30" t="s">
        <v>2998</v>
      </c>
      <c r="I2470" s="78"/>
      <c r="J2470" s="20"/>
      <c r="K2470" s="20"/>
      <c r="L2470" s="20"/>
      <c r="M2470" s="20"/>
      <c r="N2470" s="320" t="s">
        <v>2685</v>
      </c>
      <c r="O2470" s="70">
        <v>0</v>
      </c>
      <c r="P2470" s="70">
        <v>0</v>
      </c>
      <c r="Q2470" s="70">
        <f t="shared" si="211"/>
        <v>0</v>
      </c>
      <c r="R2470" s="70"/>
      <c r="S2470" s="67"/>
      <c r="T2470" s="2" t="str">
        <f t="shared" si="212"/>
        <v>Trần Văn Danh_10KT3</v>
      </c>
      <c r="U2470" s="28">
        <f t="array" ref="U2470">IFERROR(VLOOKUP($T2470,'Nghi hoc T12'!$H$7:$I$160,2,0),0)</f>
        <v>0</v>
      </c>
      <c r="V2470" s="28"/>
      <c r="W2470" s="28">
        <f t="shared" si="213"/>
        <v>0</v>
      </c>
      <c r="X2470" s="333">
        <f t="shared" si="214"/>
        <v>0</v>
      </c>
      <c r="Y2470" s="333">
        <f t="shared" si="215"/>
        <v>0</v>
      </c>
    </row>
    <row r="2471" spans="1:25" s="2" customFormat="1" ht="21.95" customHeight="1">
      <c r="A2471" s="82">
        <v>26</v>
      </c>
      <c r="B2471" s="91" t="str">
        <f t="shared" si="216"/>
        <v>HT2-1.C</v>
      </c>
      <c r="C2471" s="83" t="s">
        <v>366</v>
      </c>
      <c r="D2471" s="81" t="s">
        <v>3009</v>
      </c>
      <c r="E2471" s="48">
        <v>500026</v>
      </c>
      <c r="F2471" s="30" t="s">
        <v>165</v>
      </c>
      <c r="G2471" s="29" t="s">
        <v>6</v>
      </c>
      <c r="H2471" s="30" t="s">
        <v>2999</v>
      </c>
      <c r="I2471" s="78"/>
      <c r="J2471" s="20"/>
      <c r="K2471" s="20"/>
      <c r="L2471" s="20"/>
      <c r="M2471" s="20"/>
      <c r="N2471" s="320" t="s">
        <v>2685</v>
      </c>
      <c r="O2471" s="70">
        <v>0</v>
      </c>
      <c r="P2471" s="70">
        <v>0</v>
      </c>
      <c r="Q2471" s="70">
        <f t="shared" si="211"/>
        <v>0</v>
      </c>
      <c r="R2471" s="70"/>
      <c r="S2471" s="67"/>
      <c r="T2471" s="2" t="str">
        <f t="shared" si="212"/>
        <v>Nguyễn Đức Dũng_10KT4</v>
      </c>
      <c r="U2471" s="28">
        <f t="array" ref="U2471">IFERROR(VLOOKUP($T2471,'Nghi hoc T12'!$H$7:$I$160,2,0),0)</f>
        <v>0</v>
      </c>
      <c r="V2471" s="28"/>
      <c r="W2471" s="28">
        <f t="shared" si="213"/>
        <v>0</v>
      </c>
      <c r="X2471" s="333">
        <f t="shared" si="214"/>
        <v>0</v>
      </c>
      <c r="Y2471" s="333">
        <f t="shared" si="215"/>
        <v>0</v>
      </c>
    </row>
    <row r="2472" spans="1:25" s="2" customFormat="1" ht="21.95" customHeight="1">
      <c r="A2472" s="82">
        <v>27</v>
      </c>
      <c r="B2472" s="91" t="str">
        <f t="shared" si="216"/>
        <v>HT2-1.C</v>
      </c>
      <c r="C2472" s="83" t="s">
        <v>366</v>
      </c>
      <c r="D2472" s="81" t="s">
        <v>3009</v>
      </c>
      <c r="E2472" s="48">
        <v>500027</v>
      </c>
      <c r="F2472" s="30" t="s">
        <v>151</v>
      </c>
      <c r="G2472" s="29" t="s">
        <v>6</v>
      </c>
      <c r="H2472" s="30" t="s">
        <v>2996</v>
      </c>
      <c r="I2472" s="78"/>
      <c r="J2472" s="20"/>
      <c r="K2472" s="20"/>
      <c r="L2472" s="20"/>
      <c r="M2472" s="20"/>
      <c r="N2472" s="320" t="s">
        <v>2685</v>
      </c>
      <c r="O2472" s="70">
        <v>0</v>
      </c>
      <c r="P2472" s="70">
        <v>0</v>
      </c>
      <c r="Q2472" s="70">
        <f t="shared" si="211"/>
        <v>0</v>
      </c>
      <c r="R2472" s="70"/>
      <c r="S2472" s="67"/>
      <c r="T2472" s="2" t="str">
        <f t="shared" si="212"/>
        <v>Nguyễn Hoàng Dũng_10KT1</v>
      </c>
      <c r="U2472" s="28">
        <f t="array" ref="U2472">IFERROR(VLOOKUP($T2472,'Nghi hoc T12'!$H$7:$I$160,2,0),0)</f>
        <v>0</v>
      </c>
      <c r="V2472" s="28"/>
      <c r="W2472" s="28">
        <f t="shared" si="213"/>
        <v>0</v>
      </c>
      <c r="X2472" s="333">
        <f t="shared" si="214"/>
        <v>0</v>
      </c>
      <c r="Y2472" s="333">
        <f t="shared" si="215"/>
        <v>0</v>
      </c>
    </row>
    <row r="2473" spans="1:25" s="2" customFormat="1" ht="21.95" customHeight="1">
      <c r="A2473" s="82">
        <v>28</v>
      </c>
      <c r="B2473" s="91" t="str">
        <f t="shared" si="216"/>
        <v>HT2-1.C</v>
      </c>
      <c r="C2473" s="83" t="s">
        <v>366</v>
      </c>
      <c r="D2473" s="81" t="s">
        <v>3009</v>
      </c>
      <c r="E2473" s="48">
        <v>500028</v>
      </c>
      <c r="F2473" s="30" t="s">
        <v>192</v>
      </c>
      <c r="G2473" s="29" t="s">
        <v>100</v>
      </c>
      <c r="H2473" s="30" t="s">
        <v>2999</v>
      </c>
      <c r="I2473" s="78" t="s">
        <v>408</v>
      </c>
      <c r="J2473" s="20"/>
      <c r="K2473" s="20"/>
      <c r="L2473" s="20"/>
      <c r="M2473" s="20"/>
      <c r="N2473" s="320" t="s">
        <v>2685</v>
      </c>
      <c r="O2473" s="70" t="s">
        <v>3008</v>
      </c>
      <c r="P2473" s="70" t="s">
        <v>2123</v>
      </c>
      <c r="Q2473" s="70">
        <f t="shared" si="211"/>
        <v>0</v>
      </c>
      <c r="R2473" s="70"/>
      <c r="S2473" s="67"/>
      <c r="T2473" s="2" t="str">
        <f t="shared" si="212"/>
        <v>Trần Quốc Hùng_10KT4</v>
      </c>
      <c r="U2473" s="28">
        <f t="array" ref="U2473">IFERROR(VLOOKUP($T2473,'Nghi hoc T12'!$H$7:$I$160,2,0),0)</f>
        <v>0</v>
      </c>
      <c r="V2473" s="28"/>
      <c r="W2473" s="28" t="str">
        <f t="shared" si="213"/>
        <v>HN</v>
      </c>
      <c r="X2473" s="333" t="str">
        <f t="shared" si="214"/>
        <v>Nghe, nói. Trí tuệ</v>
      </c>
      <c r="Y2473" s="333" t="str">
        <f t="shared" si="215"/>
        <v>Nặng</v>
      </c>
    </row>
    <row r="2474" spans="1:25" s="2" customFormat="1" ht="21.95" customHeight="1">
      <c r="A2474" s="321">
        <v>1</v>
      </c>
      <c r="B2474" s="91" t="str">
        <f t="shared" si="216"/>
        <v>HT2-2.C</v>
      </c>
      <c r="C2474" s="185" t="s">
        <v>366</v>
      </c>
      <c r="D2474" s="186" t="s">
        <v>3010</v>
      </c>
      <c r="E2474" s="187">
        <v>500029</v>
      </c>
      <c r="F2474" s="188" t="s">
        <v>2699</v>
      </c>
      <c r="G2474" s="189" t="s">
        <v>65</v>
      </c>
      <c r="H2474" s="188" t="s">
        <v>2999</v>
      </c>
      <c r="I2474" s="190"/>
      <c r="J2474" s="191"/>
      <c r="K2474" s="191"/>
      <c r="L2474" s="191"/>
      <c r="M2474" s="191"/>
      <c r="N2474" s="320" t="s">
        <v>2685</v>
      </c>
      <c r="O2474" s="70">
        <v>0</v>
      </c>
      <c r="P2474" s="70">
        <v>0</v>
      </c>
      <c r="Q2474" s="70">
        <f t="shared" si="211"/>
        <v>0</v>
      </c>
      <c r="R2474" s="70"/>
      <c r="S2474" s="67"/>
      <c r="T2474" s="2" t="str">
        <f t="shared" si="212"/>
        <v>Đào Nguyễn Anh Duy_10KT4</v>
      </c>
      <c r="U2474" s="28">
        <f t="array" ref="U2474">IFERROR(VLOOKUP($T2474,'Nghi hoc T12'!$H$7:$I$160,2,0),0)</f>
        <v>0</v>
      </c>
      <c r="V2474" s="28"/>
      <c r="W2474" s="28">
        <f t="shared" si="213"/>
        <v>0</v>
      </c>
      <c r="X2474" s="333">
        <f t="shared" si="214"/>
        <v>0</v>
      </c>
      <c r="Y2474" s="333">
        <f t="shared" si="215"/>
        <v>0</v>
      </c>
    </row>
    <row r="2475" spans="1:25" s="2" customFormat="1" ht="21.95" customHeight="1">
      <c r="A2475" s="82">
        <v>2</v>
      </c>
      <c r="B2475" s="91" t="str">
        <f t="shared" si="216"/>
        <v>HT2-2.C</v>
      </c>
      <c r="C2475" s="83" t="s">
        <v>366</v>
      </c>
      <c r="D2475" s="81" t="s">
        <v>3010</v>
      </c>
      <c r="E2475" s="48">
        <v>500030</v>
      </c>
      <c r="F2475" s="30" t="s">
        <v>165</v>
      </c>
      <c r="G2475" s="29" t="s">
        <v>65</v>
      </c>
      <c r="H2475" s="30" t="s">
        <v>2998</v>
      </c>
      <c r="I2475" s="78" t="s">
        <v>529</v>
      </c>
      <c r="J2475" s="20"/>
      <c r="K2475" s="20"/>
      <c r="L2475" s="20"/>
      <c r="M2475" s="20"/>
      <c r="N2475" s="320" t="s">
        <v>2685</v>
      </c>
      <c r="O2475" s="70">
        <v>0</v>
      </c>
      <c r="P2475" s="70">
        <v>0</v>
      </c>
      <c r="Q2475" s="70" t="str">
        <f t="shared" si="211"/>
        <v>NgiH</v>
      </c>
      <c r="R2475" s="70"/>
      <c r="S2475" s="67"/>
      <c r="T2475" s="2" t="str">
        <f t="shared" si="212"/>
        <v>Nguyễn Đức Duy_10KT3</v>
      </c>
      <c r="U2475" s="28" t="s">
        <v>3334</v>
      </c>
      <c r="V2475" s="28"/>
      <c r="W2475" s="28" t="str">
        <f t="shared" si="213"/>
        <v>Nghỉ học</v>
      </c>
      <c r="X2475" s="333">
        <f t="shared" si="214"/>
        <v>0</v>
      </c>
      <c r="Y2475" s="333">
        <f t="shared" si="215"/>
        <v>0</v>
      </c>
    </row>
    <row r="2476" spans="1:25" s="2" customFormat="1" ht="21.95" customHeight="1">
      <c r="A2476" s="82">
        <v>3</v>
      </c>
      <c r="B2476" s="91" t="str">
        <f t="shared" si="216"/>
        <v>HT2-2.C</v>
      </c>
      <c r="C2476" s="83" t="s">
        <v>366</v>
      </c>
      <c r="D2476" s="81" t="s">
        <v>3010</v>
      </c>
      <c r="E2476" s="48">
        <v>500031</v>
      </c>
      <c r="F2476" s="30" t="s">
        <v>268</v>
      </c>
      <c r="G2476" s="29" t="s">
        <v>65</v>
      </c>
      <c r="H2476" s="30" t="s">
        <v>2996</v>
      </c>
      <c r="I2476" s="78"/>
      <c r="J2476" s="20"/>
      <c r="K2476" s="20"/>
      <c r="L2476" s="20"/>
      <c r="M2476" s="20"/>
      <c r="N2476" s="320" t="s">
        <v>2685</v>
      </c>
      <c r="O2476" s="70">
        <v>0</v>
      </c>
      <c r="P2476" s="70">
        <v>0</v>
      </c>
      <c r="Q2476" s="70">
        <f t="shared" si="211"/>
        <v>0</v>
      </c>
      <c r="R2476" s="70"/>
      <c r="S2476" s="67"/>
      <c r="T2476" s="2" t="str">
        <f t="shared" si="212"/>
        <v>Nguyễn Văn Duy_10KT1</v>
      </c>
      <c r="U2476" s="28">
        <f t="array" ref="U2476">IFERROR(VLOOKUP($T2476,'Nghi hoc T12'!$H$7:$I$160,2,0),0)</f>
        <v>0</v>
      </c>
      <c r="V2476" s="28"/>
      <c r="W2476" s="28">
        <f t="shared" si="213"/>
        <v>0</v>
      </c>
      <c r="X2476" s="333">
        <f t="shared" si="214"/>
        <v>0</v>
      </c>
      <c r="Y2476" s="333">
        <f t="shared" si="215"/>
        <v>0</v>
      </c>
    </row>
    <row r="2477" spans="1:25" s="2" customFormat="1" ht="21.95" customHeight="1">
      <c r="A2477" s="82">
        <v>4</v>
      </c>
      <c r="B2477" s="91" t="str">
        <f t="shared" si="216"/>
        <v>HT2-2.C</v>
      </c>
      <c r="C2477" s="83" t="s">
        <v>366</v>
      </c>
      <c r="D2477" s="81" t="s">
        <v>3010</v>
      </c>
      <c r="E2477" s="48">
        <v>500032</v>
      </c>
      <c r="F2477" s="30" t="s">
        <v>2700</v>
      </c>
      <c r="G2477" s="29" t="s">
        <v>53</v>
      </c>
      <c r="H2477" s="30" t="s">
        <v>2998</v>
      </c>
      <c r="I2477" s="78"/>
      <c r="J2477" s="20"/>
      <c r="K2477" s="20"/>
      <c r="L2477" s="20"/>
      <c r="M2477" s="20"/>
      <c r="N2477" s="320" t="s">
        <v>2685</v>
      </c>
      <c r="O2477" s="70">
        <v>0</v>
      </c>
      <c r="P2477" s="70">
        <v>0</v>
      </c>
      <c r="Q2477" s="70">
        <f t="shared" si="211"/>
        <v>0</v>
      </c>
      <c r="R2477" s="70"/>
      <c r="S2477" s="67"/>
      <c r="T2477" s="2" t="str">
        <f t="shared" si="212"/>
        <v>Thân Hoàng Dương_10KT3</v>
      </c>
      <c r="U2477" s="28">
        <f t="array" ref="U2477">IFERROR(VLOOKUP($T2477,'Nghi hoc T12'!$H$7:$I$160,2,0),0)</f>
        <v>0</v>
      </c>
      <c r="V2477" s="28"/>
      <c r="W2477" s="28">
        <f t="shared" si="213"/>
        <v>0</v>
      </c>
      <c r="X2477" s="333">
        <f t="shared" si="214"/>
        <v>0</v>
      </c>
      <c r="Y2477" s="333">
        <f t="shared" si="215"/>
        <v>0</v>
      </c>
    </row>
    <row r="2478" spans="1:25" s="2" customFormat="1" ht="21.95" customHeight="1">
      <c r="A2478" s="82">
        <v>5</v>
      </c>
      <c r="B2478" s="91" t="str">
        <f t="shared" si="216"/>
        <v>HT2-2.C</v>
      </c>
      <c r="C2478" s="83" t="s">
        <v>366</v>
      </c>
      <c r="D2478" s="81" t="s">
        <v>3010</v>
      </c>
      <c r="E2478" s="48">
        <v>500033</v>
      </c>
      <c r="F2478" s="30" t="s">
        <v>142</v>
      </c>
      <c r="G2478" s="29" t="s">
        <v>7</v>
      </c>
      <c r="H2478" s="30" t="s">
        <v>2996</v>
      </c>
      <c r="I2478" s="78"/>
      <c r="J2478" s="20"/>
      <c r="K2478" s="20"/>
      <c r="L2478" s="20"/>
      <c r="M2478" s="20"/>
      <c r="N2478" s="320" t="s">
        <v>2685</v>
      </c>
      <c r="O2478" s="70">
        <v>0</v>
      </c>
      <c r="P2478" s="70">
        <v>0</v>
      </c>
      <c r="Q2478" s="70">
        <f t="shared" si="211"/>
        <v>0</v>
      </c>
      <c r="R2478" s="70"/>
      <c r="S2478" s="67"/>
      <c r="T2478" s="2" t="str">
        <f t="shared" si="212"/>
        <v>Nguyễn Tấn Đạt_10KT1</v>
      </c>
      <c r="U2478" s="28">
        <f t="array" ref="U2478">IFERROR(VLOOKUP($T2478,'Nghi hoc T12'!$H$7:$I$160,2,0),0)</f>
        <v>0</v>
      </c>
      <c r="V2478" s="28"/>
      <c r="W2478" s="28">
        <f t="shared" si="213"/>
        <v>0</v>
      </c>
      <c r="X2478" s="333">
        <f t="shared" si="214"/>
        <v>0</v>
      </c>
      <c r="Y2478" s="333">
        <f t="shared" si="215"/>
        <v>0</v>
      </c>
    </row>
    <row r="2479" spans="1:25" s="2" customFormat="1" ht="21.95" customHeight="1">
      <c r="A2479" s="82">
        <v>6</v>
      </c>
      <c r="B2479" s="91" t="str">
        <f t="shared" si="216"/>
        <v>HT2-2.C</v>
      </c>
      <c r="C2479" s="83" t="s">
        <v>366</v>
      </c>
      <c r="D2479" s="81" t="s">
        <v>3010</v>
      </c>
      <c r="E2479" s="48">
        <v>500034</v>
      </c>
      <c r="F2479" s="30" t="s">
        <v>2701</v>
      </c>
      <c r="G2479" s="29" t="s">
        <v>119</v>
      </c>
      <c r="H2479" s="30" t="s">
        <v>2998</v>
      </c>
      <c r="I2479" s="78"/>
      <c r="J2479" s="20"/>
      <c r="K2479" s="20"/>
      <c r="L2479" s="20"/>
      <c r="M2479" s="20"/>
      <c r="N2479" s="320" t="s">
        <v>2685</v>
      </c>
      <c r="O2479" s="70">
        <v>0</v>
      </c>
      <c r="P2479" s="70">
        <v>0</v>
      </c>
      <c r="Q2479" s="70">
        <f t="shared" si="211"/>
        <v>0</v>
      </c>
      <c r="R2479" s="70"/>
      <c r="S2479" s="67"/>
      <c r="T2479" s="2" t="str">
        <f t="shared" si="212"/>
        <v>Trần Lạc Hải Đăng_10KT3</v>
      </c>
      <c r="U2479" s="28">
        <f t="array" ref="U2479">IFERROR(VLOOKUP($T2479,'Nghi hoc T12'!$H$7:$I$160,2,0),0)</f>
        <v>0</v>
      </c>
      <c r="V2479" s="28"/>
      <c r="W2479" s="28">
        <f t="shared" si="213"/>
        <v>0</v>
      </c>
      <c r="X2479" s="333">
        <f t="shared" si="214"/>
        <v>0</v>
      </c>
      <c r="Y2479" s="333">
        <f t="shared" si="215"/>
        <v>0</v>
      </c>
    </row>
    <row r="2480" spans="1:25" s="2" customFormat="1" ht="21.95" customHeight="1">
      <c r="A2480" s="82">
        <v>7</v>
      </c>
      <c r="B2480" s="91" t="str">
        <f t="shared" si="216"/>
        <v>HT2-2.C</v>
      </c>
      <c r="C2480" s="83" t="s">
        <v>366</v>
      </c>
      <c r="D2480" s="81" t="s">
        <v>3010</v>
      </c>
      <c r="E2480" s="48">
        <v>500035</v>
      </c>
      <c r="F2480" s="30" t="s">
        <v>160</v>
      </c>
      <c r="G2480" s="29" t="s">
        <v>2702</v>
      </c>
      <c r="H2480" s="30" t="s">
        <v>2999</v>
      </c>
      <c r="I2480" s="78"/>
      <c r="J2480" s="20"/>
      <c r="K2480" s="20"/>
      <c r="L2480" s="20"/>
      <c r="M2480" s="20"/>
      <c r="N2480" s="320" t="s">
        <v>2685</v>
      </c>
      <c r="O2480" s="70">
        <v>0</v>
      </c>
      <c r="P2480" s="70">
        <v>0</v>
      </c>
      <c r="Q2480" s="70">
        <f t="shared" si="211"/>
        <v>0</v>
      </c>
      <c r="R2480" s="70"/>
      <c r="S2480" s="67"/>
      <c r="T2480" s="2" t="str">
        <f t="shared" si="212"/>
        <v>Nguyễn Thành Đồng_10KT4</v>
      </c>
      <c r="U2480" s="28">
        <f t="array" ref="U2480">IFERROR(VLOOKUP($T2480,'Nghi hoc T12'!$H$7:$I$160,2,0),0)</f>
        <v>0</v>
      </c>
      <c r="V2480" s="28"/>
      <c r="W2480" s="28">
        <f t="shared" si="213"/>
        <v>0</v>
      </c>
      <c r="X2480" s="333">
        <f t="shared" si="214"/>
        <v>0</v>
      </c>
      <c r="Y2480" s="333">
        <f t="shared" si="215"/>
        <v>0</v>
      </c>
    </row>
    <row r="2481" spans="1:25" s="2" customFormat="1" ht="21.95" customHeight="1">
      <c r="A2481" s="82">
        <v>8</v>
      </c>
      <c r="B2481" s="91" t="str">
        <f t="shared" si="216"/>
        <v>HT2-2.C</v>
      </c>
      <c r="C2481" s="83" t="s">
        <v>366</v>
      </c>
      <c r="D2481" s="81" t="s">
        <v>3010</v>
      </c>
      <c r="E2481" s="48">
        <v>500036</v>
      </c>
      <c r="F2481" s="30" t="s">
        <v>2703</v>
      </c>
      <c r="G2481" s="29" t="s">
        <v>36</v>
      </c>
      <c r="H2481" s="30" t="s">
        <v>2996</v>
      </c>
      <c r="I2481" s="78"/>
      <c r="J2481" s="20"/>
      <c r="K2481" s="20"/>
      <c r="L2481" s="20"/>
      <c r="M2481" s="20"/>
      <c r="N2481" s="320" t="s">
        <v>2685</v>
      </c>
      <c r="O2481" s="70">
        <v>0</v>
      </c>
      <c r="P2481" s="70">
        <v>0</v>
      </c>
      <c r="Q2481" s="70">
        <f t="shared" si="211"/>
        <v>0</v>
      </c>
      <c r="R2481" s="70"/>
      <c r="S2481" s="67"/>
      <c r="T2481" s="2" t="str">
        <f t="shared" si="212"/>
        <v>Nguyễn Ngọc Trí Đức_10KT1</v>
      </c>
      <c r="U2481" s="28">
        <f t="array" ref="U2481">IFERROR(VLOOKUP($T2481,'Nghi hoc T12'!$H$7:$I$160,2,0),0)</f>
        <v>0</v>
      </c>
      <c r="V2481" s="28"/>
      <c r="W2481" s="28">
        <f t="shared" si="213"/>
        <v>0</v>
      </c>
      <c r="X2481" s="333">
        <f t="shared" si="214"/>
        <v>0</v>
      </c>
      <c r="Y2481" s="333">
        <f t="shared" si="215"/>
        <v>0</v>
      </c>
    </row>
    <row r="2482" spans="1:25" s="2" customFormat="1" ht="21.95" customHeight="1">
      <c r="A2482" s="82">
        <v>9</v>
      </c>
      <c r="B2482" s="91" t="str">
        <f t="shared" si="216"/>
        <v>HT2-2.C</v>
      </c>
      <c r="C2482" s="83" t="s">
        <v>366</v>
      </c>
      <c r="D2482" s="81" t="s">
        <v>3010</v>
      </c>
      <c r="E2482" s="48">
        <v>500037</v>
      </c>
      <c r="F2482" s="30" t="s">
        <v>2534</v>
      </c>
      <c r="G2482" s="29" t="s">
        <v>2704</v>
      </c>
      <c r="H2482" s="30" t="s">
        <v>2997</v>
      </c>
      <c r="I2482" s="78"/>
      <c r="J2482" s="20"/>
      <c r="K2482" s="20"/>
      <c r="L2482" s="20"/>
      <c r="M2482" s="20"/>
      <c r="N2482" s="320" t="s">
        <v>2685</v>
      </c>
      <c r="O2482" s="70">
        <v>0</v>
      </c>
      <c r="P2482" s="70">
        <v>0</v>
      </c>
      <c r="Q2482" s="70">
        <f t="shared" si="211"/>
        <v>0</v>
      </c>
      <c r="R2482" s="70"/>
      <c r="S2482" s="67"/>
      <c r="T2482" s="2" t="str">
        <f t="shared" si="212"/>
        <v>Mai Thị Hồng Gấm_10KT2</v>
      </c>
      <c r="U2482" s="28">
        <f t="array" ref="U2482">IFERROR(VLOOKUP($T2482,'Nghi hoc T12'!$H$7:$I$160,2,0),0)</f>
        <v>0</v>
      </c>
      <c r="V2482" s="28"/>
      <c r="W2482" s="28">
        <f t="shared" si="213"/>
        <v>0</v>
      </c>
      <c r="X2482" s="333">
        <f t="shared" si="214"/>
        <v>0</v>
      </c>
      <c r="Y2482" s="333">
        <f t="shared" si="215"/>
        <v>0</v>
      </c>
    </row>
    <row r="2483" spans="1:25" s="2" customFormat="1" ht="21.95" customHeight="1">
      <c r="A2483" s="82">
        <v>10</v>
      </c>
      <c r="B2483" s="91" t="str">
        <f t="shared" si="216"/>
        <v>HT2-2.C</v>
      </c>
      <c r="C2483" s="83" t="s">
        <v>366</v>
      </c>
      <c r="D2483" s="81" t="s">
        <v>3010</v>
      </c>
      <c r="E2483" s="48">
        <v>500038</v>
      </c>
      <c r="F2483" s="30" t="s">
        <v>2705</v>
      </c>
      <c r="G2483" s="29" t="s">
        <v>2332</v>
      </c>
      <c r="H2483" s="30" t="s">
        <v>2997</v>
      </c>
      <c r="I2483" s="78"/>
      <c r="J2483" s="20"/>
      <c r="K2483" s="20"/>
      <c r="L2483" s="20"/>
      <c r="M2483" s="20"/>
      <c r="N2483" s="320" t="s">
        <v>2685</v>
      </c>
      <c r="O2483" s="70">
        <v>0</v>
      </c>
      <c r="P2483" s="70">
        <v>0</v>
      </c>
      <c r="Q2483" s="70">
        <f t="shared" si="211"/>
        <v>0</v>
      </c>
      <c r="R2483" s="70"/>
      <c r="S2483" s="67"/>
      <c r="T2483" s="2" t="str">
        <f t="shared" si="212"/>
        <v>Ngô Nguyễn Hoàng Gia_10KT2</v>
      </c>
      <c r="U2483" s="28">
        <f t="array" ref="U2483">IFERROR(VLOOKUP($T2483,'Nghi hoc T12'!$H$7:$I$160,2,0),0)</f>
        <v>0</v>
      </c>
      <c r="V2483" s="28"/>
      <c r="W2483" s="28">
        <f t="shared" si="213"/>
        <v>0</v>
      </c>
      <c r="X2483" s="333">
        <f t="shared" si="214"/>
        <v>0</v>
      </c>
      <c r="Y2483" s="333">
        <f t="shared" si="215"/>
        <v>0</v>
      </c>
    </row>
    <row r="2484" spans="1:25" s="2" customFormat="1" ht="21.95" customHeight="1">
      <c r="A2484" s="82">
        <v>11</v>
      </c>
      <c r="B2484" s="91" t="str">
        <f t="shared" si="216"/>
        <v>HT2-2.C</v>
      </c>
      <c r="C2484" s="83" t="s">
        <v>366</v>
      </c>
      <c r="D2484" s="81" t="s">
        <v>3010</v>
      </c>
      <c r="E2484" s="48">
        <v>500039</v>
      </c>
      <c r="F2484" s="30" t="s">
        <v>2706</v>
      </c>
      <c r="G2484" s="29" t="s">
        <v>439</v>
      </c>
      <c r="H2484" s="30" t="s">
        <v>2996</v>
      </c>
      <c r="I2484" s="78"/>
      <c r="J2484" s="20"/>
      <c r="K2484" s="20"/>
      <c r="L2484" s="20"/>
      <c r="M2484" s="20"/>
      <c r="N2484" s="320" t="s">
        <v>2685</v>
      </c>
      <c r="O2484" s="70">
        <v>0</v>
      </c>
      <c r="P2484" s="70">
        <v>0</v>
      </c>
      <c r="Q2484" s="70">
        <f t="shared" si="211"/>
        <v>0</v>
      </c>
      <c r="R2484" s="70"/>
      <c r="S2484" s="67"/>
      <c r="T2484" s="2" t="str">
        <f t="shared" si="212"/>
        <v>Tạ Hữu Trường Giang_10KT1</v>
      </c>
      <c r="U2484" s="28">
        <f t="array" ref="U2484">IFERROR(VLOOKUP($T2484,'Nghi hoc T12'!$H$7:$I$160,2,0),0)</f>
        <v>0</v>
      </c>
      <c r="V2484" s="28"/>
      <c r="W2484" s="28">
        <f t="shared" si="213"/>
        <v>0</v>
      </c>
      <c r="X2484" s="333">
        <f t="shared" si="214"/>
        <v>0</v>
      </c>
      <c r="Y2484" s="333">
        <f t="shared" si="215"/>
        <v>0</v>
      </c>
    </row>
    <row r="2485" spans="1:25" s="2" customFormat="1" ht="21.95" customHeight="1">
      <c r="A2485" s="82">
        <v>12</v>
      </c>
      <c r="B2485" s="91" t="str">
        <f t="shared" si="216"/>
        <v>HT2-2.C</v>
      </c>
      <c r="C2485" s="83" t="s">
        <v>366</v>
      </c>
      <c r="D2485" s="81" t="s">
        <v>3010</v>
      </c>
      <c r="E2485" s="48">
        <v>500040</v>
      </c>
      <c r="F2485" s="30" t="s">
        <v>2707</v>
      </c>
      <c r="G2485" s="29" t="s">
        <v>2603</v>
      </c>
      <c r="H2485" s="30" t="s">
        <v>2998</v>
      </c>
      <c r="I2485" s="78"/>
      <c r="J2485" s="20"/>
      <c r="K2485" s="20"/>
      <c r="L2485" s="20"/>
      <c r="M2485" s="20"/>
      <c r="N2485" s="320" t="s">
        <v>2685</v>
      </c>
      <c r="O2485" s="70">
        <v>0</v>
      </c>
      <c r="P2485" s="70">
        <v>0</v>
      </c>
      <c r="Q2485" s="70">
        <f t="shared" si="211"/>
        <v>0</v>
      </c>
      <c r="R2485" s="70"/>
      <c r="S2485" s="67"/>
      <c r="T2485" s="2" t="str">
        <f t="shared" si="212"/>
        <v>Nguyễn Thụy Quỳnh Giao_10KT3</v>
      </c>
      <c r="U2485" s="28">
        <f t="array" ref="U2485">IFERROR(VLOOKUP($T2485,'Nghi hoc T12'!$H$7:$I$160,2,0),0)</f>
        <v>0</v>
      </c>
      <c r="V2485" s="28"/>
      <c r="W2485" s="28">
        <f t="shared" si="213"/>
        <v>0</v>
      </c>
      <c r="X2485" s="333">
        <f t="shared" si="214"/>
        <v>0</v>
      </c>
      <c r="Y2485" s="333">
        <f t="shared" si="215"/>
        <v>0</v>
      </c>
    </row>
    <row r="2486" spans="1:25" s="2" customFormat="1" ht="21.95" customHeight="1">
      <c r="A2486" s="82">
        <v>13</v>
      </c>
      <c r="B2486" s="91" t="str">
        <f t="shared" si="216"/>
        <v>HT2-2.C</v>
      </c>
      <c r="C2486" s="83" t="s">
        <v>366</v>
      </c>
      <c r="D2486" s="81" t="s">
        <v>3010</v>
      </c>
      <c r="E2486" s="48">
        <v>500041</v>
      </c>
      <c r="F2486" s="30" t="s">
        <v>2708</v>
      </c>
      <c r="G2486" s="29" t="s">
        <v>143</v>
      </c>
      <c r="H2486" s="30" t="s">
        <v>2996</v>
      </c>
      <c r="I2486" s="78"/>
      <c r="J2486" s="20"/>
      <c r="K2486" s="20"/>
      <c r="L2486" s="20"/>
      <c r="M2486" s="20"/>
      <c r="N2486" s="320" t="s">
        <v>2685</v>
      </c>
      <c r="O2486" s="70">
        <v>0</v>
      </c>
      <c r="P2486" s="70">
        <v>0</v>
      </c>
      <c r="Q2486" s="70">
        <f t="shared" si="211"/>
        <v>0</v>
      </c>
      <c r="R2486" s="70"/>
      <c r="S2486" s="67"/>
      <c r="T2486" s="2" t="str">
        <f t="shared" si="212"/>
        <v>Trần Bích Hà_10KT1</v>
      </c>
      <c r="U2486" s="28">
        <f t="array" ref="U2486">IFERROR(VLOOKUP($T2486,'Nghi hoc T12'!$H$7:$I$160,2,0),0)</f>
        <v>0</v>
      </c>
      <c r="V2486" s="28"/>
      <c r="W2486" s="28">
        <f t="shared" si="213"/>
        <v>0</v>
      </c>
      <c r="X2486" s="333">
        <f t="shared" si="214"/>
        <v>0</v>
      </c>
      <c r="Y2486" s="333">
        <f t="shared" si="215"/>
        <v>0</v>
      </c>
    </row>
    <row r="2487" spans="1:25" s="2" customFormat="1" ht="21.95" customHeight="1">
      <c r="A2487" s="82">
        <v>14</v>
      </c>
      <c r="B2487" s="91" t="str">
        <f t="shared" si="216"/>
        <v>HT2-2.C</v>
      </c>
      <c r="C2487" s="83" t="s">
        <v>366</v>
      </c>
      <c r="D2487" s="81" t="s">
        <v>3010</v>
      </c>
      <c r="E2487" s="48">
        <v>500042</v>
      </c>
      <c r="F2487" s="30" t="s">
        <v>2709</v>
      </c>
      <c r="G2487" s="29" t="s">
        <v>143</v>
      </c>
      <c r="H2487" s="30" t="s">
        <v>2997</v>
      </c>
      <c r="I2487" s="78"/>
      <c r="J2487" s="20"/>
      <c r="K2487" s="20"/>
      <c r="L2487" s="20"/>
      <c r="M2487" s="20"/>
      <c r="N2487" s="320" t="s">
        <v>2685</v>
      </c>
      <c r="O2487" s="70">
        <v>0</v>
      </c>
      <c r="P2487" s="70">
        <v>0</v>
      </c>
      <c r="Q2487" s="70">
        <f t="shared" si="211"/>
        <v>0</v>
      </c>
      <c r="R2487" s="70"/>
      <c r="S2487" s="67"/>
      <c r="T2487" s="2" t="str">
        <f t="shared" si="212"/>
        <v>Trịnh Thị Thu Hà_10KT2</v>
      </c>
      <c r="U2487" s="28">
        <f t="array" ref="U2487">IFERROR(VLOOKUP($T2487,'Nghi hoc T12'!$H$7:$I$160,2,0),0)</f>
        <v>0</v>
      </c>
      <c r="V2487" s="28"/>
      <c r="W2487" s="28">
        <f t="shared" si="213"/>
        <v>0</v>
      </c>
      <c r="X2487" s="333">
        <f t="shared" si="214"/>
        <v>0</v>
      </c>
      <c r="Y2487" s="333">
        <f t="shared" si="215"/>
        <v>0</v>
      </c>
    </row>
    <row r="2488" spans="1:25" s="2" customFormat="1" ht="21.95" customHeight="1">
      <c r="A2488" s="82">
        <v>15</v>
      </c>
      <c r="B2488" s="91" t="str">
        <f t="shared" si="216"/>
        <v>HT2-2.C</v>
      </c>
      <c r="C2488" s="83" t="s">
        <v>366</v>
      </c>
      <c r="D2488" s="81" t="s">
        <v>3010</v>
      </c>
      <c r="E2488" s="48">
        <v>500043</v>
      </c>
      <c r="F2488" s="30" t="s">
        <v>2710</v>
      </c>
      <c r="G2488" s="29" t="s">
        <v>171</v>
      </c>
      <c r="H2488" s="30" t="s">
        <v>2998</v>
      </c>
      <c r="I2488" s="78"/>
      <c r="J2488" s="20"/>
      <c r="K2488" s="20"/>
      <c r="L2488" s="20"/>
      <c r="M2488" s="20"/>
      <c r="N2488" s="320" t="s">
        <v>2685</v>
      </c>
      <c r="O2488" s="70">
        <v>0</v>
      </c>
      <c r="P2488" s="70">
        <v>0</v>
      </c>
      <c r="Q2488" s="70">
        <f t="shared" si="211"/>
        <v>0</v>
      </c>
      <c r="R2488" s="70"/>
      <c r="S2488" s="67"/>
      <c r="T2488" s="2" t="str">
        <f t="shared" si="212"/>
        <v>Hoàng Thanh Hải_10KT3</v>
      </c>
      <c r="U2488" s="28">
        <f t="array" ref="U2488">IFERROR(VLOOKUP($T2488,'Nghi hoc T12'!$H$7:$I$160,2,0),0)</f>
        <v>0</v>
      </c>
      <c r="V2488" s="28"/>
      <c r="W2488" s="28">
        <f t="shared" si="213"/>
        <v>0</v>
      </c>
      <c r="X2488" s="333">
        <f t="shared" si="214"/>
        <v>0</v>
      </c>
      <c r="Y2488" s="333">
        <f t="shared" si="215"/>
        <v>0</v>
      </c>
    </row>
    <row r="2489" spans="1:25" s="2" customFormat="1" ht="21.95" customHeight="1">
      <c r="A2489" s="82">
        <v>16</v>
      </c>
      <c r="B2489" s="91" t="str">
        <f t="shared" si="216"/>
        <v>HT2-2.C</v>
      </c>
      <c r="C2489" s="83" t="s">
        <v>366</v>
      </c>
      <c r="D2489" s="81" t="s">
        <v>3010</v>
      </c>
      <c r="E2489" s="48">
        <v>500044</v>
      </c>
      <c r="F2489" s="30" t="s">
        <v>1613</v>
      </c>
      <c r="G2489" s="29" t="s">
        <v>9</v>
      </c>
      <c r="H2489" s="30" t="s">
        <v>2996</v>
      </c>
      <c r="I2489" s="78"/>
      <c r="J2489" s="20"/>
      <c r="K2489" s="20"/>
      <c r="L2489" s="20"/>
      <c r="M2489" s="20"/>
      <c r="N2489" s="320" t="s">
        <v>2685</v>
      </c>
      <c r="O2489" s="70">
        <v>0</v>
      </c>
      <c r="P2489" s="70">
        <v>0</v>
      </c>
      <c r="Q2489" s="70">
        <f t="shared" si="211"/>
        <v>0</v>
      </c>
      <c r="R2489" s="70"/>
      <c r="S2489" s="67"/>
      <c r="T2489" s="2" t="str">
        <f t="shared" si="212"/>
        <v>Huỳnh Văn Hiếu_10KT1</v>
      </c>
      <c r="U2489" s="28">
        <f t="array" ref="U2489">IFERROR(VLOOKUP($T2489,'Nghi hoc T12'!$H$7:$I$160,2,0),0)</f>
        <v>0</v>
      </c>
      <c r="V2489" s="28"/>
      <c r="W2489" s="28">
        <f t="shared" si="213"/>
        <v>0</v>
      </c>
      <c r="X2489" s="333">
        <f t="shared" si="214"/>
        <v>0</v>
      </c>
      <c r="Y2489" s="333">
        <f t="shared" si="215"/>
        <v>0</v>
      </c>
    </row>
    <row r="2490" spans="1:25" s="2" customFormat="1" ht="21.95" customHeight="1">
      <c r="A2490" s="82">
        <v>17</v>
      </c>
      <c r="B2490" s="91" t="str">
        <f t="shared" si="216"/>
        <v>HT2-2.C</v>
      </c>
      <c r="C2490" s="83" t="s">
        <v>366</v>
      </c>
      <c r="D2490" s="81" t="s">
        <v>3010</v>
      </c>
      <c r="E2490" s="48">
        <v>500045</v>
      </c>
      <c r="F2490" s="30" t="s">
        <v>201</v>
      </c>
      <c r="G2490" s="29" t="s">
        <v>9</v>
      </c>
      <c r="H2490" s="30" t="s">
        <v>2999</v>
      </c>
      <c r="I2490" s="78"/>
      <c r="J2490" s="20"/>
      <c r="K2490" s="20"/>
      <c r="L2490" s="20"/>
      <c r="M2490" s="20"/>
      <c r="N2490" s="320" t="s">
        <v>2685</v>
      </c>
      <c r="O2490" s="70">
        <v>0</v>
      </c>
      <c r="P2490" s="70">
        <v>0</v>
      </c>
      <c r="Q2490" s="70">
        <f t="shared" si="211"/>
        <v>0</v>
      </c>
      <c r="R2490" s="70"/>
      <c r="S2490" s="67"/>
      <c r="T2490" s="2" t="str">
        <f t="shared" si="212"/>
        <v>Nguyễn Hữu Hiếu_10KT4</v>
      </c>
      <c r="U2490" s="28">
        <f t="array" ref="U2490">IFERROR(VLOOKUP($T2490,'Nghi hoc T12'!$H$7:$I$160,2,0),0)</f>
        <v>0</v>
      </c>
      <c r="V2490" s="28"/>
      <c r="W2490" s="28">
        <f t="shared" si="213"/>
        <v>0</v>
      </c>
      <c r="X2490" s="333">
        <f t="shared" si="214"/>
        <v>0</v>
      </c>
      <c r="Y2490" s="333">
        <f t="shared" si="215"/>
        <v>0</v>
      </c>
    </row>
    <row r="2491" spans="1:25" s="2" customFormat="1" ht="21.95" customHeight="1">
      <c r="A2491" s="82">
        <v>18</v>
      </c>
      <c r="B2491" s="91" t="str">
        <f t="shared" si="216"/>
        <v>HT2-2.C</v>
      </c>
      <c r="C2491" s="83" t="s">
        <v>366</v>
      </c>
      <c r="D2491" s="81" t="s">
        <v>3010</v>
      </c>
      <c r="E2491" s="48">
        <v>500046</v>
      </c>
      <c r="F2491" s="30" t="s">
        <v>2711</v>
      </c>
      <c r="G2491" s="29" t="s">
        <v>1128</v>
      </c>
      <c r="H2491" s="30" t="s">
        <v>2999</v>
      </c>
      <c r="I2491" s="78"/>
      <c r="J2491" s="20"/>
      <c r="K2491" s="20"/>
      <c r="L2491" s="20"/>
      <c r="M2491" s="20"/>
      <c r="N2491" s="320" t="s">
        <v>2685</v>
      </c>
      <c r="O2491" s="70">
        <v>0</v>
      </c>
      <c r="P2491" s="70">
        <v>0</v>
      </c>
      <c r="Q2491" s="70">
        <f t="shared" si="211"/>
        <v>0</v>
      </c>
      <c r="R2491" s="70"/>
      <c r="S2491" s="67"/>
      <c r="T2491" s="2" t="str">
        <f t="shared" si="212"/>
        <v>Mai Trần Quỳnh Hoa_10KT4</v>
      </c>
      <c r="U2491" s="28">
        <f t="array" ref="U2491">IFERROR(VLOOKUP($T2491,'Nghi hoc T12'!$H$7:$I$160,2,0),0)</f>
        <v>0</v>
      </c>
      <c r="V2491" s="28"/>
      <c r="W2491" s="28">
        <f t="shared" si="213"/>
        <v>0</v>
      </c>
      <c r="X2491" s="333">
        <f t="shared" si="214"/>
        <v>0</v>
      </c>
      <c r="Y2491" s="333">
        <f t="shared" si="215"/>
        <v>0</v>
      </c>
    </row>
    <row r="2492" spans="1:25" s="2" customFormat="1" ht="21.95" customHeight="1">
      <c r="A2492" s="82">
        <v>19</v>
      </c>
      <c r="B2492" s="91" t="str">
        <f t="shared" si="216"/>
        <v>HT2-2.C</v>
      </c>
      <c r="C2492" s="83" t="s">
        <v>366</v>
      </c>
      <c r="D2492" s="81" t="s">
        <v>3010</v>
      </c>
      <c r="E2492" s="48">
        <v>500047</v>
      </c>
      <c r="F2492" s="30" t="s">
        <v>2712</v>
      </c>
      <c r="G2492" s="29" t="s">
        <v>10</v>
      </c>
      <c r="H2492" s="30" t="s">
        <v>2996</v>
      </c>
      <c r="I2492" s="78"/>
      <c r="J2492" s="20"/>
      <c r="K2492" s="20"/>
      <c r="L2492" s="20"/>
      <c r="M2492" s="20"/>
      <c r="N2492" s="320" t="s">
        <v>2685</v>
      </c>
      <c r="O2492" s="70">
        <v>0</v>
      </c>
      <c r="P2492" s="70">
        <v>0</v>
      </c>
      <c r="Q2492" s="70">
        <f t="shared" si="211"/>
        <v>0</v>
      </c>
      <c r="R2492" s="70"/>
      <c r="S2492" s="67"/>
      <c r="T2492" s="2" t="str">
        <f t="shared" si="212"/>
        <v>Lê Đinh Vương Hoàng_10KT1</v>
      </c>
      <c r="U2492" s="28">
        <f t="array" ref="U2492">IFERROR(VLOOKUP($T2492,'Nghi hoc T12'!$H$7:$I$160,2,0),0)</f>
        <v>0</v>
      </c>
      <c r="V2492" s="28"/>
      <c r="W2492" s="28">
        <f t="shared" si="213"/>
        <v>0</v>
      </c>
      <c r="X2492" s="333">
        <f t="shared" si="214"/>
        <v>0</v>
      </c>
      <c r="Y2492" s="333">
        <f t="shared" si="215"/>
        <v>0</v>
      </c>
    </row>
    <row r="2493" spans="1:25" s="2" customFormat="1" ht="21.95" customHeight="1">
      <c r="A2493" s="82">
        <v>20</v>
      </c>
      <c r="B2493" s="91" t="str">
        <f t="shared" si="216"/>
        <v>HT2-2.C</v>
      </c>
      <c r="C2493" s="83" t="s">
        <v>366</v>
      </c>
      <c r="D2493" s="81" t="s">
        <v>3010</v>
      </c>
      <c r="E2493" s="48">
        <v>500048</v>
      </c>
      <c r="F2493" s="30" t="s">
        <v>2035</v>
      </c>
      <c r="G2493" s="29" t="s">
        <v>10</v>
      </c>
      <c r="H2493" s="30" t="s">
        <v>2997</v>
      </c>
      <c r="I2493" s="78"/>
      <c r="J2493" s="20"/>
      <c r="K2493" s="20"/>
      <c r="L2493" s="20"/>
      <c r="M2493" s="20"/>
      <c r="N2493" s="320" t="s">
        <v>2685</v>
      </c>
      <c r="O2493" s="70">
        <v>0</v>
      </c>
      <c r="P2493" s="70">
        <v>0</v>
      </c>
      <c r="Q2493" s="70">
        <f t="shared" si="211"/>
        <v>0</v>
      </c>
      <c r="R2493" s="70"/>
      <c r="S2493" s="67"/>
      <c r="T2493" s="2" t="str">
        <f t="shared" si="212"/>
        <v>Nguyễn Huy Hoàng_10KT2</v>
      </c>
      <c r="U2493" s="28">
        <f t="array" ref="U2493">IFERROR(VLOOKUP($T2493,'Nghi hoc T12'!$H$7:$I$160,2,0),0)</f>
        <v>0</v>
      </c>
      <c r="V2493" s="28"/>
      <c r="W2493" s="28">
        <f t="shared" si="213"/>
        <v>0</v>
      </c>
      <c r="X2493" s="333">
        <f t="shared" si="214"/>
        <v>0</v>
      </c>
      <c r="Y2493" s="333">
        <f t="shared" si="215"/>
        <v>0</v>
      </c>
    </row>
    <row r="2494" spans="1:25" s="2" customFormat="1" ht="21.95" customHeight="1">
      <c r="A2494" s="82">
        <v>21</v>
      </c>
      <c r="B2494" s="91" t="str">
        <f t="shared" si="216"/>
        <v>HT2-2.C</v>
      </c>
      <c r="C2494" s="83" t="s">
        <v>366</v>
      </c>
      <c r="D2494" s="81" t="s">
        <v>3010</v>
      </c>
      <c r="E2494" s="48">
        <v>500049</v>
      </c>
      <c r="F2494" s="30" t="s">
        <v>2035</v>
      </c>
      <c r="G2494" s="29" t="s">
        <v>10</v>
      </c>
      <c r="H2494" s="30" t="s">
        <v>2999</v>
      </c>
      <c r="I2494" s="78"/>
      <c r="J2494" s="20"/>
      <c r="K2494" s="20"/>
      <c r="L2494" s="20"/>
      <c r="M2494" s="20"/>
      <c r="N2494" s="320" t="s">
        <v>2685</v>
      </c>
      <c r="O2494" s="70">
        <v>0</v>
      </c>
      <c r="P2494" s="70">
        <v>0</v>
      </c>
      <c r="Q2494" s="70">
        <f t="shared" si="211"/>
        <v>0</v>
      </c>
      <c r="R2494" s="70"/>
      <c r="S2494" s="67"/>
      <c r="T2494" s="2" t="str">
        <f t="shared" si="212"/>
        <v>Nguyễn Huy Hoàng_10KT4</v>
      </c>
      <c r="U2494" s="28">
        <f t="array" ref="U2494">IFERROR(VLOOKUP($T2494,'Nghi hoc T12'!$H$7:$I$160,2,0),0)</f>
        <v>0</v>
      </c>
      <c r="V2494" s="28"/>
      <c r="W2494" s="28">
        <f t="shared" si="213"/>
        <v>0</v>
      </c>
      <c r="X2494" s="333">
        <f t="shared" si="214"/>
        <v>0</v>
      </c>
      <c r="Y2494" s="333">
        <f t="shared" si="215"/>
        <v>0</v>
      </c>
    </row>
    <row r="2495" spans="1:25" s="2" customFormat="1" ht="21.95" customHeight="1">
      <c r="A2495" s="82">
        <v>22</v>
      </c>
      <c r="B2495" s="91" t="str">
        <f t="shared" si="216"/>
        <v>HT2-2.C</v>
      </c>
      <c r="C2495" s="83" t="s">
        <v>366</v>
      </c>
      <c r="D2495" s="81" t="s">
        <v>3010</v>
      </c>
      <c r="E2495" s="48">
        <v>500050</v>
      </c>
      <c r="F2495" s="30" t="s">
        <v>2713</v>
      </c>
      <c r="G2495" s="29" t="s">
        <v>10</v>
      </c>
      <c r="H2495" s="30" t="s">
        <v>2998</v>
      </c>
      <c r="I2495" s="78"/>
      <c r="J2495" s="20"/>
      <c r="K2495" s="20"/>
      <c r="L2495" s="20"/>
      <c r="M2495" s="20"/>
      <c r="N2495" s="320" t="s">
        <v>2685</v>
      </c>
      <c r="O2495" s="70">
        <v>0</v>
      </c>
      <c r="P2495" s="70">
        <v>0</v>
      </c>
      <c r="Q2495" s="70">
        <f t="shared" si="211"/>
        <v>0</v>
      </c>
      <c r="R2495" s="70"/>
      <c r="S2495" s="67"/>
      <c r="T2495" s="2" t="str">
        <f t="shared" si="212"/>
        <v>Trần Nguyễn Hữu Hoàng_10KT3</v>
      </c>
      <c r="U2495" s="28">
        <f t="array" ref="U2495">IFERROR(VLOOKUP($T2495,'Nghi hoc T12'!$H$7:$I$160,2,0),0)</f>
        <v>0</v>
      </c>
      <c r="V2495" s="28"/>
      <c r="W2495" s="28">
        <f t="shared" si="213"/>
        <v>0</v>
      </c>
      <c r="X2495" s="333">
        <f t="shared" si="214"/>
        <v>0</v>
      </c>
      <c r="Y2495" s="333">
        <f t="shared" si="215"/>
        <v>0</v>
      </c>
    </row>
    <row r="2496" spans="1:25" s="2" customFormat="1" ht="21.95" customHeight="1">
      <c r="A2496" s="82">
        <v>23</v>
      </c>
      <c r="B2496" s="91" t="str">
        <f t="shared" si="216"/>
        <v>HT2-2.C</v>
      </c>
      <c r="C2496" s="83" t="s">
        <v>366</v>
      </c>
      <c r="D2496" s="81" t="s">
        <v>3010</v>
      </c>
      <c r="E2496" s="48">
        <v>500051</v>
      </c>
      <c r="F2496" s="30" t="s">
        <v>2714</v>
      </c>
      <c r="G2496" s="29" t="s">
        <v>11</v>
      </c>
      <c r="H2496" s="30" t="s">
        <v>2996</v>
      </c>
      <c r="I2496" s="78"/>
      <c r="J2496" s="20"/>
      <c r="K2496" s="20"/>
      <c r="L2496" s="20"/>
      <c r="M2496" s="20"/>
      <c r="N2496" s="320" t="s">
        <v>2685</v>
      </c>
      <c r="O2496" s="70">
        <v>0</v>
      </c>
      <c r="P2496" s="70">
        <v>0</v>
      </c>
      <c r="Q2496" s="70">
        <f t="shared" si="211"/>
        <v>0</v>
      </c>
      <c r="R2496" s="70"/>
      <c r="S2496" s="67"/>
      <c r="T2496" s="2" t="str">
        <f t="shared" si="212"/>
        <v>Đặng Lê Tuấn Huy_10KT1</v>
      </c>
      <c r="U2496" s="28">
        <f t="array" ref="U2496">IFERROR(VLOOKUP($T2496,'Nghi hoc T12'!$H$7:$I$160,2,0),0)</f>
        <v>0</v>
      </c>
      <c r="V2496" s="28"/>
      <c r="W2496" s="28">
        <f t="shared" si="213"/>
        <v>0</v>
      </c>
      <c r="X2496" s="333">
        <f t="shared" si="214"/>
        <v>0</v>
      </c>
      <c r="Y2496" s="333">
        <f t="shared" si="215"/>
        <v>0</v>
      </c>
    </row>
    <row r="2497" spans="1:25" s="2" customFormat="1" ht="21.95" customHeight="1">
      <c r="A2497" s="82">
        <v>24</v>
      </c>
      <c r="B2497" s="91" t="str">
        <f t="shared" si="216"/>
        <v>HT2-2.C</v>
      </c>
      <c r="C2497" s="83" t="s">
        <v>366</v>
      </c>
      <c r="D2497" s="81" t="s">
        <v>3010</v>
      </c>
      <c r="E2497" s="48">
        <v>500052</v>
      </c>
      <c r="F2497" s="30" t="s">
        <v>2715</v>
      </c>
      <c r="G2497" s="29" t="s">
        <v>11</v>
      </c>
      <c r="H2497" s="30" t="s">
        <v>2998</v>
      </c>
      <c r="I2497" s="78"/>
      <c r="J2497" s="20"/>
      <c r="K2497" s="20"/>
      <c r="L2497" s="20"/>
      <c r="M2497" s="20"/>
      <c r="N2497" s="320" t="s">
        <v>2685</v>
      </c>
      <c r="O2497" s="70">
        <v>0</v>
      </c>
      <c r="P2497" s="70">
        <v>0</v>
      </c>
      <c r="Q2497" s="70">
        <f t="shared" si="211"/>
        <v>0</v>
      </c>
      <c r="R2497" s="70"/>
      <c r="S2497" s="67"/>
      <c r="T2497" s="2" t="str">
        <f t="shared" si="212"/>
        <v>Dương Minh Huy_10KT3</v>
      </c>
      <c r="U2497" s="28">
        <f t="array" ref="U2497">IFERROR(VLOOKUP($T2497,'Nghi hoc T12'!$H$7:$I$160,2,0),0)</f>
        <v>0</v>
      </c>
      <c r="V2497" s="28"/>
      <c r="W2497" s="28">
        <f t="shared" si="213"/>
        <v>0</v>
      </c>
      <c r="X2497" s="333">
        <f t="shared" si="214"/>
        <v>0</v>
      </c>
      <c r="Y2497" s="333">
        <f t="shared" si="215"/>
        <v>0</v>
      </c>
    </row>
    <row r="2498" spans="1:25" s="2" customFormat="1" ht="21.95" customHeight="1">
      <c r="A2498" s="82">
        <v>25</v>
      </c>
      <c r="B2498" s="91" t="str">
        <f t="shared" si="216"/>
        <v>HT2-2.C</v>
      </c>
      <c r="C2498" s="83" t="s">
        <v>366</v>
      </c>
      <c r="D2498" s="81" t="s">
        <v>3010</v>
      </c>
      <c r="E2498" s="48">
        <v>500053</v>
      </c>
      <c r="F2498" s="30" t="s">
        <v>2716</v>
      </c>
      <c r="G2498" s="29" t="s">
        <v>11</v>
      </c>
      <c r="H2498" s="30" t="s">
        <v>2997</v>
      </c>
      <c r="I2498" s="78"/>
      <c r="J2498" s="20"/>
      <c r="K2498" s="20"/>
      <c r="L2498" s="20"/>
      <c r="M2498" s="20"/>
      <c r="N2498" s="320" t="s">
        <v>2685</v>
      </c>
      <c r="O2498" s="70">
        <v>0</v>
      </c>
      <c r="P2498" s="70">
        <v>0</v>
      </c>
      <c r="Q2498" s="70">
        <f t="shared" si="211"/>
        <v>0</v>
      </c>
      <c r="R2498" s="70"/>
      <c r="S2498" s="67"/>
      <c r="T2498" s="2" t="str">
        <f t="shared" si="212"/>
        <v>Lê Vũ Văn Huy_10KT2</v>
      </c>
      <c r="U2498" s="28">
        <f t="array" ref="U2498">IFERROR(VLOOKUP($T2498,'Nghi hoc T12'!$H$7:$I$160,2,0),0)</f>
        <v>0</v>
      </c>
      <c r="V2498" s="28"/>
      <c r="W2498" s="28">
        <f t="shared" si="213"/>
        <v>0</v>
      </c>
      <c r="X2498" s="333">
        <f t="shared" si="214"/>
        <v>0</v>
      </c>
      <c r="Y2498" s="333">
        <f t="shared" si="215"/>
        <v>0</v>
      </c>
    </row>
    <row r="2499" spans="1:25" s="2" customFormat="1" ht="21.95" customHeight="1">
      <c r="A2499" s="82">
        <v>26</v>
      </c>
      <c r="B2499" s="91" t="str">
        <f t="shared" si="216"/>
        <v>HT2-2.C</v>
      </c>
      <c r="C2499" s="83" t="s">
        <v>366</v>
      </c>
      <c r="D2499" s="81" t="s">
        <v>3010</v>
      </c>
      <c r="E2499" s="48">
        <v>500054</v>
      </c>
      <c r="F2499" s="30" t="s">
        <v>2717</v>
      </c>
      <c r="G2499" s="29" t="s">
        <v>11</v>
      </c>
      <c r="H2499" s="30" t="s">
        <v>2999</v>
      </c>
      <c r="I2499" s="78"/>
      <c r="J2499" s="20"/>
      <c r="K2499" s="20"/>
      <c r="L2499" s="20"/>
      <c r="M2499" s="20"/>
      <c r="N2499" s="320" t="s">
        <v>2685</v>
      </c>
      <c r="O2499" s="70">
        <v>0</v>
      </c>
      <c r="P2499" s="70">
        <v>0</v>
      </c>
      <c r="Q2499" s="70">
        <f t="shared" si="211"/>
        <v>0</v>
      </c>
      <c r="R2499" s="70"/>
      <c r="S2499" s="67"/>
      <c r="T2499" s="2" t="str">
        <f t="shared" si="212"/>
        <v>Nguyễn Cao Kiến Huy_10KT4</v>
      </c>
      <c r="U2499" s="28">
        <f t="array" ref="U2499">IFERROR(VLOOKUP($T2499,'Nghi hoc T12'!$H$7:$I$160,2,0),0)</f>
        <v>0</v>
      </c>
      <c r="V2499" s="28"/>
      <c r="W2499" s="28">
        <f t="shared" si="213"/>
        <v>0</v>
      </c>
      <c r="X2499" s="333">
        <f t="shared" si="214"/>
        <v>0</v>
      </c>
      <c r="Y2499" s="333">
        <f t="shared" si="215"/>
        <v>0</v>
      </c>
    </row>
    <row r="2500" spans="1:25" s="2" customFormat="1" ht="21.95" customHeight="1">
      <c r="A2500" s="82">
        <v>27</v>
      </c>
      <c r="B2500" s="91" t="str">
        <f t="shared" si="216"/>
        <v>HT2-2.C</v>
      </c>
      <c r="C2500" s="83" t="s">
        <v>366</v>
      </c>
      <c r="D2500" s="81" t="s">
        <v>3010</v>
      </c>
      <c r="E2500" s="48">
        <v>500055</v>
      </c>
      <c r="F2500" s="30" t="s">
        <v>166</v>
      </c>
      <c r="G2500" s="29" t="s">
        <v>11</v>
      </c>
      <c r="H2500" s="30" t="s">
        <v>2996</v>
      </c>
      <c r="I2500" s="78"/>
      <c r="J2500" s="20"/>
      <c r="K2500" s="20"/>
      <c r="L2500" s="20"/>
      <c r="M2500" s="20"/>
      <c r="N2500" s="320" t="s">
        <v>2685</v>
      </c>
      <c r="O2500" s="70">
        <v>0</v>
      </c>
      <c r="P2500" s="70">
        <v>0</v>
      </c>
      <c r="Q2500" s="70">
        <f t="shared" si="211"/>
        <v>0</v>
      </c>
      <c r="R2500" s="70"/>
      <c r="S2500" s="67"/>
      <c r="T2500" s="2" t="str">
        <f t="shared" si="212"/>
        <v>Nguyễn Gia Huy_10KT1</v>
      </c>
      <c r="U2500" s="28">
        <f t="array" ref="U2500">IFERROR(VLOOKUP($T2500,'Nghi hoc T12'!$H$7:$I$160,2,0),0)</f>
        <v>0</v>
      </c>
      <c r="V2500" s="28"/>
      <c r="W2500" s="28">
        <f t="shared" si="213"/>
        <v>0</v>
      </c>
      <c r="X2500" s="333">
        <f t="shared" si="214"/>
        <v>0</v>
      </c>
      <c r="Y2500" s="333">
        <f t="shared" si="215"/>
        <v>0</v>
      </c>
    </row>
    <row r="2501" spans="1:25" s="2" customFormat="1" ht="21.95" customHeight="1">
      <c r="A2501" s="82">
        <v>28</v>
      </c>
      <c r="B2501" s="91" t="str">
        <f t="shared" si="216"/>
        <v>HT2-2.C</v>
      </c>
      <c r="C2501" s="83" t="s">
        <v>366</v>
      </c>
      <c r="D2501" s="81" t="s">
        <v>3010</v>
      </c>
      <c r="E2501" s="48">
        <v>500056</v>
      </c>
      <c r="F2501" s="30" t="s">
        <v>2718</v>
      </c>
      <c r="G2501" s="29" t="s">
        <v>11</v>
      </c>
      <c r="H2501" s="30" t="s">
        <v>2997</v>
      </c>
      <c r="I2501" s="78"/>
      <c r="J2501" s="20"/>
      <c r="K2501" s="20"/>
      <c r="L2501" s="20"/>
      <c r="M2501" s="20"/>
      <c r="N2501" s="320" t="s">
        <v>2685</v>
      </c>
      <c r="O2501" s="70">
        <v>0</v>
      </c>
      <c r="P2501" s="70">
        <v>0</v>
      </c>
      <c r="Q2501" s="70">
        <f t="shared" si="211"/>
        <v>0</v>
      </c>
      <c r="R2501" s="70"/>
      <c r="S2501" s="67"/>
      <c r="T2501" s="2" t="str">
        <f t="shared" si="212"/>
        <v>Nguyễn Hồ Minh Huy_10KT2</v>
      </c>
      <c r="U2501" s="28">
        <f t="array" ref="U2501">IFERROR(VLOOKUP($T2501,'Nghi hoc T12'!$H$7:$I$160,2,0),0)</f>
        <v>0</v>
      </c>
      <c r="V2501" s="28"/>
      <c r="W2501" s="28">
        <f t="shared" si="213"/>
        <v>0</v>
      </c>
      <c r="X2501" s="333">
        <f t="shared" si="214"/>
        <v>0</v>
      </c>
      <c r="Y2501" s="333">
        <f t="shared" si="215"/>
        <v>0</v>
      </c>
    </row>
    <row r="2502" spans="1:25" s="2" customFormat="1" ht="21.95" customHeight="1">
      <c r="A2502" s="321">
        <v>1</v>
      </c>
      <c r="B2502" s="91" t="str">
        <f t="shared" si="216"/>
        <v>HT2-3.C</v>
      </c>
      <c r="C2502" s="185" t="s">
        <v>366</v>
      </c>
      <c r="D2502" s="186" t="s">
        <v>3011</v>
      </c>
      <c r="E2502" s="187">
        <v>500057</v>
      </c>
      <c r="F2502" s="188" t="s">
        <v>2258</v>
      </c>
      <c r="G2502" s="189" t="s">
        <v>67</v>
      </c>
      <c r="H2502" s="188" t="s">
        <v>2998</v>
      </c>
      <c r="I2502" s="190"/>
      <c r="J2502" s="191"/>
      <c r="K2502" s="191"/>
      <c r="L2502" s="191"/>
      <c r="M2502" s="191"/>
      <c r="N2502" s="320" t="s">
        <v>2685</v>
      </c>
      <c r="O2502" s="70">
        <v>0</v>
      </c>
      <c r="P2502" s="70">
        <v>0</v>
      </c>
      <c r="Q2502" s="70">
        <f t="shared" si="211"/>
        <v>0</v>
      </c>
      <c r="R2502" s="70"/>
      <c r="S2502" s="67"/>
      <c r="T2502" s="2" t="str">
        <f t="shared" si="212"/>
        <v>Lê Ngọc Huyền_10KT3</v>
      </c>
      <c r="U2502" s="28">
        <f t="array" ref="U2502">IFERROR(VLOOKUP($T2502,'Nghi hoc T12'!$H$7:$I$160,2,0),0)</f>
        <v>0</v>
      </c>
      <c r="V2502" s="28"/>
      <c r="W2502" s="28">
        <f t="shared" si="213"/>
        <v>0</v>
      </c>
      <c r="X2502" s="333">
        <f t="shared" si="214"/>
        <v>0</v>
      </c>
      <c r="Y2502" s="333">
        <f t="shared" si="215"/>
        <v>0</v>
      </c>
    </row>
    <row r="2503" spans="1:25" s="2" customFormat="1" ht="21.95" customHeight="1">
      <c r="A2503" s="82">
        <v>2</v>
      </c>
      <c r="B2503" s="91" t="str">
        <f t="shared" si="216"/>
        <v>HT2-3.C</v>
      </c>
      <c r="C2503" s="83" t="s">
        <v>366</v>
      </c>
      <c r="D2503" s="81" t="s">
        <v>3011</v>
      </c>
      <c r="E2503" s="48">
        <v>500058</v>
      </c>
      <c r="F2503" s="30" t="s">
        <v>328</v>
      </c>
      <c r="G2503" s="29" t="s">
        <v>1721</v>
      </c>
      <c r="H2503" s="30" t="s">
        <v>2999</v>
      </c>
      <c r="I2503" s="78"/>
      <c r="J2503" s="20"/>
      <c r="K2503" s="20"/>
      <c r="L2503" s="20"/>
      <c r="M2503" s="20"/>
      <c r="N2503" s="320" t="s">
        <v>2685</v>
      </c>
      <c r="O2503" s="70">
        <v>0</v>
      </c>
      <c r="P2503" s="70">
        <v>0</v>
      </c>
      <c r="Q2503" s="70">
        <f t="shared" si="211"/>
        <v>0</v>
      </c>
      <c r="R2503" s="70"/>
      <c r="S2503" s="67"/>
      <c r="T2503" s="2" t="str">
        <f t="shared" si="212"/>
        <v>Nguyễn Thị Như Huỳnh_10KT4</v>
      </c>
      <c r="U2503" s="28">
        <f t="array" ref="U2503">IFERROR(VLOOKUP($T2503,'Nghi hoc T12'!$H$7:$I$160,2,0),0)</f>
        <v>0</v>
      </c>
      <c r="V2503" s="28"/>
      <c r="W2503" s="28">
        <f t="shared" si="213"/>
        <v>0</v>
      </c>
      <c r="X2503" s="333">
        <f t="shared" si="214"/>
        <v>0</v>
      </c>
      <c r="Y2503" s="333">
        <f t="shared" si="215"/>
        <v>0</v>
      </c>
    </row>
    <row r="2504" spans="1:25" s="2" customFormat="1" ht="21.95" customHeight="1">
      <c r="A2504" s="82">
        <v>3</v>
      </c>
      <c r="B2504" s="91" t="str">
        <f t="shared" si="216"/>
        <v>HT2-3.C</v>
      </c>
      <c r="C2504" s="83" t="s">
        <v>366</v>
      </c>
      <c r="D2504" s="81" t="s">
        <v>3011</v>
      </c>
      <c r="E2504" s="48">
        <v>500059</v>
      </c>
      <c r="F2504" s="30" t="s">
        <v>447</v>
      </c>
      <c r="G2504" s="29" t="s">
        <v>91</v>
      </c>
      <c r="H2504" s="30" t="s">
        <v>2996</v>
      </c>
      <c r="I2504" s="78"/>
      <c r="J2504" s="20"/>
      <c r="K2504" s="20"/>
      <c r="L2504" s="20"/>
      <c r="M2504" s="20"/>
      <c r="N2504" s="320" t="s">
        <v>2685</v>
      </c>
      <c r="O2504" s="70">
        <v>0</v>
      </c>
      <c r="P2504" s="70">
        <v>0</v>
      </c>
      <c r="Q2504" s="70">
        <f t="shared" si="211"/>
        <v>0</v>
      </c>
      <c r="R2504" s="70"/>
      <c r="S2504" s="67"/>
      <c r="T2504" s="2" t="str">
        <f t="shared" si="212"/>
        <v>Nguyễn Hoàng Duy Hưng_10KT1</v>
      </c>
      <c r="U2504" s="28">
        <f t="array" ref="U2504">IFERROR(VLOOKUP($T2504,'Nghi hoc T12'!$H$7:$I$160,2,0),0)</f>
        <v>0</v>
      </c>
      <c r="V2504" s="28"/>
      <c r="W2504" s="28">
        <f t="shared" si="213"/>
        <v>0</v>
      </c>
      <c r="X2504" s="333">
        <f t="shared" si="214"/>
        <v>0</v>
      </c>
      <c r="Y2504" s="333">
        <f t="shared" si="215"/>
        <v>0</v>
      </c>
    </row>
    <row r="2505" spans="1:25" s="2" customFormat="1" ht="21.95" customHeight="1">
      <c r="A2505" s="82">
        <v>4</v>
      </c>
      <c r="B2505" s="91" t="str">
        <f t="shared" si="216"/>
        <v>HT2-3.C</v>
      </c>
      <c r="C2505" s="83" t="s">
        <v>366</v>
      </c>
      <c r="D2505" s="81" t="s">
        <v>3011</v>
      </c>
      <c r="E2505" s="48">
        <v>500060</v>
      </c>
      <c r="F2505" s="30" t="s">
        <v>196</v>
      </c>
      <c r="G2505" s="29" t="s">
        <v>91</v>
      </c>
      <c r="H2505" s="30" t="s">
        <v>2997</v>
      </c>
      <c r="I2505" s="78"/>
      <c r="J2505" s="20"/>
      <c r="K2505" s="20"/>
      <c r="L2505" s="20"/>
      <c r="M2505" s="20"/>
      <c r="N2505" s="320" t="s">
        <v>2685</v>
      </c>
      <c r="O2505" s="70">
        <v>0</v>
      </c>
      <c r="P2505" s="70">
        <v>0</v>
      </c>
      <c r="Q2505" s="70">
        <f t="shared" si="211"/>
        <v>0</v>
      </c>
      <c r="R2505" s="70"/>
      <c r="S2505" s="67"/>
      <c r="T2505" s="2" t="str">
        <f t="shared" si="212"/>
        <v>Trần Gia Hưng_10KT2</v>
      </c>
      <c r="U2505" s="28">
        <f t="array" ref="U2505">IFERROR(VLOOKUP($T2505,'Nghi hoc T12'!$H$7:$I$160,2,0),0)</f>
        <v>0</v>
      </c>
      <c r="V2505" s="28"/>
      <c r="W2505" s="28">
        <f t="shared" si="213"/>
        <v>0</v>
      </c>
      <c r="X2505" s="333">
        <f t="shared" si="214"/>
        <v>0</v>
      </c>
      <c r="Y2505" s="333">
        <f t="shared" si="215"/>
        <v>0</v>
      </c>
    </row>
    <row r="2506" spans="1:25" s="2" customFormat="1" ht="21.95" customHeight="1">
      <c r="A2506" s="82">
        <v>5</v>
      </c>
      <c r="B2506" s="91" t="str">
        <f t="shared" si="216"/>
        <v>HT2-3.C</v>
      </c>
      <c r="C2506" s="83" t="s">
        <v>366</v>
      </c>
      <c r="D2506" s="81" t="s">
        <v>3011</v>
      </c>
      <c r="E2506" s="48">
        <v>500061</v>
      </c>
      <c r="F2506" s="30" t="s">
        <v>349</v>
      </c>
      <c r="G2506" s="29" t="s">
        <v>12</v>
      </c>
      <c r="H2506" s="30" t="s">
        <v>2997</v>
      </c>
      <c r="I2506" s="78"/>
      <c r="J2506" s="20"/>
      <c r="K2506" s="20"/>
      <c r="L2506" s="20"/>
      <c r="M2506" s="20"/>
      <c r="N2506" s="320" t="s">
        <v>2685</v>
      </c>
      <c r="O2506" s="70">
        <v>0</v>
      </c>
      <c r="P2506" s="70">
        <v>0</v>
      </c>
      <c r="Q2506" s="70">
        <f t="shared" ref="Q2506:Q2569" si="217">U2506</f>
        <v>0</v>
      </c>
      <c r="R2506" s="70"/>
      <c r="S2506" s="67"/>
      <c r="T2506" s="2" t="str">
        <f t="shared" ref="T2506:T2569" si="218">TRIM(F2506&amp;" "&amp;G2506&amp;"_"&amp;H2506)</f>
        <v>Phan Hoàng Khải_10KT2</v>
      </c>
      <c r="U2506" s="28">
        <f t="array" ref="U2506">IFERROR(VLOOKUP($T2506,'Nghi hoc T12'!$H$7:$I$160,2,0),0)</f>
        <v>0</v>
      </c>
      <c r="V2506" s="28"/>
      <c r="W2506" s="28">
        <f t="shared" ref="W2506:W2569" si="219">I2506</f>
        <v>0</v>
      </c>
      <c r="X2506" s="333">
        <f t="shared" ref="X2506:X2569" si="220">O2506</f>
        <v>0</v>
      </c>
      <c r="Y2506" s="333">
        <f t="shared" ref="Y2506:Y2569" si="221">P2506</f>
        <v>0</v>
      </c>
    </row>
    <row r="2507" spans="1:25" s="2" customFormat="1" ht="21.95" customHeight="1">
      <c r="A2507" s="82">
        <v>6</v>
      </c>
      <c r="B2507" s="91" t="str">
        <f t="shared" ref="B2507:B2570" si="222">RIGHT(D2507,LEN(D2507)-2)&amp;"."&amp;LEFT(N2507,1)</f>
        <v>HT2-3.C</v>
      </c>
      <c r="C2507" s="83" t="s">
        <v>366</v>
      </c>
      <c r="D2507" s="81" t="s">
        <v>3011</v>
      </c>
      <c r="E2507" s="48">
        <v>500062</v>
      </c>
      <c r="F2507" s="30" t="s">
        <v>354</v>
      </c>
      <c r="G2507" s="29" t="s">
        <v>12</v>
      </c>
      <c r="H2507" s="30" t="s">
        <v>2998</v>
      </c>
      <c r="I2507" s="78"/>
      <c r="J2507" s="20"/>
      <c r="K2507" s="20"/>
      <c r="L2507" s="20"/>
      <c r="M2507" s="20"/>
      <c r="N2507" s="320" t="s">
        <v>2685</v>
      </c>
      <c r="O2507" s="70">
        <v>0</v>
      </c>
      <c r="P2507" s="70">
        <v>0</v>
      </c>
      <c r="Q2507" s="70">
        <f t="shared" si="217"/>
        <v>0</v>
      </c>
      <c r="R2507" s="70"/>
      <c r="S2507" s="67"/>
      <c r="T2507" s="2" t="str">
        <f t="shared" si="218"/>
        <v>Trần Hoàng Khải_10KT3</v>
      </c>
      <c r="U2507" s="28">
        <f t="array" ref="U2507">IFERROR(VLOOKUP($T2507,'Nghi hoc T12'!$H$7:$I$160,2,0),0)</f>
        <v>0</v>
      </c>
      <c r="V2507" s="28"/>
      <c r="W2507" s="28">
        <f t="shared" si="219"/>
        <v>0</v>
      </c>
      <c r="X2507" s="333">
        <f t="shared" si="220"/>
        <v>0</v>
      </c>
      <c r="Y2507" s="333">
        <f t="shared" si="221"/>
        <v>0</v>
      </c>
    </row>
    <row r="2508" spans="1:25" s="2" customFormat="1" ht="21.95" customHeight="1">
      <c r="A2508" s="82">
        <v>7</v>
      </c>
      <c r="B2508" s="91" t="str">
        <f t="shared" si="222"/>
        <v>HT2-3.C</v>
      </c>
      <c r="C2508" s="83" t="s">
        <v>366</v>
      </c>
      <c r="D2508" s="81" t="s">
        <v>3011</v>
      </c>
      <c r="E2508" s="48">
        <v>500063</v>
      </c>
      <c r="F2508" s="30" t="s">
        <v>2719</v>
      </c>
      <c r="G2508" s="29" t="s">
        <v>79</v>
      </c>
      <c r="H2508" s="30" t="s">
        <v>2999</v>
      </c>
      <c r="I2508" s="78"/>
      <c r="J2508" s="20"/>
      <c r="K2508" s="20"/>
      <c r="L2508" s="20"/>
      <c r="M2508" s="20"/>
      <c r="N2508" s="320" t="s">
        <v>2685</v>
      </c>
      <c r="O2508" s="70">
        <v>0</v>
      </c>
      <c r="P2508" s="70">
        <v>0</v>
      </c>
      <c r="Q2508" s="70">
        <f t="shared" si="217"/>
        <v>0</v>
      </c>
      <c r="R2508" s="70"/>
      <c r="S2508" s="67"/>
      <c r="T2508" s="2" t="str">
        <f t="shared" si="218"/>
        <v>Đặng Phạm Tuấn Khang_10KT4</v>
      </c>
      <c r="U2508" s="28">
        <f t="array" ref="U2508">IFERROR(VLOOKUP($T2508,'Nghi hoc T12'!$H$7:$I$160,2,0),0)</f>
        <v>0</v>
      </c>
      <c r="V2508" s="28"/>
      <c r="W2508" s="28">
        <f t="shared" si="219"/>
        <v>0</v>
      </c>
      <c r="X2508" s="333">
        <f t="shared" si="220"/>
        <v>0</v>
      </c>
      <c r="Y2508" s="333">
        <f t="shared" si="221"/>
        <v>0</v>
      </c>
    </row>
    <row r="2509" spans="1:25" s="2" customFormat="1" ht="21.95" customHeight="1">
      <c r="A2509" s="82">
        <v>8</v>
      </c>
      <c r="B2509" s="91" t="str">
        <f t="shared" si="222"/>
        <v>HT2-3.C</v>
      </c>
      <c r="C2509" s="83" t="s">
        <v>366</v>
      </c>
      <c r="D2509" s="81" t="s">
        <v>3011</v>
      </c>
      <c r="E2509" s="48">
        <v>500064</v>
      </c>
      <c r="F2509" s="30" t="s">
        <v>2720</v>
      </c>
      <c r="G2509" s="29" t="s">
        <v>79</v>
      </c>
      <c r="H2509" s="30" t="s">
        <v>2996</v>
      </c>
      <c r="I2509" s="78"/>
      <c r="J2509" s="20"/>
      <c r="K2509" s="20"/>
      <c r="L2509" s="20"/>
      <c r="M2509" s="20"/>
      <c r="N2509" s="320" t="s">
        <v>2685</v>
      </c>
      <c r="O2509" s="70">
        <v>0</v>
      </c>
      <c r="P2509" s="70">
        <v>0</v>
      </c>
      <c r="Q2509" s="70">
        <f t="shared" si="217"/>
        <v>0</v>
      </c>
      <c r="R2509" s="70"/>
      <c r="S2509" s="67"/>
      <c r="T2509" s="2" t="str">
        <f t="shared" si="218"/>
        <v>Dương Chấn Khang_10KT1</v>
      </c>
      <c r="U2509" s="28">
        <f t="array" ref="U2509">IFERROR(VLOOKUP($T2509,'Nghi hoc T12'!$H$7:$I$160,2,0),0)</f>
        <v>0</v>
      </c>
      <c r="V2509" s="28"/>
      <c r="W2509" s="28">
        <f t="shared" si="219"/>
        <v>0</v>
      </c>
      <c r="X2509" s="333">
        <f t="shared" si="220"/>
        <v>0</v>
      </c>
      <c r="Y2509" s="333">
        <f t="shared" si="221"/>
        <v>0</v>
      </c>
    </row>
    <row r="2510" spans="1:25" s="2" customFormat="1" ht="21.95" customHeight="1">
      <c r="A2510" s="82">
        <v>9</v>
      </c>
      <c r="B2510" s="91" t="str">
        <f t="shared" si="222"/>
        <v>HT2-3.C</v>
      </c>
      <c r="C2510" s="83" t="s">
        <v>366</v>
      </c>
      <c r="D2510" s="81" t="s">
        <v>3011</v>
      </c>
      <c r="E2510" s="48">
        <v>500065</v>
      </c>
      <c r="F2510" s="30" t="s">
        <v>184</v>
      </c>
      <c r="G2510" s="29" t="s">
        <v>79</v>
      </c>
      <c r="H2510" s="30" t="s">
        <v>2997</v>
      </c>
      <c r="I2510" s="78"/>
      <c r="J2510" s="20"/>
      <c r="K2510" s="20"/>
      <c r="L2510" s="20"/>
      <c r="M2510" s="20"/>
      <c r="N2510" s="320" t="s">
        <v>2685</v>
      </c>
      <c r="O2510" s="70">
        <v>0</v>
      </c>
      <c r="P2510" s="70">
        <v>0</v>
      </c>
      <c r="Q2510" s="70">
        <f t="shared" si="217"/>
        <v>0</v>
      </c>
      <c r="R2510" s="70"/>
      <c r="S2510" s="67"/>
      <c r="T2510" s="2" t="str">
        <f t="shared" si="218"/>
        <v>Nguyễn Duy Khang_10KT2</v>
      </c>
      <c r="U2510" s="28">
        <f t="array" ref="U2510">IFERROR(VLOOKUP($T2510,'Nghi hoc T12'!$H$7:$I$160,2,0),0)</f>
        <v>0</v>
      </c>
      <c r="V2510" s="28"/>
      <c r="W2510" s="28">
        <f t="shared" si="219"/>
        <v>0</v>
      </c>
      <c r="X2510" s="333">
        <f t="shared" si="220"/>
        <v>0</v>
      </c>
      <c r="Y2510" s="333">
        <f t="shared" si="221"/>
        <v>0</v>
      </c>
    </row>
    <row r="2511" spans="1:25" s="2" customFormat="1" ht="21.95" customHeight="1">
      <c r="A2511" s="82">
        <v>10</v>
      </c>
      <c r="B2511" s="91" t="str">
        <f t="shared" si="222"/>
        <v>HT2-3.C</v>
      </c>
      <c r="C2511" s="83" t="s">
        <v>366</v>
      </c>
      <c r="D2511" s="81" t="s">
        <v>3011</v>
      </c>
      <c r="E2511" s="48">
        <v>500066</v>
      </c>
      <c r="F2511" s="30" t="s">
        <v>297</v>
      </c>
      <c r="G2511" s="29" t="s">
        <v>79</v>
      </c>
      <c r="H2511" s="30" t="s">
        <v>2998</v>
      </c>
      <c r="I2511" s="78"/>
      <c r="J2511" s="20"/>
      <c r="K2511" s="20"/>
      <c r="L2511" s="20"/>
      <c r="M2511" s="20"/>
      <c r="N2511" s="320" t="s">
        <v>2685</v>
      </c>
      <c r="O2511" s="70">
        <v>0</v>
      </c>
      <c r="P2511" s="70">
        <v>0</v>
      </c>
      <c r="Q2511" s="70">
        <f t="shared" si="217"/>
        <v>0</v>
      </c>
      <c r="R2511" s="70"/>
      <c r="S2511" s="67"/>
      <c r="T2511" s="2" t="str">
        <f t="shared" si="218"/>
        <v>Nguyễn Huỳnh Khang_10KT3</v>
      </c>
      <c r="U2511" s="28">
        <f t="array" ref="U2511">IFERROR(VLOOKUP($T2511,'Nghi hoc T12'!$H$7:$I$160,2,0),0)</f>
        <v>0</v>
      </c>
      <c r="V2511" s="28"/>
      <c r="W2511" s="28">
        <f t="shared" si="219"/>
        <v>0</v>
      </c>
      <c r="X2511" s="333">
        <f t="shared" si="220"/>
        <v>0</v>
      </c>
      <c r="Y2511" s="333">
        <f t="shared" si="221"/>
        <v>0</v>
      </c>
    </row>
    <row r="2512" spans="1:25" s="2" customFormat="1" ht="21.95" customHeight="1">
      <c r="A2512" s="82">
        <v>11</v>
      </c>
      <c r="B2512" s="91" t="str">
        <f t="shared" si="222"/>
        <v>HT2-3.C</v>
      </c>
      <c r="C2512" s="83" t="s">
        <v>366</v>
      </c>
      <c r="D2512" s="81" t="s">
        <v>3011</v>
      </c>
      <c r="E2512" s="48">
        <v>500067</v>
      </c>
      <c r="F2512" s="30" t="s">
        <v>2721</v>
      </c>
      <c r="G2512" s="29" t="s">
        <v>79</v>
      </c>
      <c r="H2512" s="30" t="s">
        <v>2997</v>
      </c>
      <c r="I2512" s="78"/>
      <c r="J2512" s="20"/>
      <c r="K2512" s="20"/>
      <c r="L2512" s="20"/>
      <c r="M2512" s="20"/>
      <c r="N2512" s="320" t="s">
        <v>2685</v>
      </c>
      <c r="O2512" s="70">
        <v>0</v>
      </c>
      <c r="P2512" s="70">
        <v>0</v>
      </c>
      <c r="Q2512" s="70">
        <f t="shared" si="217"/>
        <v>0</v>
      </c>
      <c r="R2512" s="70"/>
      <c r="S2512" s="67"/>
      <c r="T2512" s="2" t="str">
        <f t="shared" si="218"/>
        <v>Nguyễn Huỳnh Nhựt Khang_10KT2</v>
      </c>
      <c r="U2512" s="28">
        <f t="array" ref="U2512">IFERROR(VLOOKUP($T2512,'Nghi hoc T12'!$H$7:$I$160,2,0),0)</f>
        <v>0</v>
      </c>
      <c r="V2512" s="28"/>
      <c r="W2512" s="28">
        <f t="shared" si="219"/>
        <v>0</v>
      </c>
      <c r="X2512" s="333">
        <f t="shared" si="220"/>
        <v>0</v>
      </c>
      <c r="Y2512" s="333">
        <f t="shared" si="221"/>
        <v>0</v>
      </c>
    </row>
    <row r="2513" spans="1:25" s="2" customFormat="1" ht="21.95" customHeight="1">
      <c r="A2513" s="82">
        <v>12</v>
      </c>
      <c r="B2513" s="91" t="str">
        <f t="shared" si="222"/>
        <v>HT2-3.C</v>
      </c>
      <c r="C2513" s="83" t="s">
        <v>366</v>
      </c>
      <c r="D2513" s="81" t="s">
        <v>3011</v>
      </c>
      <c r="E2513" s="48">
        <v>500068</v>
      </c>
      <c r="F2513" s="30" t="s">
        <v>295</v>
      </c>
      <c r="G2513" s="29" t="s">
        <v>79</v>
      </c>
      <c r="H2513" s="30" t="s">
        <v>2998</v>
      </c>
      <c r="I2513" s="78"/>
      <c r="J2513" s="20"/>
      <c r="K2513" s="20"/>
      <c r="L2513" s="20"/>
      <c r="M2513" s="20"/>
      <c r="N2513" s="320" t="s">
        <v>2685</v>
      </c>
      <c r="O2513" s="70">
        <v>0</v>
      </c>
      <c r="P2513" s="70">
        <v>0</v>
      </c>
      <c r="Q2513" s="70">
        <f t="shared" si="217"/>
        <v>0</v>
      </c>
      <c r="R2513" s="70"/>
      <c r="S2513" s="67"/>
      <c r="T2513" s="2" t="str">
        <f t="shared" si="218"/>
        <v>Phạm Nguyễn Duy Khang_10KT3</v>
      </c>
      <c r="U2513" s="28">
        <f t="array" ref="U2513">IFERROR(VLOOKUP($T2513,'Nghi hoc T12'!$H$7:$I$160,2,0),0)</f>
        <v>0</v>
      </c>
      <c r="V2513" s="28"/>
      <c r="W2513" s="28">
        <f t="shared" si="219"/>
        <v>0</v>
      </c>
      <c r="X2513" s="333">
        <f t="shared" si="220"/>
        <v>0</v>
      </c>
      <c r="Y2513" s="333">
        <f t="shared" si="221"/>
        <v>0</v>
      </c>
    </row>
    <row r="2514" spans="1:25" s="2" customFormat="1" ht="21.95" customHeight="1">
      <c r="A2514" s="82">
        <v>13</v>
      </c>
      <c r="B2514" s="91" t="str">
        <f t="shared" si="222"/>
        <v>HT2-3.C</v>
      </c>
      <c r="C2514" s="83" t="s">
        <v>366</v>
      </c>
      <c r="D2514" s="81" t="s">
        <v>3011</v>
      </c>
      <c r="E2514" s="48">
        <v>500069</v>
      </c>
      <c r="F2514" s="30" t="s">
        <v>2722</v>
      </c>
      <c r="G2514" s="29" t="s">
        <v>2618</v>
      </c>
      <c r="H2514" s="30" t="s">
        <v>2996</v>
      </c>
      <c r="I2514" s="78"/>
      <c r="J2514" s="20"/>
      <c r="K2514" s="20"/>
      <c r="L2514" s="20"/>
      <c r="M2514" s="20"/>
      <c r="N2514" s="320" t="s">
        <v>2685</v>
      </c>
      <c r="O2514" s="70">
        <v>0</v>
      </c>
      <c r="P2514" s="70">
        <v>0</v>
      </c>
      <c r="Q2514" s="70">
        <f t="shared" si="217"/>
        <v>0</v>
      </c>
      <c r="R2514" s="70"/>
      <c r="S2514" s="67"/>
      <c r="T2514" s="2" t="str">
        <f t="shared" si="218"/>
        <v>Bạch Duy Khiêm_10KT1</v>
      </c>
      <c r="U2514" s="28">
        <f t="array" ref="U2514">IFERROR(VLOOKUP($T2514,'Nghi hoc T12'!$H$7:$I$160,2,0),0)</f>
        <v>0</v>
      </c>
      <c r="V2514" s="28"/>
      <c r="W2514" s="28">
        <f t="shared" si="219"/>
        <v>0</v>
      </c>
      <c r="X2514" s="333">
        <f t="shared" si="220"/>
        <v>0</v>
      </c>
      <c r="Y2514" s="333">
        <f t="shared" si="221"/>
        <v>0</v>
      </c>
    </row>
    <row r="2515" spans="1:25" s="2" customFormat="1" ht="21.95" customHeight="1">
      <c r="A2515" s="82">
        <v>14</v>
      </c>
      <c r="B2515" s="91" t="str">
        <f t="shared" si="222"/>
        <v>HT2-3.C</v>
      </c>
      <c r="C2515" s="83" t="s">
        <v>366</v>
      </c>
      <c r="D2515" s="81" t="s">
        <v>3011</v>
      </c>
      <c r="E2515" s="48">
        <v>500070</v>
      </c>
      <c r="F2515" s="30" t="s">
        <v>154</v>
      </c>
      <c r="G2515" s="29" t="s">
        <v>55</v>
      </c>
      <c r="H2515" s="30" t="s">
        <v>2996</v>
      </c>
      <c r="I2515" s="78"/>
      <c r="J2515" s="20"/>
      <c r="K2515" s="20"/>
      <c r="L2515" s="20"/>
      <c r="M2515" s="20"/>
      <c r="N2515" s="320" t="s">
        <v>2685</v>
      </c>
      <c r="O2515" s="70">
        <v>0</v>
      </c>
      <c r="P2515" s="70">
        <v>0</v>
      </c>
      <c r="Q2515" s="70">
        <f t="shared" si="217"/>
        <v>0</v>
      </c>
      <c r="R2515" s="70"/>
      <c r="S2515" s="67"/>
      <c r="T2515" s="2" t="str">
        <f t="shared" si="218"/>
        <v>Nguyễn Bảo Khoa_10KT1</v>
      </c>
      <c r="U2515" s="28">
        <f t="array" ref="U2515">IFERROR(VLOOKUP($T2515,'Nghi hoc T12'!$H$7:$I$160,2,0),0)</f>
        <v>0</v>
      </c>
      <c r="V2515" s="28"/>
      <c r="W2515" s="28">
        <f t="shared" si="219"/>
        <v>0</v>
      </c>
      <c r="X2515" s="333">
        <f t="shared" si="220"/>
        <v>0</v>
      </c>
      <c r="Y2515" s="333">
        <f t="shared" si="221"/>
        <v>0</v>
      </c>
    </row>
    <row r="2516" spans="1:25" s="2" customFormat="1" ht="21.95" customHeight="1">
      <c r="A2516" s="82">
        <v>15</v>
      </c>
      <c r="B2516" s="91" t="str">
        <f t="shared" si="222"/>
        <v>HT2-3.C</v>
      </c>
      <c r="C2516" s="83" t="s">
        <v>366</v>
      </c>
      <c r="D2516" s="81" t="s">
        <v>3011</v>
      </c>
      <c r="E2516" s="48">
        <v>500071</v>
      </c>
      <c r="F2516" s="30" t="s">
        <v>178</v>
      </c>
      <c r="G2516" s="29" t="s">
        <v>55</v>
      </c>
      <c r="H2516" s="30" t="s">
        <v>2999</v>
      </c>
      <c r="I2516" s="78"/>
      <c r="J2516" s="20"/>
      <c r="K2516" s="20"/>
      <c r="L2516" s="20"/>
      <c r="M2516" s="20"/>
      <c r="N2516" s="320" t="s">
        <v>2685</v>
      </c>
      <c r="O2516" s="70">
        <v>0</v>
      </c>
      <c r="P2516" s="70">
        <v>0</v>
      </c>
      <c r="Q2516" s="70">
        <f t="shared" si="217"/>
        <v>0</v>
      </c>
      <c r="R2516" s="70"/>
      <c r="S2516" s="67"/>
      <c r="T2516" s="2" t="str">
        <f t="shared" si="218"/>
        <v>Phạm Đăng Khoa_10KT4</v>
      </c>
      <c r="U2516" s="28">
        <f t="array" ref="U2516">IFERROR(VLOOKUP($T2516,'Nghi hoc T12'!$H$7:$I$160,2,0),0)</f>
        <v>0</v>
      </c>
      <c r="V2516" s="28"/>
      <c r="W2516" s="28">
        <f t="shared" si="219"/>
        <v>0</v>
      </c>
      <c r="X2516" s="333">
        <f t="shared" si="220"/>
        <v>0</v>
      </c>
      <c r="Y2516" s="333">
        <f t="shared" si="221"/>
        <v>0</v>
      </c>
    </row>
    <row r="2517" spans="1:25" s="2" customFormat="1" ht="21.95" customHeight="1">
      <c r="A2517" s="82">
        <v>16</v>
      </c>
      <c r="B2517" s="91" t="str">
        <f t="shared" si="222"/>
        <v>HT2-3.C</v>
      </c>
      <c r="C2517" s="83" t="s">
        <v>366</v>
      </c>
      <c r="D2517" s="81" t="s">
        <v>3011</v>
      </c>
      <c r="E2517" s="48">
        <v>500072</v>
      </c>
      <c r="F2517" s="30" t="s">
        <v>337</v>
      </c>
      <c r="G2517" s="29" t="s">
        <v>55</v>
      </c>
      <c r="H2517" s="30" t="s">
        <v>2997</v>
      </c>
      <c r="I2517" s="78"/>
      <c r="J2517" s="20"/>
      <c r="K2517" s="20"/>
      <c r="L2517" s="20"/>
      <c r="M2517" s="20"/>
      <c r="N2517" s="320" t="s">
        <v>2685</v>
      </c>
      <c r="O2517" s="70">
        <v>0</v>
      </c>
      <c r="P2517" s="70">
        <v>0</v>
      </c>
      <c r="Q2517" s="70">
        <f t="shared" si="217"/>
        <v>0</v>
      </c>
      <c r="R2517" s="70"/>
      <c r="S2517" s="67"/>
      <c r="T2517" s="2" t="str">
        <f t="shared" si="218"/>
        <v>Trần Anh Khoa_10KT2</v>
      </c>
      <c r="U2517" s="28">
        <f t="array" ref="U2517">IFERROR(VLOOKUP($T2517,'Nghi hoc T12'!$H$7:$I$160,2,0),0)</f>
        <v>0</v>
      </c>
      <c r="V2517" s="28"/>
      <c r="W2517" s="28">
        <f t="shared" si="219"/>
        <v>0</v>
      </c>
      <c r="X2517" s="333">
        <f t="shared" si="220"/>
        <v>0</v>
      </c>
      <c r="Y2517" s="333">
        <f t="shared" si="221"/>
        <v>0</v>
      </c>
    </row>
    <row r="2518" spans="1:25" s="2" customFormat="1" ht="21.95" customHeight="1">
      <c r="A2518" s="82">
        <v>17</v>
      </c>
      <c r="B2518" s="91" t="str">
        <f t="shared" si="222"/>
        <v>HT2-3.C</v>
      </c>
      <c r="C2518" s="83" t="s">
        <v>366</v>
      </c>
      <c r="D2518" s="81" t="s">
        <v>3011</v>
      </c>
      <c r="E2518" s="48">
        <v>500073</v>
      </c>
      <c r="F2518" s="30" t="s">
        <v>1274</v>
      </c>
      <c r="G2518" s="29" t="s">
        <v>13</v>
      </c>
      <c r="H2518" s="30" t="s">
        <v>2998</v>
      </c>
      <c r="I2518" s="78"/>
      <c r="J2518" s="20"/>
      <c r="K2518" s="20"/>
      <c r="L2518" s="20"/>
      <c r="M2518" s="20"/>
      <c r="N2518" s="320" t="s">
        <v>2685</v>
      </c>
      <c r="O2518" s="70">
        <v>0</v>
      </c>
      <c r="P2518" s="70">
        <v>0</v>
      </c>
      <c r="Q2518" s="70">
        <f t="shared" si="217"/>
        <v>0</v>
      </c>
      <c r="R2518" s="70"/>
      <c r="S2518" s="67"/>
      <c r="T2518" s="2" t="str">
        <f t="shared" si="218"/>
        <v>Hồ Minh Khôi_10KT3</v>
      </c>
      <c r="U2518" s="28">
        <f t="array" ref="U2518">IFERROR(VLOOKUP($T2518,'Nghi hoc T12'!$H$7:$I$160,2,0),0)</f>
        <v>0</v>
      </c>
      <c r="V2518" s="28"/>
      <c r="W2518" s="28">
        <f t="shared" si="219"/>
        <v>0</v>
      </c>
      <c r="X2518" s="333">
        <f t="shared" si="220"/>
        <v>0</v>
      </c>
      <c r="Y2518" s="333">
        <f t="shared" si="221"/>
        <v>0</v>
      </c>
    </row>
    <row r="2519" spans="1:25" s="2" customFormat="1" ht="21.95" customHeight="1">
      <c r="A2519" s="82">
        <v>18</v>
      </c>
      <c r="B2519" s="91" t="str">
        <f t="shared" si="222"/>
        <v>HT2-3.C</v>
      </c>
      <c r="C2519" s="83" t="s">
        <v>366</v>
      </c>
      <c r="D2519" s="81" t="s">
        <v>3011</v>
      </c>
      <c r="E2519" s="48">
        <v>500074</v>
      </c>
      <c r="F2519" s="30" t="s">
        <v>2723</v>
      </c>
      <c r="G2519" s="29" t="s">
        <v>13</v>
      </c>
      <c r="H2519" s="30" t="s">
        <v>2998</v>
      </c>
      <c r="I2519" s="78"/>
      <c r="J2519" s="20"/>
      <c r="K2519" s="20"/>
      <c r="L2519" s="20"/>
      <c r="M2519" s="20"/>
      <c r="N2519" s="320" t="s">
        <v>2685</v>
      </c>
      <c r="O2519" s="70">
        <v>0</v>
      </c>
      <c r="P2519" s="70">
        <v>0</v>
      </c>
      <c r="Q2519" s="70">
        <f t="shared" si="217"/>
        <v>0</v>
      </c>
      <c r="R2519" s="70"/>
      <c r="S2519" s="67"/>
      <c r="T2519" s="2" t="str">
        <f t="shared" si="218"/>
        <v>Mai Nguyễn Đăng Khôi_10KT3</v>
      </c>
      <c r="U2519" s="28">
        <f t="array" ref="U2519">IFERROR(VLOOKUP($T2519,'Nghi hoc T12'!$H$7:$I$160,2,0),0)</f>
        <v>0</v>
      </c>
      <c r="V2519" s="28"/>
      <c r="W2519" s="28">
        <f t="shared" si="219"/>
        <v>0</v>
      </c>
      <c r="X2519" s="333">
        <f t="shared" si="220"/>
        <v>0</v>
      </c>
      <c r="Y2519" s="333">
        <f t="shared" si="221"/>
        <v>0</v>
      </c>
    </row>
    <row r="2520" spans="1:25" s="2" customFormat="1" ht="21.95" customHeight="1">
      <c r="A2520" s="82">
        <v>19</v>
      </c>
      <c r="B2520" s="91" t="str">
        <f t="shared" si="222"/>
        <v>HT2-3.C</v>
      </c>
      <c r="C2520" s="83" t="s">
        <v>366</v>
      </c>
      <c r="D2520" s="81" t="s">
        <v>3011</v>
      </c>
      <c r="E2520" s="48">
        <v>500075</v>
      </c>
      <c r="F2520" s="30" t="s">
        <v>2724</v>
      </c>
      <c r="G2520" s="29" t="s">
        <v>13</v>
      </c>
      <c r="H2520" s="30" t="s">
        <v>2997</v>
      </c>
      <c r="I2520" s="78"/>
      <c r="J2520" s="20"/>
      <c r="K2520" s="20"/>
      <c r="L2520" s="20"/>
      <c r="M2520" s="20"/>
      <c r="N2520" s="320" t="s">
        <v>2685</v>
      </c>
      <c r="O2520" s="70">
        <v>0</v>
      </c>
      <c r="P2520" s="70">
        <v>0</v>
      </c>
      <c r="Q2520" s="70">
        <f t="shared" si="217"/>
        <v>0</v>
      </c>
      <c r="R2520" s="70"/>
      <c r="S2520" s="67"/>
      <c r="T2520" s="2" t="str">
        <f t="shared" si="218"/>
        <v>Trương Lê Minh Khôi_10KT2</v>
      </c>
      <c r="U2520" s="28">
        <f t="array" ref="U2520">IFERROR(VLOOKUP($T2520,'Nghi hoc T12'!$H$7:$I$160,2,0),0)</f>
        <v>0</v>
      </c>
      <c r="V2520" s="28"/>
      <c r="W2520" s="28">
        <f t="shared" si="219"/>
        <v>0</v>
      </c>
      <c r="X2520" s="333">
        <f t="shared" si="220"/>
        <v>0</v>
      </c>
      <c r="Y2520" s="333">
        <f t="shared" si="221"/>
        <v>0</v>
      </c>
    </row>
    <row r="2521" spans="1:25" s="2" customFormat="1" ht="21.95" customHeight="1">
      <c r="A2521" s="82">
        <v>20</v>
      </c>
      <c r="B2521" s="91" t="str">
        <f t="shared" si="222"/>
        <v>HT2-3.C</v>
      </c>
      <c r="C2521" s="83" t="s">
        <v>366</v>
      </c>
      <c r="D2521" s="81" t="s">
        <v>3011</v>
      </c>
      <c r="E2521" s="48">
        <v>500076</v>
      </c>
      <c r="F2521" s="30" t="s">
        <v>1619</v>
      </c>
      <c r="G2521" s="29" t="s">
        <v>13</v>
      </c>
      <c r="H2521" s="30" t="s">
        <v>2996</v>
      </c>
      <c r="I2521" s="78"/>
      <c r="J2521" s="20"/>
      <c r="K2521" s="20"/>
      <c r="L2521" s="20"/>
      <c r="M2521" s="20"/>
      <c r="N2521" s="320" t="s">
        <v>2685</v>
      </c>
      <c r="O2521" s="70">
        <v>0</v>
      </c>
      <c r="P2521" s="70">
        <v>0</v>
      </c>
      <c r="Q2521" s="70">
        <f t="shared" si="217"/>
        <v>0</v>
      </c>
      <c r="R2521" s="70"/>
      <c r="S2521" s="67"/>
      <c r="T2521" s="2" t="str">
        <f t="shared" si="218"/>
        <v>Võ Anh Khôi_10KT1</v>
      </c>
      <c r="U2521" s="28">
        <f t="array" ref="U2521">IFERROR(VLOOKUP($T2521,'Nghi hoc T12'!$H$7:$I$160,2,0),0)</f>
        <v>0</v>
      </c>
      <c r="V2521" s="28"/>
      <c r="W2521" s="28">
        <f t="shared" si="219"/>
        <v>0</v>
      </c>
      <c r="X2521" s="333">
        <f t="shared" si="220"/>
        <v>0</v>
      </c>
      <c r="Y2521" s="333">
        <f t="shared" si="221"/>
        <v>0</v>
      </c>
    </row>
    <row r="2522" spans="1:25" s="2" customFormat="1" ht="21.95" customHeight="1">
      <c r="A2522" s="82">
        <v>21</v>
      </c>
      <c r="B2522" s="91" t="str">
        <f t="shared" si="222"/>
        <v>HT2-3.C</v>
      </c>
      <c r="C2522" s="83" t="s">
        <v>366</v>
      </c>
      <c r="D2522" s="81" t="s">
        <v>3011</v>
      </c>
      <c r="E2522" s="48">
        <v>500077</v>
      </c>
      <c r="F2522" s="30" t="s">
        <v>2725</v>
      </c>
      <c r="G2522" s="29" t="s">
        <v>68</v>
      </c>
      <c r="H2522" s="30" t="s">
        <v>2998</v>
      </c>
      <c r="I2522" s="78"/>
      <c r="J2522" s="20"/>
      <c r="K2522" s="20"/>
      <c r="L2522" s="20"/>
      <c r="M2522" s="20"/>
      <c r="N2522" s="320" t="s">
        <v>2685</v>
      </c>
      <c r="O2522" s="70">
        <v>0</v>
      </c>
      <c r="P2522" s="70">
        <v>0</v>
      </c>
      <c r="Q2522" s="70">
        <f t="shared" si="217"/>
        <v>0</v>
      </c>
      <c r="R2522" s="70"/>
      <c r="S2522" s="67"/>
      <c r="T2522" s="2" t="str">
        <f t="shared" si="218"/>
        <v>Đinh Tuấn Kiệt_10KT3</v>
      </c>
      <c r="U2522" s="28">
        <f t="array" ref="U2522">IFERROR(VLOOKUP($T2522,'Nghi hoc T12'!$H$7:$I$160,2,0),0)</f>
        <v>0</v>
      </c>
      <c r="V2522" s="28"/>
      <c r="W2522" s="28">
        <f t="shared" si="219"/>
        <v>0</v>
      </c>
      <c r="X2522" s="333">
        <f t="shared" si="220"/>
        <v>0</v>
      </c>
      <c r="Y2522" s="333">
        <f t="shared" si="221"/>
        <v>0</v>
      </c>
    </row>
    <row r="2523" spans="1:25" s="2" customFormat="1" ht="21.95" customHeight="1">
      <c r="A2523" s="82">
        <v>22</v>
      </c>
      <c r="B2523" s="91" t="str">
        <f t="shared" si="222"/>
        <v>HT2-3.C</v>
      </c>
      <c r="C2523" s="83" t="s">
        <v>366</v>
      </c>
      <c r="D2523" s="81" t="s">
        <v>3011</v>
      </c>
      <c r="E2523" s="48">
        <v>500078</v>
      </c>
      <c r="F2523" s="30" t="s">
        <v>2726</v>
      </c>
      <c r="G2523" s="29" t="s">
        <v>68</v>
      </c>
      <c r="H2523" s="30" t="s">
        <v>2999</v>
      </c>
      <c r="I2523" s="78"/>
      <c r="J2523" s="20"/>
      <c r="K2523" s="20"/>
      <c r="L2523" s="20"/>
      <c r="M2523" s="20"/>
      <c r="N2523" s="320" t="s">
        <v>2685</v>
      </c>
      <c r="O2523" s="70">
        <v>0</v>
      </c>
      <c r="P2523" s="70">
        <v>0</v>
      </c>
      <c r="Q2523" s="70">
        <f t="shared" si="217"/>
        <v>0</v>
      </c>
      <c r="R2523" s="70"/>
      <c r="S2523" s="67"/>
      <c r="T2523" s="2" t="str">
        <f t="shared" si="218"/>
        <v>Đỗ Tuấn Kiệt_10KT4</v>
      </c>
      <c r="U2523" s="28">
        <f t="array" ref="U2523">IFERROR(VLOOKUP($T2523,'Nghi hoc T12'!$H$7:$I$160,2,0),0)</f>
        <v>0</v>
      </c>
      <c r="V2523" s="28"/>
      <c r="W2523" s="28">
        <f t="shared" si="219"/>
        <v>0</v>
      </c>
      <c r="X2523" s="333">
        <f t="shared" si="220"/>
        <v>0</v>
      </c>
      <c r="Y2523" s="333">
        <f t="shared" si="221"/>
        <v>0</v>
      </c>
    </row>
    <row r="2524" spans="1:25" s="2" customFormat="1" ht="21.95" customHeight="1">
      <c r="A2524" s="82">
        <v>23</v>
      </c>
      <c r="B2524" s="91" t="str">
        <f t="shared" si="222"/>
        <v>HT2-3.C</v>
      </c>
      <c r="C2524" s="83" t="s">
        <v>366</v>
      </c>
      <c r="D2524" s="81" t="s">
        <v>3011</v>
      </c>
      <c r="E2524" s="48">
        <v>500079</v>
      </c>
      <c r="F2524" s="30" t="s">
        <v>2727</v>
      </c>
      <c r="G2524" s="29" t="s">
        <v>68</v>
      </c>
      <c r="H2524" s="30" t="s">
        <v>2997</v>
      </c>
      <c r="I2524" s="78"/>
      <c r="J2524" s="20"/>
      <c r="K2524" s="20"/>
      <c r="L2524" s="20"/>
      <c r="M2524" s="20"/>
      <c r="N2524" s="320" t="s">
        <v>2685</v>
      </c>
      <c r="O2524" s="70">
        <v>0</v>
      </c>
      <c r="P2524" s="70">
        <v>0</v>
      </c>
      <c r="Q2524" s="70">
        <f t="shared" si="217"/>
        <v>0</v>
      </c>
      <c r="R2524" s="70"/>
      <c r="S2524" s="67"/>
      <c r="T2524" s="2" t="str">
        <f t="shared" si="218"/>
        <v>Phạm Minh Tuấn Kiệt_10KT2</v>
      </c>
      <c r="U2524" s="28">
        <f t="array" ref="U2524">IFERROR(VLOOKUP($T2524,'Nghi hoc T12'!$H$7:$I$160,2,0),0)</f>
        <v>0</v>
      </c>
      <c r="V2524" s="28"/>
      <c r="W2524" s="28">
        <f t="shared" si="219"/>
        <v>0</v>
      </c>
      <c r="X2524" s="333">
        <f t="shared" si="220"/>
        <v>0</v>
      </c>
      <c r="Y2524" s="333">
        <f t="shared" si="221"/>
        <v>0</v>
      </c>
    </row>
    <row r="2525" spans="1:25" s="2" customFormat="1" ht="21.95" customHeight="1">
      <c r="A2525" s="82">
        <v>24</v>
      </c>
      <c r="B2525" s="91" t="str">
        <f t="shared" si="222"/>
        <v>HT2-3.C</v>
      </c>
      <c r="C2525" s="83" t="s">
        <v>366</v>
      </c>
      <c r="D2525" s="81" t="s">
        <v>3011</v>
      </c>
      <c r="E2525" s="48">
        <v>500080</v>
      </c>
      <c r="F2525" s="30" t="s">
        <v>2728</v>
      </c>
      <c r="G2525" s="29" t="s">
        <v>68</v>
      </c>
      <c r="H2525" s="30" t="s">
        <v>2996</v>
      </c>
      <c r="I2525" s="78"/>
      <c r="J2525" s="20"/>
      <c r="K2525" s="20"/>
      <c r="L2525" s="20"/>
      <c r="M2525" s="20"/>
      <c r="N2525" s="320" t="s">
        <v>2685</v>
      </c>
      <c r="O2525" s="70">
        <v>0</v>
      </c>
      <c r="P2525" s="70">
        <v>0</v>
      </c>
      <c r="Q2525" s="70">
        <f t="shared" si="217"/>
        <v>0</v>
      </c>
      <c r="R2525" s="70"/>
      <c r="S2525" s="67"/>
      <c r="T2525" s="2" t="str">
        <f t="shared" si="218"/>
        <v>Trịnh Trần Tuấn Kiệt_10KT1</v>
      </c>
      <c r="U2525" s="28">
        <f t="array" ref="U2525">IFERROR(VLOOKUP($T2525,'Nghi hoc T12'!$H$7:$I$160,2,0),0)</f>
        <v>0</v>
      </c>
      <c r="V2525" s="28"/>
      <c r="W2525" s="28">
        <f t="shared" si="219"/>
        <v>0</v>
      </c>
      <c r="X2525" s="333">
        <f t="shared" si="220"/>
        <v>0</v>
      </c>
      <c r="Y2525" s="333">
        <f t="shared" si="221"/>
        <v>0</v>
      </c>
    </row>
    <row r="2526" spans="1:25" s="2" customFormat="1" ht="21.95" customHeight="1">
      <c r="A2526" s="82">
        <v>25</v>
      </c>
      <c r="B2526" s="91" t="str">
        <f t="shared" si="222"/>
        <v>HT2-3.C</v>
      </c>
      <c r="C2526" s="83" t="s">
        <v>366</v>
      </c>
      <c r="D2526" s="81" t="s">
        <v>3011</v>
      </c>
      <c r="E2526" s="48">
        <v>500081</v>
      </c>
      <c r="F2526" s="30" t="s">
        <v>2361</v>
      </c>
      <c r="G2526" s="29" t="s">
        <v>86</v>
      </c>
      <c r="H2526" s="30" t="s">
        <v>2997</v>
      </c>
      <c r="I2526" s="78"/>
      <c r="J2526" s="20"/>
      <c r="K2526" s="20"/>
      <c r="L2526" s="20"/>
      <c r="M2526" s="20"/>
      <c r="N2526" s="320" t="s">
        <v>2685</v>
      </c>
      <c r="O2526" s="70">
        <v>0</v>
      </c>
      <c r="P2526" s="70">
        <v>0</v>
      </c>
      <c r="Q2526" s="70">
        <f t="shared" si="217"/>
        <v>0</v>
      </c>
      <c r="R2526" s="70"/>
      <c r="S2526" s="67"/>
      <c r="T2526" s="2" t="str">
        <f t="shared" si="218"/>
        <v>Nguyễn Phạm Hoàng Kim_10KT2</v>
      </c>
      <c r="U2526" s="28">
        <f t="array" ref="U2526">IFERROR(VLOOKUP($T2526,'Nghi hoc T12'!$H$7:$I$160,2,0),0)</f>
        <v>0</v>
      </c>
      <c r="V2526" s="28"/>
      <c r="W2526" s="28">
        <f t="shared" si="219"/>
        <v>0</v>
      </c>
      <c r="X2526" s="333">
        <f t="shared" si="220"/>
        <v>0</v>
      </c>
      <c r="Y2526" s="333">
        <f t="shared" si="221"/>
        <v>0</v>
      </c>
    </row>
    <row r="2527" spans="1:25" s="2" customFormat="1" ht="21.95" customHeight="1">
      <c r="A2527" s="82">
        <v>26</v>
      </c>
      <c r="B2527" s="91" t="str">
        <f t="shared" si="222"/>
        <v>HT2-3.C</v>
      </c>
      <c r="C2527" s="83" t="s">
        <v>366</v>
      </c>
      <c r="D2527" s="81" t="s">
        <v>3011</v>
      </c>
      <c r="E2527" s="48">
        <v>500082</v>
      </c>
      <c r="F2527" s="30" t="s">
        <v>2729</v>
      </c>
      <c r="G2527" s="29" t="s">
        <v>92</v>
      </c>
      <c r="H2527" s="30" t="s">
        <v>2996</v>
      </c>
      <c r="I2527" s="78"/>
      <c r="J2527" s="20"/>
      <c r="K2527" s="20"/>
      <c r="L2527" s="20"/>
      <c r="M2527" s="20"/>
      <c r="N2527" s="320" t="s">
        <v>2685</v>
      </c>
      <c r="O2527" s="70">
        <v>0</v>
      </c>
      <c r="P2527" s="70">
        <v>0</v>
      </c>
      <c r="Q2527" s="70">
        <f t="shared" si="217"/>
        <v>0</v>
      </c>
      <c r="R2527" s="70"/>
      <c r="S2527" s="67"/>
      <c r="T2527" s="2" t="str">
        <f t="shared" si="218"/>
        <v>Chu Sỹ Thanh Lâm_10KT1</v>
      </c>
      <c r="U2527" s="28">
        <f t="array" ref="U2527">IFERROR(VLOOKUP($T2527,'Nghi hoc T12'!$H$7:$I$160,2,0),0)</f>
        <v>0</v>
      </c>
      <c r="V2527" s="28"/>
      <c r="W2527" s="28">
        <f t="shared" si="219"/>
        <v>0</v>
      </c>
      <c r="X2527" s="333">
        <f t="shared" si="220"/>
        <v>0</v>
      </c>
      <c r="Y2527" s="333">
        <f t="shared" si="221"/>
        <v>0</v>
      </c>
    </row>
    <row r="2528" spans="1:25" s="2" customFormat="1" ht="21.95" customHeight="1">
      <c r="A2528" s="82">
        <v>27</v>
      </c>
      <c r="B2528" s="91" t="str">
        <f t="shared" si="222"/>
        <v>HT2-3.C</v>
      </c>
      <c r="C2528" s="83" t="s">
        <v>366</v>
      </c>
      <c r="D2528" s="81" t="s">
        <v>3011</v>
      </c>
      <c r="E2528" s="48">
        <v>500083</v>
      </c>
      <c r="F2528" s="30" t="s">
        <v>2730</v>
      </c>
      <c r="G2528" s="29" t="s">
        <v>92</v>
      </c>
      <c r="H2528" s="30" t="s">
        <v>2999</v>
      </c>
      <c r="I2528" s="78"/>
      <c r="J2528" s="20"/>
      <c r="K2528" s="20"/>
      <c r="L2528" s="20"/>
      <c r="M2528" s="20"/>
      <c r="N2528" s="320" t="s">
        <v>2685</v>
      </c>
      <c r="O2528" s="70">
        <v>0</v>
      </c>
      <c r="P2528" s="70">
        <v>0</v>
      </c>
      <c r="Q2528" s="70">
        <f t="shared" si="217"/>
        <v>0</v>
      </c>
      <c r="R2528" s="70"/>
      <c r="S2528" s="67"/>
      <c r="T2528" s="2" t="str">
        <f t="shared" si="218"/>
        <v>Nguyễn Hoài Vương Lâm_10KT4</v>
      </c>
      <c r="U2528" s="28">
        <f t="array" ref="U2528">IFERROR(VLOOKUP($T2528,'Nghi hoc T12'!$H$7:$I$160,2,0),0)</f>
        <v>0</v>
      </c>
      <c r="V2528" s="28"/>
      <c r="W2528" s="28">
        <f t="shared" si="219"/>
        <v>0</v>
      </c>
      <c r="X2528" s="333">
        <f t="shared" si="220"/>
        <v>0</v>
      </c>
      <c r="Y2528" s="333">
        <f t="shared" si="221"/>
        <v>0</v>
      </c>
    </row>
    <row r="2529" spans="1:25" s="2" customFormat="1" ht="21.95" customHeight="1">
      <c r="A2529" s="82">
        <v>28</v>
      </c>
      <c r="B2529" s="91" t="str">
        <f t="shared" si="222"/>
        <v>HT2-3.C</v>
      </c>
      <c r="C2529" s="83" t="s">
        <v>366</v>
      </c>
      <c r="D2529" s="81" t="s">
        <v>3011</v>
      </c>
      <c r="E2529" s="48">
        <v>500084</v>
      </c>
      <c r="F2529" s="30" t="s">
        <v>207</v>
      </c>
      <c r="G2529" s="29" t="s">
        <v>38</v>
      </c>
      <c r="H2529" s="30" t="s">
        <v>2999</v>
      </c>
      <c r="I2529" s="78"/>
      <c r="J2529" s="20"/>
      <c r="K2529" s="20"/>
      <c r="L2529" s="20"/>
      <c r="M2529" s="20"/>
      <c r="N2529" s="320" t="s">
        <v>2685</v>
      </c>
      <c r="O2529" s="70">
        <v>0</v>
      </c>
      <c r="P2529" s="70">
        <v>0</v>
      </c>
      <c r="Q2529" s="70">
        <f t="shared" si="217"/>
        <v>0</v>
      </c>
      <c r="R2529" s="70"/>
      <c r="S2529" s="67"/>
      <c r="T2529" s="2" t="str">
        <f t="shared" si="218"/>
        <v>Phạm Văn Linh_10KT4</v>
      </c>
      <c r="U2529" s="28">
        <f t="array" ref="U2529">IFERROR(VLOOKUP($T2529,'Nghi hoc T12'!$H$7:$I$160,2,0),0)</f>
        <v>0</v>
      </c>
      <c r="V2529" s="28"/>
      <c r="W2529" s="28">
        <f t="shared" si="219"/>
        <v>0</v>
      </c>
      <c r="X2529" s="333">
        <f t="shared" si="220"/>
        <v>0</v>
      </c>
      <c r="Y2529" s="333">
        <f t="shared" si="221"/>
        <v>0</v>
      </c>
    </row>
    <row r="2530" spans="1:25" s="2" customFormat="1" ht="21.95" customHeight="1">
      <c r="A2530" s="321">
        <v>1</v>
      </c>
      <c r="B2530" s="91" t="str">
        <f t="shared" si="222"/>
        <v>A0.13.C</v>
      </c>
      <c r="C2530" s="185" t="s">
        <v>366</v>
      </c>
      <c r="D2530" s="186" t="s">
        <v>3012</v>
      </c>
      <c r="E2530" s="187">
        <v>500085</v>
      </c>
      <c r="F2530" s="188" t="s">
        <v>297</v>
      </c>
      <c r="G2530" s="189" t="s">
        <v>14</v>
      </c>
      <c r="H2530" s="188" t="s">
        <v>2999</v>
      </c>
      <c r="I2530" s="190"/>
      <c r="J2530" s="191"/>
      <c r="K2530" s="191"/>
      <c r="L2530" s="191"/>
      <c r="M2530" s="191"/>
      <c r="N2530" s="320" t="s">
        <v>2685</v>
      </c>
      <c r="O2530" s="70">
        <v>0</v>
      </c>
      <c r="P2530" s="70">
        <v>0</v>
      </c>
      <c r="Q2530" s="70">
        <f t="shared" si="217"/>
        <v>0</v>
      </c>
      <c r="R2530" s="70"/>
      <c r="S2530" s="67"/>
      <c r="T2530" s="2" t="str">
        <f t="shared" si="218"/>
        <v>Nguyễn Huỳnh Long_10KT4</v>
      </c>
      <c r="U2530" s="28">
        <f t="array" ref="U2530">IFERROR(VLOOKUP($T2530,'Nghi hoc T12'!$H$7:$I$160,2,0),0)</f>
        <v>0</v>
      </c>
      <c r="V2530" s="28"/>
      <c r="W2530" s="28">
        <f t="shared" si="219"/>
        <v>0</v>
      </c>
      <c r="X2530" s="333">
        <f t="shared" si="220"/>
        <v>0</v>
      </c>
      <c r="Y2530" s="333">
        <f t="shared" si="221"/>
        <v>0</v>
      </c>
    </row>
    <row r="2531" spans="1:25" s="2" customFormat="1" ht="21.95" customHeight="1">
      <c r="A2531" s="82">
        <v>2</v>
      </c>
      <c r="B2531" s="91" t="str">
        <f t="shared" si="222"/>
        <v>A0.13.C</v>
      </c>
      <c r="C2531" s="83" t="s">
        <v>366</v>
      </c>
      <c r="D2531" s="81" t="s">
        <v>3012</v>
      </c>
      <c r="E2531" s="48">
        <v>500086</v>
      </c>
      <c r="F2531" s="30" t="s">
        <v>2391</v>
      </c>
      <c r="G2531" s="29" t="s">
        <v>14</v>
      </c>
      <c r="H2531" s="30" t="s">
        <v>2998</v>
      </c>
      <c r="I2531" s="78"/>
      <c r="J2531" s="20"/>
      <c r="K2531" s="20"/>
      <c r="L2531" s="20"/>
      <c r="M2531" s="20"/>
      <c r="N2531" s="320" t="s">
        <v>2685</v>
      </c>
      <c r="O2531" s="70">
        <v>0</v>
      </c>
      <c r="P2531" s="70">
        <v>0</v>
      </c>
      <c r="Q2531" s="70">
        <f t="shared" si="217"/>
        <v>0</v>
      </c>
      <c r="R2531" s="70"/>
      <c r="S2531" s="67"/>
      <c r="T2531" s="2" t="str">
        <f t="shared" si="218"/>
        <v>Phạm Hoàng Long_10KT3</v>
      </c>
      <c r="U2531" s="28">
        <f t="array" ref="U2531">IFERROR(VLOOKUP($T2531,'Nghi hoc T12'!$H$7:$I$160,2,0),0)</f>
        <v>0</v>
      </c>
      <c r="V2531" s="28"/>
      <c r="W2531" s="28">
        <f t="shared" si="219"/>
        <v>0</v>
      </c>
      <c r="X2531" s="333">
        <f t="shared" si="220"/>
        <v>0</v>
      </c>
      <c r="Y2531" s="333">
        <f t="shared" si="221"/>
        <v>0</v>
      </c>
    </row>
    <row r="2532" spans="1:25" s="2" customFormat="1" ht="21.95" customHeight="1">
      <c r="A2532" s="82">
        <v>3</v>
      </c>
      <c r="B2532" s="91" t="str">
        <f t="shared" si="222"/>
        <v>A0.13.C</v>
      </c>
      <c r="C2532" s="83" t="s">
        <v>366</v>
      </c>
      <c r="D2532" s="81" t="s">
        <v>3012</v>
      </c>
      <c r="E2532" s="48">
        <v>500087</v>
      </c>
      <c r="F2532" s="30" t="s">
        <v>2731</v>
      </c>
      <c r="G2532" s="29" t="s">
        <v>14</v>
      </c>
      <c r="H2532" s="30" t="s">
        <v>2998</v>
      </c>
      <c r="I2532" s="78"/>
      <c r="J2532" s="20"/>
      <c r="K2532" s="20"/>
      <c r="L2532" s="20"/>
      <c r="M2532" s="20"/>
      <c r="N2532" s="320" t="s">
        <v>2685</v>
      </c>
      <c r="O2532" s="70">
        <v>0</v>
      </c>
      <c r="P2532" s="70">
        <v>0</v>
      </c>
      <c r="Q2532" s="70">
        <f t="shared" si="217"/>
        <v>0</v>
      </c>
      <c r="R2532" s="70"/>
      <c r="S2532" s="67"/>
      <c r="T2532" s="2" t="str">
        <f t="shared" si="218"/>
        <v>Vũ Đỗ Trường Long_10KT3</v>
      </c>
      <c r="U2532" s="28">
        <f t="array" ref="U2532">IFERROR(VLOOKUP($T2532,'Nghi hoc T12'!$H$7:$I$160,2,0),0)</f>
        <v>0</v>
      </c>
      <c r="V2532" s="28"/>
      <c r="W2532" s="28">
        <f t="shared" si="219"/>
        <v>0</v>
      </c>
      <c r="X2532" s="333">
        <f t="shared" si="220"/>
        <v>0</v>
      </c>
      <c r="Y2532" s="333">
        <f t="shared" si="221"/>
        <v>0</v>
      </c>
    </row>
    <row r="2533" spans="1:25" s="2" customFormat="1" ht="21.95" customHeight="1">
      <c r="A2533" s="82">
        <v>4</v>
      </c>
      <c r="B2533" s="91" t="str">
        <f t="shared" si="222"/>
        <v>A0.13.C</v>
      </c>
      <c r="C2533" s="83" t="s">
        <v>366</v>
      </c>
      <c r="D2533" s="81" t="s">
        <v>3012</v>
      </c>
      <c r="E2533" s="48">
        <v>500088</v>
      </c>
      <c r="F2533" s="30" t="s">
        <v>236</v>
      </c>
      <c r="G2533" s="29" t="s">
        <v>152</v>
      </c>
      <c r="H2533" s="30" t="s">
        <v>2997</v>
      </c>
      <c r="I2533" s="78"/>
      <c r="J2533" s="20"/>
      <c r="K2533" s="20"/>
      <c r="L2533" s="20"/>
      <c r="M2533" s="20"/>
      <c r="N2533" s="320" t="s">
        <v>2685</v>
      </c>
      <c r="O2533" s="70">
        <v>0</v>
      </c>
      <c r="P2533" s="70">
        <v>0</v>
      </c>
      <c r="Q2533" s="70">
        <f t="shared" si="217"/>
        <v>0</v>
      </c>
      <c r="R2533" s="70"/>
      <c r="S2533" s="67"/>
      <c r="T2533" s="2" t="str">
        <f t="shared" si="218"/>
        <v>Huỳnh Tấn Lộc_10KT2</v>
      </c>
      <c r="U2533" s="28">
        <f t="array" ref="U2533">IFERROR(VLOOKUP($T2533,'Nghi hoc T12'!$H$7:$I$160,2,0),0)</f>
        <v>0</v>
      </c>
      <c r="V2533" s="28"/>
      <c r="W2533" s="28">
        <f t="shared" si="219"/>
        <v>0</v>
      </c>
      <c r="X2533" s="333">
        <f t="shared" si="220"/>
        <v>0</v>
      </c>
      <c r="Y2533" s="333">
        <f t="shared" si="221"/>
        <v>0</v>
      </c>
    </row>
    <row r="2534" spans="1:25" s="2" customFormat="1" ht="21.95" customHeight="1">
      <c r="A2534" s="82">
        <v>5</v>
      </c>
      <c r="B2534" s="91" t="str">
        <f t="shared" si="222"/>
        <v>A0.13.C</v>
      </c>
      <c r="C2534" s="83" t="s">
        <v>366</v>
      </c>
      <c r="D2534" s="81" t="s">
        <v>3012</v>
      </c>
      <c r="E2534" s="48">
        <v>500089</v>
      </c>
      <c r="F2534" s="30" t="s">
        <v>2732</v>
      </c>
      <c r="G2534" s="29" t="s">
        <v>152</v>
      </c>
      <c r="H2534" s="30" t="s">
        <v>2999</v>
      </c>
      <c r="I2534" s="78"/>
      <c r="J2534" s="20"/>
      <c r="K2534" s="20"/>
      <c r="L2534" s="20"/>
      <c r="M2534" s="20"/>
      <c r="N2534" s="320" t="s">
        <v>2685</v>
      </c>
      <c r="O2534" s="70">
        <v>0</v>
      </c>
      <c r="P2534" s="70">
        <v>0</v>
      </c>
      <c r="Q2534" s="70">
        <f t="shared" si="217"/>
        <v>0</v>
      </c>
      <c r="R2534" s="70"/>
      <c r="S2534" s="67"/>
      <c r="T2534" s="2" t="str">
        <f t="shared" si="218"/>
        <v>Lê Hữu Phước Lộc_10KT4</v>
      </c>
      <c r="U2534" s="28">
        <f t="array" ref="U2534">IFERROR(VLOOKUP($T2534,'Nghi hoc T12'!$H$7:$I$160,2,0),0)</f>
        <v>0</v>
      </c>
      <c r="V2534" s="28"/>
      <c r="W2534" s="28">
        <f t="shared" si="219"/>
        <v>0</v>
      </c>
      <c r="X2534" s="333">
        <f t="shared" si="220"/>
        <v>0</v>
      </c>
      <c r="Y2534" s="333">
        <f t="shared" si="221"/>
        <v>0</v>
      </c>
    </row>
    <row r="2535" spans="1:25" s="2" customFormat="1" ht="21.95" customHeight="1">
      <c r="A2535" s="82">
        <v>6</v>
      </c>
      <c r="B2535" s="91" t="str">
        <f t="shared" si="222"/>
        <v>A0.13.C</v>
      </c>
      <c r="C2535" s="83" t="s">
        <v>366</v>
      </c>
      <c r="D2535" s="81" t="s">
        <v>3012</v>
      </c>
      <c r="E2535" s="48">
        <v>500090</v>
      </c>
      <c r="F2535" s="30" t="s">
        <v>2256</v>
      </c>
      <c r="G2535" s="29" t="s">
        <v>39</v>
      </c>
      <c r="H2535" s="30" t="s">
        <v>2996</v>
      </c>
      <c r="I2535" s="78"/>
      <c r="J2535" s="20"/>
      <c r="K2535" s="20"/>
      <c r="L2535" s="20"/>
      <c r="M2535" s="20"/>
      <c r="N2535" s="320" t="s">
        <v>2685</v>
      </c>
      <c r="O2535" s="70">
        <v>0</v>
      </c>
      <c r="P2535" s="70">
        <v>0</v>
      </c>
      <c r="Q2535" s="70">
        <f t="shared" si="217"/>
        <v>0</v>
      </c>
      <c r="R2535" s="70"/>
      <c r="S2535" s="67"/>
      <c r="T2535" s="2" t="str">
        <f t="shared" si="218"/>
        <v>Đào Xuân Lợi_10KT1</v>
      </c>
      <c r="U2535" s="28">
        <f t="array" ref="U2535">IFERROR(VLOOKUP($T2535,'Nghi hoc T12'!$H$7:$I$160,2,0),0)</f>
        <v>0</v>
      </c>
      <c r="V2535" s="28"/>
      <c r="W2535" s="28">
        <f t="shared" si="219"/>
        <v>0</v>
      </c>
      <c r="X2535" s="333">
        <f t="shared" si="220"/>
        <v>0</v>
      </c>
      <c r="Y2535" s="333">
        <f t="shared" si="221"/>
        <v>0</v>
      </c>
    </row>
    <row r="2536" spans="1:25" s="2" customFormat="1" ht="21.95" customHeight="1">
      <c r="A2536" s="82">
        <v>7</v>
      </c>
      <c r="B2536" s="91" t="str">
        <f t="shared" si="222"/>
        <v>A0.13.C</v>
      </c>
      <c r="C2536" s="83" t="s">
        <v>366</v>
      </c>
      <c r="D2536" s="81" t="s">
        <v>3012</v>
      </c>
      <c r="E2536" s="48">
        <v>500091</v>
      </c>
      <c r="F2536" s="30" t="s">
        <v>2733</v>
      </c>
      <c r="G2536" s="29" t="s">
        <v>153</v>
      </c>
      <c r="H2536" s="30" t="s">
        <v>2997</v>
      </c>
      <c r="I2536" s="78"/>
      <c r="J2536" s="20"/>
      <c r="K2536" s="20"/>
      <c r="L2536" s="20"/>
      <c r="M2536" s="20"/>
      <c r="N2536" s="320" t="s">
        <v>2685</v>
      </c>
      <c r="O2536" s="70">
        <v>0</v>
      </c>
      <c r="P2536" s="70">
        <v>0</v>
      </c>
      <c r="Q2536" s="70">
        <f t="shared" si="217"/>
        <v>0</v>
      </c>
      <c r="R2536" s="70"/>
      <c r="S2536" s="67"/>
      <c r="T2536" s="2" t="str">
        <f t="shared" si="218"/>
        <v>Nguyễn Huỳnh Thanh Luân_10KT2</v>
      </c>
      <c r="U2536" s="28">
        <f t="array" ref="U2536">IFERROR(VLOOKUP($T2536,'Nghi hoc T12'!$H$7:$I$160,2,0),0)</f>
        <v>0</v>
      </c>
      <c r="V2536" s="28"/>
      <c r="W2536" s="28">
        <f t="shared" si="219"/>
        <v>0</v>
      </c>
      <c r="X2536" s="333">
        <f t="shared" si="220"/>
        <v>0</v>
      </c>
      <c r="Y2536" s="333">
        <f t="shared" si="221"/>
        <v>0</v>
      </c>
    </row>
    <row r="2537" spans="1:25" s="2" customFormat="1" ht="21.95" customHeight="1">
      <c r="A2537" s="82">
        <v>8</v>
      </c>
      <c r="B2537" s="91" t="str">
        <f t="shared" si="222"/>
        <v>A0.13.C</v>
      </c>
      <c r="C2537" s="83" t="s">
        <v>366</v>
      </c>
      <c r="D2537" s="81" t="s">
        <v>3012</v>
      </c>
      <c r="E2537" s="48">
        <v>500092</v>
      </c>
      <c r="F2537" s="30" t="s">
        <v>226</v>
      </c>
      <c r="G2537" s="29" t="s">
        <v>69</v>
      </c>
      <c r="H2537" s="30" t="s">
        <v>2996</v>
      </c>
      <c r="I2537" s="78"/>
      <c r="J2537" s="20"/>
      <c r="K2537" s="20"/>
      <c r="L2537" s="20"/>
      <c r="M2537" s="20"/>
      <c r="N2537" s="320" t="s">
        <v>2685</v>
      </c>
      <c r="O2537" s="70">
        <v>0</v>
      </c>
      <c r="P2537" s="70">
        <v>0</v>
      </c>
      <c r="Q2537" s="70">
        <f t="shared" si="217"/>
        <v>0</v>
      </c>
      <c r="R2537" s="70"/>
      <c r="S2537" s="67"/>
      <c r="T2537" s="2" t="str">
        <f t="shared" si="218"/>
        <v>Nguyễn Thị Thanh Ly_10KT1</v>
      </c>
      <c r="U2537" s="28">
        <f t="array" ref="U2537">IFERROR(VLOOKUP($T2537,'Nghi hoc T12'!$H$7:$I$160,2,0),0)</f>
        <v>0</v>
      </c>
      <c r="V2537" s="28"/>
      <c r="W2537" s="28">
        <f t="shared" si="219"/>
        <v>0</v>
      </c>
      <c r="X2537" s="333">
        <f t="shared" si="220"/>
        <v>0</v>
      </c>
      <c r="Y2537" s="333">
        <f t="shared" si="221"/>
        <v>0</v>
      </c>
    </row>
    <row r="2538" spans="1:25" s="2" customFormat="1" ht="21.95" customHeight="1">
      <c r="A2538" s="82">
        <v>9</v>
      </c>
      <c r="B2538" s="91" t="str">
        <f t="shared" si="222"/>
        <v>A0.13.C</v>
      </c>
      <c r="C2538" s="83" t="s">
        <v>366</v>
      </c>
      <c r="D2538" s="81" t="s">
        <v>3012</v>
      </c>
      <c r="E2538" s="48">
        <v>500093</v>
      </c>
      <c r="F2538" s="30" t="s">
        <v>327</v>
      </c>
      <c r="G2538" s="29" t="s">
        <v>15</v>
      </c>
      <c r="H2538" s="30" t="s">
        <v>2997</v>
      </c>
      <c r="I2538" s="78"/>
      <c r="J2538" s="20"/>
      <c r="K2538" s="20"/>
      <c r="L2538" s="20"/>
      <c r="M2538" s="20"/>
      <c r="N2538" s="320" t="s">
        <v>2685</v>
      </c>
      <c r="O2538" s="70">
        <v>0</v>
      </c>
      <c r="P2538" s="70">
        <v>0</v>
      </c>
      <c r="Q2538" s="70">
        <f t="shared" si="217"/>
        <v>0</v>
      </c>
      <c r="R2538" s="70"/>
      <c r="S2538" s="67"/>
      <c r="T2538" s="2" t="str">
        <f t="shared" si="218"/>
        <v>Nguyễn Phương Mai_10KT2</v>
      </c>
      <c r="U2538" s="28">
        <f t="array" ref="U2538">IFERROR(VLOOKUP($T2538,'Nghi hoc T12'!$H$7:$I$160,2,0),0)</f>
        <v>0</v>
      </c>
      <c r="V2538" s="28"/>
      <c r="W2538" s="28">
        <f t="shared" si="219"/>
        <v>0</v>
      </c>
      <c r="X2538" s="333">
        <f t="shared" si="220"/>
        <v>0</v>
      </c>
      <c r="Y2538" s="333">
        <f t="shared" si="221"/>
        <v>0</v>
      </c>
    </row>
    <row r="2539" spans="1:25" s="2" customFormat="1" ht="21.95" customHeight="1">
      <c r="A2539" s="82">
        <v>10</v>
      </c>
      <c r="B2539" s="91" t="str">
        <f t="shared" si="222"/>
        <v>A0.13.C</v>
      </c>
      <c r="C2539" s="83" t="s">
        <v>366</v>
      </c>
      <c r="D2539" s="81" t="s">
        <v>3012</v>
      </c>
      <c r="E2539" s="48">
        <v>500094</v>
      </c>
      <c r="F2539" s="30" t="s">
        <v>352</v>
      </c>
      <c r="G2539" s="29" t="s">
        <v>1371</v>
      </c>
      <c r="H2539" s="30" t="s">
        <v>2998</v>
      </c>
      <c r="I2539" s="78"/>
      <c r="J2539" s="20"/>
      <c r="K2539" s="20"/>
      <c r="L2539" s="20"/>
      <c r="M2539" s="20"/>
      <c r="N2539" s="320" t="s">
        <v>2685</v>
      </c>
      <c r="O2539" s="70">
        <v>0</v>
      </c>
      <c r="P2539" s="70">
        <v>0</v>
      </c>
      <c r="Q2539" s="70">
        <f t="shared" si="217"/>
        <v>0</v>
      </c>
      <c r="R2539" s="70"/>
      <c r="S2539" s="67"/>
      <c r="T2539" s="2" t="str">
        <f t="shared" si="218"/>
        <v>Nguyễn Kiều Mẫn_10KT3</v>
      </c>
      <c r="U2539" s="28">
        <f t="array" ref="U2539">IFERROR(VLOOKUP($T2539,'Nghi hoc T12'!$H$7:$I$160,2,0),0)</f>
        <v>0</v>
      </c>
      <c r="V2539" s="28"/>
      <c r="W2539" s="28">
        <f t="shared" si="219"/>
        <v>0</v>
      </c>
      <c r="X2539" s="333">
        <f t="shared" si="220"/>
        <v>0</v>
      </c>
      <c r="Y2539" s="333">
        <f t="shared" si="221"/>
        <v>0</v>
      </c>
    </row>
    <row r="2540" spans="1:25" s="2" customFormat="1" ht="21.95" customHeight="1">
      <c r="A2540" s="82">
        <v>11</v>
      </c>
      <c r="B2540" s="91" t="str">
        <f t="shared" si="222"/>
        <v>A0.13.C</v>
      </c>
      <c r="C2540" s="83" t="s">
        <v>366</v>
      </c>
      <c r="D2540" s="81" t="s">
        <v>3012</v>
      </c>
      <c r="E2540" s="48">
        <v>500095</v>
      </c>
      <c r="F2540" s="30" t="s">
        <v>2734</v>
      </c>
      <c r="G2540" s="29" t="s">
        <v>1592</v>
      </c>
      <c r="H2540" s="30" t="s">
        <v>2999</v>
      </c>
      <c r="I2540" s="78"/>
      <c r="J2540" s="20"/>
      <c r="K2540" s="20"/>
      <c r="L2540" s="20"/>
      <c r="M2540" s="20"/>
      <c r="N2540" s="320" t="s">
        <v>2685</v>
      </c>
      <c r="O2540" s="70">
        <v>0</v>
      </c>
      <c r="P2540" s="70">
        <v>0</v>
      </c>
      <c r="Q2540" s="70">
        <f t="shared" si="217"/>
        <v>0</v>
      </c>
      <c r="R2540" s="70"/>
      <c r="S2540" s="67"/>
      <c r="T2540" s="2" t="str">
        <f t="shared" si="218"/>
        <v>Phạm Thị Hà Mi_10KT4</v>
      </c>
      <c r="U2540" s="28">
        <f t="array" ref="U2540">IFERROR(VLOOKUP($T2540,'Nghi hoc T12'!$H$7:$I$160,2,0),0)</f>
        <v>0</v>
      </c>
      <c r="V2540" s="28"/>
      <c r="W2540" s="28">
        <f t="shared" si="219"/>
        <v>0</v>
      </c>
      <c r="X2540" s="333">
        <f t="shared" si="220"/>
        <v>0</v>
      </c>
      <c r="Y2540" s="333">
        <f t="shared" si="221"/>
        <v>0</v>
      </c>
    </row>
    <row r="2541" spans="1:25" s="2" customFormat="1" ht="21.95" customHeight="1">
      <c r="A2541" s="82">
        <v>12</v>
      </c>
      <c r="B2541" s="91" t="str">
        <f t="shared" si="222"/>
        <v>A0.13.C</v>
      </c>
      <c r="C2541" s="83" t="s">
        <v>366</v>
      </c>
      <c r="D2541" s="81" t="s">
        <v>3012</v>
      </c>
      <c r="E2541" s="48">
        <v>500096</v>
      </c>
      <c r="F2541" s="30" t="s">
        <v>2735</v>
      </c>
      <c r="G2541" s="29" t="s">
        <v>16</v>
      </c>
      <c r="H2541" s="30" t="s">
        <v>2996</v>
      </c>
      <c r="I2541" s="78"/>
      <c r="J2541" s="20"/>
      <c r="K2541" s="20"/>
      <c r="L2541" s="20"/>
      <c r="M2541" s="20"/>
      <c r="N2541" s="320" t="s">
        <v>2685</v>
      </c>
      <c r="O2541" s="70">
        <v>0</v>
      </c>
      <c r="P2541" s="70">
        <v>0</v>
      </c>
      <c r="Q2541" s="70">
        <f t="shared" si="217"/>
        <v>0</v>
      </c>
      <c r="R2541" s="70"/>
      <c r="S2541" s="67"/>
      <c r="T2541" s="2" t="str">
        <f t="shared" si="218"/>
        <v>Lê Phạm Quang Minh_10KT1</v>
      </c>
      <c r="U2541" s="28">
        <f t="array" ref="U2541">IFERROR(VLOOKUP($T2541,'Nghi hoc T12'!$H$7:$I$160,2,0),0)</f>
        <v>0</v>
      </c>
      <c r="V2541" s="28"/>
      <c r="W2541" s="28">
        <f t="shared" si="219"/>
        <v>0</v>
      </c>
      <c r="X2541" s="333">
        <f t="shared" si="220"/>
        <v>0</v>
      </c>
      <c r="Y2541" s="333">
        <f t="shared" si="221"/>
        <v>0</v>
      </c>
    </row>
    <row r="2542" spans="1:25" s="2" customFormat="1" ht="21.95" customHeight="1">
      <c r="A2542" s="82">
        <v>13</v>
      </c>
      <c r="B2542" s="91" t="str">
        <f t="shared" si="222"/>
        <v>A0.13.C</v>
      </c>
      <c r="C2542" s="83" t="s">
        <v>366</v>
      </c>
      <c r="D2542" s="81" t="s">
        <v>3012</v>
      </c>
      <c r="E2542" s="48">
        <v>500097</v>
      </c>
      <c r="F2542" s="30" t="s">
        <v>1363</v>
      </c>
      <c r="G2542" s="29" t="s">
        <v>16</v>
      </c>
      <c r="H2542" s="30" t="s">
        <v>2998</v>
      </c>
      <c r="I2542" s="78"/>
      <c r="J2542" s="20"/>
      <c r="K2542" s="20"/>
      <c r="L2542" s="20"/>
      <c r="M2542" s="20"/>
      <c r="N2542" s="320" t="s">
        <v>2685</v>
      </c>
      <c r="O2542" s="70">
        <v>0</v>
      </c>
      <c r="P2542" s="70">
        <v>0</v>
      </c>
      <c r="Q2542" s="70">
        <f t="shared" si="217"/>
        <v>0</v>
      </c>
      <c r="R2542" s="70"/>
      <c r="S2542" s="67"/>
      <c r="T2542" s="2" t="str">
        <f t="shared" si="218"/>
        <v>Lưu Vũ Anh Minh_10KT3</v>
      </c>
      <c r="U2542" s="28">
        <f t="array" ref="U2542">IFERROR(VLOOKUP($T2542,'Nghi hoc T12'!$H$7:$I$160,2,0),0)</f>
        <v>0</v>
      </c>
      <c r="V2542" s="28"/>
      <c r="W2542" s="28">
        <f t="shared" si="219"/>
        <v>0</v>
      </c>
      <c r="X2542" s="333">
        <f t="shared" si="220"/>
        <v>0</v>
      </c>
      <c r="Y2542" s="333">
        <f t="shared" si="221"/>
        <v>0</v>
      </c>
    </row>
    <row r="2543" spans="1:25" s="2" customFormat="1" ht="21.95" customHeight="1">
      <c r="A2543" s="82">
        <v>14</v>
      </c>
      <c r="B2543" s="91" t="str">
        <f t="shared" si="222"/>
        <v>A0.13.C</v>
      </c>
      <c r="C2543" s="83" t="s">
        <v>366</v>
      </c>
      <c r="D2543" s="81" t="s">
        <v>3012</v>
      </c>
      <c r="E2543" s="48">
        <v>500098</v>
      </c>
      <c r="F2543" s="30" t="s">
        <v>208</v>
      </c>
      <c r="G2543" s="29" t="s">
        <v>16</v>
      </c>
      <c r="H2543" s="30" t="s">
        <v>2999</v>
      </c>
      <c r="I2543" s="78"/>
      <c r="J2543" s="20"/>
      <c r="K2543" s="20"/>
      <c r="L2543" s="20"/>
      <c r="M2543" s="20"/>
      <c r="N2543" s="320" t="s">
        <v>2685</v>
      </c>
      <c r="O2543" s="70">
        <v>0</v>
      </c>
      <c r="P2543" s="70">
        <v>0</v>
      </c>
      <c r="Q2543" s="70">
        <f t="shared" si="217"/>
        <v>0</v>
      </c>
      <c r="R2543" s="70"/>
      <c r="S2543" s="67"/>
      <c r="T2543" s="2" t="str">
        <f t="shared" si="218"/>
        <v>Nguyễn Đăng Minh_10KT4</v>
      </c>
      <c r="U2543" s="28">
        <f t="array" ref="U2543">IFERROR(VLOOKUP($T2543,'Nghi hoc T12'!$H$7:$I$160,2,0),0)</f>
        <v>0</v>
      </c>
      <c r="V2543" s="28"/>
      <c r="W2543" s="28">
        <f t="shared" si="219"/>
        <v>0</v>
      </c>
      <c r="X2543" s="333">
        <f t="shared" si="220"/>
        <v>0</v>
      </c>
      <c r="Y2543" s="333">
        <f t="shared" si="221"/>
        <v>0</v>
      </c>
    </row>
    <row r="2544" spans="1:25" s="2" customFormat="1" ht="21.95" customHeight="1">
      <c r="A2544" s="82">
        <v>15</v>
      </c>
      <c r="B2544" s="91" t="str">
        <f t="shared" si="222"/>
        <v>A0.13.C</v>
      </c>
      <c r="C2544" s="83" t="s">
        <v>366</v>
      </c>
      <c r="D2544" s="81" t="s">
        <v>3012</v>
      </c>
      <c r="E2544" s="48">
        <v>500099</v>
      </c>
      <c r="F2544" s="30" t="s">
        <v>1131</v>
      </c>
      <c r="G2544" s="29" t="s">
        <v>16</v>
      </c>
      <c r="H2544" s="30" t="s">
        <v>2996</v>
      </c>
      <c r="I2544" s="78"/>
      <c r="J2544" s="20"/>
      <c r="K2544" s="20"/>
      <c r="L2544" s="20"/>
      <c r="M2544" s="20"/>
      <c r="N2544" s="320" t="s">
        <v>2685</v>
      </c>
      <c r="O2544" s="70">
        <v>0</v>
      </c>
      <c r="P2544" s="70">
        <v>0</v>
      </c>
      <c r="Q2544" s="70">
        <f t="shared" si="217"/>
        <v>0</v>
      </c>
      <c r="R2544" s="70"/>
      <c r="S2544" s="67"/>
      <c r="T2544" s="2" t="str">
        <f t="shared" si="218"/>
        <v>Trần Hoàng Bảo Minh_10KT1</v>
      </c>
      <c r="U2544" s="28">
        <f t="array" ref="U2544">IFERROR(VLOOKUP($T2544,'Nghi hoc T12'!$H$7:$I$160,2,0),0)</f>
        <v>0</v>
      </c>
      <c r="V2544" s="28"/>
      <c r="W2544" s="28">
        <f t="shared" si="219"/>
        <v>0</v>
      </c>
      <c r="X2544" s="333">
        <f t="shared" si="220"/>
        <v>0</v>
      </c>
      <c r="Y2544" s="333">
        <f t="shared" si="221"/>
        <v>0</v>
      </c>
    </row>
    <row r="2545" spans="1:25" s="2" customFormat="1" ht="21.95" customHeight="1">
      <c r="A2545" s="82">
        <v>16</v>
      </c>
      <c r="B2545" s="91" t="str">
        <f t="shared" si="222"/>
        <v>A0.13.C</v>
      </c>
      <c r="C2545" s="83" t="s">
        <v>366</v>
      </c>
      <c r="D2545" s="81" t="s">
        <v>3012</v>
      </c>
      <c r="E2545" s="48">
        <v>500100</v>
      </c>
      <c r="F2545" s="30" t="s">
        <v>2736</v>
      </c>
      <c r="G2545" s="29" t="s">
        <v>2737</v>
      </c>
      <c r="H2545" s="30" t="s">
        <v>2998</v>
      </c>
      <c r="I2545" s="78"/>
      <c r="J2545" s="20"/>
      <c r="K2545" s="20"/>
      <c r="L2545" s="20"/>
      <c r="M2545" s="20"/>
      <c r="N2545" s="320" t="s">
        <v>2685</v>
      </c>
      <c r="O2545" s="70">
        <v>0</v>
      </c>
      <c r="P2545" s="70">
        <v>0</v>
      </c>
      <c r="Q2545" s="70">
        <f t="shared" si="217"/>
        <v>0</v>
      </c>
      <c r="R2545" s="70"/>
      <c r="S2545" s="67"/>
      <c r="T2545" s="2" t="str">
        <f t="shared" si="218"/>
        <v>Cù Hải Quý Mùi_10KT3</v>
      </c>
      <c r="U2545" s="28">
        <f t="array" ref="U2545">IFERROR(VLOOKUP($T2545,'Nghi hoc T12'!$H$7:$I$160,2,0),0)</f>
        <v>0</v>
      </c>
      <c r="V2545" s="28"/>
      <c r="W2545" s="28">
        <f t="shared" si="219"/>
        <v>0</v>
      </c>
      <c r="X2545" s="333">
        <f t="shared" si="220"/>
        <v>0</v>
      </c>
      <c r="Y2545" s="333">
        <f t="shared" si="221"/>
        <v>0</v>
      </c>
    </row>
    <row r="2546" spans="1:25" s="2" customFormat="1" ht="21.95" customHeight="1">
      <c r="A2546" s="82">
        <v>17</v>
      </c>
      <c r="B2546" s="91" t="str">
        <f t="shared" si="222"/>
        <v>A0.13.C</v>
      </c>
      <c r="C2546" s="83" t="s">
        <v>366</v>
      </c>
      <c r="D2546" s="81" t="s">
        <v>3012</v>
      </c>
      <c r="E2546" s="48">
        <v>500101</v>
      </c>
      <c r="F2546" s="30" t="s">
        <v>2738</v>
      </c>
      <c r="G2546" s="29" t="s">
        <v>2634</v>
      </c>
      <c r="H2546" s="30" t="s">
        <v>2996</v>
      </c>
      <c r="I2546" s="78"/>
      <c r="J2546" s="20"/>
      <c r="K2546" s="20"/>
      <c r="L2546" s="20"/>
      <c r="M2546" s="20"/>
      <c r="N2546" s="320" t="s">
        <v>2685</v>
      </c>
      <c r="O2546" s="70">
        <v>0</v>
      </c>
      <c r="P2546" s="70">
        <v>0</v>
      </c>
      <c r="Q2546" s="70">
        <f t="shared" si="217"/>
        <v>0</v>
      </c>
      <c r="R2546" s="70"/>
      <c r="S2546" s="67"/>
      <c r="T2546" s="2" t="str">
        <f t="shared" si="218"/>
        <v>Trần Thị Na Na_10KT1</v>
      </c>
      <c r="U2546" s="28">
        <f t="array" ref="U2546">IFERROR(VLOOKUP($T2546,'Nghi hoc T12'!$H$7:$I$160,2,0),0)</f>
        <v>0</v>
      </c>
      <c r="V2546" s="28"/>
      <c r="W2546" s="28">
        <f t="shared" si="219"/>
        <v>0</v>
      </c>
      <c r="X2546" s="333">
        <f t="shared" si="220"/>
        <v>0</v>
      </c>
      <c r="Y2546" s="333">
        <f t="shared" si="221"/>
        <v>0</v>
      </c>
    </row>
    <row r="2547" spans="1:25" s="2" customFormat="1" ht="21.95" customHeight="1">
      <c r="A2547" s="82">
        <v>18</v>
      </c>
      <c r="B2547" s="91" t="str">
        <f t="shared" si="222"/>
        <v>A0.13.C</v>
      </c>
      <c r="C2547" s="83" t="s">
        <v>366</v>
      </c>
      <c r="D2547" s="81" t="s">
        <v>3012</v>
      </c>
      <c r="E2547" s="48">
        <v>500102</v>
      </c>
      <c r="F2547" s="30" t="s">
        <v>2739</v>
      </c>
      <c r="G2547" s="29" t="s">
        <v>17</v>
      </c>
      <c r="H2547" s="30" t="s">
        <v>2997</v>
      </c>
      <c r="I2547" s="78"/>
      <c r="J2547" s="20"/>
      <c r="K2547" s="20"/>
      <c r="L2547" s="20"/>
      <c r="M2547" s="20"/>
      <c r="N2547" s="320" t="s">
        <v>2685</v>
      </c>
      <c r="O2547" s="70">
        <v>0</v>
      </c>
      <c r="P2547" s="70">
        <v>0</v>
      </c>
      <c r="Q2547" s="70">
        <f t="shared" si="217"/>
        <v>0</v>
      </c>
      <c r="R2547" s="70"/>
      <c r="S2547" s="67"/>
      <c r="T2547" s="2" t="str">
        <f t="shared" si="218"/>
        <v>Huỳnh Trung Nam_10KT2</v>
      </c>
      <c r="U2547" s="28">
        <f t="array" ref="U2547">IFERROR(VLOOKUP($T2547,'Nghi hoc T12'!$H$7:$I$160,2,0),0)</f>
        <v>0</v>
      </c>
      <c r="V2547" s="28"/>
      <c r="W2547" s="28">
        <f t="shared" si="219"/>
        <v>0</v>
      </c>
      <c r="X2547" s="333">
        <f t="shared" si="220"/>
        <v>0</v>
      </c>
      <c r="Y2547" s="333">
        <f t="shared" si="221"/>
        <v>0</v>
      </c>
    </row>
    <row r="2548" spans="1:25" s="2" customFormat="1" ht="21.95" customHeight="1">
      <c r="A2548" s="82">
        <v>19</v>
      </c>
      <c r="B2548" s="91" t="str">
        <f t="shared" si="222"/>
        <v>A0.13.C</v>
      </c>
      <c r="C2548" s="83" t="s">
        <v>366</v>
      </c>
      <c r="D2548" s="81" t="s">
        <v>3012</v>
      </c>
      <c r="E2548" s="48">
        <v>500103</v>
      </c>
      <c r="F2548" s="30" t="s">
        <v>151</v>
      </c>
      <c r="G2548" s="29" t="s">
        <v>17</v>
      </c>
      <c r="H2548" s="30" t="s">
        <v>2996</v>
      </c>
      <c r="I2548" s="78"/>
      <c r="J2548" s="20"/>
      <c r="K2548" s="20"/>
      <c r="L2548" s="20"/>
      <c r="M2548" s="20"/>
      <c r="N2548" s="320" t="s">
        <v>2685</v>
      </c>
      <c r="O2548" s="70">
        <v>0</v>
      </c>
      <c r="P2548" s="70">
        <v>0</v>
      </c>
      <c r="Q2548" s="70">
        <f t="shared" si="217"/>
        <v>0</v>
      </c>
      <c r="R2548" s="70"/>
      <c r="S2548" s="67"/>
      <c r="T2548" s="2" t="str">
        <f t="shared" si="218"/>
        <v>Nguyễn Hoàng Nam_10KT1</v>
      </c>
      <c r="U2548" s="28">
        <f t="array" ref="U2548">IFERROR(VLOOKUP($T2548,'Nghi hoc T12'!$H$7:$I$160,2,0),0)</f>
        <v>0</v>
      </c>
      <c r="V2548" s="28"/>
      <c r="W2548" s="28">
        <f t="shared" si="219"/>
        <v>0</v>
      </c>
      <c r="X2548" s="333">
        <f t="shared" si="220"/>
        <v>0</v>
      </c>
      <c r="Y2548" s="333">
        <f t="shared" si="221"/>
        <v>0</v>
      </c>
    </row>
    <row r="2549" spans="1:25" s="2" customFormat="1" ht="21.95" customHeight="1">
      <c r="A2549" s="82">
        <v>20</v>
      </c>
      <c r="B2549" s="91" t="str">
        <f t="shared" si="222"/>
        <v>A0.13.C</v>
      </c>
      <c r="C2549" s="83" t="s">
        <v>366</v>
      </c>
      <c r="D2549" s="81" t="s">
        <v>3012</v>
      </c>
      <c r="E2549" s="48">
        <v>500104</v>
      </c>
      <c r="F2549" s="30" t="s">
        <v>1295</v>
      </c>
      <c r="G2549" s="29" t="s">
        <v>17</v>
      </c>
      <c r="H2549" s="30" t="s">
        <v>2998</v>
      </c>
      <c r="I2549" s="78"/>
      <c r="J2549" s="20"/>
      <c r="K2549" s="20"/>
      <c r="L2549" s="20"/>
      <c r="M2549" s="20"/>
      <c r="N2549" s="320" t="s">
        <v>2685</v>
      </c>
      <c r="O2549" s="70">
        <v>0</v>
      </c>
      <c r="P2549" s="70">
        <v>0</v>
      </c>
      <c r="Q2549" s="70">
        <f t="shared" si="217"/>
        <v>0</v>
      </c>
      <c r="R2549" s="70"/>
      <c r="S2549" s="67"/>
      <c r="T2549" s="2" t="str">
        <f t="shared" si="218"/>
        <v>Phạm Bảo Nam_10KT3</v>
      </c>
      <c r="U2549" s="28">
        <f t="array" ref="U2549">IFERROR(VLOOKUP($T2549,'Nghi hoc T12'!$H$7:$I$160,2,0),0)</f>
        <v>0</v>
      </c>
      <c r="V2549" s="28"/>
      <c r="W2549" s="28">
        <f t="shared" si="219"/>
        <v>0</v>
      </c>
      <c r="X2549" s="333">
        <f t="shared" si="220"/>
        <v>0</v>
      </c>
      <c r="Y2549" s="333">
        <f t="shared" si="221"/>
        <v>0</v>
      </c>
    </row>
    <row r="2550" spans="1:25" s="2" customFormat="1" ht="21.95" customHeight="1">
      <c r="A2550" s="82">
        <v>21</v>
      </c>
      <c r="B2550" s="91" t="str">
        <f t="shared" si="222"/>
        <v>A0.13.C</v>
      </c>
      <c r="C2550" s="83" t="s">
        <v>366</v>
      </c>
      <c r="D2550" s="81" t="s">
        <v>3012</v>
      </c>
      <c r="E2550" s="48">
        <v>500105</v>
      </c>
      <c r="F2550" s="30" t="s">
        <v>1272</v>
      </c>
      <c r="G2550" s="29" t="s">
        <v>17</v>
      </c>
      <c r="H2550" s="30" t="s">
        <v>2997</v>
      </c>
      <c r="I2550" s="78"/>
      <c r="J2550" s="20"/>
      <c r="K2550" s="20"/>
      <c r="L2550" s="20"/>
      <c r="M2550" s="20"/>
      <c r="N2550" s="320" t="s">
        <v>2685</v>
      </c>
      <c r="O2550" s="70">
        <v>0</v>
      </c>
      <c r="P2550" s="70">
        <v>0</v>
      </c>
      <c r="Q2550" s="70">
        <f t="shared" si="217"/>
        <v>0</v>
      </c>
      <c r="R2550" s="70"/>
      <c r="S2550" s="67"/>
      <c r="T2550" s="2" t="str">
        <f t="shared" si="218"/>
        <v>Phan Bảo Nam_10KT2</v>
      </c>
      <c r="U2550" s="28">
        <f t="array" ref="U2550">IFERROR(VLOOKUP($T2550,'Nghi hoc T12'!$H$7:$I$160,2,0),0)</f>
        <v>0</v>
      </c>
      <c r="V2550" s="28"/>
      <c r="W2550" s="28">
        <f t="shared" si="219"/>
        <v>0</v>
      </c>
      <c r="X2550" s="333">
        <f t="shared" si="220"/>
        <v>0</v>
      </c>
      <c r="Y2550" s="333">
        <f t="shared" si="221"/>
        <v>0</v>
      </c>
    </row>
    <row r="2551" spans="1:25" s="2" customFormat="1" ht="21.95" customHeight="1">
      <c r="A2551" s="82">
        <v>22</v>
      </c>
      <c r="B2551" s="91" t="str">
        <f t="shared" si="222"/>
        <v>A0.13.C</v>
      </c>
      <c r="C2551" s="83" t="s">
        <v>366</v>
      </c>
      <c r="D2551" s="81" t="s">
        <v>3012</v>
      </c>
      <c r="E2551" s="48">
        <v>500106</v>
      </c>
      <c r="F2551" s="30" t="s">
        <v>2740</v>
      </c>
      <c r="G2551" s="29" t="s">
        <v>18</v>
      </c>
      <c r="H2551" s="30" t="s">
        <v>2997</v>
      </c>
      <c r="I2551" s="78"/>
      <c r="J2551" s="20"/>
      <c r="K2551" s="20"/>
      <c r="L2551" s="20"/>
      <c r="M2551" s="20"/>
      <c r="N2551" s="320" t="s">
        <v>2685</v>
      </c>
      <c r="O2551" s="70">
        <v>0</v>
      </c>
      <c r="P2551" s="70">
        <v>0</v>
      </c>
      <c r="Q2551" s="70">
        <f t="shared" si="217"/>
        <v>0</v>
      </c>
      <c r="R2551" s="70"/>
      <c r="S2551" s="67"/>
      <c r="T2551" s="2" t="str">
        <f t="shared" si="218"/>
        <v>Nguyễn Ngọc Trúc Ngân_10KT2</v>
      </c>
      <c r="U2551" s="28">
        <f t="array" ref="U2551">IFERROR(VLOOKUP($T2551,'Nghi hoc T12'!$H$7:$I$160,2,0),0)</f>
        <v>0</v>
      </c>
      <c r="V2551" s="28"/>
      <c r="W2551" s="28">
        <f t="shared" si="219"/>
        <v>0</v>
      </c>
      <c r="X2551" s="333">
        <f t="shared" si="220"/>
        <v>0</v>
      </c>
      <c r="Y2551" s="333">
        <f t="shared" si="221"/>
        <v>0</v>
      </c>
    </row>
    <row r="2552" spans="1:25" s="2" customFormat="1" ht="21.95" customHeight="1">
      <c r="A2552" s="82">
        <v>23</v>
      </c>
      <c r="B2552" s="91" t="str">
        <f t="shared" si="222"/>
        <v>A0.13.C</v>
      </c>
      <c r="C2552" s="83" t="s">
        <v>366</v>
      </c>
      <c r="D2552" s="81" t="s">
        <v>3012</v>
      </c>
      <c r="E2552" s="48">
        <v>500107</v>
      </c>
      <c r="F2552" s="30" t="s">
        <v>132</v>
      </c>
      <c r="G2552" s="29" t="s">
        <v>18</v>
      </c>
      <c r="H2552" s="30" t="s">
        <v>2999</v>
      </c>
      <c r="I2552" s="78"/>
      <c r="J2552" s="20"/>
      <c r="K2552" s="20"/>
      <c r="L2552" s="20"/>
      <c r="M2552" s="20"/>
      <c r="N2552" s="320" t="s">
        <v>2685</v>
      </c>
      <c r="O2552" s="70">
        <v>0</v>
      </c>
      <c r="P2552" s="70">
        <v>0</v>
      </c>
      <c r="Q2552" s="70">
        <f t="shared" si="217"/>
        <v>0</v>
      </c>
      <c r="R2552" s="70"/>
      <c r="S2552" s="67"/>
      <c r="T2552" s="2" t="str">
        <f t="shared" si="218"/>
        <v>Nguyễn Thị Thảo Ngân_10KT4</v>
      </c>
      <c r="U2552" s="28">
        <f t="array" ref="U2552">IFERROR(VLOOKUP($T2552,'Nghi hoc T12'!$H$7:$I$160,2,0),0)</f>
        <v>0</v>
      </c>
      <c r="V2552" s="28"/>
      <c r="W2552" s="28">
        <f t="shared" si="219"/>
        <v>0</v>
      </c>
      <c r="X2552" s="333">
        <f t="shared" si="220"/>
        <v>0</v>
      </c>
      <c r="Y2552" s="333">
        <f t="shared" si="221"/>
        <v>0</v>
      </c>
    </row>
    <row r="2553" spans="1:25" s="2" customFormat="1" ht="21.95" customHeight="1">
      <c r="A2553" s="82">
        <v>24</v>
      </c>
      <c r="B2553" s="91" t="str">
        <f t="shared" si="222"/>
        <v>A0.13.C</v>
      </c>
      <c r="C2553" s="83" t="s">
        <v>366</v>
      </c>
      <c r="D2553" s="81" t="s">
        <v>3012</v>
      </c>
      <c r="E2553" s="48">
        <v>500108</v>
      </c>
      <c r="F2553" s="30" t="s">
        <v>2741</v>
      </c>
      <c r="G2553" s="29" t="s">
        <v>18</v>
      </c>
      <c r="H2553" s="30" t="s">
        <v>2998</v>
      </c>
      <c r="I2553" s="78"/>
      <c r="J2553" s="20"/>
      <c r="K2553" s="20"/>
      <c r="L2553" s="20"/>
      <c r="M2553" s="20"/>
      <c r="N2553" s="320" t="s">
        <v>2685</v>
      </c>
      <c r="O2553" s="70">
        <v>0</v>
      </c>
      <c r="P2553" s="70">
        <v>0</v>
      </c>
      <c r="Q2553" s="70">
        <f t="shared" si="217"/>
        <v>0</v>
      </c>
      <c r="R2553" s="70"/>
      <c r="S2553" s="67"/>
      <c r="T2553" s="2" t="str">
        <f t="shared" si="218"/>
        <v>Nguyễn Ung Kim Ngân_10KT3</v>
      </c>
      <c r="U2553" s="28">
        <f t="array" ref="U2553">IFERROR(VLOOKUP($T2553,'Nghi hoc T12'!$H$7:$I$160,2,0),0)</f>
        <v>0</v>
      </c>
      <c r="V2553" s="28"/>
      <c r="W2553" s="28">
        <f t="shared" si="219"/>
        <v>0</v>
      </c>
      <c r="X2553" s="333">
        <f t="shared" si="220"/>
        <v>0</v>
      </c>
      <c r="Y2553" s="333">
        <f t="shared" si="221"/>
        <v>0</v>
      </c>
    </row>
    <row r="2554" spans="1:25" s="2" customFormat="1" ht="21.95" customHeight="1">
      <c r="A2554" s="82">
        <v>25</v>
      </c>
      <c r="B2554" s="91" t="str">
        <f t="shared" si="222"/>
        <v>A0.13.C</v>
      </c>
      <c r="C2554" s="83" t="s">
        <v>366</v>
      </c>
      <c r="D2554" s="81" t="s">
        <v>3012</v>
      </c>
      <c r="E2554" s="48">
        <v>500109</v>
      </c>
      <c r="F2554" s="30" t="s">
        <v>144</v>
      </c>
      <c r="G2554" s="29" t="s">
        <v>18</v>
      </c>
      <c r="H2554" s="30" t="s">
        <v>2999</v>
      </c>
      <c r="I2554" s="78"/>
      <c r="J2554" s="20"/>
      <c r="K2554" s="20"/>
      <c r="L2554" s="20"/>
      <c r="M2554" s="20"/>
      <c r="N2554" s="320" t="s">
        <v>2685</v>
      </c>
      <c r="O2554" s="70">
        <v>0</v>
      </c>
      <c r="P2554" s="70">
        <v>0</v>
      </c>
      <c r="Q2554" s="70">
        <f t="shared" si="217"/>
        <v>0</v>
      </c>
      <c r="R2554" s="70"/>
      <c r="S2554" s="67"/>
      <c r="T2554" s="2" t="str">
        <f t="shared" si="218"/>
        <v>Trương Ngọc Ngân_10KT4</v>
      </c>
      <c r="U2554" s="28">
        <f t="array" ref="U2554">IFERROR(VLOOKUP($T2554,'Nghi hoc T12'!$H$7:$I$160,2,0),0)</f>
        <v>0</v>
      </c>
      <c r="V2554" s="28"/>
      <c r="W2554" s="28">
        <f t="shared" si="219"/>
        <v>0</v>
      </c>
      <c r="X2554" s="333">
        <f t="shared" si="220"/>
        <v>0</v>
      </c>
      <c r="Y2554" s="333">
        <f t="shared" si="221"/>
        <v>0</v>
      </c>
    </row>
    <row r="2555" spans="1:25" s="2" customFormat="1" ht="21.95" customHeight="1">
      <c r="A2555" s="82">
        <v>26</v>
      </c>
      <c r="B2555" s="91" t="str">
        <f t="shared" si="222"/>
        <v>A0.13.C</v>
      </c>
      <c r="C2555" s="83" t="s">
        <v>366</v>
      </c>
      <c r="D2555" s="81" t="s">
        <v>3012</v>
      </c>
      <c r="E2555" s="48">
        <v>500110</v>
      </c>
      <c r="F2555" s="30" t="s">
        <v>2742</v>
      </c>
      <c r="G2555" s="29" t="s">
        <v>101</v>
      </c>
      <c r="H2555" s="30" t="s">
        <v>2998</v>
      </c>
      <c r="I2555" s="78"/>
      <c r="J2555" s="20"/>
      <c r="K2555" s="20"/>
      <c r="L2555" s="20"/>
      <c r="M2555" s="20"/>
      <c r="N2555" s="320" t="s">
        <v>2685</v>
      </c>
      <c r="O2555" s="70">
        <v>0</v>
      </c>
      <c r="P2555" s="70">
        <v>0</v>
      </c>
      <c r="Q2555" s="70">
        <f t="shared" si="217"/>
        <v>0</v>
      </c>
      <c r="R2555" s="70"/>
      <c r="S2555" s="67"/>
      <c r="T2555" s="2" t="str">
        <f t="shared" si="218"/>
        <v>Phan Phương Nghi_10KT3</v>
      </c>
      <c r="U2555" s="28">
        <f t="array" ref="U2555">IFERROR(VLOOKUP($T2555,'Nghi hoc T12'!$H$7:$I$160,2,0),0)</f>
        <v>0</v>
      </c>
      <c r="V2555" s="28"/>
      <c r="W2555" s="28">
        <f t="shared" si="219"/>
        <v>0</v>
      </c>
      <c r="X2555" s="333">
        <f t="shared" si="220"/>
        <v>0</v>
      </c>
      <c r="Y2555" s="333">
        <f t="shared" si="221"/>
        <v>0</v>
      </c>
    </row>
    <row r="2556" spans="1:25" s="2" customFormat="1" ht="21.95" customHeight="1">
      <c r="A2556" s="82">
        <v>27</v>
      </c>
      <c r="B2556" s="91" t="str">
        <f t="shared" si="222"/>
        <v>A0.13.C</v>
      </c>
      <c r="C2556" s="83" t="s">
        <v>366</v>
      </c>
      <c r="D2556" s="81" t="s">
        <v>3012</v>
      </c>
      <c r="E2556" s="48">
        <v>500111</v>
      </c>
      <c r="F2556" s="30" t="s">
        <v>2743</v>
      </c>
      <c r="G2556" s="29" t="s">
        <v>96</v>
      </c>
      <c r="H2556" s="30" t="s">
        <v>2998</v>
      </c>
      <c r="I2556" s="78"/>
      <c r="J2556" s="20"/>
      <c r="K2556" s="20"/>
      <c r="L2556" s="20"/>
      <c r="M2556" s="20"/>
      <c r="N2556" s="320" t="s">
        <v>2685</v>
      </c>
      <c r="O2556" s="70">
        <v>0</v>
      </c>
      <c r="P2556" s="70">
        <v>0</v>
      </c>
      <c r="Q2556" s="70">
        <f t="shared" si="217"/>
        <v>0</v>
      </c>
      <c r="R2556" s="70"/>
      <c r="S2556" s="67"/>
      <c r="T2556" s="2" t="str">
        <f t="shared" si="218"/>
        <v>Tô Trọng Nghĩa_10KT3</v>
      </c>
      <c r="U2556" s="28">
        <f t="array" ref="U2556">IFERROR(VLOOKUP($T2556,'Nghi hoc T12'!$H$7:$I$160,2,0),0)</f>
        <v>0</v>
      </c>
      <c r="V2556" s="28"/>
      <c r="W2556" s="28">
        <f t="shared" si="219"/>
        <v>0</v>
      </c>
      <c r="X2556" s="333">
        <f t="shared" si="220"/>
        <v>0</v>
      </c>
      <c r="Y2556" s="333">
        <f t="shared" si="221"/>
        <v>0</v>
      </c>
    </row>
    <row r="2557" spans="1:25" s="2" customFormat="1" ht="21.95" customHeight="1">
      <c r="A2557" s="82">
        <v>28</v>
      </c>
      <c r="B2557" s="91" t="str">
        <f t="shared" si="222"/>
        <v>A0.13.C</v>
      </c>
      <c r="C2557" s="83" t="s">
        <v>366</v>
      </c>
      <c r="D2557" s="81" t="s">
        <v>3012</v>
      </c>
      <c r="E2557" s="48">
        <v>500112</v>
      </c>
      <c r="F2557" s="30" t="s">
        <v>2744</v>
      </c>
      <c r="G2557" s="29" t="s">
        <v>96</v>
      </c>
      <c r="H2557" s="30" t="s">
        <v>2998</v>
      </c>
      <c r="I2557" s="78"/>
      <c r="J2557" s="20"/>
      <c r="K2557" s="20"/>
      <c r="L2557" s="20"/>
      <c r="M2557" s="20"/>
      <c r="N2557" s="320" t="s">
        <v>2685</v>
      </c>
      <c r="O2557" s="70">
        <v>0</v>
      </c>
      <c r="P2557" s="70">
        <v>0</v>
      </c>
      <c r="Q2557" s="70">
        <f t="shared" si="217"/>
        <v>0</v>
      </c>
      <c r="R2557" s="70"/>
      <c r="S2557" s="67"/>
      <c r="T2557" s="2" t="str">
        <f t="shared" si="218"/>
        <v>Y Lê Trung Nghĩa_10KT3</v>
      </c>
      <c r="U2557" s="28">
        <f t="array" ref="U2557">IFERROR(VLOOKUP($T2557,'Nghi hoc T12'!$H$7:$I$160,2,0),0)</f>
        <v>0</v>
      </c>
      <c r="V2557" s="28"/>
      <c r="W2557" s="28">
        <f t="shared" si="219"/>
        <v>0</v>
      </c>
      <c r="X2557" s="333">
        <f t="shared" si="220"/>
        <v>0</v>
      </c>
      <c r="Y2557" s="333">
        <f t="shared" si="221"/>
        <v>0</v>
      </c>
    </row>
    <row r="2558" spans="1:25" s="2" customFormat="1" ht="21.95" customHeight="1">
      <c r="A2558" s="321">
        <v>1</v>
      </c>
      <c r="B2558" s="91" t="str">
        <f t="shared" si="222"/>
        <v>A0.15.C</v>
      </c>
      <c r="C2558" s="185" t="s">
        <v>366</v>
      </c>
      <c r="D2558" s="186" t="s">
        <v>3013</v>
      </c>
      <c r="E2558" s="187">
        <v>500113</v>
      </c>
      <c r="F2558" s="188" t="s">
        <v>2745</v>
      </c>
      <c r="G2558" s="189" t="s">
        <v>19</v>
      </c>
      <c r="H2558" s="188" t="s">
        <v>2996</v>
      </c>
      <c r="I2558" s="190"/>
      <c r="J2558" s="191"/>
      <c r="K2558" s="191"/>
      <c r="L2558" s="191"/>
      <c r="M2558" s="191"/>
      <c r="N2558" s="320" t="s">
        <v>2685</v>
      </c>
      <c r="O2558" s="70">
        <v>0</v>
      </c>
      <c r="P2558" s="70">
        <v>0</v>
      </c>
      <c r="Q2558" s="70">
        <f t="shared" si="217"/>
        <v>0</v>
      </c>
      <c r="R2558" s="70"/>
      <c r="S2558" s="67"/>
      <c r="T2558" s="2" t="str">
        <f t="shared" si="218"/>
        <v>Trần Yến Ngọc_10KT1</v>
      </c>
      <c r="U2558" s="28">
        <f t="array" ref="U2558">IFERROR(VLOOKUP($T2558,'Nghi hoc T12'!$H$7:$I$160,2,0),0)</f>
        <v>0</v>
      </c>
      <c r="V2558" s="28"/>
      <c r="W2558" s="28">
        <f t="shared" si="219"/>
        <v>0</v>
      </c>
      <c r="X2558" s="333">
        <f t="shared" si="220"/>
        <v>0</v>
      </c>
      <c r="Y2558" s="333">
        <f t="shared" si="221"/>
        <v>0</v>
      </c>
    </row>
    <row r="2559" spans="1:25" s="2" customFormat="1" ht="21.95" customHeight="1">
      <c r="A2559" s="82">
        <v>2</v>
      </c>
      <c r="B2559" s="91" t="str">
        <f t="shared" si="222"/>
        <v>A0.15.C</v>
      </c>
      <c r="C2559" s="83" t="s">
        <v>366</v>
      </c>
      <c r="D2559" s="81" t="s">
        <v>3013</v>
      </c>
      <c r="E2559" s="48">
        <v>500114</v>
      </c>
      <c r="F2559" s="30" t="s">
        <v>2746</v>
      </c>
      <c r="G2559" s="29" t="s">
        <v>102</v>
      </c>
      <c r="H2559" s="30" t="s">
        <v>2999</v>
      </c>
      <c r="I2559" s="78"/>
      <c r="J2559" s="20"/>
      <c r="K2559" s="20"/>
      <c r="L2559" s="20"/>
      <c r="M2559" s="20"/>
      <c r="N2559" s="320" t="s">
        <v>2685</v>
      </c>
      <c r="O2559" s="70">
        <v>0</v>
      </c>
      <c r="P2559" s="70">
        <v>0</v>
      </c>
      <c r="Q2559" s="70">
        <f t="shared" si="217"/>
        <v>0</v>
      </c>
      <c r="R2559" s="70"/>
      <c r="S2559" s="67"/>
      <c r="T2559" s="2" t="str">
        <f t="shared" si="218"/>
        <v>Mai Lê Thành Nhân_10KT4</v>
      </c>
      <c r="U2559" s="28">
        <f t="array" ref="U2559">IFERROR(VLOOKUP($T2559,'Nghi hoc T12'!$H$7:$I$160,2,0),0)</f>
        <v>0</v>
      </c>
      <c r="V2559" s="28"/>
      <c r="W2559" s="28">
        <f t="shared" si="219"/>
        <v>0</v>
      </c>
      <c r="X2559" s="333">
        <f t="shared" si="220"/>
        <v>0</v>
      </c>
      <c r="Y2559" s="333">
        <f t="shared" si="221"/>
        <v>0</v>
      </c>
    </row>
    <row r="2560" spans="1:25" s="2" customFormat="1" ht="21.95" customHeight="1">
      <c r="A2560" s="82">
        <v>3</v>
      </c>
      <c r="B2560" s="91" t="str">
        <f t="shared" si="222"/>
        <v>A0.15.C</v>
      </c>
      <c r="C2560" s="83" t="s">
        <v>366</v>
      </c>
      <c r="D2560" s="81" t="s">
        <v>3013</v>
      </c>
      <c r="E2560" s="48">
        <v>500115</v>
      </c>
      <c r="F2560" s="30" t="s">
        <v>2747</v>
      </c>
      <c r="G2560" s="29" t="s">
        <v>21</v>
      </c>
      <c r="H2560" s="30" t="s">
        <v>2999</v>
      </c>
      <c r="I2560" s="78"/>
      <c r="J2560" s="20"/>
      <c r="K2560" s="20"/>
      <c r="L2560" s="20"/>
      <c r="M2560" s="20"/>
      <c r="N2560" s="320" t="s">
        <v>2685</v>
      </c>
      <c r="O2560" s="70">
        <v>0</v>
      </c>
      <c r="P2560" s="70">
        <v>0</v>
      </c>
      <c r="Q2560" s="70">
        <f t="shared" si="217"/>
        <v>0</v>
      </c>
      <c r="R2560" s="70"/>
      <c r="S2560" s="67"/>
      <c r="T2560" s="2" t="str">
        <f t="shared" si="218"/>
        <v>Lê Song Quỳnh Như_10KT4</v>
      </c>
      <c r="U2560" s="28">
        <f t="array" ref="U2560">IFERROR(VLOOKUP($T2560,'Nghi hoc T12'!$H$7:$I$160,2,0),0)</f>
        <v>0</v>
      </c>
      <c r="V2560" s="28"/>
      <c r="W2560" s="28">
        <f t="shared" si="219"/>
        <v>0</v>
      </c>
      <c r="X2560" s="333">
        <f t="shared" si="220"/>
        <v>0</v>
      </c>
      <c r="Y2560" s="333">
        <f t="shared" si="221"/>
        <v>0</v>
      </c>
    </row>
    <row r="2561" spans="1:25" s="2" customFormat="1" ht="21.95" customHeight="1">
      <c r="A2561" s="82">
        <v>4</v>
      </c>
      <c r="B2561" s="91" t="str">
        <f t="shared" si="222"/>
        <v>A0.15.C</v>
      </c>
      <c r="C2561" s="83" t="s">
        <v>366</v>
      </c>
      <c r="D2561" s="81" t="s">
        <v>3013</v>
      </c>
      <c r="E2561" s="48">
        <v>500116</v>
      </c>
      <c r="F2561" s="30" t="s">
        <v>446</v>
      </c>
      <c r="G2561" s="29" t="s">
        <v>21</v>
      </c>
      <c r="H2561" s="30" t="s">
        <v>2997</v>
      </c>
      <c r="I2561" s="78"/>
      <c r="J2561" s="20"/>
      <c r="K2561" s="20"/>
      <c r="L2561" s="20"/>
      <c r="M2561" s="20"/>
      <c r="N2561" s="320" t="s">
        <v>2685</v>
      </c>
      <c r="O2561" s="70">
        <v>0</v>
      </c>
      <c r="P2561" s="70">
        <v>0</v>
      </c>
      <c r="Q2561" s="70">
        <f t="shared" si="217"/>
        <v>0</v>
      </c>
      <c r="R2561" s="70"/>
      <c r="S2561" s="67"/>
      <c r="T2561" s="2" t="str">
        <f t="shared" si="218"/>
        <v>Nguyễn Ngọc Quỳnh Như_10KT2</v>
      </c>
      <c r="U2561" s="28">
        <f t="array" ref="U2561">IFERROR(VLOOKUP($T2561,'Nghi hoc T12'!$H$7:$I$160,2,0),0)</f>
        <v>0</v>
      </c>
      <c r="V2561" s="28"/>
      <c r="W2561" s="28">
        <f t="shared" si="219"/>
        <v>0</v>
      </c>
      <c r="X2561" s="333">
        <f t="shared" si="220"/>
        <v>0</v>
      </c>
      <c r="Y2561" s="333">
        <f t="shared" si="221"/>
        <v>0</v>
      </c>
    </row>
    <row r="2562" spans="1:25" s="2" customFormat="1" ht="21.95" customHeight="1">
      <c r="A2562" s="82">
        <v>5</v>
      </c>
      <c r="B2562" s="91" t="str">
        <f t="shared" si="222"/>
        <v>A0.15.C</v>
      </c>
      <c r="C2562" s="83" t="s">
        <v>366</v>
      </c>
      <c r="D2562" s="81" t="s">
        <v>3013</v>
      </c>
      <c r="E2562" s="48">
        <v>500117</v>
      </c>
      <c r="F2562" s="30" t="s">
        <v>2748</v>
      </c>
      <c r="G2562" s="29" t="s">
        <v>42</v>
      </c>
      <c r="H2562" s="30" t="s">
        <v>2996</v>
      </c>
      <c r="I2562" s="78"/>
      <c r="J2562" s="20"/>
      <c r="K2562" s="20"/>
      <c r="L2562" s="20"/>
      <c r="M2562" s="20"/>
      <c r="N2562" s="320" t="s">
        <v>2685</v>
      </c>
      <c r="O2562" s="70">
        <v>0</v>
      </c>
      <c r="P2562" s="70">
        <v>0</v>
      </c>
      <c r="Q2562" s="70">
        <f t="shared" si="217"/>
        <v>0</v>
      </c>
      <c r="R2562" s="70"/>
      <c r="S2562" s="67"/>
      <c r="T2562" s="2" t="str">
        <f t="shared" si="218"/>
        <v>Danh Hoàng Phát_10KT1</v>
      </c>
      <c r="U2562" s="28">
        <f t="array" ref="U2562">IFERROR(VLOOKUP($T2562,'Nghi hoc T12'!$H$7:$I$160,2,0),0)</f>
        <v>0</v>
      </c>
      <c r="V2562" s="28"/>
      <c r="W2562" s="28">
        <f t="shared" si="219"/>
        <v>0</v>
      </c>
      <c r="X2562" s="333">
        <f t="shared" si="220"/>
        <v>0</v>
      </c>
      <c r="Y2562" s="333">
        <f t="shared" si="221"/>
        <v>0</v>
      </c>
    </row>
    <row r="2563" spans="1:25" s="2" customFormat="1" ht="21.95" customHeight="1">
      <c r="A2563" s="82">
        <v>6</v>
      </c>
      <c r="B2563" s="91" t="str">
        <f t="shared" si="222"/>
        <v>A0.15.C</v>
      </c>
      <c r="C2563" s="83" t="s">
        <v>366</v>
      </c>
      <c r="D2563" s="81" t="s">
        <v>3013</v>
      </c>
      <c r="E2563" s="48">
        <v>500118</v>
      </c>
      <c r="F2563" s="30" t="s">
        <v>236</v>
      </c>
      <c r="G2563" s="29" t="s">
        <v>42</v>
      </c>
      <c r="H2563" s="30" t="s">
        <v>2997</v>
      </c>
      <c r="I2563" s="78"/>
      <c r="J2563" s="20"/>
      <c r="K2563" s="20"/>
      <c r="L2563" s="20"/>
      <c r="M2563" s="20"/>
      <c r="N2563" s="320" t="s">
        <v>2685</v>
      </c>
      <c r="O2563" s="70">
        <v>0</v>
      </c>
      <c r="P2563" s="70">
        <v>0</v>
      </c>
      <c r="Q2563" s="70">
        <f t="shared" si="217"/>
        <v>0</v>
      </c>
      <c r="R2563" s="70"/>
      <c r="S2563" s="67"/>
      <c r="T2563" s="2" t="str">
        <f t="shared" si="218"/>
        <v>Huỳnh Tấn Phát_10KT2</v>
      </c>
      <c r="U2563" s="28">
        <f t="array" ref="U2563">IFERROR(VLOOKUP($T2563,'Nghi hoc T12'!$H$7:$I$160,2,0),0)</f>
        <v>0</v>
      </c>
      <c r="V2563" s="28"/>
      <c r="W2563" s="28">
        <f t="shared" si="219"/>
        <v>0</v>
      </c>
      <c r="X2563" s="333">
        <f t="shared" si="220"/>
        <v>0</v>
      </c>
      <c r="Y2563" s="333">
        <f t="shared" si="221"/>
        <v>0</v>
      </c>
    </row>
    <row r="2564" spans="1:25" s="2" customFormat="1" ht="21.95" customHeight="1">
      <c r="A2564" s="82">
        <v>7</v>
      </c>
      <c r="B2564" s="91" t="str">
        <f t="shared" si="222"/>
        <v>A0.15.C</v>
      </c>
      <c r="C2564" s="83" t="s">
        <v>366</v>
      </c>
      <c r="D2564" s="81" t="s">
        <v>3013</v>
      </c>
      <c r="E2564" s="48">
        <v>500119</v>
      </c>
      <c r="F2564" s="30" t="s">
        <v>165</v>
      </c>
      <c r="G2564" s="29" t="s">
        <v>42</v>
      </c>
      <c r="H2564" s="30" t="s">
        <v>2996</v>
      </c>
      <c r="I2564" s="78" t="s">
        <v>529</v>
      </c>
      <c r="J2564" s="20"/>
      <c r="K2564" s="20"/>
      <c r="L2564" s="20"/>
      <c r="M2564" s="20"/>
      <c r="N2564" s="320" t="s">
        <v>2685</v>
      </c>
      <c r="O2564" s="70">
        <v>0</v>
      </c>
      <c r="P2564" s="70">
        <v>0</v>
      </c>
      <c r="Q2564" s="70" t="str">
        <f t="shared" si="217"/>
        <v>NgiH</v>
      </c>
      <c r="R2564" s="70"/>
      <c r="S2564" s="67"/>
      <c r="T2564" s="2" t="str">
        <f t="shared" si="218"/>
        <v>Nguyễn Đức Phát_10KT1</v>
      </c>
      <c r="U2564" s="28" t="s">
        <v>3334</v>
      </c>
      <c r="V2564" s="28"/>
      <c r="W2564" s="28" t="str">
        <f t="shared" si="219"/>
        <v>Nghỉ học</v>
      </c>
      <c r="X2564" s="333">
        <f t="shared" si="220"/>
        <v>0</v>
      </c>
      <c r="Y2564" s="333">
        <f t="shared" si="221"/>
        <v>0</v>
      </c>
    </row>
    <row r="2565" spans="1:25" s="2" customFormat="1" ht="21.95" customHeight="1">
      <c r="A2565" s="82">
        <v>8</v>
      </c>
      <c r="B2565" s="91" t="str">
        <f t="shared" si="222"/>
        <v>A0.15.C</v>
      </c>
      <c r="C2565" s="83" t="s">
        <v>366</v>
      </c>
      <c r="D2565" s="81" t="s">
        <v>3013</v>
      </c>
      <c r="E2565" s="48">
        <v>500120</v>
      </c>
      <c r="F2565" s="30" t="s">
        <v>2749</v>
      </c>
      <c r="G2565" s="29" t="s">
        <v>70</v>
      </c>
      <c r="H2565" s="30" t="s">
        <v>2999</v>
      </c>
      <c r="I2565" s="78"/>
      <c r="J2565" s="20"/>
      <c r="K2565" s="20"/>
      <c r="L2565" s="20"/>
      <c r="M2565" s="20"/>
      <c r="N2565" s="320" t="s">
        <v>2685</v>
      </c>
      <c r="O2565" s="70">
        <v>0</v>
      </c>
      <c r="P2565" s="70">
        <v>0</v>
      </c>
      <c r="Q2565" s="70">
        <f t="shared" si="217"/>
        <v>0</v>
      </c>
      <c r="R2565" s="70"/>
      <c r="S2565" s="67"/>
      <c r="T2565" s="2" t="str">
        <f t="shared" si="218"/>
        <v>Cao Quốc Phong_10KT4</v>
      </c>
      <c r="U2565" s="28">
        <f t="array" ref="U2565">IFERROR(VLOOKUP($T2565,'Nghi hoc T12'!$H$7:$I$160,2,0),0)</f>
        <v>0</v>
      </c>
      <c r="V2565" s="28"/>
      <c r="W2565" s="28">
        <f t="shared" si="219"/>
        <v>0</v>
      </c>
      <c r="X2565" s="333">
        <f t="shared" si="220"/>
        <v>0</v>
      </c>
      <c r="Y2565" s="333">
        <f t="shared" si="221"/>
        <v>0</v>
      </c>
    </row>
    <row r="2566" spans="1:25" s="2" customFormat="1" ht="21.95" customHeight="1">
      <c r="A2566" s="82">
        <v>9</v>
      </c>
      <c r="B2566" s="91" t="str">
        <f t="shared" si="222"/>
        <v>A0.15.C</v>
      </c>
      <c r="C2566" s="83" t="s">
        <v>366</v>
      </c>
      <c r="D2566" s="81" t="s">
        <v>3013</v>
      </c>
      <c r="E2566" s="48">
        <v>500121</v>
      </c>
      <c r="F2566" s="30" t="s">
        <v>2750</v>
      </c>
      <c r="G2566" s="29" t="s">
        <v>70</v>
      </c>
      <c r="H2566" s="30" t="s">
        <v>2996</v>
      </c>
      <c r="I2566" s="78"/>
      <c r="J2566" s="20"/>
      <c r="K2566" s="20"/>
      <c r="L2566" s="20"/>
      <c r="M2566" s="20"/>
      <c r="N2566" s="320" t="s">
        <v>2685</v>
      </c>
      <c r="O2566" s="70">
        <v>0</v>
      </c>
      <c r="P2566" s="70">
        <v>0</v>
      </c>
      <c r="Q2566" s="70">
        <f t="shared" si="217"/>
        <v>0</v>
      </c>
      <c r="R2566" s="70"/>
      <c r="S2566" s="67"/>
      <c r="T2566" s="2" t="str">
        <f t="shared" si="218"/>
        <v>Nguyễn Hoàng Đình Phong_10KT1</v>
      </c>
      <c r="U2566" s="28">
        <f t="array" ref="U2566">IFERROR(VLOOKUP($T2566,'Nghi hoc T12'!$H$7:$I$160,2,0),0)</f>
        <v>0</v>
      </c>
      <c r="V2566" s="28"/>
      <c r="W2566" s="28">
        <f t="shared" si="219"/>
        <v>0</v>
      </c>
      <c r="X2566" s="333">
        <f t="shared" si="220"/>
        <v>0</v>
      </c>
      <c r="Y2566" s="333">
        <f t="shared" si="221"/>
        <v>0</v>
      </c>
    </row>
    <row r="2567" spans="1:25" s="2" customFormat="1" ht="21.95" customHeight="1">
      <c r="A2567" s="82">
        <v>10</v>
      </c>
      <c r="B2567" s="91" t="str">
        <f t="shared" si="222"/>
        <v>A0.15.C</v>
      </c>
      <c r="C2567" s="83" t="s">
        <v>366</v>
      </c>
      <c r="D2567" s="81" t="s">
        <v>3013</v>
      </c>
      <c r="E2567" s="48">
        <v>500122</v>
      </c>
      <c r="F2567" s="30" t="s">
        <v>187</v>
      </c>
      <c r="G2567" s="29" t="s">
        <v>70</v>
      </c>
      <c r="H2567" s="30" t="s">
        <v>2998</v>
      </c>
      <c r="I2567" s="78"/>
      <c r="J2567" s="20"/>
      <c r="K2567" s="20"/>
      <c r="L2567" s="20"/>
      <c r="M2567" s="20"/>
      <c r="N2567" s="320" t="s">
        <v>2685</v>
      </c>
      <c r="O2567" s="70">
        <v>0</v>
      </c>
      <c r="P2567" s="70">
        <v>0</v>
      </c>
      <c r="Q2567" s="70">
        <f t="shared" si="217"/>
        <v>0</v>
      </c>
      <c r="R2567" s="70"/>
      <c r="S2567" s="67"/>
      <c r="T2567" s="2" t="str">
        <f t="shared" si="218"/>
        <v>Nguyễn Thái Phong_10KT3</v>
      </c>
      <c r="U2567" s="28">
        <f t="array" ref="U2567">IFERROR(VLOOKUP($T2567,'Nghi hoc T12'!$H$7:$I$160,2,0),0)</f>
        <v>0</v>
      </c>
      <c r="V2567" s="28"/>
      <c r="W2567" s="28">
        <f t="shared" si="219"/>
        <v>0</v>
      </c>
      <c r="X2567" s="333">
        <f t="shared" si="220"/>
        <v>0</v>
      </c>
      <c r="Y2567" s="333">
        <f t="shared" si="221"/>
        <v>0</v>
      </c>
    </row>
    <row r="2568" spans="1:25" s="2" customFormat="1" ht="21.95" customHeight="1">
      <c r="A2568" s="82">
        <v>11</v>
      </c>
      <c r="B2568" s="91" t="str">
        <f t="shared" si="222"/>
        <v>A0.15.C</v>
      </c>
      <c r="C2568" s="83" t="s">
        <v>366</v>
      </c>
      <c r="D2568" s="81" t="s">
        <v>3013</v>
      </c>
      <c r="E2568" s="48">
        <v>500123</v>
      </c>
      <c r="F2568" s="30" t="s">
        <v>268</v>
      </c>
      <c r="G2568" s="29" t="s">
        <v>70</v>
      </c>
      <c r="H2568" s="30" t="s">
        <v>2997</v>
      </c>
      <c r="I2568" s="78"/>
      <c r="J2568" s="20"/>
      <c r="K2568" s="20"/>
      <c r="L2568" s="20"/>
      <c r="M2568" s="20"/>
      <c r="N2568" s="320" t="s">
        <v>2685</v>
      </c>
      <c r="O2568" s="70">
        <v>0</v>
      </c>
      <c r="P2568" s="70">
        <v>0</v>
      </c>
      <c r="Q2568" s="70">
        <f t="shared" si="217"/>
        <v>0</v>
      </c>
      <c r="R2568" s="70"/>
      <c r="S2568" s="67"/>
      <c r="T2568" s="2" t="str">
        <f t="shared" si="218"/>
        <v>Nguyễn Văn Phong_10KT2</v>
      </c>
      <c r="U2568" s="28">
        <f t="array" ref="U2568">IFERROR(VLOOKUP($T2568,'Nghi hoc T12'!$H$7:$I$160,2,0),0)</f>
        <v>0</v>
      </c>
      <c r="V2568" s="28"/>
      <c r="W2568" s="28">
        <f t="shared" si="219"/>
        <v>0</v>
      </c>
      <c r="X2568" s="333">
        <f t="shared" si="220"/>
        <v>0</v>
      </c>
      <c r="Y2568" s="333">
        <f t="shared" si="221"/>
        <v>0</v>
      </c>
    </row>
    <row r="2569" spans="1:25" s="2" customFormat="1" ht="21.95" customHeight="1">
      <c r="A2569" s="82">
        <v>12</v>
      </c>
      <c r="B2569" s="91" t="str">
        <f t="shared" si="222"/>
        <v>A0.15.C</v>
      </c>
      <c r="C2569" s="83" t="s">
        <v>366</v>
      </c>
      <c r="D2569" s="81" t="s">
        <v>3013</v>
      </c>
      <c r="E2569" s="48">
        <v>500124</v>
      </c>
      <c r="F2569" s="30" t="s">
        <v>2362</v>
      </c>
      <c r="G2569" s="29" t="s">
        <v>103</v>
      </c>
      <c r="H2569" s="30" t="s">
        <v>2998</v>
      </c>
      <c r="I2569" s="78"/>
      <c r="J2569" s="20"/>
      <c r="K2569" s="20"/>
      <c r="L2569" s="20"/>
      <c r="M2569" s="20"/>
      <c r="N2569" s="320" t="s">
        <v>2685</v>
      </c>
      <c r="O2569" s="70">
        <v>0</v>
      </c>
      <c r="P2569" s="70">
        <v>0</v>
      </c>
      <c r="Q2569" s="70">
        <f t="shared" si="217"/>
        <v>0</v>
      </c>
      <c r="R2569" s="70"/>
      <c r="S2569" s="67"/>
      <c r="T2569" s="2" t="str">
        <f t="shared" si="218"/>
        <v>Trương Tấn Phú_10KT3</v>
      </c>
      <c r="U2569" s="28">
        <f t="array" ref="U2569">IFERROR(VLOOKUP($T2569,'Nghi hoc T12'!$H$7:$I$160,2,0),0)</f>
        <v>0</v>
      </c>
      <c r="V2569" s="28"/>
      <c r="W2569" s="28">
        <f t="shared" si="219"/>
        <v>0</v>
      </c>
      <c r="X2569" s="333">
        <f t="shared" si="220"/>
        <v>0</v>
      </c>
      <c r="Y2569" s="333">
        <f t="shared" si="221"/>
        <v>0</v>
      </c>
    </row>
    <row r="2570" spans="1:25" s="2" customFormat="1" ht="21.95" customHeight="1">
      <c r="A2570" s="82">
        <v>13</v>
      </c>
      <c r="B2570" s="91" t="str">
        <f t="shared" si="222"/>
        <v>A0.15.C</v>
      </c>
      <c r="C2570" s="83" t="s">
        <v>366</v>
      </c>
      <c r="D2570" s="81" t="s">
        <v>3013</v>
      </c>
      <c r="E2570" s="48">
        <v>500125</v>
      </c>
      <c r="F2570" s="30" t="s">
        <v>2751</v>
      </c>
      <c r="G2570" s="29" t="s">
        <v>71</v>
      </c>
      <c r="H2570" s="30" t="s">
        <v>2999</v>
      </c>
      <c r="I2570" s="78"/>
      <c r="J2570" s="20"/>
      <c r="K2570" s="20"/>
      <c r="L2570" s="20"/>
      <c r="M2570" s="20"/>
      <c r="N2570" s="320" t="s">
        <v>2685</v>
      </c>
      <c r="O2570" s="70">
        <v>0</v>
      </c>
      <c r="P2570" s="70">
        <v>0</v>
      </c>
      <c r="Q2570" s="70">
        <f t="shared" ref="Q2570:Q2633" si="223">U2570</f>
        <v>0</v>
      </c>
      <c r="R2570" s="70"/>
      <c r="S2570" s="67"/>
      <c r="T2570" s="2" t="str">
        <f t="shared" ref="T2570:T2633" si="224">TRIM(F2570&amp;" "&amp;G2570&amp;"_"&amp;H2570)</f>
        <v>Đào Nguyễn Duy Phúc_10KT4</v>
      </c>
      <c r="U2570" s="28">
        <f t="array" ref="U2570">IFERROR(VLOOKUP($T2570,'Nghi hoc T12'!$H$7:$I$160,2,0),0)</f>
        <v>0</v>
      </c>
      <c r="V2570" s="28"/>
      <c r="W2570" s="28">
        <f t="shared" ref="W2570:W2633" si="225">I2570</f>
        <v>0</v>
      </c>
      <c r="X2570" s="333">
        <f t="shared" ref="X2570:X2633" si="226">O2570</f>
        <v>0</v>
      </c>
      <c r="Y2570" s="333">
        <f t="shared" ref="Y2570:Y2633" si="227">P2570</f>
        <v>0</v>
      </c>
    </row>
    <row r="2571" spans="1:25" s="2" customFormat="1" ht="21.95" customHeight="1">
      <c r="A2571" s="82">
        <v>14</v>
      </c>
      <c r="B2571" s="91" t="str">
        <f t="shared" ref="B2571:B2634" si="228">RIGHT(D2571,LEN(D2571)-2)&amp;"."&amp;LEFT(N2571,1)</f>
        <v>A0.15.C</v>
      </c>
      <c r="C2571" s="83" t="s">
        <v>366</v>
      </c>
      <c r="D2571" s="81" t="s">
        <v>3013</v>
      </c>
      <c r="E2571" s="48">
        <v>500126</v>
      </c>
      <c r="F2571" s="30" t="s">
        <v>2752</v>
      </c>
      <c r="G2571" s="29" t="s">
        <v>71</v>
      </c>
      <c r="H2571" s="30" t="s">
        <v>2996</v>
      </c>
      <c r="I2571" s="78"/>
      <c r="J2571" s="20"/>
      <c r="K2571" s="20"/>
      <c r="L2571" s="20"/>
      <c r="M2571" s="20"/>
      <c r="N2571" s="320" t="s">
        <v>2685</v>
      </c>
      <c r="O2571" s="70">
        <v>0</v>
      </c>
      <c r="P2571" s="70">
        <v>0</v>
      </c>
      <c r="Q2571" s="70">
        <f t="shared" si="223"/>
        <v>0</v>
      </c>
      <c r="R2571" s="70"/>
      <c r="S2571" s="67"/>
      <c r="T2571" s="2" t="str">
        <f t="shared" si="224"/>
        <v>Lê Danh Thiên Phúc_10KT1</v>
      </c>
      <c r="U2571" s="28">
        <f t="array" ref="U2571">IFERROR(VLOOKUP($T2571,'Nghi hoc T12'!$H$7:$I$160,2,0),0)</f>
        <v>0</v>
      </c>
      <c r="V2571" s="28"/>
      <c r="W2571" s="28">
        <f t="shared" si="225"/>
        <v>0</v>
      </c>
      <c r="X2571" s="333">
        <f t="shared" si="226"/>
        <v>0</v>
      </c>
      <c r="Y2571" s="333">
        <f t="shared" si="227"/>
        <v>0</v>
      </c>
    </row>
    <row r="2572" spans="1:25" s="2" customFormat="1" ht="21.95" customHeight="1">
      <c r="A2572" s="82">
        <v>15</v>
      </c>
      <c r="B2572" s="91" t="str">
        <f t="shared" si="228"/>
        <v>A0.15.C</v>
      </c>
      <c r="C2572" s="83" t="s">
        <v>366</v>
      </c>
      <c r="D2572" s="81" t="s">
        <v>3013</v>
      </c>
      <c r="E2572" s="48">
        <v>500127</v>
      </c>
      <c r="F2572" s="30" t="s">
        <v>2326</v>
      </c>
      <c r="G2572" s="29" t="s">
        <v>71</v>
      </c>
      <c r="H2572" s="30" t="s">
        <v>2997</v>
      </c>
      <c r="I2572" s="78"/>
      <c r="J2572" s="20"/>
      <c r="K2572" s="20"/>
      <c r="L2572" s="20"/>
      <c r="M2572" s="20"/>
      <c r="N2572" s="320" t="s">
        <v>2685</v>
      </c>
      <c r="O2572" s="70">
        <v>0</v>
      </c>
      <c r="P2572" s="70">
        <v>0</v>
      </c>
      <c r="Q2572" s="70">
        <f t="shared" si="223"/>
        <v>0</v>
      </c>
      <c r="R2572" s="70"/>
      <c r="S2572" s="67"/>
      <c r="T2572" s="2" t="str">
        <f t="shared" si="224"/>
        <v>Lê Thiên Phúc_10KT2</v>
      </c>
      <c r="U2572" s="28">
        <f t="array" ref="U2572">IFERROR(VLOOKUP($T2572,'Nghi hoc T12'!$H$7:$I$160,2,0),0)</f>
        <v>0</v>
      </c>
      <c r="V2572" s="28"/>
      <c r="W2572" s="28">
        <f t="shared" si="225"/>
        <v>0</v>
      </c>
      <c r="X2572" s="333">
        <f t="shared" si="226"/>
        <v>0</v>
      </c>
      <c r="Y2572" s="333">
        <f t="shared" si="227"/>
        <v>0</v>
      </c>
    </row>
    <row r="2573" spans="1:25" s="2" customFormat="1" ht="21.95" customHeight="1">
      <c r="A2573" s="82">
        <v>16</v>
      </c>
      <c r="B2573" s="91" t="str">
        <f t="shared" si="228"/>
        <v>A0.15.C</v>
      </c>
      <c r="C2573" s="83" t="s">
        <v>366</v>
      </c>
      <c r="D2573" s="81" t="s">
        <v>3013</v>
      </c>
      <c r="E2573" s="48">
        <v>500128</v>
      </c>
      <c r="F2573" s="30" t="s">
        <v>2359</v>
      </c>
      <c r="G2573" s="29" t="s">
        <v>71</v>
      </c>
      <c r="H2573" s="30" t="s">
        <v>2998</v>
      </c>
      <c r="I2573" s="78"/>
      <c r="J2573" s="20"/>
      <c r="K2573" s="20"/>
      <c r="L2573" s="20"/>
      <c r="M2573" s="20"/>
      <c r="N2573" s="320" t="s">
        <v>2685</v>
      </c>
      <c r="O2573" s="70">
        <v>0</v>
      </c>
      <c r="P2573" s="70">
        <v>0</v>
      </c>
      <c r="Q2573" s="70">
        <f t="shared" si="223"/>
        <v>0</v>
      </c>
      <c r="R2573" s="70"/>
      <c r="S2573" s="67"/>
      <c r="T2573" s="2" t="str">
        <f t="shared" si="224"/>
        <v>Lê Trọng Phúc_10KT3</v>
      </c>
      <c r="U2573" s="28">
        <f t="array" ref="U2573">IFERROR(VLOOKUP($T2573,'Nghi hoc T12'!$H$7:$I$160,2,0),0)</f>
        <v>0</v>
      </c>
      <c r="V2573" s="28"/>
      <c r="W2573" s="28">
        <f t="shared" si="225"/>
        <v>0</v>
      </c>
      <c r="X2573" s="333">
        <f t="shared" si="226"/>
        <v>0</v>
      </c>
      <c r="Y2573" s="333">
        <f t="shared" si="227"/>
        <v>0</v>
      </c>
    </row>
    <row r="2574" spans="1:25" s="2" customFormat="1" ht="21.95" customHeight="1">
      <c r="A2574" s="82">
        <v>17</v>
      </c>
      <c r="B2574" s="91" t="str">
        <f t="shared" si="228"/>
        <v>A0.15.C</v>
      </c>
      <c r="C2574" s="83" t="s">
        <v>366</v>
      </c>
      <c r="D2574" s="81" t="s">
        <v>3013</v>
      </c>
      <c r="E2574" s="48">
        <v>500129</v>
      </c>
      <c r="F2574" s="30" t="s">
        <v>2753</v>
      </c>
      <c r="G2574" s="29" t="s">
        <v>71</v>
      </c>
      <c r="H2574" s="30" t="s">
        <v>2999</v>
      </c>
      <c r="I2574" s="78"/>
      <c r="J2574" s="20"/>
      <c r="K2574" s="20"/>
      <c r="L2574" s="20"/>
      <c r="M2574" s="20"/>
      <c r="N2574" s="320" t="s">
        <v>2685</v>
      </c>
      <c r="O2574" s="70">
        <v>0</v>
      </c>
      <c r="P2574" s="70">
        <v>0</v>
      </c>
      <c r="Q2574" s="70">
        <f t="shared" si="223"/>
        <v>0</v>
      </c>
      <c r="R2574" s="70"/>
      <c r="S2574" s="67"/>
      <c r="T2574" s="2" t="str">
        <f t="shared" si="224"/>
        <v>Mai Tấn Phúc_10KT4</v>
      </c>
      <c r="U2574" s="28">
        <f t="array" ref="U2574">IFERROR(VLOOKUP($T2574,'Nghi hoc T12'!$H$7:$I$160,2,0),0)</f>
        <v>0</v>
      </c>
      <c r="V2574" s="28"/>
      <c r="W2574" s="28">
        <f t="shared" si="225"/>
        <v>0</v>
      </c>
      <c r="X2574" s="333">
        <f t="shared" si="226"/>
        <v>0</v>
      </c>
      <c r="Y2574" s="333">
        <f t="shared" si="227"/>
        <v>0</v>
      </c>
    </row>
    <row r="2575" spans="1:25" s="2" customFormat="1" ht="21.95" customHeight="1">
      <c r="A2575" s="82">
        <v>18</v>
      </c>
      <c r="B2575" s="91" t="str">
        <f t="shared" si="228"/>
        <v>A0.15.C</v>
      </c>
      <c r="C2575" s="83" t="s">
        <v>366</v>
      </c>
      <c r="D2575" s="81" t="s">
        <v>3013</v>
      </c>
      <c r="E2575" s="48">
        <v>500130</v>
      </c>
      <c r="F2575" s="30" t="s">
        <v>148</v>
      </c>
      <c r="G2575" s="29" t="s">
        <v>71</v>
      </c>
      <c r="H2575" s="30" t="s">
        <v>2996</v>
      </c>
      <c r="I2575" s="78"/>
      <c r="J2575" s="20"/>
      <c r="K2575" s="20"/>
      <c r="L2575" s="20"/>
      <c r="M2575" s="20"/>
      <c r="N2575" s="320" t="s">
        <v>2685</v>
      </c>
      <c r="O2575" s="70">
        <v>0</v>
      </c>
      <c r="P2575" s="70">
        <v>0</v>
      </c>
      <c r="Q2575" s="70">
        <f t="shared" si="223"/>
        <v>0</v>
      </c>
      <c r="R2575" s="70"/>
      <c r="S2575" s="67"/>
      <c r="T2575" s="2" t="str">
        <f t="shared" si="224"/>
        <v>Nguyễn Anh Phúc_10KT1</v>
      </c>
      <c r="U2575" s="28">
        <f t="array" ref="U2575">IFERROR(VLOOKUP($T2575,'Nghi hoc T12'!$H$7:$I$160,2,0),0)</f>
        <v>0</v>
      </c>
      <c r="V2575" s="28"/>
      <c r="W2575" s="28">
        <f t="shared" si="225"/>
        <v>0</v>
      </c>
      <c r="X2575" s="333">
        <f t="shared" si="226"/>
        <v>0</v>
      </c>
      <c r="Y2575" s="333">
        <f t="shared" si="227"/>
        <v>0</v>
      </c>
    </row>
    <row r="2576" spans="1:25" s="2" customFormat="1" ht="21.95" customHeight="1">
      <c r="A2576" s="82">
        <v>19</v>
      </c>
      <c r="B2576" s="91" t="str">
        <f t="shared" si="228"/>
        <v>A0.15.C</v>
      </c>
      <c r="C2576" s="83" t="s">
        <v>366</v>
      </c>
      <c r="D2576" s="81" t="s">
        <v>3013</v>
      </c>
      <c r="E2576" s="48">
        <v>500131</v>
      </c>
      <c r="F2576" s="30" t="s">
        <v>2754</v>
      </c>
      <c r="G2576" s="29" t="s">
        <v>71</v>
      </c>
      <c r="H2576" s="30" t="s">
        <v>2997</v>
      </c>
      <c r="I2576" s="78"/>
      <c r="J2576" s="20"/>
      <c r="K2576" s="20"/>
      <c r="L2576" s="20"/>
      <c r="M2576" s="20"/>
      <c r="N2576" s="320" t="s">
        <v>2685</v>
      </c>
      <c r="O2576" s="70">
        <v>0</v>
      </c>
      <c r="P2576" s="70">
        <v>0</v>
      </c>
      <c r="Q2576" s="70">
        <f t="shared" si="223"/>
        <v>0</v>
      </c>
      <c r="R2576" s="70"/>
      <c r="S2576" s="67"/>
      <c r="T2576" s="2" t="str">
        <f t="shared" si="224"/>
        <v>Nguyễn Trần Trọng Phúc_10KT2</v>
      </c>
      <c r="U2576" s="28">
        <f t="array" ref="U2576">IFERROR(VLOOKUP($T2576,'Nghi hoc T12'!$H$7:$I$160,2,0),0)</f>
        <v>0</v>
      </c>
      <c r="V2576" s="28"/>
      <c r="W2576" s="28">
        <f t="shared" si="225"/>
        <v>0</v>
      </c>
      <c r="X2576" s="333">
        <f t="shared" si="226"/>
        <v>0</v>
      </c>
      <c r="Y2576" s="333">
        <f t="shared" si="227"/>
        <v>0</v>
      </c>
    </row>
    <row r="2577" spans="1:25" s="2" customFormat="1" ht="21.95" customHeight="1">
      <c r="A2577" s="82">
        <v>20</v>
      </c>
      <c r="B2577" s="91" t="str">
        <f t="shared" si="228"/>
        <v>A0.15.C</v>
      </c>
      <c r="C2577" s="83" t="s">
        <v>366</v>
      </c>
      <c r="D2577" s="81" t="s">
        <v>3013</v>
      </c>
      <c r="E2577" s="48">
        <v>500132</v>
      </c>
      <c r="F2577" s="30" t="s">
        <v>150</v>
      </c>
      <c r="G2577" s="29" t="s">
        <v>71</v>
      </c>
      <c r="H2577" s="30" t="s">
        <v>2998</v>
      </c>
      <c r="I2577" s="78" t="s">
        <v>529</v>
      </c>
      <c r="J2577" s="20"/>
      <c r="K2577" s="20"/>
      <c r="L2577" s="20"/>
      <c r="M2577" s="20"/>
      <c r="N2577" s="320" t="s">
        <v>2685</v>
      </c>
      <c r="O2577" s="70">
        <v>0</v>
      </c>
      <c r="P2577" s="70">
        <v>0</v>
      </c>
      <c r="Q2577" s="70" t="str">
        <f t="shared" si="223"/>
        <v>NgiH</v>
      </c>
      <c r="R2577" s="70"/>
      <c r="S2577" s="67"/>
      <c r="T2577" s="2" t="str">
        <f t="shared" si="224"/>
        <v>Trần Tuấn Phúc_10KT3</v>
      </c>
      <c r="U2577" s="28" t="str">
        <f t="array" ref="U2577">IFERROR(VLOOKUP($T2577,'Nghi hoc T12'!$H$7:$I$160,2,0),0)</f>
        <v>NgiH</v>
      </c>
      <c r="V2577" s="28"/>
      <c r="W2577" s="28" t="str">
        <f t="shared" si="225"/>
        <v>Nghỉ học</v>
      </c>
      <c r="X2577" s="333">
        <f t="shared" si="226"/>
        <v>0</v>
      </c>
      <c r="Y2577" s="333">
        <f t="shared" si="227"/>
        <v>0</v>
      </c>
    </row>
    <row r="2578" spans="1:25" s="2" customFormat="1" ht="21.95" customHeight="1">
      <c r="A2578" s="82">
        <v>21</v>
      </c>
      <c r="B2578" s="91" t="str">
        <f t="shared" si="228"/>
        <v>A0.15.C</v>
      </c>
      <c r="C2578" s="83" t="s">
        <v>366</v>
      </c>
      <c r="D2578" s="81" t="s">
        <v>3013</v>
      </c>
      <c r="E2578" s="48">
        <v>500133</v>
      </c>
      <c r="F2578" s="30" t="s">
        <v>2755</v>
      </c>
      <c r="G2578" s="29" t="s">
        <v>43</v>
      </c>
      <c r="H2578" s="30" t="s">
        <v>2997</v>
      </c>
      <c r="I2578" s="78"/>
      <c r="J2578" s="20"/>
      <c r="K2578" s="20"/>
      <c r="L2578" s="20"/>
      <c r="M2578" s="20"/>
      <c r="N2578" s="320" t="s">
        <v>2685</v>
      </c>
      <c r="O2578" s="70">
        <v>0</v>
      </c>
      <c r="P2578" s="70">
        <v>0</v>
      </c>
      <c r="Q2578" s="70">
        <f t="shared" si="223"/>
        <v>0</v>
      </c>
      <c r="R2578" s="70"/>
      <c r="S2578" s="67"/>
      <c r="T2578" s="2" t="str">
        <f t="shared" si="224"/>
        <v>Đặng Võ Nguyên Phương_10KT2</v>
      </c>
      <c r="U2578" s="28">
        <f t="array" ref="U2578">IFERROR(VLOOKUP($T2578,'Nghi hoc T12'!$H$7:$I$160,2,0),0)</f>
        <v>0</v>
      </c>
      <c r="V2578" s="28"/>
      <c r="W2578" s="28">
        <f t="shared" si="225"/>
        <v>0</v>
      </c>
      <c r="X2578" s="333">
        <f t="shared" si="226"/>
        <v>0</v>
      </c>
      <c r="Y2578" s="333">
        <f t="shared" si="227"/>
        <v>0</v>
      </c>
    </row>
    <row r="2579" spans="1:25" s="2" customFormat="1" ht="21.95" customHeight="1">
      <c r="A2579" s="82">
        <v>22</v>
      </c>
      <c r="B2579" s="91" t="str">
        <f t="shared" si="228"/>
        <v>A0.15.C</v>
      </c>
      <c r="C2579" s="83" t="s">
        <v>366</v>
      </c>
      <c r="D2579" s="81" t="s">
        <v>3013</v>
      </c>
      <c r="E2579" s="48">
        <v>500134</v>
      </c>
      <c r="F2579" s="30" t="s">
        <v>2756</v>
      </c>
      <c r="G2579" s="29" t="s">
        <v>43</v>
      </c>
      <c r="H2579" s="30" t="s">
        <v>2998</v>
      </c>
      <c r="I2579" s="78"/>
      <c r="J2579" s="20"/>
      <c r="K2579" s="20"/>
      <c r="L2579" s="20"/>
      <c r="M2579" s="20"/>
      <c r="N2579" s="320" t="s">
        <v>2685</v>
      </c>
      <c r="O2579" s="70">
        <v>0</v>
      </c>
      <c r="P2579" s="70">
        <v>0</v>
      </c>
      <c r="Q2579" s="70">
        <f t="shared" si="223"/>
        <v>0</v>
      </c>
      <c r="R2579" s="70"/>
      <c r="S2579" s="67"/>
      <c r="T2579" s="2" t="str">
        <f t="shared" si="224"/>
        <v>Đinh Lưu Phương_10KT3</v>
      </c>
      <c r="U2579" s="28">
        <f t="array" ref="U2579">IFERROR(VLOOKUP($T2579,'Nghi hoc T12'!$H$7:$I$160,2,0),0)</f>
        <v>0</v>
      </c>
      <c r="V2579" s="28"/>
      <c r="W2579" s="28">
        <f t="shared" si="225"/>
        <v>0</v>
      </c>
      <c r="X2579" s="333">
        <f t="shared" si="226"/>
        <v>0</v>
      </c>
      <c r="Y2579" s="333">
        <f t="shared" si="227"/>
        <v>0</v>
      </c>
    </row>
    <row r="2580" spans="1:25" s="2" customFormat="1" ht="21.95" customHeight="1">
      <c r="A2580" s="82">
        <v>23</v>
      </c>
      <c r="B2580" s="91" t="str">
        <f t="shared" si="228"/>
        <v>A0.15.C</v>
      </c>
      <c r="C2580" s="83" t="s">
        <v>366</v>
      </c>
      <c r="D2580" s="81" t="s">
        <v>3013</v>
      </c>
      <c r="E2580" s="48">
        <v>500135</v>
      </c>
      <c r="F2580" s="30" t="s">
        <v>2757</v>
      </c>
      <c r="G2580" s="29" t="s">
        <v>43</v>
      </c>
      <c r="H2580" s="30" t="s">
        <v>2999</v>
      </c>
      <c r="I2580" s="78"/>
      <c r="J2580" s="20"/>
      <c r="K2580" s="20"/>
      <c r="L2580" s="20"/>
      <c r="M2580" s="20"/>
      <c r="N2580" s="320" t="s">
        <v>2685</v>
      </c>
      <c r="O2580" s="70">
        <v>0</v>
      </c>
      <c r="P2580" s="70">
        <v>0</v>
      </c>
      <c r="Q2580" s="70">
        <f t="shared" si="223"/>
        <v>0</v>
      </c>
      <c r="R2580" s="70"/>
      <c r="S2580" s="67"/>
      <c r="T2580" s="2" t="str">
        <f t="shared" si="224"/>
        <v>Phan Thị Trúc Phương_10KT4</v>
      </c>
      <c r="U2580" s="28">
        <f t="array" ref="U2580">IFERROR(VLOOKUP($T2580,'Nghi hoc T12'!$H$7:$I$160,2,0),0)</f>
        <v>0</v>
      </c>
      <c r="V2580" s="28"/>
      <c r="W2580" s="28">
        <f t="shared" si="225"/>
        <v>0</v>
      </c>
      <c r="X2580" s="333">
        <f t="shared" si="226"/>
        <v>0</v>
      </c>
      <c r="Y2580" s="333">
        <f t="shared" si="227"/>
        <v>0</v>
      </c>
    </row>
    <row r="2581" spans="1:25" s="2" customFormat="1" ht="21.95" customHeight="1">
      <c r="A2581" s="82">
        <v>24</v>
      </c>
      <c r="B2581" s="91" t="str">
        <f t="shared" si="228"/>
        <v>A0.15.C</v>
      </c>
      <c r="C2581" s="83" t="s">
        <v>366</v>
      </c>
      <c r="D2581" s="81" t="s">
        <v>3013</v>
      </c>
      <c r="E2581" s="48">
        <v>500136</v>
      </c>
      <c r="F2581" s="30" t="s">
        <v>186</v>
      </c>
      <c r="G2581" s="29" t="s">
        <v>57</v>
      </c>
      <c r="H2581" s="30" t="s">
        <v>2998</v>
      </c>
      <c r="I2581" s="78"/>
      <c r="J2581" s="20"/>
      <c r="K2581" s="20"/>
      <c r="L2581" s="20"/>
      <c r="M2581" s="20"/>
      <c r="N2581" s="320" t="s">
        <v>2685</v>
      </c>
      <c r="O2581" s="70">
        <v>0</v>
      </c>
      <c r="P2581" s="70">
        <v>0</v>
      </c>
      <c r="Q2581" s="70">
        <f t="shared" si="223"/>
        <v>0</v>
      </c>
      <c r="R2581" s="70"/>
      <c r="S2581" s="67"/>
      <c r="T2581" s="2" t="str">
        <f t="shared" si="224"/>
        <v>Nguyễn Minh Quân_10KT3</v>
      </c>
      <c r="U2581" s="28">
        <f t="array" ref="U2581">IFERROR(VLOOKUP($T2581,'Nghi hoc T12'!$H$7:$I$160,2,0),0)</f>
        <v>0</v>
      </c>
      <c r="V2581" s="28"/>
      <c r="W2581" s="28">
        <f t="shared" si="225"/>
        <v>0</v>
      </c>
      <c r="X2581" s="333">
        <f t="shared" si="226"/>
        <v>0</v>
      </c>
      <c r="Y2581" s="333">
        <f t="shared" si="227"/>
        <v>0</v>
      </c>
    </row>
    <row r="2582" spans="1:25" s="2" customFormat="1" ht="21.95" customHeight="1">
      <c r="A2582" s="82">
        <v>25</v>
      </c>
      <c r="B2582" s="91" t="str">
        <f t="shared" si="228"/>
        <v>A0.15.C</v>
      </c>
      <c r="C2582" s="83" t="s">
        <v>366</v>
      </c>
      <c r="D2582" s="81" t="s">
        <v>3013</v>
      </c>
      <c r="E2582" s="48">
        <v>500137</v>
      </c>
      <c r="F2582" s="30" t="s">
        <v>186</v>
      </c>
      <c r="G2582" s="29" t="s">
        <v>57</v>
      </c>
      <c r="H2582" s="30" t="s">
        <v>2999</v>
      </c>
      <c r="I2582" s="78" t="s">
        <v>529</v>
      </c>
      <c r="J2582" s="20"/>
      <c r="K2582" s="20"/>
      <c r="L2582" s="20"/>
      <c r="M2582" s="20"/>
      <c r="N2582" s="320" t="s">
        <v>2685</v>
      </c>
      <c r="O2582" s="70">
        <v>0</v>
      </c>
      <c r="P2582" s="70">
        <v>0</v>
      </c>
      <c r="Q2582" s="70" t="str">
        <f t="shared" si="223"/>
        <v>NgiH</v>
      </c>
      <c r="R2582" s="70"/>
      <c r="S2582" s="67"/>
      <c r="T2582" s="2" t="str">
        <f t="shared" si="224"/>
        <v>Nguyễn Minh Quân_10KT4</v>
      </c>
      <c r="U2582" s="28" t="str">
        <f t="array" ref="U2582">IFERROR(VLOOKUP($T2582,'Nghi hoc T12'!$H$7:$I$160,2,0),0)</f>
        <v>NgiH</v>
      </c>
      <c r="V2582" s="28"/>
      <c r="W2582" s="28" t="str">
        <f t="shared" si="225"/>
        <v>Nghỉ học</v>
      </c>
      <c r="X2582" s="333">
        <f t="shared" si="226"/>
        <v>0</v>
      </c>
      <c r="Y2582" s="333">
        <f t="shared" si="227"/>
        <v>0</v>
      </c>
    </row>
    <row r="2583" spans="1:25" s="2" customFormat="1" ht="21.95" customHeight="1">
      <c r="A2583" s="82">
        <v>26</v>
      </c>
      <c r="B2583" s="91" t="str">
        <f t="shared" si="228"/>
        <v>A0.15.C</v>
      </c>
      <c r="C2583" s="83" t="s">
        <v>366</v>
      </c>
      <c r="D2583" s="81" t="s">
        <v>3013</v>
      </c>
      <c r="E2583" s="48">
        <v>500138</v>
      </c>
      <c r="F2583" s="30" t="s">
        <v>2758</v>
      </c>
      <c r="G2583" s="29" t="s">
        <v>57</v>
      </c>
      <c r="H2583" s="30" t="s">
        <v>2999</v>
      </c>
      <c r="I2583" s="78"/>
      <c r="J2583" s="20"/>
      <c r="K2583" s="20"/>
      <c r="L2583" s="20"/>
      <c r="M2583" s="20"/>
      <c r="N2583" s="320" t="s">
        <v>2685</v>
      </c>
      <c r="O2583" s="70">
        <v>0</v>
      </c>
      <c r="P2583" s="70">
        <v>0</v>
      </c>
      <c r="Q2583" s="70">
        <f t="shared" si="223"/>
        <v>0</v>
      </c>
      <c r="R2583" s="70"/>
      <c r="S2583" s="67"/>
      <c r="T2583" s="2" t="str">
        <f t="shared" si="224"/>
        <v>Tạ Trường Quân_10KT4</v>
      </c>
      <c r="U2583" s="28">
        <f t="array" ref="U2583">IFERROR(VLOOKUP($T2583,'Nghi hoc T12'!$H$7:$I$160,2,0),0)</f>
        <v>0</v>
      </c>
      <c r="V2583" s="28"/>
      <c r="W2583" s="28">
        <f t="shared" si="225"/>
        <v>0</v>
      </c>
      <c r="X2583" s="333">
        <f t="shared" si="226"/>
        <v>0</v>
      </c>
      <c r="Y2583" s="333">
        <f t="shared" si="227"/>
        <v>0</v>
      </c>
    </row>
    <row r="2584" spans="1:25" s="2" customFormat="1" ht="21.95" customHeight="1">
      <c r="A2584" s="82">
        <v>27</v>
      </c>
      <c r="B2584" s="91" t="str">
        <f t="shared" si="228"/>
        <v>A0.15.C</v>
      </c>
      <c r="C2584" s="83" t="s">
        <v>366</v>
      </c>
      <c r="D2584" s="81" t="s">
        <v>3013</v>
      </c>
      <c r="E2584" s="48">
        <v>500139</v>
      </c>
      <c r="F2584" s="30" t="s">
        <v>2759</v>
      </c>
      <c r="G2584" s="29" t="s">
        <v>2182</v>
      </c>
      <c r="H2584" s="30" t="s">
        <v>2997</v>
      </c>
      <c r="I2584" s="78"/>
      <c r="J2584" s="20"/>
      <c r="K2584" s="20"/>
      <c r="L2584" s="20"/>
      <c r="M2584" s="20"/>
      <c r="N2584" s="320" t="s">
        <v>2685</v>
      </c>
      <c r="O2584" s="70">
        <v>0</v>
      </c>
      <c r="P2584" s="70">
        <v>0</v>
      </c>
      <c r="Q2584" s="70">
        <f t="shared" si="223"/>
        <v>0</v>
      </c>
      <c r="R2584" s="70"/>
      <c r="S2584" s="67"/>
      <c r="T2584" s="2" t="str">
        <f t="shared" si="224"/>
        <v>Lâm Tấn Quí_10KT2</v>
      </c>
      <c r="U2584" s="28">
        <f t="array" ref="U2584">IFERROR(VLOOKUP($T2584,'Nghi hoc T12'!$H$7:$I$160,2,0),0)</f>
        <v>0</v>
      </c>
      <c r="V2584" s="28"/>
      <c r="W2584" s="28">
        <f t="shared" si="225"/>
        <v>0</v>
      </c>
      <c r="X2584" s="333">
        <f t="shared" si="226"/>
        <v>0</v>
      </c>
      <c r="Y2584" s="333">
        <f t="shared" si="227"/>
        <v>0</v>
      </c>
    </row>
    <row r="2585" spans="1:25" s="2" customFormat="1" ht="21.95" customHeight="1">
      <c r="A2585" s="82">
        <v>28</v>
      </c>
      <c r="B2585" s="91" t="str">
        <f t="shared" si="228"/>
        <v>A0.15.C</v>
      </c>
      <c r="C2585" s="83" t="s">
        <v>366</v>
      </c>
      <c r="D2585" s="81" t="s">
        <v>3013</v>
      </c>
      <c r="E2585" s="48">
        <v>500140</v>
      </c>
      <c r="F2585" s="30" t="s">
        <v>222</v>
      </c>
      <c r="G2585" s="29" t="s">
        <v>2182</v>
      </c>
      <c r="H2585" s="30" t="s">
        <v>2996</v>
      </c>
      <c r="I2585" s="78"/>
      <c r="J2585" s="20"/>
      <c r="K2585" s="20"/>
      <c r="L2585" s="20"/>
      <c r="M2585" s="20"/>
      <c r="N2585" s="320" t="s">
        <v>2685</v>
      </c>
      <c r="O2585" s="70">
        <v>0</v>
      </c>
      <c r="P2585" s="70">
        <v>0</v>
      </c>
      <c r="Q2585" s="70">
        <f t="shared" si="223"/>
        <v>0</v>
      </c>
      <c r="R2585" s="70"/>
      <c r="S2585" s="67"/>
      <c r="T2585" s="2" t="str">
        <f t="shared" si="224"/>
        <v>Nguyễn Ngọc Quí_10KT1</v>
      </c>
      <c r="U2585" s="28">
        <f t="array" ref="U2585">IFERROR(VLOOKUP($T2585,'Nghi hoc T12'!$H$7:$I$160,2,0),0)</f>
        <v>0</v>
      </c>
      <c r="V2585" s="28"/>
      <c r="W2585" s="28">
        <f t="shared" si="225"/>
        <v>0</v>
      </c>
      <c r="X2585" s="333">
        <f t="shared" si="226"/>
        <v>0</v>
      </c>
      <c r="Y2585" s="333">
        <f t="shared" si="227"/>
        <v>0</v>
      </c>
    </row>
    <row r="2586" spans="1:25" s="2" customFormat="1" ht="21.95" customHeight="1">
      <c r="A2586" s="321">
        <v>1</v>
      </c>
      <c r="B2586" s="91" t="str">
        <f t="shared" si="228"/>
        <v>A1.10.C</v>
      </c>
      <c r="C2586" s="185" t="s">
        <v>366</v>
      </c>
      <c r="D2586" s="186" t="s">
        <v>3014</v>
      </c>
      <c r="E2586" s="187">
        <v>500141</v>
      </c>
      <c r="F2586" s="188" t="s">
        <v>148</v>
      </c>
      <c r="G2586" s="189" t="s">
        <v>235</v>
      </c>
      <c r="H2586" s="188" t="s">
        <v>2999</v>
      </c>
      <c r="I2586" s="190"/>
      <c r="J2586" s="191"/>
      <c r="K2586" s="191"/>
      <c r="L2586" s="191"/>
      <c r="M2586" s="191"/>
      <c r="N2586" s="320" t="s">
        <v>2685</v>
      </c>
      <c r="O2586" s="70">
        <v>0</v>
      </c>
      <c r="P2586" s="70">
        <v>0</v>
      </c>
      <c r="Q2586" s="70">
        <f t="shared" si="223"/>
        <v>0</v>
      </c>
      <c r="R2586" s="70"/>
      <c r="S2586" s="67"/>
      <c r="T2586" s="2" t="str">
        <f t="shared" si="224"/>
        <v>Nguyễn Anh Quốc_10KT4</v>
      </c>
      <c r="U2586" s="28">
        <f t="array" ref="U2586">IFERROR(VLOOKUP($T2586,'Nghi hoc T12'!$H$7:$I$160,2,0),0)</f>
        <v>0</v>
      </c>
      <c r="V2586" s="28"/>
      <c r="W2586" s="28">
        <f t="shared" si="225"/>
        <v>0</v>
      </c>
      <c r="X2586" s="333">
        <f t="shared" si="226"/>
        <v>0</v>
      </c>
      <c r="Y2586" s="333">
        <f t="shared" si="227"/>
        <v>0</v>
      </c>
    </row>
    <row r="2587" spans="1:25" s="2" customFormat="1" ht="21.95" customHeight="1">
      <c r="A2587" s="82">
        <v>2</v>
      </c>
      <c r="B2587" s="91" t="str">
        <f t="shared" si="228"/>
        <v>A1.10.C</v>
      </c>
      <c r="C2587" s="83" t="s">
        <v>366</v>
      </c>
      <c r="D2587" s="81" t="s">
        <v>3014</v>
      </c>
      <c r="E2587" s="48">
        <v>500142</v>
      </c>
      <c r="F2587" s="30" t="s">
        <v>292</v>
      </c>
      <c r="G2587" s="29" t="s">
        <v>47</v>
      </c>
      <c r="H2587" s="30" t="s">
        <v>2998</v>
      </c>
      <c r="I2587" s="78"/>
      <c r="J2587" s="20"/>
      <c r="K2587" s="20"/>
      <c r="L2587" s="20"/>
      <c r="M2587" s="20"/>
      <c r="N2587" s="320" t="s">
        <v>2685</v>
      </c>
      <c r="O2587" s="70">
        <v>0</v>
      </c>
      <c r="P2587" s="70">
        <v>0</v>
      </c>
      <c r="Q2587" s="70">
        <f t="shared" si="223"/>
        <v>0</v>
      </c>
      <c r="R2587" s="70"/>
      <c r="S2587" s="67"/>
      <c r="T2587" s="2" t="str">
        <f t="shared" si="224"/>
        <v>Phạm Thanh Sang_10KT3</v>
      </c>
      <c r="U2587" s="28">
        <f t="array" ref="U2587">IFERROR(VLOOKUP($T2587,'Nghi hoc T12'!$H$7:$I$160,2,0),0)</f>
        <v>0</v>
      </c>
      <c r="V2587" s="28"/>
      <c r="W2587" s="28">
        <f t="shared" si="225"/>
        <v>0</v>
      </c>
      <c r="X2587" s="333">
        <f t="shared" si="226"/>
        <v>0</v>
      </c>
      <c r="Y2587" s="333">
        <f t="shared" si="227"/>
        <v>0</v>
      </c>
    </row>
    <row r="2588" spans="1:25" s="2" customFormat="1" ht="21.95" customHeight="1">
      <c r="A2588" s="82">
        <v>3</v>
      </c>
      <c r="B2588" s="91" t="str">
        <f t="shared" si="228"/>
        <v>A1.10.C</v>
      </c>
      <c r="C2588" s="83" t="s">
        <v>366</v>
      </c>
      <c r="D2588" s="81" t="s">
        <v>3014</v>
      </c>
      <c r="E2588" s="48">
        <v>500143</v>
      </c>
      <c r="F2588" s="30" t="s">
        <v>2479</v>
      </c>
      <c r="G2588" s="29" t="s">
        <v>23</v>
      </c>
      <c r="H2588" s="30" t="s">
        <v>2998</v>
      </c>
      <c r="I2588" s="78"/>
      <c r="J2588" s="20"/>
      <c r="K2588" s="20"/>
      <c r="L2588" s="20"/>
      <c r="M2588" s="20"/>
      <c r="N2588" s="320" t="s">
        <v>2685</v>
      </c>
      <c r="O2588" s="70">
        <v>0</v>
      </c>
      <c r="P2588" s="70">
        <v>0</v>
      </c>
      <c r="Q2588" s="70">
        <f t="shared" si="223"/>
        <v>0</v>
      </c>
      <c r="R2588" s="70"/>
      <c r="S2588" s="67"/>
      <c r="T2588" s="2" t="str">
        <f t="shared" si="224"/>
        <v>Cao Minh Sơn_10KT3</v>
      </c>
      <c r="U2588" s="28">
        <f t="array" ref="U2588">IFERROR(VLOOKUP($T2588,'Nghi hoc T12'!$H$7:$I$160,2,0),0)</f>
        <v>0</v>
      </c>
      <c r="V2588" s="28"/>
      <c r="W2588" s="28">
        <f t="shared" si="225"/>
        <v>0</v>
      </c>
      <c r="X2588" s="333">
        <f t="shared" si="226"/>
        <v>0</v>
      </c>
      <c r="Y2588" s="333">
        <f t="shared" si="227"/>
        <v>0</v>
      </c>
    </row>
    <row r="2589" spans="1:25" s="2" customFormat="1" ht="21.95" customHeight="1">
      <c r="A2589" s="82">
        <v>4</v>
      </c>
      <c r="B2589" s="91" t="str">
        <f t="shared" si="228"/>
        <v>A1.10.C</v>
      </c>
      <c r="C2589" s="83" t="s">
        <v>366</v>
      </c>
      <c r="D2589" s="81" t="s">
        <v>3014</v>
      </c>
      <c r="E2589" s="48">
        <v>500144</v>
      </c>
      <c r="F2589" s="30" t="s">
        <v>2760</v>
      </c>
      <c r="G2589" s="29" t="s">
        <v>93</v>
      </c>
      <c r="H2589" s="30" t="s">
        <v>2997</v>
      </c>
      <c r="I2589" s="78"/>
      <c r="J2589" s="20"/>
      <c r="K2589" s="20"/>
      <c r="L2589" s="20"/>
      <c r="M2589" s="20"/>
      <c r="N2589" s="320" t="s">
        <v>2685</v>
      </c>
      <c r="O2589" s="70">
        <v>0</v>
      </c>
      <c r="P2589" s="70">
        <v>0</v>
      </c>
      <c r="Q2589" s="70">
        <f t="shared" si="223"/>
        <v>0</v>
      </c>
      <c r="R2589" s="70"/>
      <c r="S2589" s="67"/>
      <c r="T2589" s="2" t="str">
        <f t="shared" si="224"/>
        <v>Đoàn Nguyễn Thành Tài_10KT2</v>
      </c>
      <c r="U2589" s="28">
        <f t="array" ref="U2589">IFERROR(VLOOKUP($T2589,'Nghi hoc T12'!$H$7:$I$160,2,0),0)</f>
        <v>0</v>
      </c>
      <c r="V2589" s="28"/>
      <c r="W2589" s="28">
        <f t="shared" si="225"/>
        <v>0</v>
      </c>
      <c r="X2589" s="333">
        <f t="shared" si="226"/>
        <v>0</v>
      </c>
      <c r="Y2589" s="333">
        <f t="shared" si="227"/>
        <v>0</v>
      </c>
    </row>
    <row r="2590" spans="1:25" s="2" customFormat="1" ht="21.95" customHeight="1">
      <c r="A2590" s="82">
        <v>5</v>
      </c>
      <c r="B2590" s="91" t="str">
        <f t="shared" si="228"/>
        <v>A1.10.C</v>
      </c>
      <c r="C2590" s="83" t="s">
        <v>366</v>
      </c>
      <c r="D2590" s="81" t="s">
        <v>3014</v>
      </c>
      <c r="E2590" s="48">
        <v>500145</v>
      </c>
      <c r="F2590" s="30" t="s">
        <v>2761</v>
      </c>
      <c r="G2590" s="29" t="s">
        <v>93</v>
      </c>
      <c r="H2590" s="30" t="s">
        <v>2999</v>
      </c>
      <c r="I2590" s="78"/>
      <c r="J2590" s="20"/>
      <c r="K2590" s="20"/>
      <c r="L2590" s="20"/>
      <c r="M2590" s="20"/>
      <c r="N2590" s="320" t="s">
        <v>2685</v>
      </c>
      <c r="O2590" s="70">
        <v>0</v>
      </c>
      <c r="P2590" s="70">
        <v>0</v>
      </c>
      <c r="Q2590" s="70">
        <f t="shared" si="223"/>
        <v>0</v>
      </c>
      <c r="R2590" s="70"/>
      <c r="S2590" s="67"/>
      <c r="T2590" s="2" t="str">
        <f t="shared" si="224"/>
        <v>Dương Phạm Anh Tài_10KT4</v>
      </c>
      <c r="U2590" s="28">
        <f t="array" ref="U2590">IFERROR(VLOOKUP($T2590,'Nghi hoc T12'!$H$7:$I$160,2,0),0)</f>
        <v>0</v>
      </c>
      <c r="V2590" s="28"/>
      <c r="W2590" s="28">
        <f t="shared" si="225"/>
        <v>0</v>
      </c>
      <c r="X2590" s="333">
        <f t="shared" si="226"/>
        <v>0</v>
      </c>
      <c r="Y2590" s="333">
        <f t="shared" si="227"/>
        <v>0</v>
      </c>
    </row>
    <row r="2591" spans="1:25" s="2" customFormat="1" ht="21.95" customHeight="1">
      <c r="A2591" s="82">
        <v>6</v>
      </c>
      <c r="B2591" s="91" t="str">
        <f t="shared" si="228"/>
        <v>A1.10.C</v>
      </c>
      <c r="C2591" s="83" t="s">
        <v>366</v>
      </c>
      <c r="D2591" s="81" t="s">
        <v>3014</v>
      </c>
      <c r="E2591" s="48">
        <v>500146</v>
      </c>
      <c r="F2591" s="30" t="s">
        <v>2454</v>
      </c>
      <c r="G2591" s="29" t="s">
        <v>93</v>
      </c>
      <c r="H2591" s="30" t="s">
        <v>2996</v>
      </c>
      <c r="I2591" s="78"/>
      <c r="J2591" s="20"/>
      <c r="K2591" s="20"/>
      <c r="L2591" s="20"/>
      <c r="M2591" s="20"/>
      <c r="N2591" s="320" t="s">
        <v>2685</v>
      </c>
      <c r="O2591" s="70">
        <v>0</v>
      </c>
      <c r="P2591" s="70">
        <v>0</v>
      </c>
      <c r="Q2591" s="70">
        <f t="shared" si="223"/>
        <v>0</v>
      </c>
      <c r="R2591" s="70"/>
      <c r="S2591" s="67"/>
      <c r="T2591" s="2" t="str">
        <f t="shared" si="224"/>
        <v>Phan Tấn Tài_10KT1</v>
      </c>
      <c r="U2591" s="28">
        <f t="array" ref="U2591">IFERROR(VLOOKUP($T2591,'Nghi hoc T12'!$H$7:$I$160,2,0),0)</f>
        <v>0</v>
      </c>
      <c r="V2591" s="28"/>
      <c r="W2591" s="28">
        <f t="shared" si="225"/>
        <v>0</v>
      </c>
      <c r="X2591" s="333">
        <f t="shared" si="226"/>
        <v>0</v>
      </c>
      <c r="Y2591" s="333">
        <f t="shared" si="227"/>
        <v>0</v>
      </c>
    </row>
    <row r="2592" spans="1:25" s="2" customFormat="1" ht="21.95" customHeight="1">
      <c r="A2592" s="82">
        <v>7</v>
      </c>
      <c r="B2592" s="91" t="str">
        <f t="shared" si="228"/>
        <v>A1.10.C</v>
      </c>
      <c r="C2592" s="83" t="s">
        <v>366</v>
      </c>
      <c r="D2592" s="81" t="s">
        <v>3014</v>
      </c>
      <c r="E2592" s="48">
        <v>500147</v>
      </c>
      <c r="F2592" s="30" t="s">
        <v>2762</v>
      </c>
      <c r="G2592" s="29" t="s">
        <v>24</v>
      </c>
      <c r="H2592" s="30" t="s">
        <v>2997</v>
      </c>
      <c r="I2592" s="78"/>
      <c r="J2592" s="20"/>
      <c r="K2592" s="20"/>
      <c r="L2592" s="20"/>
      <c r="M2592" s="20"/>
      <c r="N2592" s="320" t="s">
        <v>2685</v>
      </c>
      <c r="O2592" s="70">
        <v>0</v>
      </c>
      <c r="P2592" s="70">
        <v>0</v>
      </c>
      <c r="Q2592" s="70">
        <f t="shared" si="223"/>
        <v>0</v>
      </c>
      <c r="R2592" s="70"/>
      <c r="S2592" s="67"/>
      <c r="T2592" s="2" t="str">
        <f t="shared" si="224"/>
        <v>Tô Vũ Tâm_10KT2</v>
      </c>
      <c r="U2592" s="28">
        <f t="array" ref="U2592">IFERROR(VLOOKUP($T2592,'Nghi hoc T12'!$H$7:$I$160,2,0),0)</f>
        <v>0</v>
      </c>
      <c r="V2592" s="28"/>
      <c r="W2592" s="28">
        <f t="shared" si="225"/>
        <v>0</v>
      </c>
      <c r="X2592" s="333">
        <f t="shared" si="226"/>
        <v>0</v>
      </c>
      <c r="Y2592" s="333">
        <f t="shared" si="227"/>
        <v>0</v>
      </c>
    </row>
    <row r="2593" spans="1:25" s="2" customFormat="1" ht="21.95" customHeight="1">
      <c r="A2593" s="82">
        <v>8</v>
      </c>
      <c r="B2593" s="91" t="str">
        <f t="shared" si="228"/>
        <v>A1.10.C</v>
      </c>
      <c r="C2593" s="83" t="s">
        <v>366</v>
      </c>
      <c r="D2593" s="81" t="s">
        <v>3014</v>
      </c>
      <c r="E2593" s="48">
        <v>500148</v>
      </c>
      <c r="F2593" s="30" t="s">
        <v>2763</v>
      </c>
      <c r="G2593" s="29" t="s">
        <v>27</v>
      </c>
      <c r="H2593" s="30" t="s">
        <v>2998</v>
      </c>
      <c r="I2593" s="78"/>
      <c r="J2593" s="20"/>
      <c r="K2593" s="20"/>
      <c r="L2593" s="20"/>
      <c r="M2593" s="20"/>
      <c r="N2593" s="320" t="s">
        <v>2685</v>
      </c>
      <c r="O2593" s="70">
        <v>0</v>
      </c>
      <c r="P2593" s="70">
        <v>0</v>
      </c>
      <c r="Q2593" s="70">
        <f t="shared" si="223"/>
        <v>0</v>
      </c>
      <c r="R2593" s="70"/>
      <c r="S2593" s="67"/>
      <c r="T2593" s="2" t="str">
        <f t="shared" si="224"/>
        <v>Dương Khắc Thành_10KT3</v>
      </c>
      <c r="U2593" s="28">
        <f t="array" ref="U2593">IFERROR(VLOOKUP($T2593,'Nghi hoc T12'!$H$7:$I$160,2,0),0)</f>
        <v>0</v>
      </c>
      <c r="V2593" s="28"/>
      <c r="W2593" s="28">
        <f t="shared" si="225"/>
        <v>0</v>
      </c>
      <c r="X2593" s="333">
        <f t="shared" si="226"/>
        <v>0</v>
      </c>
      <c r="Y2593" s="333">
        <f t="shared" si="227"/>
        <v>0</v>
      </c>
    </row>
    <row r="2594" spans="1:25" s="2" customFormat="1" ht="21.95" customHeight="1">
      <c r="A2594" s="82">
        <v>9</v>
      </c>
      <c r="B2594" s="91" t="str">
        <f t="shared" si="228"/>
        <v>A1.10.C</v>
      </c>
      <c r="C2594" s="83" t="s">
        <v>366</v>
      </c>
      <c r="D2594" s="81" t="s">
        <v>3014</v>
      </c>
      <c r="E2594" s="48">
        <v>500149</v>
      </c>
      <c r="F2594" s="30" t="s">
        <v>2764</v>
      </c>
      <c r="G2594" s="29" t="s">
        <v>49</v>
      </c>
      <c r="H2594" s="30" t="s">
        <v>2998</v>
      </c>
      <c r="I2594" s="78"/>
      <c r="J2594" s="20"/>
      <c r="K2594" s="20"/>
      <c r="L2594" s="20"/>
      <c r="M2594" s="20"/>
      <c r="N2594" s="320" t="s">
        <v>2685</v>
      </c>
      <c r="O2594" s="70">
        <v>0</v>
      </c>
      <c r="P2594" s="70">
        <v>0</v>
      </c>
      <c r="Q2594" s="70">
        <f t="shared" si="223"/>
        <v>0</v>
      </c>
      <c r="R2594" s="70"/>
      <c r="S2594" s="67"/>
      <c r="T2594" s="2" t="str">
        <f t="shared" si="224"/>
        <v>Đinh Thị Thu Thảo_10KT3</v>
      </c>
      <c r="U2594" s="28">
        <f t="array" ref="U2594">IFERROR(VLOOKUP($T2594,'Nghi hoc T12'!$H$7:$I$160,2,0),0)</f>
        <v>0</v>
      </c>
      <c r="V2594" s="28"/>
      <c r="W2594" s="28">
        <f t="shared" si="225"/>
        <v>0</v>
      </c>
      <c r="X2594" s="333">
        <f t="shared" si="226"/>
        <v>0</v>
      </c>
      <c r="Y2594" s="333">
        <f t="shared" si="227"/>
        <v>0</v>
      </c>
    </row>
    <row r="2595" spans="1:25" s="2" customFormat="1" ht="21.95" customHeight="1">
      <c r="A2595" s="82">
        <v>10</v>
      </c>
      <c r="B2595" s="91" t="str">
        <f t="shared" si="228"/>
        <v>A1.10.C</v>
      </c>
      <c r="C2595" s="83" t="s">
        <v>366</v>
      </c>
      <c r="D2595" s="81" t="s">
        <v>3014</v>
      </c>
      <c r="E2595" s="48">
        <v>500150</v>
      </c>
      <c r="F2595" s="30" t="s">
        <v>2300</v>
      </c>
      <c r="G2595" s="29" t="s">
        <v>49</v>
      </c>
      <c r="H2595" s="30" t="s">
        <v>2996</v>
      </c>
      <c r="I2595" s="78"/>
      <c r="J2595" s="20"/>
      <c r="K2595" s="20"/>
      <c r="L2595" s="20"/>
      <c r="M2595" s="20"/>
      <c r="N2595" s="320" t="s">
        <v>2685</v>
      </c>
      <c r="O2595" s="70">
        <v>0</v>
      </c>
      <c r="P2595" s="70">
        <v>0</v>
      </c>
      <c r="Q2595" s="70">
        <f t="shared" si="223"/>
        <v>0</v>
      </c>
      <c r="R2595" s="70"/>
      <c r="S2595" s="67"/>
      <c r="T2595" s="2" t="str">
        <f t="shared" si="224"/>
        <v>Huỳnh Thị Thanh Thảo_10KT1</v>
      </c>
      <c r="U2595" s="28">
        <f t="array" ref="U2595">IFERROR(VLOOKUP($T2595,'Nghi hoc T12'!$H$7:$I$160,2,0),0)</f>
        <v>0</v>
      </c>
      <c r="V2595" s="28"/>
      <c r="W2595" s="28">
        <f t="shared" si="225"/>
        <v>0</v>
      </c>
      <c r="X2595" s="333">
        <f t="shared" si="226"/>
        <v>0</v>
      </c>
      <c r="Y2595" s="333">
        <f t="shared" si="227"/>
        <v>0</v>
      </c>
    </row>
    <row r="2596" spans="1:25" s="2" customFormat="1" ht="21.95" customHeight="1">
      <c r="A2596" s="82">
        <v>11</v>
      </c>
      <c r="B2596" s="91" t="str">
        <f t="shared" si="228"/>
        <v>A1.10.C</v>
      </c>
      <c r="C2596" s="83" t="s">
        <v>366</v>
      </c>
      <c r="D2596" s="81" t="s">
        <v>3014</v>
      </c>
      <c r="E2596" s="48">
        <v>500151</v>
      </c>
      <c r="F2596" s="30" t="s">
        <v>2073</v>
      </c>
      <c r="G2596" s="29" t="s">
        <v>49</v>
      </c>
      <c r="H2596" s="30" t="s">
        <v>2997</v>
      </c>
      <c r="I2596" s="78"/>
      <c r="J2596" s="20"/>
      <c r="K2596" s="20"/>
      <c r="L2596" s="20"/>
      <c r="M2596" s="20"/>
      <c r="N2596" s="320" t="s">
        <v>2685</v>
      </c>
      <c r="O2596" s="70">
        <v>0</v>
      </c>
      <c r="P2596" s="70">
        <v>0</v>
      </c>
      <c r="Q2596" s="70">
        <f t="shared" si="223"/>
        <v>0</v>
      </c>
      <c r="R2596" s="70"/>
      <c r="S2596" s="67"/>
      <c r="T2596" s="2" t="str">
        <f t="shared" si="224"/>
        <v>Võ Ngọc Thanh Thảo_10KT2</v>
      </c>
      <c r="U2596" s="28">
        <f t="array" ref="U2596">IFERROR(VLOOKUP($T2596,'Nghi hoc T12'!$H$7:$I$160,2,0),0)</f>
        <v>0</v>
      </c>
      <c r="V2596" s="28"/>
      <c r="W2596" s="28">
        <f t="shared" si="225"/>
        <v>0</v>
      </c>
      <c r="X2596" s="333">
        <f t="shared" si="226"/>
        <v>0</v>
      </c>
      <c r="Y2596" s="333">
        <f t="shared" si="227"/>
        <v>0</v>
      </c>
    </row>
    <row r="2597" spans="1:25" s="2" customFormat="1" ht="21.95" customHeight="1">
      <c r="A2597" s="82">
        <v>12</v>
      </c>
      <c r="B2597" s="91" t="str">
        <f t="shared" si="228"/>
        <v>A1.10.C</v>
      </c>
      <c r="C2597" s="83" t="s">
        <v>366</v>
      </c>
      <c r="D2597" s="81" t="s">
        <v>3014</v>
      </c>
      <c r="E2597" s="48">
        <v>500152</v>
      </c>
      <c r="F2597" s="30" t="s">
        <v>315</v>
      </c>
      <c r="G2597" s="29" t="s">
        <v>48</v>
      </c>
      <c r="H2597" s="30" t="s">
        <v>2996</v>
      </c>
      <c r="I2597" s="78"/>
      <c r="J2597" s="20"/>
      <c r="K2597" s="20"/>
      <c r="L2597" s="20"/>
      <c r="M2597" s="20"/>
      <c r="N2597" s="320" t="s">
        <v>2685</v>
      </c>
      <c r="O2597" s="70">
        <v>0</v>
      </c>
      <c r="P2597" s="70">
        <v>0</v>
      </c>
      <c r="Q2597" s="70">
        <f t="shared" si="223"/>
        <v>0</v>
      </c>
      <c r="R2597" s="70"/>
      <c r="S2597" s="67"/>
      <c r="T2597" s="2" t="str">
        <f t="shared" si="224"/>
        <v>Nguyễn Tuấn Thắng_10KT1</v>
      </c>
      <c r="U2597" s="28">
        <f t="array" ref="U2597">IFERROR(VLOOKUP($T2597,'Nghi hoc T12'!$H$7:$I$160,2,0),0)</f>
        <v>0</v>
      </c>
      <c r="V2597" s="28"/>
      <c r="W2597" s="28">
        <f t="shared" si="225"/>
        <v>0</v>
      </c>
      <c r="X2597" s="333">
        <f t="shared" si="226"/>
        <v>0</v>
      </c>
      <c r="Y2597" s="333">
        <f t="shared" si="227"/>
        <v>0</v>
      </c>
    </row>
    <row r="2598" spans="1:25" s="2" customFormat="1" ht="21.95" customHeight="1">
      <c r="A2598" s="82">
        <v>13</v>
      </c>
      <c r="B2598" s="91" t="str">
        <f t="shared" si="228"/>
        <v>A1.10.C</v>
      </c>
      <c r="C2598" s="83" t="s">
        <v>366</v>
      </c>
      <c r="D2598" s="81" t="s">
        <v>3014</v>
      </c>
      <c r="E2598" s="48">
        <v>500153</v>
      </c>
      <c r="F2598" s="30" t="s">
        <v>1267</v>
      </c>
      <c r="G2598" s="29" t="s">
        <v>48</v>
      </c>
      <c r="H2598" s="30" t="s">
        <v>2997</v>
      </c>
      <c r="I2598" s="78"/>
      <c r="J2598" s="20"/>
      <c r="K2598" s="20"/>
      <c r="L2598" s="20"/>
      <c r="M2598" s="20"/>
      <c r="N2598" s="320" t="s">
        <v>2685</v>
      </c>
      <c r="O2598" s="70">
        <v>0</v>
      </c>
      <c r="P2598" s="70">
        <v>0</v>
      </c>
      <c r="Q2598" s="70">
        <f t="shared" si="223"/>
        <v>0</v>
      </c>
      <c r="R2598" s="70"/>
      <c r="S2598" s="67"/>
      <c r="T2598" s="2" t="str">
        <f t="shared" si="224"/>
        <v>Phạm Nguyễn Huy Thắng_10KT2</v>
      </c>
      <c r="U2598" s="28">
        <f t="array" ref="U2598">IFERROR(VLOOKUP($T2598,'Nghi hoc T12'!$H$7:$I$160,2,0),0)</f>
        <v>0</v>
      </c>
      <c r="V2598" s="28"/>
      <c r="W2598" s="28">
        <f t="shared" si="225"/>
        <v>0</v>
      </c>
      <c r="X2598" s="333">
        <f t="shared" si="226"/>
        <v>0</v>
      </c>
      <c r="Y2598" s="333">
        <f t="shared" si="227"/>
        <v>0</v>
      </c>
    </row>
    <row r="2599" spans="1:25" s="2" customFormat="1" ht="21.95" customHeight="1">
      <c r="A2599" s="82">
        <v>14</v>
      </c>
      <c r="B2599" s="91" t="str">
        <f t="shared" si="228"/>
        <v>A1.10.C</v>
      </c>
      <c r="C2599" s="83" t="s">
        <v>366</v>
      </c>
      <c r="D2599" s="81" t="s">
        <v>3014</v>
      </c>
      <c r="E2599" s="48">
        <v>500154</v>
      </c>
      <c r="F2599" s="30" t="s">
        <v>2765</v>
      </c>
      <c r="G2599" s="29" t="s">
        <v>48</v>
      </c>
      <c r="H2599" s="30" t="s">
        <v>2998</v>
      </c>
      <c r="I2599" s="78"/>
      <c r="J2599" s="20"/>
      <c r="K2599" s="20"/>
      <c r="L2599" s="20"/>
      <c r="M2599" s="20"/>
      <c r="N2599" s="320" t="s">
        <v>2685</v>
      </c>
      <c r="O2599" s="70">
        <v>0</v>
      </c>
      <c r="P2599" s="70">
        <v>0</v>
      </c>
      <c r="Q2599" s="70">
        <f t="shared" si="223"/>
        <v>0</v>
      </c>
      <c r="R2599" s="70"/>
      <c r="S2599" s="67"/>
      <c r="T2599" s="2" t="str">
        <f t="shared" si="224"/>
        <v>Trương Văn Thắng_10KT3</v>
      </c>
      <c r="U2599" s="28">
        <f t="array" ref="U2599">IFERROR(VLOOKUP($T2599,'Nghi hoc T12'!$H$7:$I$160,2,0),0)</f>
        <v>0</v>
      </c>
      <c r="V2599" s="28"/>
      <c r="W2599" s="28">
        <f t="shared" si="225"/>
        <v>0</v>
      </c>
      <c r="X2599" s="333">
        <f t="shared" si="226"/>
        <v>0</v>
      </c>
      <c r="Y2599" s="333">
        <f t="shared" si="227"/>
        <v>0</v>
      </c>
    </row>
    <row r="2600" spans="1:25" s="2" customFormat="1" ht="21.95" customHeight="1">
      <c r="A2600" s="82">
        <v>15</v>
      </c>
      <c r="B2600" s="91" t="str">
        <f t="shared" si="228"/>
        <v>A1.10.C</v>
      </c>
      <c r="C2600" s="83" t="s">
        <v>366</v>
      </c>
      <c r="D2600" s="81" t="s">
        <v>3014</v>
      </c>
      <c r="E2600" s="48">
        <v>500155</v>
      </c>
      <c r="F2600" s="30" t="s">
        <v>2766</v>
      </c>
      <c r="G2600" s="29" t="s">
        <v>161</v>
      </c>
      <c r="H2600" s="30" t="s">
        <v>2996</v>
      </c>
      <c r="I2600" s="78"/>
      <c r="J2600" s="20"/>
      <c r="K2600" s="20"/>
      <c r="L2600" s="20"/>
      <c r="M2600" s="20"/>
      <c r="N2600" s="320" t="s">
        <v>2685</v>
      </c>
      <c r="O2600" s="70">
        <v>0</v>
      </c>
      <c r="P2600" s="70">
        <v>0</v>
      </c>
      <c r="Q2600" s="70">
        <f t="shared" si="223"/>
        <v>0</v>
      </c>
      <c r="R2600" s="70"/>
      <c r="S2600" s="67"/>
      <c r="T2600" s="2" t="str">
        <f t="shared" si="224"/>
        <v>Nguyễn Lê Thuận Thiên_10KT1</v>
      </c>
      <c r="U2600" s="28">
        <f t="array" ref="U2600">IFERROR(VLOOKUP($T2600,'Nghi hoc T12'!$H$7:$I$160,2,0),0)</f>
        <v>0</v>
      </c>
      <c r="V2600" s="28"/>
      <c r="W2600" s="28">
        <f t="shared" si="225"/>
        <v>0</v>
      </c>
      <c r="X2600" s="333">
        <f t="shared" si="226"/>
        <v>0</v>
      </c>
      <c r="Y2600" s="333">
        <f t="shared" si="227"/>
        <v>0</v>
      </c>
    </row>
    <row r="2601" spans="1:25" s="2" customFormat="1" ht="21.95" customHeight="1">
      <c r="A2601" s="82">
        <v>16</v>
      </c>
      <c r="B2601" s="91" t="str">
        <f t="shared" si="228"/>
        <v>A1.10.C</v>
      </c>
      <c r="C2601" s="83" t="s">
        <v>366</v>
      </c>
      <c r="D2601" s="81" t="s">
        <v>3014</v>
      </c>
      <c r="E2601" s="48">
        <v>500156</v>
      </c>
      <c r="F2601" s="30" t="s">
        <v>2767</v>
      </c>
      <c r="G2601" s="29" t="s">
        <v>450</v>
      </c>
      <c r="H2601" s="30" t="s">
        <v>2996</v>
      </c>
      <c r="I2601" s="78"/>
      <c r="J2601" s="20"/>
      <c r="K2601" s="20"/>
      <c r="L2601" s="20"/>
      <c r="M2601" s="20"/>
      <c r="N2601" s="320" t="s">
        <v>2685</v>
      </c>
      <c r="O2601" s="70">
        <v>0</v>
      </c>
      <c r="P2601" s="70">
        <v>0</v>
      </c>
      <c r="Q2601" s="70">
        <f t="shared" si="223"/>
        <v>0</v>
      </c>
      <c r="R2601" s="70"/>
      <c r="S2601" s="67"/>
      <c r="T2601" s="2" t="str">
        <f t="shared" si="224"/>
        <v>Đào Đức Minh Thoại_10KT1</v>
      </c>
      <c r="U2601" s="28">
        <f t="array" ref="U2601">IFERROR(VLOOKUP($T2601,'Nghi hoc T12'!$H$7:$I$160,2,0),0)</f>
        <v>0</v>
      </c>
      <c r="V2601" s="28"/>
      <c r="W2601" s="28">
        <f t="shared" si="225"/>
        <v>0</v>
      </c>
      <c r="X2601" s="333">
        <f t="shared" si="226"/>
        <v>0</v>
      </c>
      <c r="Y2601" s="333">
        <f t="shared" si="227"/>
        <v>0</v>
      </c>
    </row>
    <row r="2602" spans="1:25" s="2" customFormat="1" ht="21.95" customHeight="1">
      <c r="A2602" s="82">
        <v>17</v>
      </c>
      <c r="B2602" s="91" t="str">
        <f t="shared" si="228"/>
        <v>A1.10.C</v>
      </c>
      <c r="C2602" s="83" t="s">
        <v>366</v>
      </c>
      <c r="D2602" s="81" t="s">
        <v>3014</v>
      </c>
      <c r="E2602" s="48">
        <v>500157</v>
      </c>
      <c r="F2602" s="30" t="s">
        <v>2768</v>
      </c>
      <c r="G2602" s="29" t="s">
        <v>59</v>
      </c>
      <c r="H2602" s="30" t="s">
        <v>2997</v>
      </c>
      <c r="I2602" s="78"/>
      <c r="J2602" s="20"/>
      <c r="K2602" s="20"/>
      <c r="L2602" s="20"/>
      <c r="M2602" s="20"/>
      <c r="N2602" s="320" t="s">
        <v>2685</v>
      </c>
      <c r="O2602" s="70">
        <v>0</v>
      </c>
      <c r="P2602" s="70">
        <v>0</v>
      </c>
      <c r="Q2602" s="70">
        <f t="shared" si="223"/>
        <v>0</v>
      </c>
      <c r="R2602" s="70"/>
      <c r="S2602" s="67"/>
      <c r="T2602" s="2" t="str">
        <f t="shared" si="224"/>
        <v>Cao Thái Thuận_10KT2</v>
      </c>
      <c r="U2602" s="28">
        <f t="array" ref="U2602">IFERROR(VLOOKUP($T2602,'Nghi hoc T12'!$H$7:$I$160,2,0),0)</f>
        <v>0</v>
      </c>
      <c r="V2602" s="28"/>
      <c r="W2602" s="28">
        <f t="shared" si="225"/>
        <v>0</v>
      </c>
      <c r="X2602" s="333">
        <f t="shared" si="226"/>
        <v>0</v>
      </c>
      <c r="Y2602" s="333">
        <f t="shared" si="227"/>
        <v>0</v>
      </c>
    </row>
    <row r="2603" spans="1:25" s="2" customFormat="1" ht="21.95" customHeight="1">
      <c r="A2603" s="82">
        <v>18</v>
      </c>
      <c r="B2603" s="91" t="str">
        <f t="shared" si="228"/>
        <v>A1.10.C</v>
      </c>
      <c r="C2603" s="83" t="s">
        <v>366</v>
      </c>
      <c r="D2603" s="81" t="s">
        <v>3014</v>
      </c>
      <c r="E2603" s="48">
        <v>500158</v>
      </c>
      <c r="F2603" s="30" t="s">
        <v>2769</v>
      </c>
      <c r="G2603" s="29" t="s">
        <v>28</v>
      </c>
      <c r="H2603" s="30" t="s">
        <v>2997</v>
      </c>
      <c r="I2603" s="78"/>
      <c r="J2603" s="20"/>
      <c r="K2603" s="20"/>
      <c r="L2603" s="20"/>
      <c r="M2603" s="20"/>
      <c r="N2603" s="320" t="s">
        <v>2685</v>
      </c>
      <c r="O2603" s="70">
        <v>0</v>
      </c>
      <c r="P2603" s="70">
        <v>0</v>
      </c>
      <c r="Q2603" s="70">
        <f t="shared" si="223"/>
        <v>0</v>
      </c>
      <c r="R2603" s="70"/>
      <c r="S2603" s="67"/>
      <c r="T2603" s="2" t="str">
        <f t="shared" si="224"/>
        <v>Chu Thị Anh Thư_10KT2</v>
      </c>
      <c r="U2603" s="28">
        <f t="array" ref="U2603">IFERROR(VLOOKUP($T2603,'Nghi hoc T12'!$H$7:$I$160,2,0),0)</f>
        <v>0</v>
      </c>
      <c r="V2603" s="28"/>
      <c r="W2603" s="28">
        <f t="shared" si="225"/>
        <v>0</v>
      </c>
      <c r="X2603" s="333">
        <f t="shared" si="226"/>
        <v>0</v>
      </c>
      <c r="Y2603" s="333">
        <f t="shared" si="227"/>
        <v>0</v>
      </c>
    </row>
    <row r="2604" spans="1:25" s="2" customFormat="1" ht="21.95" customHeight="1">
      <c r="A2604" s="82">
        <v>19</v>
      </c>
      <c r="B2604" s="91" t="str">
        <f t="shared" si="228"/>
        <v>A1.10.C</v>
      </c>
      <c r="C2604" s="83" t="s">
        <v>366</v>
      </c>
      <c r="D2604" s="81" t="s">
        <v>3014</v>
      </c>
      <c r="E2604" s="48">
        <v>500159</v>
      </c>
      <c r="F2604" s="30" t="s">
        <v>337</v>
      </c>
      <c r="G2604" s="29" t="s">
        <v>28</v>
      </c>
      <c r="H2604" s="30" t="s">
        <v>2998</v>
      </c>
      <c r="I2604" s="78"/>
      <c r="J2604" s="20"/>
      <c r="K2604" s="20"/>
      <c r="L2604" s="20"/>
      <c r="M2604" s="20"/>
      <c r="N2604" s="320" t="s">
        <v>2685</v>
      </c>
      <c r="O2604" s="70">
        <v>0</v>
      </c>
      <c r="P2604" s="70">
        <v>0</v>
      </c>
      <c r="Q2604" s="70">
        <f t="shared" si="223"/>
        <v>0</v>
      </c>
      <c r="R2604" s="70"/>
      <c r="S2604" s="67"/>
      <c r="T2604" s="2" t="str">
        <f t="shared" si="224"/>
        <v>Trần Anh Thư_10KT3</v>
      </c>
      <c r="U2604" s="28">
        <f t="array" ref="U2604">IFERROR(VLOOKUP($T2604,'Nghi hoc T12'!$H$7:$I$160,2,0),0)</f>
        <v>0</v>
      </c>
      <c r="V2604" s="28"/>
      <c r="W2604" s="28">
        <f t="shared" si="225"/>
        <v>0</v>
      </c>
      <c r="X2604" s="333">
        <f t="shared" si="226"/>
        <v>0</v>
      </c>
      <c r="Y2604" s="333">
        <f t="shared" si="227"/>
        <v>0</v>
      </c>
    </row>
    <row r="2605" spans="1:25" s="2" customFormat="1" ht="21.95" customHeight="1">
      <c r="A2605" s="82">
        <v>20</v>
      </c>
      <c r="B2605" s="91" t="str">
        <f t="shared" si="228"/>
        <v>A1.10.C</v>
      </c>
      <c r="C2605" s="83" t="s">
        <v>366</v>
      </c>
      <c r="D2605" s="81" t="s">
        <v>3014</v>
      </c>
      <c r="E2605" s="48">
        <v>500160</v>
      </c>
      <c r="F2605" s="30" t="s">
        <v>2770</v>
      </c>
      <c r="G2605" s="29" t="s">
        <v>28</v>
      </c>
      <c r="H2605" s="30" t="s">
        <v>2999</v>
      </c>
      <c r="I2605" s="78"/>
      <c r="J2605" s="20"/>
      <c r="K2605" s="20"/>
      <c r="L2605" s="20"/>
      <c r="M2605" s="20"/>
      <c r="N2605" s="320" t="s">
        <v>2685</v>
      </c>
      <c r="O2605" s="70">
        <v>0</v>
      </c>
      <c r="P2605" s="70">
        <v>0</v>
      </c>
      <c r="Q2605" s="70">
        <f t="shared" si="223"/>
        <v>0</v>
      </c>
      <c r="R2605" s="70"/>
      <c r="S2605" s="67"/>
      <c r="T2605" s="2" t="str">
        <f t="shared" si="224"/>
        <v>Trần Ngọc Anh Thư_10KT4</v>
      </c>
      <c r="U2605" s="28">
        <f t="array" ref="U2605">IFERROR(VLOOKUP($T2605,'Nghi hoc T12'!$H$7:$I$160,2,0),0)</f>
        <v>0</v>
      </c>
      <c r="V2605" s="28"/>
      <c r="W2605" s="28">
        <f t="shared" si="225"/>
        <v>0</v>
      </c>
      <c r="X2605" s="333">
        <f t="shared" si="226"/>
        <v>0</v>
      </c>
      <c r="Y2605" s="333">
        <f t="shared" si="227"/>
        <v>0</v>
      </c>
    </row>
    <row r="2606" spans="1:25" s="2" customFormat="1" ht="21.95" customHeight="1">
      <c r="A2606" s="82">
        <v>21</v>
      </c>
      <c r="B2606" s="91" t="str">
        <f t="shared" si="228"/>
        <v>A1.10.C</v>
      </c>
      <c r="C2606" s="83" t="s">
        <v>366</v>
      </c>
      <c r="D2606" s="81" t="s">
        <v>3014</v>
      </c>
      <c r="E2606" s="48">
        <v>500161</v>
      </c>
      <c r="F2606" s="30" t="s">
        <v>2771</v>
      </c>
      <c r="G2606" s="29" t="s">
        <v>28</v>
      </c>
      <c r="H2606" s="30" t="s">
        <v>2996</v>
      </c>
      <c r="I2606" s="78"/>
      <c r="J2606" s="20"/>
      <c r="K2606" s="20"/>
      <c r="L2606" s="20"/>
      <c r="M2606" s="20"/>
      <c r="N2606" s="320" t="s">
        <v>2685</v>
      </c>
      <c r="O2606" s="70">
        <v>0</v>
      </c>
      <c r="P2606" s="70">
        <v>0</v>
      </c>
      <c r="Q2606" s="70">
        <f t="shared" si="223"/>
        <v>0</v>
      </c>
      <c r="R2606" s="70"/>
      <c r="S2606" s="67"/>
      <c r="T2606" s="2" t="str">
        <f t="shared" si="224"/>
        <v>Trần Nguyễn Anh Thư_10KT1</v>
      </c>
      <c r="U2606" s="28">
        <f t="array" ref="U2606">IFERROR(VLOOKUP($T2606,'Nghi hoc T12'!$H$7:$I$160,2,0),0)</f>
        <v>0</v>
      </c>
      <c r="V2606" s="28"/>
      <c r="W2606" s="28">
        <f t="shared" si="225"/>
        <v>0</v>
      </c>
      <c r="X2606" s="333">
        <f t="shared" si="226"/>
        <v>0</v>
      </c>
      <c r="Y2606" s="333">
        <f t="shared" si="227"/>
        <v>0</v>
      </c>
    </row>
    <row r="2607" spans="1:25" s="2" customFormat="1" ht="21.95" customHeight="1">
      <c r="A2607" s="82">
        <v>22</v>
      </c>
      <c r="B2607" s="91" t="str">
        <f t="shared" si="228"/>
        <v>A1.10.C</v>
      </c>
      <c r="C2607" s="83" t="s">
        <v>366</v>
      </c>
      <c r="D2607" s="81" t="s">
        <v>3014</v>
      </c>
      <c r="E2607" s="48">
        <v>500162</v>
      </c>
      <c r="F2607" s="30" t="s">
        <v>2772</v>
      </c>
      <c r="G2607" s="29" t="s">
        <v>111</v>
      </c>
      <c r="H2607" s="30" t="s">
        <v>2998</v>
      </c>
      <c r="I2607" s="78"/>
      <c r="J2607" s="20"/>
      <c r="K2607" s="20"/>
      <c r="L2607" s="20"/>
      <c r="M2607" s="20"/>
      <c r="N2607" s="320" t="s">
        <v>2685</v>
      </c>
      <c r="O2607" s="70">
        <v>0</v>
      </c>
      <c r="P2607" s="70">
        <v>0</v>
      </c>
      <c r="Q2607" s="70">
        <f t="shared" si="223"/>
        <v>0</v>
      </c>
      <c r="R2607" s="70"/>
      <c r="S2607" s="67"/>
      <c r="T2607" s="2" t="str">
        <f t="shared" si="224"/>
        <v>Lê Hoài Thương_10KT3</v>
      </c>
      <c r="U2607" s="28">
        <f t="array" ref="U2607">IFERROR(VLOOKUP($T2607,'Nghi hoc T12'!$H$7:$I$160,2,0),0)</f>
        <v>0</v>
      </c>
      <c r="V2607" s="28"/>
      <c r="W2607" s="28">
        <f t="shared" si="225"/>
        <v>0</v>
      </c>
      <c r="X2607" s="333">
        <f t="shared" si="226"/>
        <v>0</v>
      </c>
      <c r="Y2607" s="333">
        <f t="shared" si="227"/>
        <v>0</v>
      </c>
    </row>
    <row r="2608" spans="1:25" s="2" customFormat="1" ht="21.95" customHeight="1">
      <c r="A2608" s="82">
        <v>23</v>
      </c>
      <c r="B2608" s="91" t="str">
        <f t="shared" si="228"/>
        <v>A1.10.C</v>
      </c>
      <c r="C2608" s="83" t="s">
        <v>366</v>
      </c>
      <c r="D2608" s="81" t="s">
        <v>3014</v>
      </c>
      <c r="E2608" s="48">
        <v>500163</v>
      </c>
      <c r="F2608" s="30" t="s">
        <v>2773</v>
      </c>
      <c r="G2608" s="29" t="s">
        <v>80</v>
      </c>
      <c r="H2608" s="30" t="s">
        <v>2999</v>
      </c>
      <c r="I2608" s="78"/>
      <c r="J2608" s="20"/>
      <c r="K2608" s="20"/>
      <c r="L2608" s="20"/>
      <c r="M2608" s="20"/>
      <c r="N2608" s="320" t="s">
        <v>2685</v>
      </c>
      <c r="O2608" s="70">
        <v>0</v>
      </c>
      <c r="P2608" s="70">
        <v>0</v>
      </c>
      <c r="Q2608" s="70">
        <f t="shared" si="223"/>
        <v>0</v>
      </c>
      <c r="R2608" s="70"/>
      <c r="S2608" s="67"/>
      <c r="T2608" s="2" t="str">
        <f t="shared" si="224"/>
        <v>Cao Nguyễn Hạnh Tiên_10KT4</v>
      </c>
      <c r="U2608" s="28">
        <f t="array" ref="U2608">IFERROR(VLOOKUP($T2608,'Nghi hoc T12'!$H$7:$I$160,2,0),0)</f>
        <v>0</v>
      </c>
      <c r="V2608" s="28"/>
      <c r="W2608" s="28">
        <f t="shared" si="225"/>
        <v>0</v>
      </c>
      <c r="X2608" s="333">
        <f t="shared" si="226"/>
        <v>0</v>
      </c>
      <c r="Y2608" s="333">
        <f t="shared" si="227"/>
        <v>0</v>
      </c>
    </row>
    <row r="2609" spans="1:25" s="2" customFormat="1" ht="21.95" customHeight="1">
      <c r="A2609" s="82">
        <v>24</v>
      </c>
      <c r="B2609" s="91" t="str">
        <f t="shared" si="228"/>
        <v>A1.10.C</v>
      </c>
      <c r="C2609" s="83" t="s">
        <v>366</v>
      </c>
      <c r="D2609" s="81" t="s">
        <v>3014</v>
      </c>
      <c r="E2609" s="48">
        <v>500164</v>
      </c>
      <c r="F2609" s="30" t="s">
        <v>2774</v>
      </c>
      <c r="G2609" s="29" t="s">
        <v>80</v>
      </c>
      <c r="H2609" s="30" t="s">
        <v>2997</v>
      </c>
      <c r="I2609" s="78"/>
      <c r="J2609" s="20"/>
      <c r="K2609" s="20"/>
      <c r="L2609" s="20"/>
      <c r="M2609" s="20"/>
      <c r="N2609" s="320" t="s">
        <v>2685</v>
      </c>
      <c r="O2609" s="70">
        <v>0</v>
      </c>
      <c r="P2609" s="70">
        <v>0</v>
      </c>
      <c r="Q2609" s="70">
        <f t="shared" si="223"/>
        <v>0</v>
      </c>
      <c r="R2609" s="70"/>
      <c r="S2609" s="67"/>
      <c r="T2609" s="2" t="str">
        <f t="shared" si="224"/>
        <v>Đinh Ngọc Thủy Tiên_10KT2</v>
      </c>
      <c r="U2609" s="28">
        <f t="array" ref="U2609">IFERROR(VLOOKUP($T2609,'Nghi hoc T12'!$H$7:$I$160,2,0),0)</f>
        <v>0</v>
      </c>
      <c r="V2609" s="28"/>
      <c r="W2609" s="28">
        <f t="shared" si="225"/>
        <v>0</v>
      </c>
      <c r="X2609" s="333">
        <f t="shared" si="226"/>
        <v>0</v>
      </c>
      <c r="Y2609" s="333">
        <f t="shared" si="227"/>
        <v>0</v>
      </c>
    </row>
    <row r="2610" spans="1:25" s="2" customFormat="1" ht="21.95" customHeight="1">
      <c r="A2610" s="82">
        <v>25</v>
      </c>
      <c r="B2610" s="91" t="str">
        <f t="shared" si="228"/>
        <v>A1.10.C</v>
      </c>
      <c r="C2610" s="83" t="s">
        <v>366</v>
      </c>
      <c r="D2610" s="81" t="s">
        <v>3014</v>
      </c>
      <c r="E2610" s="48">
        <v>500165</v>
      </c>
      <c r="F2610" s="30" t="s">
        <v>2775</v>
      </c>
      <c r="G2610" s="29" t="s">
        <v>80</v>
      </c>
      <c r="H2610" s="30" t="s">
        <v>2996</v>
      </c>
      <c r="I2610" s="78"/>
      <c r="J2610" s="20"/>
      <c r="K2610" s="20"/>
      <c r="L2610" s="20"/>
      <c r="M2610" s="20"/>
      <c r="N2610" s="320" t="s">
        <v>2685</v>
      </c>
      <c r="O2610" s="70">
        <v>0</v>
      </c>
      <c r="P2610" s="70">
        <v>0</v>
      </c>
      <c r="Q2610" s="70">
        <f t="shared" si="223"/>
        <v>0</v>
      </c>
      <c r="R2610" s="70"/>
      <c r="S2610" s="67"/>
      <c r="T2610" s="2" t="str">
        <f t="shared" si="224"/>
        <v>Lê Thị Thủy Tiên_10KT1</v>
      </c>
      <c r="U2610" s="28">
        <f t="array" ref="U2610">IFERROR(VLOOKUP($T2610,'Nghi hoc T12'!$H$7:$I$160,2,0),0)</f>
        <v>0</v>
      </c>
      <c r="V2610" s="28"/>
      <c r="W2610" s="28">
        <f t="shared" si="225"/>
        <v>0</v>
      </c>
      <c r="X2610" s="333">
        <f t="shared" si="226"/>
        <v>0</v>
      </c>
      <c r="Y2610" s="333">
        <f t="shared" si="227"/>
        <v>0</v>
      </c>
    </row>
    <row r="2611" spans="1:25" s="2" customFormat="1" ht="21.95" customHeight="1">
      <c r="A2611" s="82">
        <v>26</v>
      </c>
      <c r="B2611" s="91" t="str">
        <f t="shared" si="228"/>
        <v>A1.10.C</v>
      </c>
      <c r="C2611" s="83" t="s">
        <v>366</v>
      </c>
      <c r="D2611" s="81" t="s">
        <v>3014</v>
      </c>
      <c r="E2611" s="48">
        <v>500166</v>
      </c>
      <c r="F2611" s="30" t="s">
        <v>220</v>
      </c>
      <c r="G2611" s="29" t="s">
        <v>1614</v>
      </c>
      <c r="H2611" s="30" t="s">
        <v>2998</v>
      </c>
      <c r="I2611" s="78"/>
      <c r="J2611" s="20"/>
      <c r="K2611" s="20"/>
      <c r="L2611" s="20"/>
      <c r="M2611" s="20"/>
      <c r="N2611" s="320" t="s">
        <v>2685</v>
      </c>
      <c r="O2611" s="70">
        <v>0</v>
      </c>
      <c r="P2611" s="70">
        <v>0</v>
      </c>
      <c r="Q2611" s="70">
        <f t="shared" si="223"/>
        <v>0</v>
      </c>
      <c r="R2611" s="70"/>
      <c r="S2611" s="67"/>
      <c r="T2611" s="2" t="str">
        <f t="shared" si="224"/>
        <v>Võ Thanh Tiền_10KT3</v>
      </c>
      <c r="U2611" s="28">
        <f t="array" ref="U2611">IFERROR(VLOOKUP($T2611,'Nghi hoc T12'!$H$7:$I$160,2,0),0)</f>
        <v>0</v>
      </c>
      <c r="V2611" s="28"/>
      <c r="W2611" s="28">
        <f t="shared" si="225"/>
        <v>0</v>
      </c>
      <c r="X2611" s="333">
        <f t="shared" si="226"/>
        <v>0</v>
      </c>
      <c r="Y2611" s="333">
        <f t="shared" si="227"/>
        <v>0</v>
      </c>
    </row>
    <row r="2612" spans="1:25" s="2" customFormat="1" ht="21.95" customHeight="1">
      <c r="A2612" s="82">
        <v>27</v>
      </c>
      <c r="B2612" s="91" t="str">
        <f t="shared" si="228"/>
        <v>A1.10.C</v>
      </c>
      <c r="C2612" s="83" t="s">
        <v>366</v>
      </c>
      <c r="D2612" s="81" t="s">
        <v>3014</v>
      </c>
      <c r="E2612" s="48">
        <v>500167</v>
      </c>
      <c r="F2612" s="30" t="s">
        <v>276</v>
      </c>
      <c r="G2612" s="29" t="s">
        <v>72</v>
      </c>
      <c r="H2612" s="30" t="s">
        <v>2999</v>
      </c>
      <c r="I2612" s="78"/>
      <c r="J2612" s="20"/>
      <c r="K2612" s="20"/>
      <c r="L2612" s="20"/>
      <c r="M2612" s="20"/>
      <c r="N2612" s="320" t="s">
        <v>2685</v>
      </c>
      <c r="O2612" s="70">
        <v>0</v>
      </c>
      <c r="P2612" s="70">
        <v>0</v>
      </c>
      <c r="Q2612" s="70">
        <f t="shared" si="223"/>
        <v>0</v>
      </c>
      <c r="R2612" s="70"/>
      <c r="S2612" s="67"/>
      <c r="T2612" s="2" t="str">
        <f t="shared" si="224"/>
        <v>Nguyễn Trung Tín_10KT4</v>
      </c>
      <c r="U2612" s="28">
        <f t="array" ref="U2612">IFERROR(VLOOKUP($T2612,'Nghi hoc T12'!$H$7:$I$160,2,0),0)</f>
        <v>0</v>
      </c>
      <c r="V2612" s="28"/>
      <c r="W2612" s="28">
        <f t="shared" si="225"/>
        <v>0</v>
      </c>
      <c r="X2612" s="333">
        <f t="shared" si="226"/>
        <v>0</v>
      </c>
      <c r="Y2612" s="333">
        <f t="shared" si="227"/>
        <v>0</v>
      </c>
    </row>
    <row r="2613" spans="1:25" s="2" customFormat="1" ht="21.95" customHeight="1">
      <c r="A2613" s="82">
        <v>28</v>
      </c>
      <c r="B2613" s="91" t="str">
        <f t="shared" si="228"/>
        <v>A1.10.C</v>
      </c>
      <c r="C2613" s="83" t="s">
        <v>366</v>
      </c>
      <c r="D2613" s="81" t="s">
        <v>3014</v>
      </c>
      <c r="E2613" s="48">
        <v>500168</v>
      </c>
      <c r="F2613" s="30" t="s">
        <v>2321</v>
      </c>
      <c r="G2613" s="29" t="s">
        <v>30</v>
      </c>
      <c r="H2613" s="30" t="s">
        <v>2998</v>
      </c>
      <c r="I2613" s="78"/>
      <c r="J2613" s="20"/>
      <c r="K2613" s="20"/>
      <c r="L2613" s="20"/>
      <c r="M2613" s="20"/>
      <c r="N2613" s="320" t="s">
        <v>2685</v>
      </c>
      <c r="O2613" s="70">
        <v>0</v>
      </c>
      <c r="P2613" s="70">
        <v>0</v>
      </c>
      <c r="Q2613" s="70">
        <f t="shared" si="223"/>
        <v>0</v>
      </c>
      <c r="R2613" s="70"/>
      <c r="S2613" s="67"/>
      <c r="T2613" s="2" t="str">
        <f t="shared" si="224"/>
        <v>Huỳnh Ngọc Thùy Trang_10KT3</v>
      </c>
      <c r="U2613" s="28">
        <f t="array" ref="U2613">IFERROR(VLOOKUP($T2613,'Nghi hoc T12'!$H$7:$I$160,2,0),0)</f>
        <v>0</v>
      </c>
      <c r="V2613" s="28"/>
      <c r="W2613" s="28">
        <f t="shared" si="225"/>
        <v>0</v>
      </c>
      <c r="X2613" s="333">
        <f t="shared" si="226"/>
        <v>0</v>
      </c>
      <c r="Y2613" s="333">
        <f t="shared" si="227"/>
        <v>0</v>
      </c>
    </row>
    <row r="2614" spans="1:25" s="2" customFormat="1" ht="21.95" customHeight="1">
      <c r="A2614" s="321">
        <v>1</v>
      </c>
      <c r="B2614" s="91" t="str">
        <f t="shared" si="228"/>
        <v>A1.11.C</v>
      </c>
      <c r="C2614" s="185" t="s">
        <v>366</v>
      </c>
      <c r="D2614" s="186" t="s">
        <v>3015</v>
      </c>
      <c r="E2614" s="187">
        <v>500169</v>
      </c>
      <c r="F2614" s="188" t="s">
        <v>2776</v>
      </c>
      <c r="G2614" s="189" t="s">
        <v>30</v>
      </c>
      <c r="H2614" s="188" t="s">
        <v>2997</v>
      </c>
      <c r="I2614" s="190"/>
      <c r="J2614" s="191"/>
      <c r="K2614" s="191"/>
      <c r="L2614" s="191"/>
      <c r="M2614" s="191"/>
      <c r="N2614" s="320" t="s">
        <v>2685</v>
      </c>
      <c r="O2614" s="70">
        <v>0</v>
      </c>
      <c r="P2614" s="70">
        <v>0</v>
      </c>
      <c r="Q2614" s="70">
        <f t="shared" si="223"/>
        <v>0</v>
      </c>
      <c r="R2614" s="70"/>
      <c r="S2614" s="67"/>
      <c r="T2614" s="2" t="str">
        <f t="shared" si="224"/>
        <v>Phạm Quách Thùy Trang_10KT2</v>
      </c>
      <c r="U2614" s="28">
        <f t="array" ref="U2614">IFERROR(VLOOKUP($T2614,'Nghi hoc T12'!$H$7:$I$160,2,0),0)</f>
        <v>0</v>
      </c>
      <c r="V2614" s="28"/>
      <c r="W2614" s="28">
        <f t="shared" si="225"/>
        <v>0</v>
      </c>
      <c r="X2614" s="333">
        <f t="shared" si="226"/>
        <v>0</v>
      </c>
      <c r="Y2614" s="333">
        <f t="shared" si="227"/>
        <v>0</v>
      </c>
    </row>
    <row r="2615" spans="1:25" s="2" customFormat="1" ht="21.95" customHeight="1">
      <c r="A2615" s="82">
        <v>2</v>
      </c>
      <c r="B2615" s="91" t="str">
        <f t="shared" si="228"/>
        <v>A1.11.C</v>
      </c>
      <c r="C2615" s="83" t="s">
        <v>366</v>
      </c>
      <c r="D2615" s="81" t="s">
        <v>3015</v>
      </c>
      <c r="E2615" s="48">
        <v>500170</v>
      </c>
      <c r="F2615" s="30" t="s">
        <v>1959</v>
      </c>
      <c r="G2615" s="29" t="s">
        <v>29</v>
      </c>
      <c r="H2615" s="30" t="s">
        <v>2996</v>
      </c>
      <c r="I2615" s="78"/>
      <c r="J2615" s="20"/>
      <c r="K2615" s="20"/>
      <c r="L2615" s="20"/>
      <c r="M2615" s="20"/>
      <c r="N2615" s="320" t="s">
        <v>2685</v>
      </c>
      <c r="O2615" s="70">
        <v>0</v>
      </c>
      <c r="P2615" s="70">
        <v>0</v>
      </c>
      <c r="Q2615" s="70">
        <f t="shared" si="223"/>
        <v>0</v>
      </c>
      <c r="R2615" s="70"/>
      <c r="S2615" s="67"/>
      <c r="T2615" s="2" t="str">
        <f t="shared" si="224"/>
        <v>Nguyễn Ngọc Bích Trâm_10KT1</v>
      </c>
      <c r="U2615" s="28">
        <f t="array" ref="U2615">IFERROR(VLOOKUP($T2615,'Nghi hoc T12'!$H$7:$I$160,2,0),0)</f>
        <v>0</v>
      </c>
      <c r="V2615" s="28"/>
      <c r="W2615" s="28">
        <f t="shared" si="225"/>
        <v>0</v>
      </c>
      <c r="X2615" s="333">
        <f t="shared" si="226"/>
        <v>0</v>
      </c>
      <c r="Y2615" s="333">
        <f t="shared" si="227"/>
        <v>0</v>
      </c>
    </row>
    <row r="2616" spans="1:25" s="2" customFormat="1" ht="21.95" customHeight="1">
      <c r="A2616" s="82">
        <v>3</v>
      </c>
      <c r="B2616" s="91" t="str">
        <f t="shared" si="228"/>
        <v>A1.11.C</v>
      </c>
      <c r="C2616" s="83" t="s">
        <v>366</v>
      </c>
      <c r="D2616" s="81" t="s">
        <v>3015</v>
      </c>
      <c r="E2616" s="48">
        <v>500171</v>
      </c>
      <c r="F2616" s="30" t="s">
        <v>120</v>
      </c>
      <c r="G2616" s="29" t="s">
        <v>29</v>
      </c>
      <c r="H2616" s="30" t="s">
        <v>2999</v>
      </c>
      <c r="I2616" s="78"/>
      <c r="J2616" s="20"/>
      <c r="K2616" s="20"/>
      <c r="L2616" s="20"/>
      <c r="M2616" s="20"/>
      <c r="N2616" s="320" t="s">
        <v>2685</v>
      </c>
      <c r="O2616" s="70">
        <v>0</v>
      </c>
      <c r="P2616" s="70">
        <v>0</v>
      </c>
      <c r="Q2616" s="70">
        <f t="shared" si="223"/>
        <v>0</v>
      </c>
      <c r="R2616" s="70"/>
      <c r="S2616" s="67"/>
      <c r="T2616" s="2" t="str">
        <f t="shared" si="224"/>
        <v>Nguyễn Quỳnh Trâm_10KT4</v>
      </c>
      <c r="U2616" s="28">
        <f t="array" ref="U2616">IFERROR(VLOOKUP($T2616,'Nghi hoc T12'!$H$7:$I$160,2,0),0)</f>
        <v>0</v>
      </c>
      <c r="V2616" s="28"/>
      <c r="W2616" s="28">
        <f t="shared" si="225"/>
        <v>0</v>
      </c>
      <c r="X2616" s="333">
        <f t="shared" si="226"/>
        <v>0</v>
      </c>
      <c r="Y2616" s="333">
        <f t="shared" si="227"/>
        <v>0</v>
      </c>
    </row>
    <row r="2617" spans="1:25" s="2" customFormat="1" ht="21.95" customHeight="1">
      <c r="A2617" s="82">
        <v>4</v>
      </c>
      <c r="B2617" s="91" t="str">
        <f t="shared" si="228"/>
        <v>A1.11.C</v>
      </c>
      <c r="C2617" s="83" t="s">
        <v>366</v>
      </c>
      <c r="D2617" s="81" t="s">
        <v>3015</v>
      </c>
      <c r="E2617" s="48">
        <v>500172</v>
      </c>
      <c r="F2617" s="30" t="s">
        <v>203</v>
      </c>
      <c r="G2617" s="29" t="s">
        <v>98</v>
      </c>
      <c r="H2617" s="30" t="s">
        <v>2998</v>
      </c>
      <c r="I2617" s="78"/>
      <c r="J2617" s="20"/>
      <c r="K2617" s="20"/>
      <c r="L2617" s="20"/>
      <c r="M2617" s="20"/>
      <c r="N2617" s="320" t="s">
        <v>2685</v>
      </c>
      <c r="O2617" s="70">
        <v>0</v>
      </c>
      <c r="P2617" s="70">
        <v>0</v>
      </c>
      <c r="Q2617" s="70">
        <f t="shared" si="223"/>
        <v>0</v>
      </c>
      <c r="R2617" s="70"/>
      <c r="S2617" s="67"/>
      <c r="T2617" s="2" t="str">
        <f t="shared" si="224"/>
        <v>Nguyễn Ngọc Phương Trinh_10KT3</v>
      </c>
      <c r="U2617" s="28">
        <f t="array" ref="U2617">IFERROR(VLOOKUP($T2617,'Nghi hoc T12'!$H$7:$I$160,2,0),0)</f>
        <v>0</v>
      </c>
      <c r="V2617" s="28"/>
      <c r="W2617" s="28">
        <f t="shared" si="225"/>
        <v>0</v>
      </c>
      <c r="X2617" s="333">
        <f t="shared" si="226"/>
        <v>0</v>
      </c>
      <c r="Y2617" s="333">
        <f t="shared" si="227"/>
        <v>0</v>
      </c>
    </row>
    <row r="2618" spans="1:25" s="2" customFormat="1" ht="21.95" customHeight="1">
      <c r="A2618" s="82">
        <v>5</v>
      </c>
      <c r="B2618" s="91" t="str">
        <f t="shared" si="228"/>
        <v>A1.11.C</v>
      </c>
      <c r="C2618" s="83" t="s">
        <v>366</v>
      </c>
      <c r="D2618" s="81" t="s">
        <v>3015</v>
      </c>
      <c r="E2618" s="48">
        <v>500173</v>
      </c>
      <c r="F2618" s="30" t="s">
        <v>2777</v>
      </c>
      <c r="G2618" s="29" t="s">
        <v>31</v>
      </c>
      <c r="H2618" s="30" t="s">
        <v>2996</v>
      </c>
      <c r="I2618" s="78"/>
      <c r="J2618" s="20"/>
      <c r="K2618" s="20"/>
      <c r="L2618" s="20"/>
      <c r="M2618" s="20"/>
      <c r="N2618" s="320" t="s">
        <v>2685</v>
      </c>
      <c r="O2618" s="70">
        <v>0</v>
      </c>
      <c r="P2618" s="70">
        <v>0</v>
      </c>
      <c r="Q2618" s="70">
        <f t="shared" si="223"/>
        <v>0</v>
      </c>
      <c r="R2618" s="70"/>
      <c r="S2618" s="67"/>
      <c r="T2618" s="2" t="str">
        <f t="shared" si="224"/>
        <v>Lê Mỹ Trúc_10KT1</v>
      </c>
      <c r="U2618" s="28">
        <f t="array" ref="U2618">IFERROR(VLOOKUP($T2618,'Nghi hoc T12'!$H$7:$I$160,2,0),0)</f>
        <v>0</v>
      </c>
      <c r="V2618" s="28"/>
      <c r="W2618" s="28">
        <f t="shared" si="225"/>
        <v>0</v>
      </c>
      <c r="X2618" s="333">
        <f t="shared" si="226"/>
        <v>0</v>
      </c>
      <c r="Y2618" s="333">
        <f t="shared" si="227"/>
        <v>0</v>
      </c>
    </row>
    <row r="2619" spans="1:25" s="2" customFormat="1" ht="21.95" customHeight="1">
      <c r="A2619" s="82">
        <v>6</v>
      </c>
      <c r="B2619" s="91" t="str">
        <f t="shared" si="228"/>
        <v>A1.11.C</v>
      </c>
      <c r="C2619" s="83" t="s">
        <v>366</v>
      </c>
      <c r="D2619" s="81" t="s">
        <v>3015</v>
      </c>
      <c r="E2619" s="48">
        <v>500174</v>
      </c>
      <c r="F2619" s="30" t="s">
        <v>202</v>
      </c>
      <c r="G2619" s="29" t="s">
        <v>32</v>
      </c>
      <c r="H2619" s="30" t="s">
        <v>2996</v>
      </c>
      <c r="I2619" s="78"/>
      <c r="J2619" s="20"/>
      <c r="K2619" s="20"/>
      <c r="L2619" s="20"/>
      <c r="M2619" s="20"/>
      <c r="N2619" s="320" t="s">
        <v>2685</v>
      </c>
      <c r="O2619" s="70">
        <v>0</v>
      </c>
      <c r="P2619" s="70">
        <v>0</v>
      </c>
      <c r="Q2619" s="70">
        <f t="shared" si="223"/>
        <v>0</v>
      </c>
      <c r="R2619" s="70"/>
      <c r="S2619" s="67"/>
      <c r="T2619" s="2" t="str">
        <f t="shared" si="224"/>
        <v>Nguyễn Chí Trung_10KT1</v>
      </c>
      <c r="U2619" s="28">
        <f t="array" ref="U2619">IFERROR(VLOOKUP($T2619,'Nghi hoc T12'!$H$7:$I$160,2,0),0)</f>
        <v>0</v>
      </c>
      <c r="V2619" s="28"/>
      <c r="W2619" s="28">
        <f t="shared" si="225"/>
        <v>0</v>
      </c>
      <c r="X2619" s="333">
        <f t="shared" si="226"/>
        <v>0</v>
      </c>
      <c r="Y2619" s="333">
        <f t="shared" si="227"/>
        <v>0</v>
      </c>
    </row>
    <row r="2620" spans="1:25" s="2" customFormat="1" ht="21.95" customHeight="1">
      <c r="A2620" s="82">
        <v>7</v>
      </c>
      <c r="B2620" s="91" t="str">
        <f t="shared" si="228"/>
        <v>A1.11.C</v>
      </c>
      <c r="C2620" s="83" t="s">
        <v>366</v>
      </c>
      <c r="D2620" s="81" t="s">
        <v>3015</v>
      </c>
      <c r="E2620" s="48">
        <v>500175</v>
      </c>
      <c r="F2620" s="30" t="s">
        <v>160</v>
      </c>
      <c r="G2620" s="29" t="s">
        <v>32</v>
      </c>
      <c r="H2620" s="30" t="s">
        <v>2997</v>
      </c>
      <c r="I2620" s="78"/>
      <c r="J2620" s="20"/>
      <c r="K2620" s="20"/>
      <c r="L2620" s="20"/>
      <c r="M2620" s="20"/>
      <c r="N2620" s="320" t="s">
        <v>2685</v>
      </c>
      <c r="O2620" s="70">
        <v>0</v>
      </c>
      <c r="P2620" s="70">
        <v>0</v>
      </c>
      <c r="Q2620" s="70">
        <f t="shared" si="223"/>
        <v>0</v>
      </c>
      <c r="R2620" s="70"/>
      <c r="S2620" s="67"/>
      <c r="T2620" s="2" t="str">
        <f t="shared" si="224"/>
        <v>Nguyễn Thành Trung_10KT2</v>
      </c>
      <c r="U2620" s="28">
        <f t="array" ref="U2620">IFERROR(VLOOKUP($T2620,'Nghi hoc T12'!$H$7:$I$160,2,0),0)</f>
        <v>0</v>
      </c>
      <c r="V2620" s="28"/>
      <c r="W2620" s="28">
        <f t="shared" si="225"/>
        <v>0</v>
      </c>
      <c r="X2620" s="333">
        <f t="shared" si="226"/>
        <v>0</v>
      </c>
      <c r="Y2620" s="333">
        <f t="shared" si="227"/>
        <v>0</v>
      </c>
    </row>
    <row r="2621" spans="1:25" s="2" customFormat="1" ht="21.95" customHeight="1">
      <c r="A2621" s="82">
        <v>8</v>
      </c>
      <c r="B2621" s="91" t="str">
        <f t="shared" si="228"/>
        <v>A1.11.C</v>
      </c>
      <c r="C2621" s="83" t="s">
        <v>366</v>
      </c>
      <c r="D2621" s="81" t="s">
        <v>3015</v>
      </c>
      <c r="E2621" s="48">
        <v>500176</v>
      </c>
      <c r="F2621" s="30" t="s">
        <v>221</v>
      </c>
      <c r="G2621" s="29" t="s">
        <v>32</v>
      </c>
      <c r="H2621" s="30" t="s">
        <v>2999</v>
      </c>
      <c r="I2621" s="78"/>
      <c r="J2621" s="20"/>
      <c r="K2621" s="20"/>
      <c r="L2621" s="20"/>
      <c r="M2621" s="20"/>
      <c r="N2621" s="320" t="s">
        <v>2685</v>
      </c>
      <c r="O2621" s="70">
        <v>0</v>
      </c>
      <c r="P2621" s="70">
        <v>0</v>
      </c>
      <c r="Q2621" s="70">
        <f t="shared" si="223"/>
        <v>0</v>
      </c>
      <c r="R2621" s="70"/>
      <c r="S2621" s="67"/>
      <c r="T2621" s="2" t="str">
        <f t="shared" si="224"/>
        <v>Nguyễn Tiến Trung_10KT4</v>
      </c>
      <c r="U2621" s="28">
        <f t="array" ref="U2621">IFERROR(VLOOKUP($T2621,'Nghi hoc T12'!$H$7:$I$160,2,0),0)</f>
        <v>0</v>
      </c>
      <c r="V2621" s="28"/>
      <c r="W2621" s="28">
        <f t="shared" si="225"/>
        <v>0</v>
      </c>
      <c r="X2621" s="333">
        <f t="shared" si="226"/>
        <v>0</v>
      </c>
      <c r="Y2621" s="333">
        <f t="shared" si="227"/>
        <v>0</v>
      </c>
    </row>
    <row r="2622" spans="1:25" s="2" customFormat="1" ht="21.95" customHeight="1">
      <c r="A2622" s="82">
        <v>9</v>
      </c>
      <c r="B2622" s="91" t="str">
        <f t="shared" si="228"/>
        <v>A1.11.C</v>
      </c>
      <c r="C2622" s="83" t="s">
        <v>366</v>
      </c>
      <c r="D2622" s="81" t="s">
        <v>3015</v>
      </c>
      <c r="E2622" s="48">
        <v>500177</v>
      </c>
      <c r="F2622" s="30" t="s">
        <v>2372</v>
      </c>
      <c r="G2622" s="29" t="s">
        <v>32</v>
      </c>
      <c r="H2622" s="30" t="s">
        <v>2998</v>
      </c>
      <c r="I2622" s="78"/>
      <c r="J2622" s="20"/>
      <c r="K2622" s="20"/>
      <c r="L2622" s="20"/>
      <c r="M2622" s="20"/>
      <c r="N2622" s="320" t="s">
        <v>2685</v>
      </c>
      <c r="O2622" s="70">
        <v>0</v>
      </c>
      <c r="P2622" s="70">
        <v>0</v>
      </c>
      <c r="Q2622" s="70">
        <f t="shared" si="223"/>
        <v>0</v>
      </c>
      <c r="R2622" s="70"/>
      <c r="S2622" s="67"/>
      <c r="T2622" s="2" t="str">
        <f t="shared" si="224"/>
        <v>Trương Quốc Trung_10KT3</v>
      </c>
      <c r="U2622" s="28">
        <f t="array" ref="U2622">IFERROR(VLOOKUP($T2622,'Nghi hoc T12'!$H$7:$I$160,2,0),0)</f>
        <v>0</v>
      </c>
      <c r="V2622" s="28"/>
      <c r="W2622" s="28">
        <f t="shared" si="225"/>
        <v>0</v>
      </c>
      <c r="X2622" s="333">
        <f t="shared" si="226"/>
        <v>0</v>
      </c>
      <c r="Y2622" s="333">
        <f t="shared" si="227"/>
        <v>0</v>
      </c>
    </row>
    <row r="2623" spans="1:25" s="2" customFormat="1" ht="21.95" customHeight="1">
      <c r="A2623" s="82">
        <v>10</v>
      </c>
      <c r="B2623" s="91" t="str">
        <f t="shared" si="228"/>
        <v>A1.11.C</v>
      </c>
      <c r="C2623" s="83" t="s">
        <v>366</v>
      </c>
      <c r="D2623" s="81" t="s">
        <v>3015</v>
      </c>
      <c r="E2623" s="48">
        <v>500178</v>
      </c>
      <c r="F2623" s="30" t="s">
        <v>2589</v>
      </c>
      <c r="G2623" s="29" t="s">
        <v>32</v>
      </c>
      <c r="H2623" s="30" t="s">
        <v>2999</v>
      </c>
      <c r="I2623" s="78"/>
      <c r="J2623" s="20"/>
      <c r="K2623" s="20"/>
      <c r="L2623" s="20"/>
      <c r="M2623" s="20"/>
      <c r="N2623" s="320" t="s">
        <v>2685</v>
      </c>
      <c r="O2623" s="70">
        <v>0</v>
      </c>
      <c r="P2623" s="70">
        <v>0</v>
      </c>
      <c r="Q2623" s="70">
        <f t="shared" si="223"/>
        <v>0</v>
      </c>
      <c r="R2623" s="70"/>
      <c r="S2623" s="67"/>
      <c r="T2623" s="2" t="str">
        <f t="shared" si="224"/>
        <v>Võ Thành Trung_10KT4</v>
      </c>
      <c r="U2623" s="28">
        <f t="array" ref="U2623">IFERROR(VLOOKUP($T2623,'Nghi hoc T12'!$H$7:$I$160,2,0),0)</f>
        <v>0</v>
      </c>
      <c r="V2623" s="28"/>
      <c r="W2623" s="28">
        <f t="shared" si="225"/>
        <v>0</v>
      </c>
      <c r="X2623" s="333">
        <f t="shared" si="226"/>
        <v>0</v>
      </c>
      <c r="Y2623" s="333">
        <f t="shared" si="227"/>
        <v>0</v>
      </c>
    </row>
    <row r="2624" spans="1:25" s="2" customFormat="1" ht="21.95" customHeight="1">
      <c r="A2624" s="82">
        <v>11</v>
      </c>
      <c r="B2624" s="91" t="str">
        <f t="shared" si="228"/>
        <v>A1.11.C</v>
      </c>
      <c r="C2624" s="83" t="s">
        <v>366</v>
      </c>
      <c r="D2624" s="81" t="s">
        <v>3015</v>
      </c>
      <c r="E2624" s="48">
        <v>500179</v>
      </c>
      <c r="F2624" s="30" t="s">
        <v>1814</v>
      </c>
      <c r="G2624" s="29" t="s">
        <v>164</v>
      </c>
      <c r="H2624" s="30" t="s">
        <v>2996</v>
      </c>
      <c r="I2624" s="78"/>
      <c r="J2624" s="20"/>
      <c r="K2624" s="20"/>
      <c r="L2624" s="20"/>
      <c r="M2624" s="20"/>
      <c r="N2624" s="320" t="s">
        <v>2685</v>
      </c>
      <c r="O2624" s="70">
        <v>0</v>
      </c>
      <c r="P2624" s="70">
        <v>0</v>
      </c>
      <c r="Q2624" s="70">
        <f t="shared" si="223"/>
        <v>0</v>
      </c>
      <c r="R2624" s="70"/>
      <c r="S2624" s="67"/>
      <c r="T2624" s="2" t="str">
        <f t="shared" si="224"/>
        <v>Đoàn Quang Trường_10KT1</v>
      </c>
      <c r="U2624" s="28">
        <f t="array" ref="U2624">IFERROR(VLOOKUP($T2624,'Nghi hoc T12'!$H$7:$I$160,2,0),0)</f>
        <v>0</v>
      </c>
      <c r="V2624" s="28"/>
      <c r="W2624" s="28">
        <f t="shared" si="225"/>
        <v>0</v>
      </c>
      <c r="X2624" s="333">
        <f t="shared" si="226"/>
        <v>0</v>
      </c>
      <c r="Y2624" s="333">
        <f t="shared" si="227"/>
        <v>0</v>
      </c>
    </row>
    <row r="2625" spans="1:25" s="2" customFormat="1" ht="21.95" customHeight="1">
      <c r="A2625" s="82">
        <v>12</v>
      </c>
      <c r="B2625" s="91" t="str">
        <f t="shared" si="228"/>
        <v>A1.11.C</v>
      </c>
      <c r="C2625" s="83" t="s">
        <v>366</v>
      </c>
      <c r="D2625" s="81" t="s">
        <v>3015</v>
      </c>
      <c r="E2625" s="48">
        <v>500180</v>
      </c>
      <c r="F2625" s="30" t="s">
        <v>2778</v>
      </c>
      <c r="G2625" s="29" t="s">
        <v>164</v>
      </c>
      <c r="H2625" s="30" t="s">
        <v>2999</v>
      </c>
      <c r="I2625" s="78"/>
      <c r="J2625" s="20"/>
      <c r="K2625" s="20"/>
      <c r="L2625" s="20"/>
      <c r="M2625" s="20"/>
      <c r="N2625" s="320" t="s">
        <v>2685</v>
      </c>
      <c r="O2625" s="70">
        <v>0</v>
      </c>
      <c r="P2625" s="70">
        <v>0</v>
      </c>
      <c r="Q2625" s="70">
        <f t="shared" si="223"/>
        <v>0</v>
      </c>
      <c r="R2625" s="70"/>
      <c r="S2625" s="67"/>
      <c r="T2625" s="2" t="str">
        <f t="shared" si="224"/>
        <v>Lý Thanh Trường_10KT4</v>
      </c>
      <c r="U2625" s="28">
        <f t="array" ref="U2625">IFERROR(VLOOKUP($T2625,'Nghi hoc T12'!$H$7:$I$160,2,0),0)</f>
        <v>0</v>
      </c>
      <c r="V2625" s="28"/>
      <c r="W2625" s="28">
        <f t="shared" si="225"/>
        <v>0</v>
      </c>
      <c r="X2625" s="333">
        <f t="shared" si="226"/>
        <v>0</v>
      </c>
      <c r="Y2625" s="333">
        <f t="shared" si="227"/>
        <v>0</v>
      </c>
    </row>
    <row r="2626" spans="1:25" s="2" customFormat="1" ht="21.95" customHeight="1">
      <c r="A2626" s="82">
        <v>13</v>
      </c>
      <c r="B2626" s="91" t="str">
        <f t="shared" si="228"/>
        <v>A1.11.C</v>
      </c>
      <c r="C2626" s="83" t="s">
        <v>366</v>
      </c>
      <c r="D2626" s="81" t="s">
        <v>3015</v>
      </c>
      <c r="E2626" s="48">
        <v>500181</v>
      </c>
      <c r="F2626" s="30" t="s">
        <v>45</v>
      </c>
      <c r="G2626" s="29" t="s">
        <v>164</v>
      </c>
      <c r="H2626" s="30" t="s">
        <v>2998</v>
      </c>
      <c r="I2626" s="78"/>
      <c r="J2626" s="20"/>
      <c r="K2626" s="20"/>
      <c r="L2626" s="20"/>
      <c r="M2626" s="20"/>
      <c r="N2626" s="320" t="s">
        <v>2685</v>
      </c>
      <c r="O2626" s="70">
        <v>0</v>
      </c>
      <c r="P2626" s="70">
        <v>0</v>
      </c>
      <c r="Q2626" s="70">
        <f t="shared" si="223"/>
        <v>0</v>
      </c>
      <c r="R2626" s="70"/>
      <c r="S2626" s="67"/>
      <c r="T2626" s="2" t="str">
        <f t="shared" si="224"/>
        <v>Nguyễn Quang Trường_10KT3</v>
      </c>
      <c r="U2626" s="28">
        <f t="array" ref="U2626">IFERROR(VLOOKUP($T2626,'Nghi hoc T12'!$H$7:$I$160,2,0),0)</f>
        <v>0</v>
      </c>
      <c r="V2626" s="28"/>
      <c r="W2626" s="28">
        <f t="shared" si="225"/>
        <v>0</v>
      </c>
      <c r="X2626" s="333">
        <f t="shared" si="226"/>
        <v>0</v>
      </c>
      <c r="Y2626" s="333">
        <f t="shared" si="227"/>
        <v>0</v>
      </c>
    </row>
    <row r="2627" spans="1:25" s="2" customFormat="1" ht="21.95" customHeight="1">
      <c r="A2627" s="82">
        <v>14</v>
      </c>
      <c r="B2627" s="91" t="str">
        <f t="shared" si="228"/>
        <v>A1.11.C</v>
      </c>
      <c r="C2627" s="83" t="s">
        <v>366</v>
      </c>
      <c r="D2627" s="81" t="s">
        <v>3015</v>
      </c>
      <c r="E2627" s="48">
        <v>500182</v>
      </c>
      <c r="F2627" s="30" t="s">
        <v>2779</v>
      </c>
      <c r="G2627" s="29" t="s">
        <v>164</v>
      </c>
      <c r="H2627" s="30" t="s">
        <v>2997</v>
      </c>
      <c r="I2627" s="78"/>
      <c r="J2627" s="20"/>
      <c r="K2627" s="20"/>
      <c r="L2627" s="20"/>
      <c r="M2627" s="20"/>
      <c r="N2627" s="320" t="s">
        <v>2685</v>
      </c>
      <c r="O2627" s="70">
        <v>0</v>
      </c>
      <c r="P2627" s="70">
        <v>0</v>
      </c>
      <c r="Q2627" s="70">
        <f t="shared" si="223"/>
        <v>0</v>
      </c>
      <c r="R2627" s="70"/>
      <c r="S2627" s="67"/>
      <c r="T2627" s="2" t="str">
        <f t="shared" si="224"/>
        <v>Phan Lê Nhật Trường_10KT2</v>
      </c>
      <c r="U2627" s="28">
        <f t="array" ref="U2627">IFERROR(VLOOKUP($T2627,'Nghi hoc T12'!$H$7:$I$160,2,0),0)</f>
        <v>0</v>
      </c>
      <c r="V2627" s="28"/>
      <c r="W2627" s="28">
        <f t="shared" si="225"/>
        <v>0</v>
      </c>
      <c r="X2627" s="333">
        <f t="shared" si="226"/>
        <v>0</v>
      </c>
      <c r="Y2627" s="333">
        <f t="shared" si="227"/>
        <v>0</v>
      </c>
    </row>
    <row r="2628" spans="1:25" s="2" customFormat="1" ht="21.95" customHeight="1">
      <c r="A2628" s="82">
        <v>15</v>
      </c>
      <c r="B2628" s="91" t="str">
        <f t="shared" si="228"/>
        <v>A1.11.C</v>
      </c>
      <c r="C2628" s="83" t="s">
        <v>366</v>
      </c>
      <c r="D2628" s="81" t="s">
        <v>3015</v>
      </c>
      <c r="E2628" s="48">
        <v>500183</v>
      </c>
      <c r="F2628" s="30" t="s">
        <v>2780</v>
      </c>
      <c r="G2628" s="29" t="s">
        <v>52</v>
      </c>
      <c r="H2628" s="30" t="s">
        <v>2996</v>
      </c>
      <c r="I2628" s="78"/>
      <c r="J2628" s="20"/>
      <c r="K2628" s="20"/>
      <c r="L2628" s="20"/>
      <c r="M2628" s="20"/>
      <c r="N2628" s="320" t="s">
        <v>2685</v>
      </c>
      <c r="O2628" s="70">
        <v>0</v>
      </c>
      <c r="P2628" s="70">
        <v>0</v>
      </c>
      <c r="Q2628" s="70">
        <f t="shared" si="223"/>
        <v>0</v>
      </c>
      <c r="R2628" s="70"/>
      <c r="S2628" s="67"/>
      <c r="T2628" s="2" t="str">
        <f t="shared" si="224"/>
        <v>Nguyễn Hà Quốc Tuấn_10KT1</v>
      </c>
      <c r="U2628" s="28">
        <f t="array" ref="U2628">IFERROR(VLOOKUP($T2628,'Nghi hoc T12'!$H$7:$I$160,2,0),0)</f>
        <v>0</v>
      </c>
      <c r="V2628" s="28"/>
      <c r="W2628" s="28">
        <f t="shared" si="225"/>
        <v>0</v>
      </c>
      <c r="X2628" s="333">
        <f t="shared" si="226"/>
        <v>0</v>
      </c>
      <c r="Y2628" s="333">
        <f t="shared" si="227"/>
        <v>0</v>
      </c>
    </row>
    <row r="2629" spans="1:25" s="2" customFormat="1" ht="21.95" customHeight="1">
      <c r="A2629" s="82">
        <v>16</v>
      </c>
      <c r="B2629" s="91" t="str">
        <f t="shared" si="228"/>
        <v>A1.11.C</v>
      </c>
      <c r="C2629" s="83" t="s">
        <v>366</v>
      </c>
      <c r="D2629" s="81" t="s">
        <v>3015</v>
      </c>
      <c r="E2629" s="48">
        <v>500184</v>
      </c>
      <c r="F2629" s="30" t="s">
        <v>187</v>
      </c>
      <c r="G2629" s="29" t="s">
        <v>52</v>
      </c>
      <c r="H2629" s="30" t="s">
        <v>2997</v>
      </c>
      <c r="I2629" s="78"/>
      <c r="J2629" s="20"/>
      <c r="K2629" s="20"/>
      <c r="L2629" s="20"/>
      <c r="M2629" s="20"/>
      <c r="N2629" s="320" t="s">
        <v>2685</v>
      </c>
      <c r="O2629" s="70">
        <v>0</v>
      </c>
      <c r="P2629" s="70">
        <v>0</v>
      </c>
      <c r="Q2629" s="70">
        <f t="shared" si="223"/>
        <v>0</v>
      </c>
      <c r="R2629" s="70"/>
      <c r="S2629" s="67"/>
      <c r="T2629" s="2" t="str">
        <f t="shared" si="224"/>
        <v>Nguyễn Thái Tuấn_10KT2</v>
      </c>
      <c r="U2629" s="28">
        <f t="array" ref="U2629">IFERROR(VLOOKUP($T2629,'Nghi hoc T12'!$H$7:$I$160,2,0),0)</f>
        <v>0</v>
      </c>
      <c r="V2629" s="28"/>
      <c r="W2629" s="28">
        <f t="shared" si="225"/>
        <v>0</v>
      </c>
      <c r="X2629" s="333">
        <f t="shared" si="226"/>
        <v>0</v>
      </c>
      <c r="Y2629" s="333">
        <f t="shared" si="227"/>
        <v>0</v>
      </c>
    </row>
    <row r="2630" spans="1:25" s="2" customFormat="1" ht="21.95" customHeight="1">
      <c r="A2630" s="82">
        <v>17</v>
      </c>
      <c r="B2630" s="91" t="str">
        <f t="shared" si="228"/>
        <v>A1.11.C</v>
      </c>
      <c r="C2630" s="83" t="s">
        <v>366</v>
      </c>
      <c r="D2630" s="81" t="s">
        <v>3015</v>
      </c>
      <c r="E2630" s="48">
        <v>500185</v>
      </c>
      <c r="F2630" s="30" t="s">
        <v>2781</v>
      </c>
      <c r="G2630" s="29" t="s">
        <v>52</v>
      </c>
      <c r="H2630" s="30" t="s">
        <v>2998</v>
      </c>
      <c r="I2630" s="78"/>
      <c r="J2630" s="20"/>
      <c r="K2630" s="20"/>
      <c r="L2630" s="20"/>
      <c r="M2630" s="20"/>
      <c r="N2630" s="320" t="s">
        <v>2685</v>
      </c>
      <c r="O2630" s="70">
        <v>0</v>
      </c>
      <c r="P2630" s="70">
        <v>0</v>
      </c>
      <c r="Q2630" s="70">
        <f t="shared" si="223"/>
        <v>0</v>
      </c>
      <c r="R2630" s="70"/>
      <c r="S2630" s="67"/>
      <c r="T2630" s="2" t="str">
        <f t="shared" si="224"/>
        <v>Tống Khánh Bảo Tuấn_10KT3</v>
      </c>
      <c r="U2630" s="28">
        <f t="array" ref="U2630">IFERROR(VLOOKUP($T2630,'Nghi hoc T12'!$H$7:$I$160,2,0),0)</f>
        <v>0</v>
      </c>
      <c r="V2630" s="28"/>
      <c r="W2630" s="28">
        <f t="shared" si="225"/>
        <v>0</v>
      </c>
      <c r="X2630" s="333">
        <f t="shared" si="226"/>
        <v>0</v>
      </c>
      <c r="Y2630" s="333">
        <f t="shared" si="227"/>
        <v>0</v>
      </c>
    </row>
    <row r="2631" spans="1:25" s="2" customFormat="1" ht="21.95" customHeight="1">
      <c r="A2631" s="82">
        <v>18</v>
      </c>
      <c r="B2631" s="91" t="str">
        <f t="shared" si="228"/>
        <v>A1.11.C</v>
      </c>
      <c r="C2631" s="83" t="s">
        <v>366</v>
      </c>
      <c r="D2631" s="81" t="s">
        <v>3015</v>
      </c>
      <c r="E2631" s="48">
        <v>500186</v>
      </c>
      <c r="F2631" s="30" t="s">
        <v>2782</v>
      </c>
      <c r="G2631" s="29" t="s">
        <v>52</v>
      </c>
      <c r="H2631" s="30" t="s">
        <v>2999</v>
      </c>
      <c r="I2631" s="78"/>
      <c r="J2631" s="20"/>
      <c r="K2631" s="20"/>
      <c r="L2631" s="20"/>
      <c r="M2631" s="20"/>
      <c r="N2631" s="320" t="s">
        <v>2685</v>
      </c>
      <c r="O2631" s="70">
        <v>0</v>
      </c>
      <c r="P2631" s="70">
        <v>0</v>
      </c>
      <c r="Q2631" s="70">
        <f t="shared" si="223"/>
        <v>0</v>
      </c>
      <c r="R2631" s="70"/>
      <c r="S2631" s="67"/>
      <c r="T2631" s="2" t="str">
        <f t="shared" si="224"/>
        <v>Trần Lê Quốc Tuấn_10KT4</v>
      </c>
      <c r="U2631" s="28">
        <f t="array" ref="U2631">IFERROR(VLOOKUP($T2631,'Nghi hoc T12'!$H$7:$I$160,2,0),0)</f>
        <v>0</v>
      </c>
      <c r="V2631" s="28"/>
      <c r="W2631" s="28">
        <f t="shared" si="225"/>
        <v>0</v>
      </c>
      <c r="X2631" s="333">
        <f t="shared" si="226"/>
        <v>0</v>
      </c>
      <c r="Y2631" s="333">
        <f t="shared" si="227"/>
        <v>0</v>
      </c>
    </row>
    <row r="2632" spans="1:25" s="2" customFormat="1" ht="21.95" customHeight="1">
      <c r="A2632" s="82">
        <v>19</v>
      </c>
      <c r="B2632" s="91" t="str">
        <f t="shared" si="228"/>
        <v>A1.11.C</v>
      </c>
      <c r="C2632" s="83" t="s">
        <v>366</v>
      </c>
      <c r="D2632" s="81" t="s">
        <v>3015</v>
      </c>
      <c r="E2632" s="48">
        <v>500187</v>
      </c>
      <c r="F2632" s="30" t="s">
        <v>2783</v>
      </c>
      <c r="G2632" s="29" t="s">
        <v>117</v>
      </c>
      <c r="H2632" s="30" t="s">
        <v>2998</v>
      </c>
      <c r="I2632" s="78"/>
      <c r="J2632" s="20"/>
      <c r="K2632" s="20"/>
      <c r="L2632" s="20"/>
      <c r="M2632" s="20"/>
      <c r="N2632" s="320" t="s">
        <v>2685</v>
      </c>
      <c r="O2632" s="70">
        <v>0</v>
      </c>
      <c r="P2632" s="70">
        <v>0</v>
      </c>
      <c r="Q2632" s="70">
        <f t="shared" si="223"/>
        <v>0</v>
      </c>
      <c r="R2632" s="70"/>
      <c r="S2632" s="67"/>
      <c r="T2632" s="2" t="str">
        <f t="shared" si="224"/>
        <v>Lê Phan Cát Tường_10KT3</v>
      </c>
      <c r="U2632" s="28">
        <f t="array" ref="U2632">IFERROR(VLOOKUP($T2632,'Nghi hoc T12'!$H$7:$I$160,2,0),0)</f>
        <v>0</v>
      </c>
      <c r="V2632" s="28"/>
      <c r="W2632" s="28">
        <f t="shared" si="225"/>
        <v>0</v>
      </c>
      <c r="X2632" s="333">
        <f t="shared" si="226"/>
        <v>0</v>
      </c>
      <c r="Y2632" s="333">
        <f t="shared" si="227"/>
        <v>0</v>
      </c>
    </row>
    <row r="2633" spans="1:25" s="2" customFormat="1" ht="21.95" customHeight="1">
      <c r="A2633" s="82">
        <v>20</v>
      </c>
      <c r="B2633" s="91" t="str">
        <f t="shared" si="228"/>
        <v>A1.11.C</v>
      </c>
      <c r="C2633" s="83" t="s">
        <v>366</v>
      </c>
      <c r="D2633" s="81" t="s">
        <v>3015</v>
      </c>
      <c r="E2633" s="48">
        <v>500188</v>
      </c>
      <c r="F2633" s="30" t="s">
        <v>184</v>
      </c>
      <c r="G2633" s="29" t="s">
        <v>117</v>
      </c>
      <c r="H2633" s="30" t="s">
        <v>2996</v>
      </c>
      <c r="I2633" s="78"/>
      <c r="J2633" s="20"/>
      <c r="K2633" s="20"/>
      <c r="L2633" s="20"/>
      <c r="M2633" s="20"/>
      <c r="N2633" s="320" t="s">
        <v>2685</v>
      </c>
      <c r="O2633" s="70">
        <v>0</v>
      </c>
      <c r="P2633" s="70">
        <v>0</v>
      </c>
      <c r="Q2633" s="70">
        <f t="shared" si="223"/>
        <v>0</v>
      </c>
      <c r="R2633" s="70"/>
      <c r="S2633" s="67"/>
      <c r="T2633" s="2" t="str">
        <f t="shared" si="224"/>
        <v>Nguyễn Duy Tường_10KT1</v>
      </c>
      <c r="U2633" s="28">
        <f t="array" ref="U2633">IFERROR(VLOOKUP($T2633,'Nghi hoc T12'!$H$7:$I$160,2,0),0)</f>
        <v>0</v>
      </c>
      <c r="V2633" s="28"/>
      <c r="W2633" s="28">
        <f t="shared" si="225"/>
        <v>0</v>
      </c>
      <c r="X2633" s="333">
        <f t="shared" si="226"/>
        <v>0</v>
      </c>
      <c r="Y2633" s="333">
        <f t="shared" si="227"/>
        <v>0</v>
      </c>
    </row>
    <row r="2634" spans="1:25" s="2" customFormat="1" ht="21.95" customHeight="1">
      <c r="A2634" s="82">
        <v>21</v>
      </c>
      <c r="B2634" s="91" t="str">
        <f t="shared" si="228"/>
        <v>A1.11.C</v>
      </c>
      <c r="C2634" s="83" t="s">
        <v>366</v>
      </c>
      <c r="D2634" s="81" t="s">
        <v>3015</v>
      </c>
      <c r="E2634" s="48">
        <v>500189</v>
      </c>
      <c r="F2634" s="30" t="s">
        <v>156</v>
      </c>
      <c r="G2634" s="29" t="s">
        <v>1557</v>
      </c>
      <c r="H2634" s="30" t="s">
        <v>2997</v>
      </c>
      <c r="I2634" s="78"/>
      <c r="J2634" s="20"/>
      <c r="K2634" s="20"/>
      <c r="L2634" s="20"/>
      <c r="M2634" s="20"/>
      <c r="N2634" s="320" t="s">
        <v>2685</v>
      </c>
      <c r="O2634" s="70">
        <v>0</v>
      </c>
      <c r="P2634" s="70">
        <v>0</v>
      </c>
      <c r="Q2634" s="70">
        <f t="shared" ref="Q2634:Q2697" si="229">U2634</f>
        <v>0</v>
      </c>
      <c r="R2634" s="70"/>
      <c r="S2634" s="67"/>
      <c r="T2634" s="2" t="str">
        <f t="shared" ref="T2634:T2697" si="230">TRIM(F2634&amp;" "&amp;G2634&amp;"_"&amp;H2634)</f>
        <v>Trần Minh Tỷ_10KT2</v>
      </c>
      <c r="U2634" s="28">
        <f t="array" ref="U2634">IFERROR(VLOOKUP($T2634,'Nghi hoc T12'!$H$7:$I$160,2,0),0)</f>
        <v>0</v>
      </c>
      <c r="V2634" s="28"/>
      <c r="W2634" s="28">
        <f t="shared" ref="W2634:W2697" si="231">I2634</f>
        <v>0</v>
      </c>
      <c r="X2634" s="333">
        <f t="shared" ref="X2634:X2697" si="232">O2634</f>
        <v>0</v>
      </c>
      <c r="Y2634" s="333">
        <f t="shared" ref="Y2634:Y2697" si="233">P2634</f>
        <v>0</v>
      </c>
    </row>
    <row r="2635" spans="1:25" s="2" customFormat="1" ht="21.95" customHeight="1">
      <c r="A2635" s="82">
        <v>22</v>
      </c>
      <c r="B2635" s="91" t="str">
        <f t="shared" ref="B2635:B2641" si="234">RIGHT(D2635,LEN(D2635)-2)&amp;"."&amp;LEFT(N2635,1)</f>
        <v>A1.11.C</v>
      </c>
      <c r="C2635" s="83" t="s">
        <v>366</v>
      </c>
      <c r="D2635" s="81" t="s">
        <v>3015</v>
      </c>
      <c r="E2635" s="48">
        <v>500190</v>
      </c>
      <c r="F2635" s="30" t="s">
        <v>2784</v>
      </c>
      <c r="G2635" s="29" t="s">
        <v>2318</v>
      </c>
      <c r="H2635" s="30" t="s">
        <v>2999</v>
      </c>
      <c r="I2635" s="78"/>
      <c r="J2635" s="20"/>
      <c r="K2635" s="20"/>
      <c r="L2635" s="20"/>
      <c r="M2635" s="20"/>
      <c r="N2635" s="320" t="s">
        <v>2685</v>
      </c>
      <c r="O2635" s="70">
        <v>0</v>
      </c>
      <c r="P2635" s="70">
        <v>0</v>
      </c>
      <c r="Q2635" s="70">
        <f t="shared" si="229"/>
        <v>0</v>
      </c>
      <c r="R2635" s="70"/>
      <c r="S2635" s="67"/>
      <c r="T2635" s="2" t="str">
        <f t="shared" si="230"/>
        <v>Ngô Việt Thanh Văn_10KT4</v>
      </c>
      <c r="U2635" s="28">
        <f t="array" ref="U2635">IFERROR(VLOOKUP($T2635,'Nghi hoc T12'!$H$7:$I$160,2,0),0)</f>
        <v>0</v>
      </c>
      <c r="V2635" s="28"/>
      <c r="W2635" s="28">
        <f t="shared" si="231"/>
        <v>0</v>
      </c>
      <c r="X2635" s="333">
        <f t="shared" si="232"/>
        <v>0</v>
      </c>
      <c r="Y2635" s="333">
        <f t="shared" si="233"/>
        <v>0</v>
      </c>
    </row>
    <row r="2636" spans="1:25" s="2" customFormat="1" ht="21.95" customHeight="1">
      <c r="A2636" s="82">
        <v>23</v>
      </c>
      <c r="B2636" s="91" t="str">
        <f t="shared" si="234"/>
        <v>A1.11.C</v>
      </c>
      <c r="C2636" s="83" t="s">
        <v>366</v>
      </c>
      <c r="D2636" s="81" t="s">
        <v>3015</v>
      </c>
      <c r="E2636" s="48">
        <v>500191</v>
      </c>
      <c r="F2636" s="30" t="s">
        <v>2785</v>
      </c>
      <c r="G2636" s="29" t="s">
        <v>74</v>
      </c>
      <c r="H2636" s="30" t="s">
        <v>2997</v>
      </c>
      <c r="I2636" s="78"/>
      <c r="J2636" s="20"/>
      <c r="K2636" s="20"/>
      <c r="L2636" s="20"/>
      <c r="M2636" s="20"/>
      <c r="N2636" s="320" t="s">
        <v>2685</v>
      </c>
      <c r="O2636" s="70">
        <v>0</v>
      </c>
      <c r="P2636" s="70">
        <v>0</v>
      </c>
      <c r="Q2636" s="70">
        <f t="shared" si="229"/>
        <v>0</v>
      </c>
      <c r="R2636" s="70"/>
      <c r="S2636" s="67"/>
      <c r="T2636" s="2" t="str">
        <f t="shared" si="230"/>
        <v>Nguyễn Khánh Hà Vi_10KT2</v>
      </c>
      <c r="U2636" s="28">
        <f t="array" ref="U2636">IFERROR(VLOOKUP($T2636,'Nghi hoc T12'!$H$7:$I$160,2,0),0)</f>
        <v>0</v>
      </c>
      <c r="V2636" s="28"/>
      <c r="W2636" s="28">
        <f t="shared" si="231"/>
        <v>0</v>
      </c>
      <c r="X2636" s="333">
        <f t="shared" si="232"/>
        <v>0</v>
      </c>
      <c r="Y2636" s="333">
        <f t="shared" si="233"/>
        <v>0</v>
      </c>
    </row>
    <row r="2637" spans="1:25" s="2" customFormat="1" ht="21.95" customHeight="1">
      <c r="A2637" s="82">
        <v>24</v>
      </c>
      <c r="B2637" s="91" t="str">
        <f t="shared" si="234"/>
        <v>A1.11.C</v>
      </c>
      <c r="C2637" s="83" t="s">
        <v>366</v>
      </c>
      <c r="D2637" s="81" t="s">
        <v>3015</v>
      </c>
      <c r="E2637" s="48">
        <v>500192</v>
      </c>
      <c r="F2637" s="30" t="s">
        <v>2786</v>
      </c>
      <c r="G2637" s="29" t="s">
        <v>34</v>
      </c>
      <c r="H2637" s="30" t="s">
        <v>2999</v>
      </c>
      <c r="I2637" s="78"/>
      <c r="J2637" s="20"/>
      <c r="K2637" s="20"/>
      <c r="L2637" s="20"/>
      <c r="M2637" s="20"/>
      <c r="N2637" s="320" t="s">
        <v>2685</v>
      </c>
      <c r="O2637" s="70">
        <v>0</v>
      </c>
      <c r="P2637" s="70">
        <v>0</v>
      </c>
      <c r="Q2637" s="70">
        <f t="shared" si="229"/>
        <v>0</v>
      </c>
      <c r="R2637" s="70"/>
      <c r="S2637" s="67"/>
      <c r="T2637" s="2" t="str">
        <f t="shared" si="230"/>
        <v>La Yến Vy_10KT4</v>
      </c>
      <c r="U2637" s="28">
        <f t="array" ref="U2637">IFERROR(VLOOKUP($T2637,'Nghi hoc T12'!$H$7:$I$160,2,0),0)</f>
        <v>0</v>
      </c>
      <c r="V2637" s="28"/>
      <c r="W2637" s="28">
        <f t="shared" si="231"/>
        <v>0</v>
      </c>
      <c r="X2637" s="333">
        <f t="shared" si="232"/>
        <v>0</v>
      </c>
      <c r="Y2637" s="333">
        <f t="shared" si="233"/>
        <v>0</v>
      </c>
    </row>
    <row r="2638" spans="1:25" s="2" customFormat="1" ht="21.95" customHeight="1">
      <c r="A2638" s="82">
        <v>25</v>
      </c>
      <c r="B2638" s="91" t="str">
        <f t="shared" si="234"/>
        <v>A1.11.C</v>
      </c>
      <c r="C2638" s="83" t="s">
        <v>366</v>
      </c>
      <c r="D2638" s="81" t="s">
        <v>3015</v>
      </c>
      <c r="E2638" s="48">
        <v>500193</v>
      </c>
      <c r="F2638" s="30" t="s">
        <v>2787</v>
      </c>
      <c r="G2638" s="29" t="s">
        <v>34</v>
      </c>
      <c r="H2638" s="30" t="s">
        <v>2996</v>
      </c>
      <c r="I2638" s="78"/>
      <c r="J2638" s="20"/>
      <c r="K2638" s="20"/>
      <c r="L2638" s="20"/>
      <c r="M2638" s="20"/>
      <c r="N2638" s="320" t="s">
        <v>2685</v>
      </c>
      <c r="O2638" s="70">
        <v>0</v>
      </c>
      <c r="P2638" s="70">
        <v>0</v>
      </c>
      <c r="Q2638" s="70">
        <f t="shared" si="229"/>
        <v>0</v>
      </c>
      <c r="R2638" s="70"/>
      <c r="S2638" s="67"/>
      <c r="T2638" s="2" t="str">
        <f t="shared" si="230"/>
        <v>Nguyễn Lý Phương Vy_10KT1</v>
      </c>
      <c r="U2638" s="28">
        <f t="array" ref="U2638">IFERROR(VLOOKUP($T2638,'Nghi hoc T12'!$H$7:$I$160,2,0),0)</f>
        <v>0</v>
      </c>
      <c r="V2638" s="28"/>
      <c r="W2638" s="28">
        <f t="shared" si="231"/>
        <v>0</v>
      </c>
      <c r="X2638" s="333">
        <f t="shared" si="232"/>
        <v>0</v>
      </c>
      <c r="Y2638" s="333">
        <f t="shared" si="233"/>
        <v>0</v>
      </c>
    </row>
    <row r="2639" spans="1:25" s="2" customFormat="1" ht="21.95" customHeight="1">
      <c r="A2639" s="82">
        <v>26</v>
      </c>
      <c r="B2639" s="91" t="str">
        <f t="shared" si="234"/>
        <v>A1.11.C</v>
      </c>
      <c r="C2639" s="83" t="s">
        <v>366</v>
      </c>
      <c r="D2639" s="81" t="s">
        <v>3015</v>
      </c>
      <c r="E2639" s="48">
        <v>500194</v>
      </c>
      <c r="F2639" s="30" t="s">
        <v>231</v>
      </c>
      <c r="G2639" s="29" t="s">
        <v>34</v>
      </c>
      <c r="H2639" s="30" t="s">
        <v>2998</v>
      </c>
      <c r="I2639" s="78"/>
      <c r="J2639" s="20"/>
      <c r="K2639" s="20"/>
      <c r="L2639" s="20"/>
      <c r="M2639" s="20"/>
      <c r="N2639" s="320" t="s">
        <v>2685</v>
      </c>
      <c r="O2639" s="70">
        <v>0</v>
      </c>
      <c r="P2639" s="70">
        <v>0</v>
      </c>
      <c r="Q2639" s="70">
        <f t="shared" si="229"/>
        <v>0</v>
      </c>
      <c r="R2639" s="70"/>
      <c r="S2639" s="67"/>
      <c r="T2639" s="2" t="str">
        <f t="shared" si="230"/>
        <v>Nguyễn Thị Phương Vy_10KT3</v>
      </c>
      <c r="U2639" s="28">
        <f t="array" ref="U2639">IFERROR(VLOOKUP($T2639,'Nghi hoc T12'!$H$7:$I$160,2,0),0)</f>
        <v>0</v>
      </c>
      <c r="V2639" s="28"/>
      <c r="W2639" s="28">
        <f t="shared" si="231"/>
        <v>0</v>
      </c>
      <c r="X2639" s="333">
        <f t="shared" si="232"/>
        <v>0</v>
      </c>
      <c r="Y2639" s="333">
        <f t="shared" si="233"/>
        <v>0</v>
      </c>
    </row>
    <row r="2640" spans="1:25" s="2" customFormat="1" ht="21.95" customHeight="1">
      <c r="A2640" s="82">
        <v>27</v>
      </c>
      <c r="B2640" s="91" t="str">
        <f t="shared" si="234"/>
        <v>A1.11.C</v>
      </c>
      <c r="C2640" s="83" t="s">
        <v>366</v>
      </c>
      <c r="D2640" s="81" t="s">
        <v>3015</v>
      </c>
      <c r="E2640" s="48">
        <v>500195</v>
      </c>
      <c r="F2640" s="30" t="s">
        <v>328</v>
      </c>
      <c r="G2640" s="29" t="s">
        <v>75</v>
      </c>
      <c r="H2640" s="30" t="s">
        <v>2996</v>
      </c>
      <c r="I2640" s="78"/>
      <c r="J2640" s="20"/>
      <c r="K2640" s="20"/>
      <c r="L2640" s="20"/>
      <c r="M2640" s="20"/>
      <c r="N2640" s="320" t="s">
        <v>2685</v>
      </c>
      <c r="O2640" s="70">
        <v>0</v>
      </c>
      <c r="P2640" s="70">
        <v>0</v>
      </c>
      <c r="Q2640" s="70">
        <f t="shared" si="229"/>
        <v>0</v>
      </c>
      <c r="R2640" s="70"/>
      <c r="S2640" s="67"/>
      <c r="T2640" s="2" t="str">
        <f t="shared" si="230"/>
        <v>Nguyễn Thị Như Ý_10KT1</v>
      </c>
      <c r="U2640" s="28">
        <f t="array" ref="U2640">IFERROR(VLOOKUP($T2640,'Nghi hoc T12'!$H$7:$I$160,2,0),0)</f>
        <v>0</v>
      </c>
      <c r="V2640" s="28"/>
      <c r="W2640" s="28">
        <f t="shared" si="231"/>
        <v>0</v>
      </c>
      <c r="X2640" s="333">
        <f t="shared" si="232"/>
        <v>0</v>
      </c>
      <c r="Y2640" s="333">
        <f t="shared" si="233"/>
        <v>0</v>
      </c>
    </row>
    <row r="2641" spans="1:25" s="2" customFormat="1" ht="21.95" customHeight="1">
      <c r="A2641" s="82">
        <v>28</v>
      </c>
      <c r="B2641" s="91" t="str">
        <f t="shared" si="234"/>
        <v>A1.11.C</v>
      </c>
      <c r="C2641" s="83" t="s">
        <v>366</v>
      </c>
      <c r="D2641" s="81" t="s">
        <v>3015</v>
      </c>
      <c r="E2641" s="48">
        <v>500196</v>
      </c>
      <c r="F2641" s="30" t="s">
        <v>2788</v>
      </c>
      <c r="G2641" s="29" t="s">
        <v>62</v>
      </c>
      <c r="H2641" s="30" t="s">
        <v>2997</v>
      </c>
      <c r="I2641" s="78"/>
      <c r="J2641" s="20"/>
      <c r="K2641" s="20"/>
      <c r="L2641" s="20"/>
      <c r="M2641" s="20"/>
      <c r="N2641" s="320" t="s">
        <v>2685</v>
      </c>
      <c r="O2641" s="70">
        <v>0</v>
      </c>
      <c r="P2641" s="70">
        <v>0</v>
      </c>
      <c r="Q2641" s="70">
        <f t="shared" si="229"/>
        <v>0</v>
      </c>
      <c r="R2641" s="70"/>
      <c r="S2641" s="67"/>
      <c r="T2641" s="2" t="str">
        <f t="shared" si="230"/>
        <v>Trương Bảo Yến_10KT2</v>
      </c>
      <c r="U2641" s="28">
        <f t="array" ref="U2641">IFERROR(VLOOKUP($T2641,'Nghi hoc T12'!$H$7:$I$160,2,0),0)</f>
        <v>0</v>
      </c>
      <c r="V2641" s="28"/>
      <c r="W2641" s="28">
        <f t="shared" si="231"/>
        <v>0</v>
      </c>
      <c r="X2641" s="333">
        <f t="shared" si="232"/>
        <v>0</v>
      </c>
      <c r="Y2641" s="333">
        <f t="shared" si="233"/>
        <v>0</v>
      </c>
    </row>
    <row r="2642" spans="1:25" s="2" customFormat="1" ht="21.95" customHeight="1">
      <c r="A2642" s="321">
        <v>1</v>
      </c>
      <c r="B2642" s="91" t="s">
        <v>3347</v>
      </c>
      <c r="C2642" s="185" t="s">
        <v>366</v>
      </c>
      <c r="D2642" s="186" t="s">
        <v>3009</v>
      </c>
      <c r="E2642" s="187">
        <v>500197</v>
      </c>
      <c r="F2642" s="188" t="s">
        <v>167</v>
      </c>
      <c r="G2642" s="189" t="s">
        <v>63</v>
      </c>
      <c r="H2642" s="188" t="s">
        <v>3000</v>
      </c>
      <c r="I2642" s="190"/>
      <c r="J2642" s="191"/>
      <c r="K2642" s="191"/>
      <c r="L2642" s="191"/>
      <c r="M2642" s="191"/>
      <c r="N2642" s="320" t="s">
        <v>2685</v>
      </c>
      <c r="O2642" s="70">
        <v>0</v>
      </c>
      <c r="P2642" s="70">
        <v>0</v>
      </c>
      <c r="Q2642" s="70">
        <f t="shared" si="229"/>
        <v>0</v>
      </c>
      <c r="R2642" s="70"/>
      <c r="S2642" s="67"/>
      <c r="T2642" s="2" t="str">
        <f t="shared" si="230"/>
        <v>Trần Thanh An_11KT3</v>
      </c>
      <c r="U2642" s="28">
        <f t="array" ref="U2642">IFERROR(VLOOKUP($T2642,'Nghi hoc T12'!$H$7:$I$160,2,0),0)</f>
        <v>0</v>
      </c>
      <c r="V2642" s="28"/>
      <c r="W2642" s="28">
        <f t="shared" si="231"/>
        <v>0</v>
      </c>
      <c r="X2642" s="333">
        <f t="shared" si="232"/>
        <v>0</v>
      </c>
      <c r="Y2642" s="333">
        <f t="shared" si="233"/>
        <v>0</v>
      </c>
    </row>
    <row r="2643" spans="1:25" s="2" customFormat="1" ht="21.95" customHeight="1">
      <c r="A2643" s="82">
        <v>2</v>
      </c>
      <c r="B2643" s="91" t="s">
        <v>3347</v>
      </c>
      <c r="C2643" s="83" t="s">
        <v>366</v>
      </c>
      <c r="D2643" s="81" t="s">
        <v>3009</v>
      </c>
      <c r="E2643" s="48">
        <v>500198</v>
      </c>
      <c r="F2643" s="30" t="s">
        <v>2789</v>
      </c>
      <c r="G2643" s="29" t="s">
        <v>5</v>
      </c>
      <c r="H2643" s="30" t="s">
        <v>3001</v>
      </c>
      <c r="I2643" s="78"/>
      <c r="J2643" s="20"/>
      <c r="K2643" s="20"/>
      <c r="L2643" s="20"/>
      <c r="M2643" s="20"/>
      <c r="N2643" s="320" t="s">
        <v>2685</v>
      </c>
      <c r="O2643" s="70">
        <v>0</v>
      </c>
      <c r="P2643" s="70">
        <v>0</v>
      </c>
      <c r="Q2643" s="70">
        <f t="shared" si="229"/>
        <v>0</v>
      </c>
      <c r="R2643" s="70"/>
      <c r="S2643" s="67"/>
      <c r="T2643" s="2" t="str">
        <f t="shared" si="230"/>
        <v>Đinh Thị Mỹ Anh_11KT2</v>
      </c>
      <c r="U2643" s="28">
        <f t="array" ref="U2643">IFERROR(VLOOKUP($T2643,'Nghi hoc T12'!$H$7:$I$160,2,0),0)</f>
        <v>0</v>
      </c>
      <c r="V2643" s="28"/>
      <c r="W2643" s="28">
        <f t="shared" si="231"/>
        <v>0</v>
      </c>
      <c r="X2643" s="333">
        <f t="shared" si="232"/>
        <v>0</v>
      </c>
      <c r="Y2643" s="333">
        <f t="shared" si="233"/>
        <v>0</v>
      </c>
    </row>
    <row r="2644" spans="1:25" s="2" customFormat="1" ht="21.95" customHeight="1">
      <c r="A2644" s="82">
        <v>3</v>
      </c>
      <c r="B2644" s="91" t="s">
        <v>3347</v>
      </c>
      <c r="C2644" s="83" t="s">
        <v>366</v>
      </c>
      <c r="D2644" s="81" t="s">
        <v>3009</v>
      </c>
      <c r="E2644" s="48">
        <v>500199</v>
      </c>
      <c r="F2644" s="30" t="s">
        <v>2790</v>
      </c>
      <c r="G2644" s="29" t="s">
        <v>5</v>
      </c>
      <c r="H2644" s="30" t="s">
        <v>3002</v>
      </c>
      <c r="I2644" s="78"/>
      <c r="J2644" s="20"/>
      <c r="K2644" s="20"/>
      <c r="L2644" s="20"/>
      <c r="M2644" s="20"/>
      <c r="N2644" s="320" t="s">
        <v>2685</v>
      </c>
      <c r="O2644" s="70">
        <v>0</v>
      </c>
      <c r="P2644" s="70">
        <v>0</v>
      </c>
      <c r="Q2644" s="70">
        <f t="shared" si="229"/>
        <v>0</v>
      </c>
      <c r="R2644" s="70"/>
      <c r="S2644" s="67"/>
      <c r="T2644" s="2" t="str">
        <f t="shared" si="230"/>
        <v>Hoàng Vũ Lan Anh_11KT1</v>
      </c>
      <c r="U2644" s="28">
        <f t="array" ref="U2644">IFERROR(VLOOKUP($T2644,'Nghi hoc T12'!$H$7:$I$160,2,0),0)</f>
        <v>0</v>
      </c>
      <c r="V2644" s="28"/>
      <c r="W2644" s="28">
        <f t="shared" si="231"/>
        <v>0</v>
      </c>
      <c r="X2644" s="333">
        <f t="shared" si="232"/>
        <v>0</v>
      </c>
      <c r="Y2644" s="333">
        <f t="shared" si="233"/>
        <v>0</v>
      </c>
    </row>
    <row r="2645" spans="1:25" s="2" customFormat="1" ht="21.95" customHeight="1">
      <c r="A2645" s="82">
        <v>4</v>
      </c>
      <c r="B2645" s="91" t="s">
        <v>3347</v>
      </c>
      <c r="C2645" s="83" t="s">
        <v>366</v>
      </c>
      <c r="D2645" s="81" t="s">
        <v>3009</v>
      </c>
      <c r="E2645" s="48">
        <v>500200</v>
      </c>
      <c r="F2645" s="30" t="s">
        <v>2791</v>
      </c>
      <c r="G2645" s="29" t="s">
        <v>5</v>
      </c>
      <c r="H2645" s="30" t="s">
        <v>3000</v>
      </c>
      <c r="I2645" s="78"/>
      <c r="J2645" s="20"/>
      <c r="K2645" s="20"/>
      <c r="L2645" s="20"/>
      <c r="M2645" s="20"/>
      <c r="N2645" s="320" t="s">
        <v>2685</v>
      </c>
      <c r="O2645" s="70">
        <v>0</v>
      </c>
      <c r="P2645" s="70">
        <v>0</v>
      </c>
      <c r="Q2645" s="70">
        <f t="shared" si="229"/>
        <v>0</v>
      </c>
      <c r="R2645" s="70"/>
      <c r="S2645" s="67"/>
      <c r="T2645" s="2" t="str">
        <f t="shared" si="230"/>
        <v>Lê Bá Tuấn Anh_11KT3</v>
      </c>
      <c r="U2645" s="28">
        <f t="array" ref="U2645">IFERROR(VLOOKUP($T2645,'Nghi hoc T12'!$H$7:$I$160,2,0),0)</f>
        <v>0</v>
      </c>
      <c r="V2645" s="28"/>
      <c r="W2645" s="28">
        <f t="shared" si="231"/>
        <v>0</v>
      </c>
      <c r="X2645" s="333">
        <f t="shared" si="232"/>
        <v>0</v>
      </c>
      <c r="Y2645" s="333">
        <f t="shared" si="233"/>
        <v>0</v>
      </c>
    </row>
    <row r="2646" spans="1:25" s="2" customFormat="1" ht="21.95" customHeight="1">
      <c r="A2646" s="82">
        <v>5</v>
      </c>
      <c r="B2646" s="91" t="s">
        <v>3347</v>
      </c>
      <c r="C2646" s="83" t="s">
        <v>366</v>
      </c>
      <c r="D2646" s="81" t="s">
        <v>3009</v>
      </c>
      <c r="E2646" s="48">
        <v>500201</v>
      </c>
      <c r="F2646" s="30" t="s">
        <v>1499</v>
      </c>
      <c r="G2646" s="29" t="s">
        <v>5</v>
      </c>
      <c r="H2646" s="30" t="s">
        <v>3003</v>
      </c>
      <c r="I2646" s="78"/>
      <c r="J2646" s="20"/>
      <c r="K2646" s="20"/>
      <c r="L2646" s="20"/>
      <c r="M2646" s="20"/>
      <c r="N2646" s="320" t="s">
        <v>2685</v>
      </c>
      <c r="O2646" s="70">
        <v>0</v>
      </c>
      <c r="P2646" s="70">
        <v>0</v>
      </c>
      <c r="Q2646" s="70">
        <f t="shared" si="229"/>
        <v>0</v>
      </c>
      <c r="R2646" s="70"/>
      <c r="S2646" s="67"/>
      <c r="T2646" s="2" t="str">
        <f t="shared" si="230"/>
        <v>Nguyễn Thị Hoàng Anh_11KT4</v>
      </c>
      <c r="U2646" s="28">
        <f t="array" ref="U2646">IFERROR(VLOOKUP($T2646,'Nghi hoc T12'!$H$7:$I$160,2,0),0)</f>
        <v>0</v>
      </c>
      <c r="V2646" s="28"/>
      <c r="W2646" s="28">
        <f t="shared" si="231"/>
        <v>0</v>
      </c>
      <c r="X2646" s="333">
        <f t="shared" si="232"/>
        <v>0</v>
      </c>
      <c r="Y2646" s="333">
        <f t="shared" si="233"/>
        <v>0</v>
      </c>
    </row>
    <row r="2647" spans="1:25" s="2" customFormat="1" ht="21.95" customHeight="1">
      <c r="A2647" s="82">
        <v>6</v>
      </c>
      <c r="B2647" s="91" t="s">
        <v>3347</v>
      </c>
      <c r="C2647" s="83" t="s">
        <v>366</v>
      </c>
      <c r="D2647" s="81" t="s">
        <v>3009</v>
      </c>
      <c r="E2647" s="48">
        <v>500202</v>
      </c>
      <c r="F2647" s="30" t="s">
        <v>1315</v>
      </c>
      <c r="G2647" s="29" t="s">
        <v>5</v>
      </c>
      <c r="H2647" s="30" t="s">
        <v>3001</v>
      </c>
      <c r="I2647" s="78"/>
      <c r="J2647" s="20"/>
      <c r="K2647" s="20"/>
      <c r="L2647" s="20"/>
      <c r="M2647" s="20"/>
      <c r="N2647" s="320" t="s">
        <v>2685</v>
      </c>
      <c r="O2647" s="70">
        <v>0</v>
      </c>
      <c r="P2647" s="70">
        <v>0</v>
      </c>
      <c r="Q2647" s="70">
        <f t="shared" si="229"/>
        <v>0</v>
      </c>
      <c r="R2647" s="70"/>
      <c r="S2647" s="67"/>
      <c r="T2647" s="2" t="str">
        <f t="shared" si="230"/>
        <v>Nguyễn Viết Anh_11KT2</v>
      </c>
      <c r="U2647" s="28">
        <f t="array" ref="U2647">IFERROR(VLOOKUP($T2647,'Nghi hoc T12'!$H$7:$I$160,2,0),0)</f>
        <v>0</v>
      </c>
      <c r="V2647" s="28"/>
      <c r="W2647" s="28">
        <f t="shared" si="231"/>
        <v>0</v>
      </c>
      <c r="X2647" s="333">
        <f t="shared" si="232"/>
        <v>0</v>
      </c>
      <c r="Y2647" s="333">
        <f t="shared" si="233"/>
        <v>0</v>
      </c>
    </row>
    <row r="2648" spans="1:25" s="2" customFormat="1" ht="21.95" customHeight="1">
      <c r="A2648" s="82">
        <v>7</v>
      </c>
      <c r="B2648" s="91" t="s">
        <v>3347</v>
      </c>
      <c r="C2648" s="83" t="s">
        <v>366</v>
      </c>
      <c r="D2648" s="81" t="s">
        <v>3009</v>
      </c>
      <c r="E2648" s="48">
        <v>500203</v>
      </c>
      <c r="F2648" s="30" t="s">
        <v>2792</v>
      </c>
      <c r="G2648" s="29" t="s">
        <v>5</v>
      </c>
      <c r="H2648" s="30" t="s">
        <v>3003</v>
      </c>
      <c r="I2648" s="78"/>
      <c r="J2648" s="20"/>
      <c r="K2648" s="20"/>
      <c r="L2648" s="20"/>
      <c r="M2648" s="20"/>
      <c r="N2648" s="320" t="s">
        <v>2685</v>
      </c>
      <c r="O2648" s="70">
        <v>0</v>
      </c>
      <c r="P2648" s="70">
        <v>0</v>
      </c>
      <c r="Q2648" s="70">
        <f t="shared" si="229"/>
        <v>0</v>
      </c>
      <c r="R2648" s="70"/>
      <c r="S2648" s="67"/>
      <c r="T2648" s="2" t="str">
        <f t="shared" si="230"/>
        <v>Phạm Ngô Trâm Anh_11KT4</v>
      </c>
      <c r="U2648" s="28">
        <f t="array" ref="U2648">IFERROR(VLOOKUP($T2648,'Nghi hoc T12'!$H$7:$I$160,2,0),0)</f>
        <v>0</v>
      </c>
      <c r="V2648" s="28"/>
      <c r="W2648" s="28">
        <f t="shared" si="231"/>
        <v>0</v>
      </c>
      <c r="X2648" s="333">
        <f t="shared" si="232"/>
        <v>0</v>
      </c>
      <c r="Y2648" s="333">
        <f t="shared" si="233"/>
        <v>0</v>
      </c>
    </row>
    <row r="2649" spans="1:25" s="2" customFormat="1" ht="21.95" customHeight="1">
      <c r="A2649" s="82">
        <v>8</v>
      </c>
      <c r="B2649" s="91" t="s">
        <v>3347</v>
      </c>
      <c r="C2649" s="83" t="s">
        <v>366</v>
      </c>
      <c r="D2649" s="81" t="s">
        <v>3009</v>
      </c>
      <c r="E2649" s="48">
        <v>500204</v>
      </c>
      <c r="F2649" s="30" t="s">
        <v>2793</v>
      </c>
      <c r="G2649" s="29" t="s">
        <v>5</v>
      </c>
      <c r="H2649" s="30" t="s">
        <v>3002</v>
      </c>
      <c r="I2649" s="78"/>
      <c r="J2649" s="20"/>
      <c r="K2649" s="20"/>
      <c r="L2649" s="20"/>
      <c r="M2649" s="20"/>
      <c r="N2649" s="320" t="s">
        <v>2685</v>
      </c>
      <c r="O2649" s="70">
        <v>0</v>
      </c>
      <c r="P2649" s="70">
        <v>0</v>
      </c>
      <c r="Q2649" s="70">
        <f t="shared" si="229"/>
        <v>0</v>
      </c>
      <c r="R2649" s="70"/>
      <c r="S2649" s="67"/>
      <c r="T2649" s="2" t="str">
        <f t="shared" si="230"/>
        <v>Quách Hoàng Anh_11KT1</v>
      </c>
      <c r="U2649" s="28">
        <f t="array" ref="U2649">IFERROR(VLOOKUP($T2649,'Nghi hoc T12'!$H$7:$I$160,2,0),0)</f>
        <v>0</v>
      </c>
      <c r="V2649" s="28"/>
      <c r="W2649" s="28">
        <f t="shared" si="231"/>
        <v>0</v>
      </c>
      <c r="X2649" s="333">
        <f t="shared" si="232"/>
        <v>0</v>
      </c>
      <c r="Y2649" s="333">
        <f t="shared" si="233"/>
        <v>0</v>
      </c>
    </row>
    <row r="2650" spans="1:25" s="2" customFormat="1" ht="21.95" customHeight="1">
      <c r="A2650" s="82">
        <v>9</v>
      </c>
      <c r="B2650" s="91" t="s">
        <v>3347</v>
      </c>
      <c r="C2650" s="83" t="s">
        <v>366</v>
      </c>
      <c r="D2650" s="81" t="s">
        <v>3009</v>
      </c>
      <c r="E2650" s="48">
        <v>500205</v>
      </c>
      <c r="F2650" s="30" t="s">
        <v>2794</v>
      </c>
      <c r="G2650" s="29" t="s">
        <v>5</v>
      </c>
      <c r="H2650" s="30" t="s">
        <v>3000</v>
      </c>
      <c r="I2650" s="78"/>
      <c r="J2650" s="20"/>
      <c r="K2650" s="20"/>
      <c r="L2650" s="20"/>
      <c r="M2650" s="20"/>
      <c r="N2650" s="320" t="s">
        <v>2685</v>
      </c>
      <c r="O2650" s="70">
        <v>0</v>
      </c>
      <c r="P2650" s="70">
        <v>0</v>
      </c>
      <c r="Q2650" s="70">
        <f t="shared" si="229"/>
        <v>0</v>
      </c>
      <c r="R2650" s="70"/>
      <c r="S2650" s="67"/>
      <c r="T2650" s="2" t="str">
        <f t="shared" si="230"/>
        <v>Trần Ngọc Quỳnh Anh_11KT3</v>
      </c>
      <c r="U2650" s="28">
        <f t="array" ref="U2650">IFERROR(VLOOKUP($T2650,'Nghi hoc T12'!$H$7:$I$160,2,0),0)</f>
        <v>0</v>
      </c>
      <c r="V2650" s="28"/>
      <c r="W2650" s="28">
        <f t="shared" si="231"/>
        <v>0</v>
      </c>
      <c r="X2650" s="333">
        <f t="shared" si="232"/>
        <v>0</v>
      </c>
      <c r="Y2650" s="333">
        <f t="shared" si="233"/>
        <v>0</v>
      </c>
    </row>
    <row r="2651" spans="1:25" s="2" customFormat="1" ht="21.95" customHeight="1">
      <c r="A2651" s="82">
        <v>10</v>
      </c>
      <c r="B2651" s="91" t="s">
        <v>3347</v>
      </c>
      <c r="C2651" s="83" t="s">
        <v>366</v>
      </c>
      <c r="D2651" s="81" t="s">
        <v>3009</v>
      </c>
      <c r="E2651" s="48">
        <v>500206</v>
      </c>
      <c r="F2651" s="30" t="s">
        <v>2795</v>
      </c>
      <c r="G2651" s="29" t="s">
        <v>76</v>
      </c>
      <c r="H2651" s="30" t="s">
        <v>3000</v>
      </c>
      <c r="I2651" s="78"/>
      <c r="J2651" s="20"/>
      <c r="K2651" s="20"/>
      <c r="L2651" s="20"/>
      <c r="M2651" s="20"/>
      <c r="N2651" s="320" t="s">
        <v>2685</v>
      </c>
      <c r="O2651" s="70">
        <v>0</v>
      </c>
      <c r="P2651" s="70">
        <v>0</v>
      </c>
      <c r="Q2651" s="70">
        <f t="shared" si="229"/>
        <v>0</v>
      </c>
      <c r="R2651" s="70"/>
      <c r="S2651" s="67"/>
      <c r="T2651" s="2" t="str">
        <f t="shared" si="230"/>
        <v>Võ Huỳnh Thị Ngọc Ánh_11KT3</v>
      </c>
      <c r="U2651" s="28">
        <f t="array" ref="U2651">IFERROR(VLOOKUP($T2651,'Nghi hoc T12'!$H$7:$I$160,2,0),0)</f>
        <v>0</v>
      </c>
      <c r="V2651" s="28"/>
      <c r="W2651" s="28">
        <f t="shared" si="231"/>
        <v>0</v>
      </c>
      <c r="X2651" s="333">
        <f t="shared" si="232"/>
        <v>0</v>
      </c>
      <c r="Y2651" s="333">
        <f t="shared" si="233"/>
        <v>0</v>
      </c>
    </row>
    <row r="2652" spans="1:25" s="2" customFormat="1" ht="21.95" customHeight="1">
      <c r="A2652" s="82">
        <v>11</v>
      </c>
      <c r="B2652" s="91" t="s">
        <v>3347</v>
      </c>
      <c r="C2652" s="83" t="s">
        <v>366</v>
      </c>
      <c r="D2652" s="81" t="s">
        <v>3009</v>
      </c>
      <c r="E2652" s="48">
        <v>500207</v>
      </c>
      <c r="F2652" s="30" t="s">
        <v>2796</v>
      </c>
      <c r="G2652" s="29" t="s">
        <v>83</v>
      </c>
      <c r="H2652" s="30" t="s">
        <v>3000</v>
      </c>
      <c r="I2652" s="78"/>
      <c r="J2652" s="20"/>
      <c r="K2652" s="20"/>
      <c r="L2652" s="20"/>
      <c r="M2652" s="20"/>
      <c r="N2652" s="320" t="s">
        <v>2685</v>
      </c>
      <c r="O2652" s="70">
        <v>0</v>
      </c>
      <c r="P2652" s="70">
        <v>0</v>
      </c>
      <c r="Q2652" s="70">
        <f t="shared" si="229"/>
        <v>0</v>
      </c>
      <c r="R2652" s="70"/>
      <c r="S2652" s="67"/>
      <c r="T2652" s="2" t="str">
        <f t="shared" si="230"/>
        <v>Đặng Nguyễn Bảo_11KT3</v>
      </c>
      <c r="U2652" s="28">
        <f t="array" ref="U2652">IFERROR(VLOOKUP($T2652,'Nghi hoc T12'!$H$7:$I$160,2,0),0)</f>
        <v>0</v>
      </c>
      <c r="V2652" s="28"/>
      <c r="W2652" s="28">
        <f t="shared" si="231"/>
        <v>0</v>
      </c>
      <c r="X2652" s="333">
        <f t="shared" si="232"/>
        <v>0</v>
      </c>
      <c r="Y2652" s="333">
        <f t="shared" si="233"/>
        <v>0</v>
      </c>
    </row>
    <row r="2653" spans="1:25" s="2" customFormat="1" ht="21.95" customHeight="1">
      <c r="A2653" s="82">
        <v>12</v>
      </c>
      <c r="B2653" s="91" t="s">
        <v>3347</v>
      </c>
      <c r="C2653" s="83" t="s">
        <v>366</v>
      </c>
      <c r="D2653" s="81" t="s">
        <v>3009</v>
      </c>
      <c r="E2653" s="48">
        <v>500208</v>
      </c>
      <c r="F2653" s="30" t="s">
        <v>166</v>
      </c>
      <c r="G2653" s="29" t="s">
        <v>83</v>
      </c>
      <c r="H2653" s="30" t="s">
        <v>3003</v>
      </c>
      <c r="I2653" s="78"/>
      <c r="J2653" s="20"/>
      <c r="K2653" s="20"/>
      <c r="L2653" s="20"/>
      <c r="M2653" s="20"/>
      <c r="N2653" s="320" t="s">
        <v>2685</v>
      </c>
      <c r="O2653" s="70">
        <v>0</v>
      </c>
      <c r="P2653" s="70">
        <v>0</v>
      </c>
      <c r="Q2653" s="70">
        <f t="shared" si="229"/>
        <v>0</v>
      </c>
      <c r="R2653" s="70"/>
      <c r="S2653" s="67"/>
      <c r="T2653" s="2" t="str">
        <f t="shared" si="230"/>
        <v>Nguyễn Gia Bảo_11KT4</v>
      </c>
      <c r="U2653" s="28">
        <f t="array" ref="U2653">IFERROR(VLOOKUP($T2653,'Nghi hoc T12'!$H$7:$I$160,2,0),0)</f>
        <v>0</v>
      </c>
      <c r="V2653" s="28"/>
      <c r="W2653" s="28">
        <f t="shared" si="231"/>
        <v>0</v>
      </c>
      <c r="X2653" s="333">
        <f t="shared" si="232"/>
        <v>0</v>
      </c>
      <c r="Y2653" s="333">
        <f t="shared" si="233"/>
        <v>0</v>
      </c>
    </row>
    <row r="2654" spans="1:25" s="2" customFormat="1" ht="21.95" customHeight="1">
      <c r="A2654" s="82">
        <v>13</v>
      </c>
      <c r="B2654" s="91" t="s">
        <v>3347</v>
      </c>
      <c r="C2654" s="83" t="s">
        <v>366</v>
      </c>
      <c r="D2654" s="81" t="s">
        <v>3009</v>
      </c>
      <c r="E2654" s="48">
        <v>500209</v>
      </c>
      <c r="F2654" s="30" t="s">
        <v>196</v>
      </c>
      <c r="G2654" s="29" t="s">
        <v>83</v>
      </c>
      <c r="H2654" s="30" t="s">
        <v>3002</v>
      </c>
      <c r="I2654" s="78"/>
      <c r="J2654" s="20"/>
      <c r="K2654" s="20"/>
      <c r="L2654" s="20"/>
      <c r="M2654" s="20"/>
      <c r="N2654" s="320" t="s">
        <v>2685</v>
      </c>
      <c r="O2654" s="70">
        <v>0</v>
      </c>
      <c r="P2654" s="70">
        <v>0</v>
      </c>
      <c r="Q2654" s="70">
        <f t="shared" si="229"/>
        <v>0</v>
      </c>
      <c r="R2654" s="70"/>
      <c r="S2654" s="67"/>
      <c r="T2654" s="2" t="str">
        <f t="shared" si="230"/>
        <v>Trần Gia Bảo_11KT1</v>
      </c>
      <c r="U2654" s="28">
        <f t="array" ref="U2654">IFERROR(VLOOKUP($T2654,'Nghi hoc T12'!$H$7:$I$160,2,0),0)</f>
        <v>0</v>
      </c>
      <c r="V2654" s="28"/>
      <c r="W2654" s="28">
        <f t="shared" si="231"/>
        <v>0</v>
      </c>
      <c r="X2654" s="333">
        <f t="shared" si="232"/>
        <v>0</v>
      </c>
      <c r="Y2654" s="333">
        <f t="shared" si="233"/>
        <v>0</v>
      </c>
    </row>
    <row r="2655" spans="1:25" s="2" customFormat="1" ht="21.95" customHeight="1">
      <c r="A2655" s="82">
        <v>14</v>
      </c>
      <c r="B2655" s="91" t="s">
        <v>3347</v>
      </c>
      <c r="C2655" s="83" t="s">
        <v>366</v>
      </c>
      <c r="D2655" s="81" t="s">
        <v>3009</v>
      </c>
      <c r="E2655" s="48">
        <v>500210</v>
      </c>
      <c r="F2655" s="30" t="s">
        <v>2797</v>
      </c>
      <c r="G2655" s="29" t="s">
        <v>1183</v>
      </c>
      <c r="H2655" s="30" t="s">
        <v>3003</v>
      </c>
      <c r="I2655" s="78"/>
      <c r="J2655" s="20"/>
      <c r="K2655" s="20"/>
      <c r="L2655" s="20"/>
      <c r="M2655" s="20"/>
      <c r="N2655" s="320" t="s">
        <v>2685</v>
      </c>
      <c r="O2655" s="70">
        <v>0</v>
      </c>
      <c r="P2655" s="70">
        <v>0</v>
      </c>
      <c r="Q2655" s="70">
        <f t="shared" si="229"/>
        <v>0</v>
      </c>
      <c r="R2655" s="70"/>
      <c r="S2655" s="67"/>
      <c r="T2655" s="2" t="str">
        <f t="shared" si="230"/>
        <v>Võ Khánh Băng_11KT4</v>
      </c>
      <c r="U2655" s="28">
        <f t="array" ref="U2655">IFERROR(VLOOKUP($T2655,'Nghi hoc T12'!$H$7:$I$160,2,0),0)</f>
        <v>0</v>
      </c>
      <c r="V2655" s="28"/>
      <c r="W2655" s="28">
        <f t="shared" si="231"/>
        <v>0</v>
      </c>
      <c r="X2655" s="333">
        <f t="shared" si="232"/>
        <v>0</v>
      </c>
      <c r="Y2655" s="333">
        <f t="shared" si="233"/>
        <v>0</v>
      </c>
    </row>
    <row r="2656" spans="1:25" s="2" customFormat="1" ht="21.95" customHeight="1">
      <c r="A2656" s="82">
        <v>15</v>
      </c>
      <c r="B2656" s="91" t="s">
        <v>3347</v>
      </c>
      <c r="C2656" s="83" t="s">
        <v>366</v>
      </c>
      <c r="D2656" s="81" t="s">
        <v>3009</v>
      </c>
      <c r="E2656" s="48">
        <v>500211</v>
      </c>
      <c r="F2656" s="30" t="s">
        <v>2798</v>
      </c>
      <c r="G2656" s="29" t="s">
        <v>313</v>
      </c>
      <c r="H2656" s="30" t="s">
        <v>3002</v>
      </c>
      <c r="I2656" s="78"/>
      <c r="J2656" s="20"/>
      <c r="K2656" s="20"/>
      <c r="L2656" s="20"/>
      <c r="M2656" s="20"/>
      <c r="N2656" s="320" t="s">
        <v>2685</v>
      </c>
      <c r="O2656" s="70">
        <v>0</v>
      </c>
      <c r="P2656" s="70">
        <v>0</v>
      </c>
      <c r="Q2656" s="70">
        <f t="shared" si="229"/>
        <v>0</v>
      </c>
      <c r="R2656" s="70"/>
      <c r="S2656" s="67"/>
      <c r="T2656" s="2" t="str">
        <f t="shared" si="230"/>
        <v>Lim Yam Chính_11KT1</v>
      </c>
      <c r="U2656" s="28">
        <f t="array" ref="U2656">IFERROR(VLOOKUP($T2656,'Nghi hoc T12'!$H$7:$I$160,2,0),0)</f>
        <v>0</v>
      </c>
      <c r="V2656" s="28"/>
      <c r="W2656" s="28">
        <f t="shared" si="231"/>
        <v>0</v>
      </c>
      <c r="X2656" s="333">
        <f t="shared" si="232"/>
        <v>0</v>
      </c>
      <c r="Y2656" s="333">
        <f t="shared" si="233"/>
        <v>0</v>
      </c>
    </row>
    <row r="2657" spans="1:25" s="2" customFormat="1" ht="21.95" customHeight="1">
      <c r="A2657" s="82">
        <v>16</v>
      </c>
      <c r="B2657" s="91" t="s">
        <v>3347</v>
      </c>
      <c r="C2657" s="83" t="s">
        <v>366</v>
      </c>
      <c r="D2657" s="81" t="s">
        <v>3009</v>
      </c>
      <c r="E2657" s="48">
        <v>500212</v>
      </c>
      <c r="F2657" s="30" t="s">
        <v>2799</v>
      </c>
      <c r="G2657" s="29" t="s">
        <v>35</v>
      </c>
      <c r="H2657" s="30" t="s">
        <v>3002</v>
      </c>
      <c r="I2657" s="78"/>
      <c r="J2657" s="20"/>
      <c r="K2657" s="20"/>
      <c r="L2657" s="20"/>
      <c r="M2657" s="20"/>
      <c r="N2657" s="320" t="s">
        <v>2685</v>
      </c>
      <c r="O2657" s="70">
        <v>0</v>
      </c>
      <c r="P2657" s="70">
        <v>0</v>
      </c>
      <c r="Q2657" s="70">
        <f t="shared" si="229"/>
        <v>0</v>
      </c>
      <c r="R2657" s="70"/>
      <c r="S2657" s="67"/>
      <c r="T2657" s="2" t="str">
        <f t="shared" si="230"/>
        <v>Nguyễn Mậu Cường_11KT1</v>
      </c>
      <c r="U2657" s="28">
        <f t="array" ref="U2657">IFERROR(VLOOKUP($T2657,'Nghi hoc T12'!$H$7:$I$160,2,0),0)</f>
        <v>0</v>
      </c>
      <c r="V2657" s="28"/>
      <c r="W2657" s="28">
        <f t="shared" si="231"/>
        <v>0</v>
      </c>
      <c r="X2657" s="333">
        <f t="shared" si="232"/>
        <v>0</v>
      </c>
      <c r="Y2657" s="333">
        <f t="shared" si="233"/>
        <v>0</v>
      </c>
    </row>
    <row r="2658" spans="1:25" s="2" customFormat="1" ht="21.95" customHeight="1">
      <c r="A2658" s="82">
        <v>17</v>
      </c>
      <c r="B2658" s="91" t="s">
        <v>3347</v>
      </c>
      <c r="C2658" s="83" t="s">
        <v>366</v>
      </c>
      <c r="D2658" s="81" t="s">
        <v>3009</v>
      </c>
      <c r="E2658" s="48">
        <v>500213</v>
      </c>
      <c r="F2658" s="30" t="s">
        <v>1613</v>
      </c>
      <c r="G2658" s="29" t="s">
        <v>89</v>
      </c>
      <c r="H2658" s="30" t="s">
        <v>3000</v>
      </c>
      <c r="I2658" s="78"/>
      <c r="J2658" s="20"/>
      <c r="K2658" s="20"/>
      <c r="L2658" s="20"/>
      <c r="M2658" s="20"/>
      <c r="N2658" s="320" t="s">
        <v>2685</v>
      </c>
      <c r="O2658" s="70">
        <v>0</v>
      </c>
      <c r="P2658" s="70">
        <v>0</v>
      </c>
      <c r="Q2658" s="70">
        <f t="shared" si="229"/>
        <v>0</v>
      </c>
      <c r="R2658" s="70"/>
      <c r="S2658" s="67"/>
      <c r="T2658" s="2" t="str">
        <f t="shared" si="230"/>
        <v>Huỳnh Văn Danh_11KT3</v>
      </c>
      <c r="U2658" s="28">
        <f t="array" ref="U2658">IFERROR(VLOOKUP($T2658,'Nghi hoc T12'!$H$7:$I$160,2,0),0)</f>
        <v>0</v>
      </c>
      <c r="V2658" s="28"/>
      <c r="W2658" s="28">
        <f t="shared" si="231"/>
        <v>0</v>
      </c>
      <c r="X2658" s="333">
        <f t="shared" si="232"/>
        <v>0</v>
      </c>
      <c r="Y2658" s="333">
        <f t="shared" si="233"/>
        <v>0</v>
      </c>
    </row>
    <row r="2659" spans="1:25" s="2" customFormat="1" ht="21.95" customHeight="1">
      <c r="A2659" s="82">
        <v>18</v>
      </c>
      <c r="B2659" s="91" t="s">
        <v>3347</v>
      </c>
      <c r="C2659" s="83" t="s">
        <v>366</v>
      </c>
      <c r="D2659" s="81" t="s">
        <v>3009</v>
      </c>
      <c r="E2659" s="48">
        <v>500214</v>
      </c>
      <c r="F2659" s="30" t="s">
        <v>2800</v>
      </c>
      <c r="G2659" s="29" t="s">
        <v>89</v>
      </c>
      <c r="H2659" s="30" t="s">
        <v>3001</v>
      </c>
      <c r="I2659" s="78"/>
      <c r="J2659" s="20"/>
      <c r="K2659" s="20"/>
      <c r="L2659" s="20"/>
      <c r="M2659" s="20"/>
      <c r="N2659" s="320" t="s">
        <v>2685</v>
      </c>
      <c r="O2659" s="70">
        <v>0</v>
      </c>
      <c r="P2659" s="70">
        <v>0</v>
      </c>
      <c r="Q2659" s="70">
        <f t="shared" si="229"/>
        <v>0</v>
      </c>
      <c r="R2659" s="70"/>
      <c r="S2659" s="67"/>
      <c r="T2659" s="2" t="str">
        <f t="shared" si="230"/>
        <v>Nguyễn Võ Thành Danh_11KT2</v>
      </c>
      <c r="U2659" s="28">
        <f t="array" ref="U2659">IFERROR(VLOOKUP($T2659,'Nghi hoc T12'!$H$7:$I$160,2,0),0)</f>
        <v>0</v>
      </c>
      <c r="V2659" s="28"/>
      <c r="W2659" s="28">
        <f t="shared" si="231"/>
        <v>0</v>
      </c>
      <c r="X2659" s="333">
        <f t="shared" si="232"/>
        <v>0</v>
      </c>
      <c r="Y2659" s="333">
        <f t="shared" si="233"/>
        <v>0</v>
      </c>
    </row>
    <row r="2660" spans="1:25" s="2" customFormat="1" ht="21.95" customHeight="1">
      <c r="A2660" s="82">
        <v>19</v>
      </c>
      <c r="B2660" s="91" t="s">
        <v>3347</v>
      </c>
      <c r="C2660" s="83" t="s">
        <v>366</v>
      </c>
      <c r="D2660" s="81" t="s">
        <v>3009</v>
      </c>
      <c r="E2660" s="48">
        <v>500215</v>
      </c>
      <c r="F2660" s="30" t="s">
        <v>2503</v>
      </c>
      <c r="G2660" s="29" t="s">
        <v>89</v>
      </c>
      <c r="H2660" s="30" t="s">
        <v>3003</v>
      </c>
      <c r="I2660" s="78"/>
      <c r="J2660" s="20"/>
      <c r="K2660" s="20"/>
      <c r="L2660" s="20"/>
      <c r="M2660" s="20"/>
      <c r="N2660" s="320" t="s">
        <v>2685</v>
      </c>
      <c r="O2660" s="70">
        <v>0</v>
      </c>
      <c r="P2660" s="70">
        <v>0</v>
      </c>
      <c r="Q2660" s="70">
        <f t="shared" si="229"/>
        <v>0</v>
      </c>
      <c r="R2660" s="70"/>
      <c r="S2660" s="67"/>
      <c r="T2660" s="2" t="str">
        <f t="shared" si="230"/>
        <v>Trần Thế Danh_11KT4</v>
      </c>
      <c r="U2660" s="28">
        <f t="array" ref="U2660">IFERROR(VLOOKUP($T2660,'Nghi hoc T12'!$H$7:$I$160,2,0),0)</f>
        <v>0</v>
      </c>
      <c r="V2660" s="28"/>
      <c r="W2660" s="28">
        <f t="shared" si="231"/>
        <v>0</v>
      </c>
      <c r="X2660" s="333">
        <f t="shared" si="232"/>
        <v>0</v>
      </c>
      <c r="Y2660" s="333">
        <f t="shared" si="233"/>
        <v>0</v>
      </c>
    </row>
    <row r="2661" spans="1:25" s="2" customFormat="1" ht="21.95" customHeight="1">
      <c r="A2661" s="82">
        <v>20</v>
      </c>
      <c r="B2661" s="91" t="s">
        <v>3347</v>
      </c>
      <c r="C2661" s="83" t="s">
        <v>366</v>
      </c>
      <c r="D2661" s="81" t="s">
        <v>3009</v>
      </c>
      <c r="E2661" s="48">
        <v>500216</v>
      </c>
      <c r="F2661" s="30" t="s">
        <v>2801</v>
      </c>
      <c r="G2661" s="29" t="s">
        <v>6</v>
      </c>
      <c r="H2661" s="30" t="s">
        <v>3002</v>
      </c>
      <c r="I2661" s="78"/>
      <c r="J2661" s="20"/>
      <c r="K2661" s="20"/>
      <c r="L2661" s="20"/>
      <c r="M2661" s="20"/>
      <c r="N2661" s="320" t="s">
        <v>2685</v>
      </c>
      <c r="O2661" s="70">
        <v>0</v>
      </c>
      <c r="P2661" s="70">
        <v>0</v>
      </c>
      <c r="Q2661" s="70">
        <f t="shared" si="229"/>
        <v>0</v>
      </c>
      <c r="R2661" s="70"/>
      <c r="S2661" s="67"/>
      <c r="T2661" s="2" t="str">
        <f t="shared" si="230"/>
        <v>Đặng Trung Dũng_11KT1</v>
      </c>
      <c r="U2661" s="28">
        <f t="array" ref="U2661">IFERROR(VLOOKUP($T2661,'Nghi hoc T12'!$H$7:$I$160,2,0),0)</f>
        <v>0</v>
      </c>
      <c r="V2661" s="28"/>
      <c r="W2661" s="28">
        <f t="shared" si="231"/>
        <v>0</v>
      </c>
      <c r="X2661" s="333">
        <f t="shared" si="232"/>
        <v>0</v>
      </c>
      <c r="Y2661" s="333">
        <f t="shared" si="233"/>
        <v>0</v>
      </c>
    </row>
    <row r="2662" spans="1:25" s="2" customFormat="1" ht="21.95" customHeight="1">
      <c r="A2662" s="82">
        <v>21</v>
      </c>
      <c r="B2662" s="91" t="s">
        <v>3347</v>
      </c>
      <c r="C2662" s="83" t="s">
        <v>366</v>
      </c>
      <c r="D2662" s="81" t="s">
        <v>3009</v>
      </c>
      <c r="E2662" s="48">
        <v>500217</v>
      </c>
      <c r="F2662" s="30" t="s">
        <v>221</v>
      </c>
      <c r="G2662" s="29" t="s">
        <v>6</v>
      </c>
      <c r="H2662" s="30" t="s">
        <v>3000</v>
      </c>
      <c r="I2662" s="78"/>
      <c r="J2662" s="20"/>
      <c r="K2662" s="20"/>
      <c r="L2662" s="20"/>
      <c r="M2662" s="20"/>
      <c r="N2662" s="320" t="s">
        <v>2685</v>
      </c>
      <c r="O2662" s="70">
        <v>0</v>
      </c>
      <c r="P2662" s="70">
        <v>0</v>
      </c>
      <c r="Q2662" s="70">
        <f t="shared" si="229"/>
        <v>0</v>
      </c>
      <c r="R2662" s="70"/>
      <c r="S2662" s="67"/>
      <c r="T2662" s="2" t="str">
        <f t="shared" si="230"/>
        <v>Nguyễn Tiến Dũng_11KT3</v>
      </c>
      <c r="U2662" s="28">
        <f t="array" ref="U2662">IFERROR(VLOOKUP($T2662,'Nghi hoc T12'!$H$7:$I$160,2,0),0)</f>
        <v>0</v>
      </c>
      <c r="V2662" s="28"/>
      <c r="W2662" s="28">
        <f t="shared" si="231"/>
        <v>0</v>
      </c>
      <c r="X2662" s="333">
        <f t="shared" si="232"/>
        <v>0</v>
      </c>
      <c r="Y2662" s="333">
        <f t="shared" si="233"/>
        <v>0</v>
      </c>
    </row>
    <row r="2663" spans="1:25" s="2" customFormat="1" ht="21.95" customHeight="1">
      <c r="A2663" s="82">
        <v>22</v>
      </c>
      <c r="B2663" s="91" t="s">
        <v>3347</v>
      </c>
      <c r="C2663" s="83" t="s">
        <v>366</v>
      </c>
      <c r="D2663" s="81" t="s">
        <v>3009</v>
      </c>
      <c r="E2663" s="48">
        <v>500218</v>
      </c>
      <c r="F2663" s="30" t="s">
        <v>221</v>
      </c>
      <c r="G2663" s="29" t="s">
        <v>6</v>
      </c>
      <c r="H2663" s="30" t="s">
        <v>3003</v>
      </c>
      <c r="I2663" s="78"/>
      <c r="J2663" s="20"/>
      <c r="K2663" s="20"/>
      <c r="L2663" s="20"/>
      <c r="M2663" s="20"/>
      <c r="N2663" s="320" t="s">
        <v>2685</v>
      </c>
      <c r="O2663" s="70">
        <v>0</v>
      </c>
      <c r="P2663" s="70">
        <v>0</v>
      </c>
      <c r="Q2663" s="70">
        <f t="shared" si="229"/>
        <v>0</v>
      </c>
      <c r="R2663" s="70"/>
      <c r="S2663" s="67"/>
      <c r="T2663" s="2" t="str">
        <f t="shared" si="230"/>
        <v>Nguyễn Tiến Dũng_11KT4</v>
      </c>
      <c r="U2663" s="28">
        <f t="array" ref="U2663">IFERROR(VLOOKUP($T2663,'Nghi hoc T12'!$H$7:$I$160,2,0),0)</f>
        <v>0</v>
      </c>
      <c r="V2663" s="28"/>
      <c r="W2663" s="28">
        <f t="shared" si="231"/>
        <v>0</v>
      </c>
      <c r="X2663" s="333">
        <f t="shared" si="232"/>
        <v>0</v>
      </c>
      <c r="Y2663" s="333">
        <f t="shared" si="233"/>
        <v>0</v>
      </c>
    </row>
    <row r="2664" spans="1:25" s="2" customFormat="1" ht="21.95" customHeight="1">
      <c r="A2664" s="82">
        <v>23</v>
      </c>
      <c r="B2664" s="91" t="s">
        <v>3347</v>
      </c>
      <c r="C2664" s="83" t="s">
        <v>366</v>
      </c>
      <c r="D2664" s="81" t="s">
        <v>3009</v>
      </c>
      <c r="E2664" s="48">
        <v>500219</v>
      </c>
      <c r="F2664" s="30" t="s">
        <v>2802</v>
      </c>
      <c r="G2664" s="29" t="s">
        <v>6</v>
      </c>
      <c r="H2664" s="30" t="s">
        <v>3002</v>
      </c>
      <c r="I2664" s="78"/>
      <c r="J2664" s="20"/>
      <c r="K2664" s="20"/>
      <c r="L2664" s="20"/>
      <c r="M2664" s="20"/>
      <c r="N2664" s="320" t="s">
        <v>2685</v>
      </c>
      <c r="O2664" s="70">
        <v>0</v>
      </c>
      <c r="P2664" s="70">
        <v>0</v>
      </c>
      <c r="Q2664" s="70">
        <f t="shared" si="229"/>
        <v>0</v>
      </c>
      <c r="R2664" s="70"/>
      <c r="S2664" s="67"/>
      <c r="T2664" s="2" t="str">
        <f t="shared" si="230"/>
        <v>Viên Nguyễn Tấn Dũng_11KT1</v>
      </c>
      <c r="U2664" s="28">
        <f t="array" ref="U2664">IFERROR(VLOOKUP($T2664,'Nghi hoc T12'!$H$7:$I$160,2,0),0)</f>
        <v>0</v>
      </c>
      <c r="V2664" s="28"/>
      <c r="W2664" s="28">
        <f t="shared" si="231"/>
        <v>0</v>
      </c>
      <c r="X2664" s="333">
        <f t="shared" si="232"/>
        <v>0</v>
      </c>
      <c r="Y2664" s="333">
        <f t="shared" si="233"/>
        <v>0</v>
      </c>
    </row>
    <row r="2665" spans="1:25" s="2" customFormat="1" ht="21.95" customHeight="1">
      <c r="A2665" s="82">
        <v>24</v>
      </c>
      <c r="B2665" s="91" t="s">
        <v>3347</v>
      </c>
      <c r="C2665" s="83" t="s">
        <v>366</v>
      </c>
      <c r="D2665" s="81" t="s">
        <v>3009</v>
      </c>
      <c r="E2665" s="48">
        <v>500220</v>
      </c>
      <c r="F2665" s="30" t="s">
        <v>2803</v>
      </c>
      <c r="G2665" s="29" t="s">
        <v>65</v>
      </c>
      <c r="H2665" s="30" t="s">
        <v>3003</v>
      </c>
      <c r="I2665" s="78"/>
      <c r="J2665" s="20"/>
      <c r="K2665" s="20"/>
      <c r="L2665" s="20"/>
      <c r="M2665" s="20"/>
      <c r="N2665" s="320" t="s">
        <v>2685</v>
      </c>
      <c r="O2665" s="70">
        <v>0</v>
      </c>
      <c r="P2665" s="70">
        <v>0</v>
      </c>
      <c r="Q2665" s="70">
        <f t="shared" si="229"/>
        <v>0</v>
      </c>
      <c r="R2665" s="70"/>
      <c r="S2665" s="67"/>
      <c r="T2665" s="2" t="str">
        <f t="shared" si="230"/>
        <v>Huỳnh Hà Thanh Duy_11KT4</v>
      </c>
      <c r="U2665" s="28">
        <f t="array" ref="U2665">IFERROR(VLOOKUP($T2665,'Nghi hoc T12'!$H$7:$I$160,2,0),0)</f>
        <v>0</v>
      </c>
      <c r="V2665" s="28"/>
      <c r="W2665" s="28">
        <f t="shared" si="231"/>
        <v>0</v>
      </c>
      <c r="X2665" s="333">
        <f t="shared" si="232"/>
        <v>0</v>
      </c>
      <c r="Y2665" s="333">
        <f t="shared" si="233"/>
        <v>0</v>
      </c>
    </row>
    <row r="2666" spans="1:25" s="2" customFormat="1" ht="21.95" customHeight="1">
      <c r="A2666" s="82">
        <v>25</v>
      </c>
      <c r="B2666" s="91" t="s">
        <v>3347</v>
      </c>
      <c r="C2666" s="83" t="s">
        <v>366</v>
      </c>
      <c r="D2666" s="81" t="s">
        <v>3009</v>
      </c>
      <c r="E2666" s="48">
        <v>500221</v>
      </c>
      <c r="F2666" s="30" t="s">
        <v>2804</v>
      </c>
      <c r="G2666" s="29" t="s">
        <v>65</v>
      </c>
      <c r="H2666" s="30" t="s">
        <v>3001</v>
      </c>
      <c r="I2666" s="78"/>
      <c r="J2666" s="20"/>
      <c r="K2666" s="20"/>
      <c r="L2666" s="20"/>
      <c r="M2666" s="20"/>
      <c r="N2666" s="320" t="s">
        <v>2685</v>
      </c>
      <c r="O2666" s="70">
        <v>0</v>
      </c>
      <c r="P2666" s="70">
        <v>0</v>
      </c>
      <c r="Q2666" s="70">
        <f t="shared" si="229"/>
        <v>0</v>
      </c>
      <c r="R2666" s="70"/>
      <c r="S2666" s="67"/>
      <c r="T2666" s="2" t="str">
        <f t="shared" si="230"/>
        <v>Huỳnh Khánh Duy_11KT2</v>
      </c>
      <c r="U2666" s="28">
        <f t="array" ref="U2666">IFERROR(VLOOKUP($T2666,'Nghi hoc T12'!$H$7:$I$160,2,0),0)</f>
        <v>0</v>
      </c>
      <c r="V2666" s="28"/>
      <c r="W2666" s="28">
        <f t="shared" si="231"/>
        <v>0</v>
      </c>
      <c r="X2666" s="333">
        <f t="shared" si="232"/>
        <v>0</v>
      </c>
      <c r="Y2666" s="333">
        <f t="shared" si="233"/>
        <v>0</v>
      </c>
    </row>
    <row r="2667" spans="1:25" s="2" customFormat="1" ht="21.95" customHeight="1">
      <c r="A2667" s="82">
        <v>26</v>
      </c>
      <c r="B2667" s="91" t="s">
        <v>3347</v>
      </c>
      <c r="C2667" s="83" t="s">
        <v>366</v>
      </c>
      <c r="D2667" s="81" t="s">
        <v>3009</v>
      </c>
      <c r="E2667" s="48">
        <v>500222</v>
      </c>
      <c r="F2667" s="30" t="s">
        <v>2805</v>
      </c>
      <c r="G2667" s="29" t="s">
        <v>65</v>
      </c>
      <c r="H2667" s="30" t="s">
        <v>3003</v>
      </c>
      <c r="I2667" s="78"/>
      <c r="J2667" s="20"/>
      <c r="K2667" s="20"/>
      <c r="L2667" s="20"/>
      <c r="M2667" s="20"/>
      <c r="N2667" s="320" t="s">
        <v>2685</v>
      </c>
      <c r="O2667" s="70">
        <v>0</v>
      </c>
      <c r="P2667" s="70">
        <v>0</v>
      </c>
      <c r="Q2667" s="70">
        <f t="shared" si="229"/>
        <v>0</v>
      </c>
      <c r="R2667" s="70"/>
      <c r="S2667" s="67"/>
      <c r="T2667" s="2" t="str">
        <f t="shared" si="230"/>
        <v>Huỳnh Nguyễn Khánh Duy_11KT4</v>
      </c>
      <c r="U2667" s="28">
        <f t="array" ref="U2667">IFERROR(VLOOKUP($T2667,'Nghi hoc T12'!$H$7:$I$160,2,0),0)</f>
        <v>0</v>
      </c>
      <c r="V2667" s="28"/>
      <c r="W2667" s="28">
        <f t="shared" si="231"/>
        <v>0</v>
      </c>
      <c r="X2667" s="333">
        <f t="shared" si="232"/>
        <v>0</v>
      </c>
      <c r="Y2667" s="333">
        <f t="shared" si="233"/>
        <v>0</v>
      </c>
    </row>
    <row r="2668" spans="1:25" s="2" customFormat="1" ht="21.95" customHeight="1">
      <c r="A2668" s="82">
        <v>27</v>
      </c>
      <c r="B2668" s="91" t="s">
        <v>3347</v>
      </c>
      <c r="C2668" s="83" t="s">
        <v>366</v>
      </c>
      <c r="D2668" s="81" t="s">
        <v>3009</v>
      </c>
      <c r="E2668" s="48">
        <v>500223</v>
      </c>
      <c r="F2668" s="30" t="s">
        <v>2314</v>
      </c>
      <c r="G2668" s="29" t="s">
        <v>65</v>
      </c>
      <c r="H2668" s="30" t="s">
        <v>3002</v>
      </c>
      <c r="I2668" s="78"/>
      <c r="J2668" s="20"/>
      <c r="K2668" s="20"/>
      <c r="L2668" s="20"/>
      <c r="M2668" s="20"/>
      <c r="N2668" s="320" t="s">
        <v>2685</v>
      </c>
      <c r="O2668" s="70">
        <v>0</v>
      </c>
      <c r="P2668" s="70">
        <v>0</v>
      </c>
      <c r="Q2668" s="70">
        <f t="shared" si="229"/>
        <v>0</v>
      </c>
      <c r="R2668" s="70"/>
      <c r="S2668" s="67"/>
      <c r="T2668" s="2" t="str">
        <f t="shared" si="230"/>
        <v>Nguyễn Lê Anh Duy_11KT1</v>
      </c>
      <c r="U2668" s="28">
        <f t="array" ref="U2668">IFERROR(VLOOKUP($T2668,'Nghi hoc T12'!$H$7:$I$160,2,0),0)</f>
        <v>0</v>
      </c>
      <c r="V2668" s="28"/>
      <c r="W2668" s="28">
        <f t="shared" si="231"/>
        <v>0</v>
      </c>
      <c r="X2668" s="333">
        <f t="shared" si="232"/>
        <v>0</v>
      </c>
      <c r="Y2668" s="333">
        <f t="shared" si="233"/>
        <v>0</v>
      </c>
    </row>
    <row r="2669" spans="1:25" s="2" customFormat="1" ht="21.95" customHeight="1">
      <c r="A2669" s="82">
        <v>28</v>
      </c>
      <c r="B2669" s="91" t="s">
        <v>3347</v>
      </c>
      <c r="C2669" s="83" t="s">
        <v>366</v>
      </c>
      <c r="D2669" s="81" t="s">
        <v>3009</v>
      </c>
      <c r="E2669" s="48">
        <v>500224</v>
      </c>
      <c r="F2669" s="30" t="s">
        <v>2806</v>
      </c>
      <c r="G2669" s="29" t="s">
        <v>65</v>
      </c>
      <c r="H2669" s="30" t="s">
        <v>3000</v>
      </c>
      <c r="I2669" s="78"/>
      <c r="J2669" s="20"/>
      <c r="K2669" s="20"/>
      <c r="L2669" s="20"/>
      <c r="M2669" s="20"/>
      <c r="N2669" s="320" t="s">
        <v>2685</v>
      </c>
      <c r="O2669" s="70">
        <v>0</v>
      </c>
      <c r="P2669" s="70">
        <v>0</v>
      </c>
      <c r="Q2669" s="70">
        <f t="shared" si="229"/>
        <v>0</v>
      </c>
      <c r="R2669" s="70"/>
      <c r="S2669" s="67"/>
      <c r="T2669" s="2" t="str">
        <f t="shared" si="230"/>
        <v>Phan Thị Thúy Duy_11KT3</v>
      </c>
      <c r="U2669" s="28">
        <f t="array" ref="U2669">IFERROR(VLOOKUP($T2669,'Nghi hoc T12'!$H$7:$I$160,2,0),0)</f>
        <v>0</v>
      </c>
      <c r="V2669" s="28"/>
      <c r="W2669" s="28">
        <f t="shared" si="231"/>
        <v>0</v>
      </c>
      <c r="X2669" s="333">
        <f t="shared" si="232"/>
        <v>0</v>
      </c>
      <c r="Y2669" s="333">
        <f t="shared" si="233"/>
        <v>0</v>
      </c>
    </row>
    <row r="2670" spans="1:25" s="2" customFormat="1" ht="21.95" customHeight="1">
      <c r="A2670" s="321">
        <v>1</v>
      </c>
      <c r="B2670" s="91" t="s">
        <v>3348</v>
      </c>
      <c r="C2670" s="185" t="s">
        <v>366</v>
      </c>
      <c r="D2670" s="186" t="s">
        <v>3010</v>
      </c>
      <c r="E2670" s="187">
        <v>500225</v>
      </c>
      <c r="F2670" s="188" t="s">
        <v>2807</v>
      </c>
      <c r="G2670" s="189" t="s">
        <v>65</v>
      </c>
      <c r="H2670" s="188" t="s">
        <v>3001</v>
      </c>
      <c r="I2670" s="190"/>
      <c r="J2670" s="191"/>
      <c r="K2670" s="191"/>
      <c r="L2670" s="191"/>
      <c r="M2670" s="191"/>
      <c r="N2670" s="320" t="s">
        <v>2685</v>
      </c>
      <c r="O2670" s="70">
        <v>0</v>
      </c>
      <c r="P2670" s="70">
        <v>0</v>
      </c>
      <c r="Q2670" s="70">
        <f t="shared" si="229"/>
        <v>0</v>
      </c>
      <c r="R2670" s="70"/>
      <c r="S2670" s="67"/>
      <c r="T2670" s="2" t="str">
        <f t="shared" si="230"/>
        <v>Trần Nguyễn Thanh Duy_11KT2</v>
      </c>
      <c r="U2670" s="28">
        <f t="array" ref="U2670">IFERROR(VLOOKUP($T2670,'Nghi hoc T12'!$H$7:$I$160,2,0),0)</f>
        <v>0</v>
      </c>
      <c r="V2670" s="28"/>
      <c r="W2670" s="28">
        <f t="shared" si="231"/>
        <v>0</v>
      </c>
      <c r="X2670" s="333">
        <f t="shared" si="232"/>
        <v>0</v>
      </c>
      <c r="Y2670" s="333">
        <f t="shared" si="233"/>
        <v>0</v>
      </c>
    </row>
    <row r="2671" spans="1:25" s="2" customFormat="1" ht="21.95" customHeight="1">
      <c r="A2671" s="82">
        <v>2</v>
      </c>
      <c r="B2671" s="91" t="s">
        <v>3348</v>
      </c>
      <c r="C2671" s="83" t="s">
        <v>366</v>
      </c>
      <c r="D2671" s="81" t="s">
        <v>3010</v>
      </c>
      <c r="E2671" s="48">
        <v>500226</v>
      </c>
      <c r="F2671" s="30" t="s">
        <v>195</v>
      </c>
      <c r="G2671" s="29" t="s">
        <v>53</v>
      </c>
      <c r="H2671" s="30" t="s">
        <v>3001</v>
      </c>
      <c r="I2671" s="78"/>
      <c r="J2671" s="20"/>
      <c r="K2671" s="20"/>
      <c r="L2671" s="20"/>
      <c r="M2671" s="20"/>
      <c r="N2671" s="320" t="s">
        <v>2685</v>
      </c>
      <c r="O2671" s="70">
        <v>0</v>
      </c>
      <c r="P2671" s="70">
        <v>0</v>
      </c>
      <c r="Q2671" s="70">
        <f t="shared" si="229"/>
        <v>0</v>
      </c>
      <c r="R2671" s="70"/>
      <c r="S2671" s="67"/>
      <c r="T2671" s="2" t="str">
        <f t="shared" si="230"/>
        <v>Vũ Minh Dương_11KT2</v>
      </c>
      <c r="U2671" s="28">
        <f t="array" ref="U2671">IFERROR(VLOOKUP($T2671,'Nghi hoc T12'!$H$7:$I$160,2,0),0)</f>
        <v>0</v>
      </c>
      <c r="V2671" s="28"/>
      <c r="W2671" s="28">
        <f t="shared" si="231"/>
        <v>0</v>
      </c>
      <c r="X2671" s="333">
        <f t="shared" si="232"/>
        <v>0</v>
      </c>
      <c r="Y2671" s="333">
        <f t="shared" si="233"/>
        <v>0</v>
      </c>
    </row>
    <row r="2672" spans="1:25" s="2" customFormat="1" ht="21.95" customHeight="1">
      <c r="A2672" s="82">
        <v>3</v>
      </c>
      <c r="B2672" s="91" t="s">
        <v>3348</v>
      </c>
      <c r="C2672" s="83" t="s">
        <v>366</v>
      </c>
      <c r="D2672" s="81" t="s">
        <v>3010</v>
      </c>
      <c r="E2672" s="48">
        <v>500227</v>
      </c>
      <c r="F2672" s="30" t="s">
        <v>170</v>
      </c>
      <c r="G2672" s="29" t="s">
        <v>7</v>
      </c>
      <c r="H2672" s="30" t="s">
        <v>3003</v>
      </c>
      <c r="I2672" s="78"/>
      <c r="J2672" s="20"/>
      <c r="K2672" s="20"/>
      <c r="L2672" s="20"/>
      <c r="M2672" s="20"/>
      <c r="N2672" s="320" t="s">
        <v>2685</v>
      </c>
      <c r="O2672" s="70">
        <v>0</v>
      </c>
      <c r="P2672" s="70">
        <v>0</v>
      </c>
      <c r="Q2672" s="70">
        <f t="shared" si="229"/>
        <v>0</v>
      </c>
      <c r="R2672" s="70"/>
      <c r="S2672" s="67"/>
      <c r="T2672" s="2" t="str">
        <f t="shared" si="230"/>
        <v>Nguyễn Ngọc Minh Đạt_11KT4</v>
      </c>
      <c r="U2672" s="28">
        <f t="array" ref="U2672">IFERROR(VLOOKUP($T2672,'Nghi hoc T12'!$H$7:$I$160,2,0),0)</f>
        <v>0</v>
      </c>
      <c r="V2672" s="28"/>
      <c r="W2672" s="28">
        <f t="shared" si="231"/>
        <v>0</v>
      </c>
      <c r="X2672" s="333">
        <f t="shared" si="232"/>
        <v>0</v>
      </c>
      <c r="Y2672" s="333">
        <f t="shared" si="233"/>
        <v>0</v>
      </c>
    </row>
    <row r="2673" spans="1:25" s="2" customFormat="1" ht="21.95" customHeight="1">
      <c r="A2673" s="82">
        <v>4</v>
      </c>
      <c r="B2673" s="91" t="s">
        <v>3348</v>
      </c>
      <c r="C2673" s="83" t="s">
        <v>366</v>
      </c>
      <c r="D2673" s="81" t="s">
        <v>3010</v>
      </c>
      <c r="E2673" s="48">
        <v>500228</v>
      </c>
      <c r="F2673" s="30" t="s">
        <v>268</v>
      </c>
      <c r="G2673" s="29" t="s">
        <v>7</v>
      </c>
      <c r="H2673" s="30" t="s">
        <v>3000</v>
      </c>
      <c r="I2673" s="78"/>
      <c r="J2673" s="20"/>
      <c r="K2673" s="20"/>
      <c r="L2673" s="20"/>
      <c r="M2673" s="20"/>
      <c r="N2673" s="320" t="s">
        <v>2685</v>
      </c>
      <c r="O2673" s="70">
        <v>0</v>
      </c>
      <c r="P2673" s="70">
        <v>0</v>
      </c>
      <c r="Q2673" s="70">
        <f t="shared" si="229"/>
        <v>0</v>
      </c>
      <c r="R2673" s="70"/>
      <c r="S2673" s="67"/>
      <c r="T2673" s="2" t="str">
        <f t="shared" si="230"/>
        <v>Nguyễn Văn Đạt_11KT3</v>
      </c>
      <c r="U2673" s="28">
        <f t="array" ref="U2673">IFERROR(VLOOKUP($T2673,'Nghi hoc T12'!$H$7:$I$160,2,0),0)</f>
        <v>0</v>
      </c>
      <c r="V2673" s="28"/>
      <c r="W2673" s="28">
        <f t="shared" si="231"/>
        <v>0</v>
      </c>
      <c r="X2673" s="333">
        <f t="shared" si="232"/>
        <v>0</v>
      </c>
      <c r="Y2673" s="333">
        <f t="shared" si="233"/>
        <v>0</v>
      </c>
    </row>
    <row r="2674" spans="1:25" s="2" customFormat="1" ht="21.95" customHeight="1">
      <c r="A2674" s="82">
        <v>5</v>
      </c>
      <c r="B2674" s="91" t="s">
        <v>3348</v>
      </c>
      <c r="C2674" s="83" t="s">
        <v>366</v>
      </c>
      <c r="D2674" s="81" t="s">
        <v>3010</v>
      </c>
      <c r="E2674" s="48">
        <v>500229</v>
      </c>
      <c r="F2674" s="30" t="s">
        <v>2808</v>
      </c>
      <c r="G2674" s="29" t="s">
        <v>7</v>
      </c>
      <c r="H2674" s="30" t="s">
        <v>3002</v>
      </c>
      <c r="I2674" s="78"/>
      <c r="J2674" s="20"/>
      <c r="K2674" s="20"/>
      <c r="L2674" s="20"/>
      <c r="M2674" s="20"/>
      <c r="N2674" s="320" t="s">
        <v>2685</v>
      </c>
      <c r="O2674" s="70">
        <v>0</v>
      </c>
      <c r="P2674" s="70">
        <v>0</v>
      </c>
      <c r="Q2674" s="70">
        <f t="shared" si="229"/>
        <v>0</v>
      </c>
      <c r="R2674" s="70"/>
      <c r="S2674" s="67"/>
      <c r="T2674" s="2" t="str">
        <f t="shared" si="230"/>
        <v>Trần Lê Thành Đạt_11KT1</v>
      </c>
      <c r="U2674" s="28">
        <f t="array" ref="U2674">IFERROR(VLOOKUP($T2674,'Nghi hoc T12'!$H$7:$I$160,2,0),0)</f>
        <v>0</v>
      </c>
      <c r="V2674" s="28"/>
      <c r="W2674" s="28">
        <f t="shared" si="231"/>
        <v>0</v>
      </c>
      <c r="X2674" s="333">
        <f t="shared" si="232"/>
        <v>0</v>
      </c>
      <c r="Y2674" s="333">
        <f t="shared" si="233"/>
        <v>0</v>
      </c>
    </row>
    <row r="2675" spans="1:25" s="2" customFormat="1" ht="21.95" customHeight="1">
      <c r="A2675" s="82">
        <v>6</v>
      </c>
      <c r="B2675" s="91" t="s">
        <v>3348</v>
      </c>
      <c r="C2675" s="83" t="s">
        <v>366</v>
      </c>
      <c r="D2675" s="81" t="s">
        <v>3010</v>
      </c>
      <c r="E2675" s="48">
        <v>500230</v>
      </c>
      <c r="F2675" s="30" t="s">
        <v>314</v>
      </c>
      <c r="G2675" s="29" t="s">
        <v>119</v>
      </c>
      <c r="H2675" s="30" t="s">
        <v>3001</v>
      </c>
      <c r="I2675" s="78"/>
      <c r="J2675" s="20"/>
      <c r="K2675" s="20"/>
      <c r="L2675" s="20"/>
      <c r="M2675" s="20"/>
      <c r="N2675" s="320" t="s">
        <v>2685</v>
      </c>
      <c r="O2675" s="70">
        <v>0</v>
      </c>
      <c r="P2675" s="70">
        <v>0</v>
      </c>
      <c r="Q2675" s="70">
        <f t="shared" si="229"/>
        <v>0</v>
      </c>
      <c r="R2675" s="70"/>
      <c r="S2675" s="67"/>
      <c r="T2675" s="2" t="str">
        <f t="shared" si="230"/>
        <v>Phạm Minh Đăng_11KT2</v>
      </c>
      <c r="U2675" s="28">
        <f t="array" ref="U2675">IFERROR(VLOOKUP($T2675,'Nghi hoc T12'!$H$7:$I$160,2,0),0)</f>
        <v>0</v>
      </c>
      <c r="V2675" s="28"/>
      <c r="W2675" s="28">
        <f t="shared" si="231"/>
        <v>0</v>
      </c>
      <c r="X2675" s="333">
        <f t="shared" si="232"/>
        <v>0</v>
      </c>
      <c r="Y2675" s="333">
        <f t="shared" si="233"/>
        <v>0</v>
      </c>
    </row>
    <row r="2676" spans="1:25" s="2" customFormat="1" ht="21.95" customHeight="1">
      <c r="A2676" s="82">
        <v>7</v>
      </c>
      <c r="B2676" s="91" t="s">
        <v>3348</v>
      </c>
      <c r="C2676" s="83" t="s">
        <v>366</v>
      </c>
      <c r="D2676" s="81" t="s">
        <v>3010</v>
      </c>
      <c r="E2676" s="48">
        <v>500231</v>
      </c>
      <c r="F2676" s="30" t="s">
        <v>2809</v>
      </c>
      <c r="G2676" s="29" t="s">
        <v>1812</v>
      </c>
      <c r="H2676" s="30" t="s">
        <v>3001</v>
      </c>
      <c r="I2676" s="78"/>
      <c r="J2676" s="20"/>
      <c r="K2676" s="20"/>
      <c r="L2676" s="20"/>
      <c r="M2676" s="20"/>
      <c r="N2676" s="320" t="s">
        <v>2685</v>
      </c>
      <c r="O2676" s="70">
        <v>0</v>
      </c>
      <c r="P2676" s="70">
        <v>0</v>
      </c>
      <c r="Q2676" s="70">
        <f t="shared" si="229"/>
        <v>0</v>
      </c>
      <c r="R2676" s="70"/>
      <c r="S2676" s="67"/>
      <c r="T2676" s="2" t="str">
        <f t="shared" si="230"/>
        <v>Vũ Duy Đông_11KT2</v>
      </c>
      <c r="U2676" s="28">
        <f t="array" ref="U2676">IFERROR(VLOOKUP($T2676,'Nghi hoc T12'!$H$7:$I$160,2,0),0)</f>
        <v>0</v>
      </c>
      <c r="V2676" s="28"/>
      <c r="W2676" s="28">
        <f t="shared" si="231"/>
        <v>0</v>
      </c>
      <c r="X2676" s="333">
        <f t="shared" si="232"/>
        <v>0</v>
      </c>
      <c r="Y2676" s="333">
        <f t="shared" si="233"/>
        <v>0</v>
      </c>
    </row>
    <row r="2677" spans="1:25" s="2" customFormat="1" ht="21.95" customHeight="1">
      <c r="A2677" s="82">
        <v>8</v>
      </c>
      <c r="B2677" s="91" t="s">
        <v>3348</v>
      </c>
      <c r="C2677" s="83" t="s">
        <v>366</v>
      </c>
      <c r="D2677" s="81" t="s">
        <v>3010</v>
      </c>
      <c r="E2677" s="48">
        <v>500232</v>
      </c>
      <c r="F2677" s="30" t="s">
        <v>2810</v>
      </c>
      <c r="G2677" s="29" t="s">
        <v>36</v>
      </c>
      <c r="H2677" s="30" t="s">
        <v>3000</v>
      </c>
      <c r="I2677" s="78"/>
      <c r="J2677" s="20"/>
      <c r="K2677" s="20"/>
      <c r="L2677" s="20"/>
      <c r="M2677" s="20"/>
      <c r="N2677" s="320" t="s">
        <v>2685</v>
      </c>
      <c r="O2677" s="70">
        <v>0</v>
      </c>
      <c r="P2677" s="70">
        <v>0</v>
      </c>
      <c r="Q2677" s="70">
        <f t="shared" si="229"/>
        <v>0</v>
      </c>
      <c r="R2677" s="70"/>
      <c r="S2677" s="67"/>
      <c r="T2677" s="2" t="str">
        <f t="shared" si="230"/>
        <v>Ngô Công Đức_11KT3</v>
      </c>
      <c r="U2677" s="28">
        <f t="array" ref="U2677">IFERROR(VLOOKUP($T2677,'Nghi hoc T12'!$H$7:$I$160,2,0),0)</f>
        <v>0</v>
      </c>
      <c r="V2677" s="28"/>
      <c r="W2677" s="28">
        <f t="shared" si="231"/>
        <v>0</v>
      </c>
      <c r="X2677" s="333">
        <f t="shared" si="232"/>
        <v>0</v>
      </c>
      <c r="Y2677" s="333">
        <f t="shared" si="233"/>
        <v>0</v>
      </c>
    </row>
    <row r="2678" spans="1:25" s="2" customFormat="1" ht="21.95" customHeight="1">
      <c r="A2678" s="82">
        <v>9</v>
      </c>
      <c r="B2678" s="91" t="s">
        <v>3348</v>
      </c>
      <c r="C2678" s="83" t="s">
        <v>366</v>
      </c>
      <c r="D2678" s="81" t="s">
        <v>3010</v>
      </c>
      <c r="E2678" s="48">
        <v>500233</v>
      </c>
      <c r="F2678" s="30" t="s">
        <v>330</v>
      </c>
      <c r="G2678" s="29" t="s">
        <v>439</v>
      </c>
      <c r="H2678" s="30" t="s">
        <v>3002</v>
      </c>
      <c r="I2678" s="78"/>
      <c r="J2678" s="20"/>
      <c r="K2678" s="20"/>
      <c r="L2678" s="20"/>
      <c r="M2678" s="20"/>
      <c r="N2678" s="320" t="s">
        <v>2685</v>
      </c>
      <c r="O2678" s="70">
        <v>0</v>
      </c>
      <c r="P2678" s="70">
        <v>0</v>
      </c>
      <c r="Q2678" s="70">
        <f t="shared" si="229"/>
        <v>0</v>
      </c>
      <c r="R2678" s="70"/>
      <c r="S2678" s="67"/>
      <c r="T2678" s="2" t="str">
        <f t="shared" si="230"/>
        <v>Nguyễn Giang_11KT1</v>
      </c>
      <c r="U2678" s="28">
        <f t="array" ref="U2678">IFERROR(VLOOKUP($T2678,'Nghi hoc T12'!$H$7:$I$160,2,0),0)</f>
        <v>0</v>
      </c>
      <c r="V2678" s="28"/>
      <c r="W2678" s="28">
        <f t="shared" si="231"/>
        <v>0</v>
      </c>
      <c r="X2678" s="333">
        <f t="shared" si="232"/>
        <v>0</v>
      </c>
      <c r="Y2678" s="333">
        <f t="shared" si="233"/>
        <v>0</v>
      </c>
    </row>
    <row r="2679" spans="1:25" s="2" customFormat="1" ht="21.95" customHeight="1">
      <c r="A2679" s="82">
        <v>10</v>
      </c>
      <c r="B2679" s="91" t="s">
        <v>3348</v>
      </c>
      <c r="C2679" s="83" t="s">
        <v>366</v>
      </c>
      <c r="D2679" s="81" t="s">
        <v>3010</v>
      </c>
      <c r="E2679" s="48">
        <v>500234</v>
      </c>
      <c r="F2679" s="30" t="s">
        <v>2811</v>
      </c>
      <c r="G2679" s="29" t="s">
        <v>143</v>
      </c>
      <c r="H2679" s="30" t="s">
        <v>3003</v>
      </c>
      <c r="I2679" s="78"/>
      <c r="J2679" s="20"/>
      <c r="K2679" s="20"/>
      <c r="L2679" s="20"/>
      <c r="M2679" s="20"/>
      <c r="N2679" s="320" t="s">
        <v>2685</v>
      </c>
      <c r="O2679" s="70">
        <v>0</v>
      </c>
      <c r="P2679" s="70">
        <v>0</v>
      </c>
      <c r="Q2679" s="70">
        <f t="shared" si="229"/>
        <v>0</v>
      </c>
      <c r="R2679" s="70"/>
      <c r="S2679" s="67"/>
      <c r="T2679" s="2" t="str">
        <f t="shared" si="230"/>
        <v>Đào Ngọc Bảo Hà_11KT4</v>
      </c>
      <c r="U2679" s="28">
        <f t="array" ref="U2679">IFERROR(VLOOKUP($T2679,'Nghi hoc T12'!$H$7:$I$160,2,0),0)</f>
        <v>0</v>
      </c>
      <c r="V2679" s="28"/>
      <c r="W2679" s="28">
        <f t="shared" si="231"/>
        <v>0</v>
      </c>
      <c r="X2679" s="333">
        <f t="shared" si="232"/>
        <v>0</v>
      </c>
      <c r="Y2679" s="333">
        <f t="shared" si="233"/>
        <v>0</v>
      </c>
    </row>
    <row r="2680" spans="1:25" s="2" customFormat="1" ht="21.95" customHeight="1">
      <c r="A2680" s="82">
        <v>11</v>
      </c>
      <c r="B2680" s="91" t="s">
        <v>3348</v>
      </c>
      <c r="C2680" s="83" t="s">
        <v>366</v>
      </c>
      <c r="D2680" s="81" t="s">
        <v>3010</v>
      </c>
      <c r="E2680" s="48">
        <v>500235</v>
      </c>
      <c r="F2680" s="30" t="s">
        <v>1123</v>
      </c>
      <c r="G2680" s="29" t="s">
        <v>171</v>
      </c>
      <c r="H2680" s="30" t="s">
        <v>3001</v>
      </c>
      <c r="I2680" s="78"/>
      <c r="J2680" s="20"/>
      <c r="K2680" s="20"/>
      <c r="L2680" s="20"/>
      <c r="M2680" s="20"/>
      <c r="N2680" s="320" t="s">
        <v>2685</v>
      </c>
      <c r="O2680" s="70">
        <v>0</v>
      </c>
      <c r="P2680" s="70">
        <v>0</v>
      </c>
      <c r="Q2680" s="70">
        <f t="shared" si="229"/>
        <v>0</v>
      </c>
      <c r="R2680" s="70"/>
      <c r="S2680" s="67"/>
      <c r="T2680" s="2" t="str">
        <f t="shared" si="230"/>
        <v>Phạm Tiến Hải_11KT2</v>
      </c>
      <c r="U2680" s="28">
        <f t="array" ref="U2680">IFERROR(VLOOKUP($T2680,'Nghi hoc T12'!$H$7:$I$160,2,0),0)</f>
        <v>0</v>
      </c>
      <c r="V2680" s="28"/>
      <c r="W2680" s="28">
        <f t="shared" si="231"/>
        <v>0</v>
      </c>
      <c r="X2680" s="333">
        <f t="shared" si="232"/>
        <v>0</v>
      </c>
      <c r="Y2680" s="333">
        <f t="shared" si="233"/>
        <v>0</v>
      </c>
    </row>
    <row r="2681" spans="1:25" s="2" customFormat="1" ht="21.95" customHeight="1">
      <c r="A2681" s="82">
        <v>12</v>
      </c>
      <c r="B2681" s="91" t="s">
        <v>3348</v>
      </c>
      <c r="C2681" s="83" t="s">
        <v>366</v>
      </c>
      <c r="D2681" s="81" t="s">
        <v>3010</v>
      </c>
      <c r="E2681" s="48">
        <v>500236</v>
      </c>
      <c r="F2681" s="30" t="s">
        <v>184</v>
      </c>
      <c r="G2681" s="29" t="s">
        <v>1736</v>
      </c>
      <c r="H2681" s="30" t="s">
        <v>3003</v>
      </c>
      <c r="I2681" s="78"/>
      <c r="J2681" s="20"/>
      <c r="K2681" s="20"/>
      <c r="L2681" s="20"/>
      <c r="M2681" s="20"/>
      <c r="N2681" s="320" t="s">
        <v>2685</v>
      </c>
      <c r="O2681" s="70">
        <v>0</v>
      </c>
      <c r="P2681" s="70">
        <v>0</v>
      </c>
      <c r="Q2681" s="70">
        <f t="shared" si="229"/>
        <v>0</v>
      </c>
      <c r="R2681" s="70"/>
      <c r="S2681" s="67"/>
      <c r="T2681" s="2" t="str">
        <f t="shared" si="230"/>
        <v>Nguyễn Duy Hạnh_11KT4</v>
      </c>
      <c r="U2681" s="28">
        <f t="array" ref="U2681">IFERROR(VLOOKUP($T2681,'Nghi hoc T12'!$H$7:$I$160,2,0),0)</f>
        <v>0</v>
      </c>
      <c r="V2681" s="28"/>
      <c r="W2681" s="28">
        <f t="shared" si="231"/>
        <v>0</v>
      </c>
      <c r="X2681" s="333">
        <f t="shared" si="232"/>
        <v>0</v>
      </c>
      <c r="Y2681" s="333">
        <f t="shared" si="233"/>
        <v>0</v>
      </c>
    </row>
    <row r="2682" spans="1:25" s="2" customFormat="1" ht="21.95" customHeight="1">
      <c r="A2682" s="82">
        <v>13</v>
      </c>
      <c r="B2682" s="91" t="s">
        <v>3348</v>
      </c>
      <c r="C2682" s="83" t="s">
        <v>366</v>
      </c>
      <c r="D2682" s="81" t="s">
        <v>3010</v>
      </c>
      <c r="E2682" s="48">
        <v>500237</v>
      </c>
      <c r="F2682" s="30" t="s">
        <v>2771</v>
      </c>
      <c r="G2682" s="29" t="s">
        <v>78</v>
      </c>
      <c r="H2682" s="30" t="s">
        <v>3000</v>
      </c>
      <c r="I2682" s="78"/>
      <c r="J2682" s="20"/>
      <c r="K2682" s="20"/>
      <c r="L2682" s="20"/>
      <c r="M2682" s="20"/>
      <c r="N2682" s="320" t="s">
        <v>2685</v>
      </c>
      <c r="O2682" s="70">
        <v>0</v>
      </c>
      <c r="P2682" s="70">
        <v>0</v>
      </c>
      <c r="Q2682" s="70">
        <f t="shared" si="229"/>
        <v>0</v>
      </c>
      <c r="R2682" s="70"/>
      <c r="S2682" s="67"/>
      <c r="T2682" s="2" t="str">
        <f t="shared" si="230"/>
        <v>Trần Nguyễn Anh Hào_11KT3</v>
      </c>
      <c r="U2682" s="28">
        <f t="array" ref="U2682">IFERROR(VLOOKUP($T2682,'Nghi hoc T12'!$H$7:$I$160,2,0),0)</f>
        <v>0</v>
      </c>
      <c r="V2682" s="28"/>
      <c r="W2682" s="28">
        <f t="shared" si="231"/>
        <v>0</v>
      </c>
      <c r="X2682" s="333">
        <f t="shared" si="232"/>
        <v>0</v>
      </c>
      <c r="Y2682" s="333">
        <f t="shared" si="233"/>
        <v>0</v>
      </c>
    </row>
    <row r="2683" spans="1:25" s="2" customFormat="1" ht="21.95" customHeight="1">
      <c r="A2683" s="82">
        <v>14</v>
      </c>
      <c r="B2683" s="91" t="s">
        <v>3348</v>
      </c>
      <c r="C2683" s="83" t="s">
        <v>366</v>
      </c>
      <c r="D2683" s="81" t="s">
        <v>3010</v>
      </c>
      <c r="E2683" s="48">
        <v>500238</v>
      </c>
      <c r="F2683" s="30" t="s">
        <v>2115</v>
      </c>
      <c r="G2683" s="29" t="s">
        <v>78</v>
      </c>
      <c r="H2683" s="30" t="s">
        <v>3003</v>
      </c>
      <c r="I2683" s="78"/>
      <c r="J2683" s="20"/>
      <c r="K2683" s="20"/>
      <c r="L2683" s="20"/>
      <c r="M2683" s="20"/>
      <c r="N2683" s="320" t="s">
        <v>2685</v>
      </c>
      <c r="O2683" s="70">
        <v>0</v>
      </c>
      <c r="P2683" s="70">
        <v>0</v>
      </c>
      <c r="Q2683" s="70">
        <f t="shared" si="229"/>
        <v>0</v>
      </c>
      <c r="R2683" s="70"/>
      <c r="S2683" s="67"/>
      <c r="T2683" s="2" t="str">
        <f t="shared" si="230"/>
        <v>Trần Văn Hào_11KT4</v>
      </c>
      <c r="U2683" s="28">
        <f t="array" ref="U2683">IFERROR(VLOOKUP($T2683,'Nghi hoc T12'!$H$7:$I$160,2,0),0)</f>
        <v>0</v>
      </c>
      <c r="V2683" s="28"/>
      <c r="W2683" s="28">
        <f t="shared" si="231"/>
        <v>0</v>
      </c>
      <c r="X2683" s="333">
        <f t="shared" si="232"/>
        <v>0</v>
      </c>
      <c r="Y2683" s="333">
        <f t="shared" si="233"/>
        <v>0</v>
      </c>
    </row>
    <row r="2684" spans="1:25" s="2" customFormat="1" ht="21.95" customHeight="1">
      <c r="A2684" s="82">
        <v>15</v>
      </c>
      <c r="B2684" s="91" t="s">
        <v>3348</v>
      </c>
      <c r="C2684" s="83" t="s">
        <v>366</v>
      </c>
      <c r="D2684" s="81" t="s">
        <v>3010</v>
      </c>
      <c r="E2684" s="48">
        <v>500239</v>
      </c>
      <c r="F2684" s="30" t="s">
        <v>183</v>
      </c>
      <c r="G2684" s="29" t="s">
        <v>173</v>
      </c>
      <c r="H2684" s="30" t="s">
        <v>3001</v>
      </c>
      <c r="I2684" s="78"/>
      <c r="J2684" s="20"/>
      <c r="K2684" s="20"/>
      <c r="L2684" s="20"/>
      <c r="M2684" s="20"/>
      <c r="N2684" s="320" t="s">
        <v>2685</v>
      </c>
      <c r="O2684" s="70">
        <v>0</v>
      </c>
      <c r="P2684" s="70">
        <v>0</v>
      </c>
      <c r="Q2684" s="70">
        <f t="shared" si="229"/>
        <v>0</v>
      </c>
      <c r="R2684" s="70"/>
      <c r="S2684" s="67"/>
      <c r="T2684" s="2" t="str">
        <f t="shared" si="230"/>
        <v>Nguyễn Thanh Hằng_11KT2</v>
      </c>
      <c r="U2684" s="28">
        <f t="array" ref="U2684">IFERROR(VLOOKUP($T2684,'Nghi hoc T12'!$H$7:$I$160,2,0),0)</f>
        <v>0</v>
      </c>
      <c r="V2684" s="28"/>
      <c r="W2684" s="28">
        <f t="shared" si="231"/>
        <v>0</v>
      </c>
      <c r="X2684" s="333">
        <f t="shared" si="232"/>
        <v>0</v>
      </c>
      <c r="Y2684" s="333">
        <f t="shared" si="233"/>
        <v>0</v>
      </c>
    </row>
    <row r="2685" spans="1:25" s="2" customFormat="1" ht="21.95" customHeight="1">
      <c r="A2685" s="82">
        <v>16</v>
      </c>
      <c r="B2685" s="91" t="s">
        <v>3348</v>
      </c>
      <c r="C2685" s="83" t="s">
        <v>366</v>
      </c>
      <c r="D2685" s="81" t="s">
        <v>3010</v>
      </c>
      <c r="E2685" s="48">
        <v>500240</v>
      </c>
      <c r="F2685" s="30" t="s">
        <v>167</v>
      </c>
      <c r="G2685" s="29" t="s">
        <v>173</v>
      </c>
      <c r="H2685" s="30" t="s">
        <v>3000</v>
      </c>
      <c r="I2685" s="78"/>
      <c r="J2685" s="20"/>
      <c r="K2685" s="20"/>
      <c r="L2685" s="20"/>
      <c r="M2685" s="20"/>
      <c r="N2685" s="320" t="s">
        <v>2685</v>
      </c>
      <c r="O2685" s="70">
        <v>0</v>
      </c>
      <c r="P2685" s="70">
        <v>0</v>
      </c>
      <c r="Q2685" s="70">
        <f t="shared" si="229"/>
        <v>0</v>
      </c>
      <c r="R2685" s="70"/>
      <c r="S2685" s="67"/>
      <c r="T2685" s="2" t="str">
        <f t="shared" si="230"/>
        <v>Trần Thanh Hằng_11KT3</v>
      </c>
      <c r="U2685" s="28">
        <f t="array" ref="U2685">IFERROR(VLOOKUP($T2685,'Nghi hoc T12'!$H$7:$I$160,2,0),0)</f>
        <v>0</v>
      </c>
      <c r="V2685" s="28"/>
      <c r="W2685" s="28">
        <f t="shared" si="231"/>
        <v>0</v>
      </c>
      <c r="X2685" s="333">
        <f t="shared" si="232"/>
        <v>0</v>
      </c>
      <c r="Y2685" s="333">
        <f t="shared" si="233"/>
        <v>0</v>
      </c>
    </row>
    <row r="2686" spans="1:25" s="2" customFormat="1" ht="21.95" customHeight="1">
      <c r="A2686" s="82">
        <v>17</v>
      </c>
      <c r="B2686" s="91" t="s">
        <v>3348</v>
      </c>
      <c r="C2686" s="83" t="s">
        <v>366</v>
      </c>
      <c r="D2686" s="81" t="s">
        <v>3010</v>
      </c>
      <c r="E2686" s="48">
        <v>500241</v>
      </c>
      <c r="F2686" s="30" t="s">
        <v>2812</v>
      </c>
      <c r="G2686" s="29" t="s">
        <v>84</v>
      </c>
      <c r="H2686" s="30" t="s">
        <v>3002</v>
      </c>
      <c r="I2686" s="78"/>
      <c r="J2686" s="20"/>
      <c r="K2686" s="20"/>
      <c r="L2686" s="20"/>
      <c r="M2686" s="20"/>
      <c r="N2686" s="320" t="s">
        <v>2685</v>
      </c>
      <c r="O2686" s="70">
        <v>0</v>
      </c>
      <c r="P2686" s="70">
        <v>0</v>
      </c>
      <c r="Q2686" s="70">
        <f t="shared" si="229"/>
        <v>0</v>
      </c>
      <c r="R2686" s="70"/>
      <c r="S2686" s="67"/>
      <c r="T2686" s="2" t="str">
        <f t="shared" si="230"/>
        <v>Lê Gia Hân_11KT1</v>
      </c>
      <c r="U2686" s="28">
        <f t="array" ref="U2686">IFERROR(VLOOKUP($T2686,'Nghi hoc T12'!$H$7:$I$160,2,0),0)</f>
        <v>0</v>
      </c>
      <c r="V2686" s="28"/>
      <c r="W2686" s="28">
        <f t="shared" si="231"/>
        <v>0</v>
      </c>
      <c r="X2686" s="333">
        <f t="shared" si="232"/>
        <v>0</v>
      </c>
      <c r="Y2686" s="333">
        <f t="shared" si="233"/>
        <v>0</v>
      </c>
    </row>
    <row r="2687" spans="1:25" s="2" customFormat="1" ht="21.95" customHeight="1">
      <c r="A2687" s="82">
        <v>18</v>
      </c>
      <c r="B2687" s="91" t="s">
        <v>3348</v>
      </c>
      <c r="C2687" s="83" t="s">
        <v>366</v>
      </c>
      <c r="D2687" s="81" t="s">
        <v>3010</v>
      </c>
      <c r="E2687" s="48">
        <v>500242</v>
      </c>
      <c r="F2687" s="30" t="s">
        <v>2813</v>
      </c>
      <c r="G2687" s="29" t="s">
        <v>84</v>
      </c>
      <c r="H2687" s="30" t="s">
        <v>3001</v>
      </c>
      <c r="I2687" s="78"/>
      <c r="J2687" s="20"/>
      <c r="K2687" s="20"/>
      <c r="L2687" s="20"/>
      <c r="M2687" s="20"/>
      <c r="N2687" s="320" t="s">
        <v>2685</v>
      </c>
      <c r="O2687" s="70">
        <v>0</v>
      </c>
      <c r="P2687" s="70">
        <v>0</v>
      </c>
      <c r="Q2687" s="70">
        <f t="shared" si="229"/>
        <v>0</v>
      </c>
      <c r="R2687" s="70"/>
      <c r="S2687" s="67"/>
      <c r="T2687" s="2" t="str">
        <f t="shared" si="230"/>
        <v>Lữ Gia Hân_11KT2</v>
      </c>
      <c r="U2687" s="28">
        <f t="array" ref="U2687">IFERROR(VLOOKUP($T2687,'Nghi hoc T12'!$H$7:$I$160,2,0),0)</f>
        <v>0</v>
      </c>
      <c r="V2687" s="28"/>
      <c r="W2687" s="28">
        <f t="shared" si="231"/>
        <v>0</v>
      </c>
      <c r="X2687" s="333">
        <f t="shared" si="232"/>
        <v>0</v>
      </c>
      <c r="Y2687" s="333">
        <f t="shared" si="233"/>
        <v>0</v>
      </c>
    </row>
    <row r="2688" spans="1:25" s="2" customFormat="1" ht="21.95" customHeight="1">
      <c r="A2688" s="82">
        <v>19</v>
      </c>
      <c r="B2688" s="91" t="s">
        <v>3348</v>
      </c>
      <c r="C2688" s="83" t="s">
        <v>366</v>
      </c>
      <c r="D2688" s="81" t="s">
        <v>3010</v>
      </c>
      <c r="E2688" s="48">
        <v>500243</v>
      </c>
      <c r="F2688" s="30" t="s">
        <v>2115</v>
      </c>
      <c r="G2688" s="29" t="s">
        <v>104</v>
      </c>
      <c r="H2688" s="30" t="s">
        <v>3002</v>
      </c>
      <c r="I2688" s="78"/>
      <c r="J2688" s="20"/>
      <c r="K2688" s="20"/>
      <c r="L2688" s="20"/>
      <c r="M2688" s="20"/>
      <c r="N2688" s="320" t="s">
        <v>2685</v>
      </c>
      <c r="O2688" s="70">
        <v>0</v>
      </c>
      <c r="P2688" s="70">
        <v>0</v>
      </c>
      <c r="Q2688" s="70">
        <f t="shared" si="229"/>
        <v>0</v>
      </c>
      <c r="R2688" s="70"/>
      <c r="S2688" s="67"/>
      <c r="T2688" s="2" t="str">
        <f t="shared" si="230"/>
        <v>Trần Văn Hậu_11KT1</v>
      </c>
      <c r="U2688" s="28">
        <f t="array" ref="U2688">IFERROR(VLOOKUP($T2688,'Nghi hoc T12'!$H$7:$I$160,2,0),0)</f>
        <v>0</v>
      </c>
      <c r="V2688" s="28"/>
      <c r="W2688" s="28">
        <f t="shared" si="231"/>
        <v>0</v>
      </c>
      <c r="X2688" s="333">
        <f t="shared" si="232"/>
        <v>0</v>
      </c>
      <c r="Y2688" s="333">
        <f t="shared" si="233"/>
        <v>0</v>
      </c>
    </row>
    <row r="2689" spans="1:25" s="2" customFormat="1" ht="21.95" customHeight="1">
      <c r="A2689" s="82">
        <v>20</v>
      </c>
      <c r="B2689" s="91" t="s">
        <v>3348</v>
      </c>
      <c r="C2689" s="83" t="s">
        <v>366</v>
      </c>
      <c r="D2689" s="81" t="s">
        <v>3010</v>
      </c>
      <c r="E2689" s="48">
        <v>500244</v>
      </c>
      <c r="F2689" s="30" t="s">
        <v>156</v>
      </c>
      <c r="G2689" s="29" t="s">
        <v>9</v>
      </c>
      <c r="H2689" s="30" t="s">
        <v>3002</v>
      </c>
      <c r="I2689" s="78"/>
      <c r="J2689" s="20"/>
      <c r="K2689" s="20"/>
      <c r="L2689" s="20"/>
      <c r="M2689" s="20"/>
      <c r="N2689" s="320" t="s">
        <v>2685</v>
      </c>
      <c r="O2689" s="70">
        <v>0</v>
      </c>
      <c r="P2689" s="70">
        <v>0</v>
      </c>
      <c r="Q2689" s="70">
        <f t="shared" si="229"/>
        <v>0</v>
      </c>
      <c r="R2689" s="70"/>
      <c r="S2689" s="67"/>
      <c r="T2689" s="2" t="str">
        <f t="shared" si="230"/>
        <v>Trần Minh Hiếu_11KT1</v>
      </c>
      <c r="U2689" s="28">
        <f t="array" ref="U2689">IFERROR(VLOOKUP($T2689,'Nghi hoc T12'!$H$7:$I$160,2,0),0)</f>
        <v>0</v>
      </c>
      <c r="V2689" s="28"/>
      <c r="W2689" s="28">
        <f t="shared" si="231"/>
        <v>0</v>
      </c>
      <c r="X2689" s="333">
        <f t="shared" si="232"/>
        <v>0</v>
      </c>
      <c r="Y2689" s="333">
        <f t="shared" si="233"/>
        <v>0</v>
      </c>
    </row>
    <row r="2690" spans="1:25" s="2" customFormat="1" ht="21.95" customHeight="1">
      <c r="A2690" s="82">
        <v>21</v>
      </c>
      <c r="B2690" s="91" t="s">
        <v>3348</v>
      </c>
      <c r="C2690" s="83" t="s">
        <v>366</v>
      </c>
      <c r="D2690" s="81" t="s">
        <v>3010</v>
      </c>
      <c r="E2690" s="48">
        <v>500245</v>
      </c>
      <c r="F2690" s="30" t="s">
        <v>2814</v>
      </c>
      <c r="G2690" s="29" t="s">
        <v>90</v>
      </c>
      <c r="H2690" s="30" t="s">
        <v>3002</v>
      </c>
      <c r="I2690" s="78"/>
      <c r="J2690" s="20"/>
      <c r="K2690" s="20"/>
      <c r="L2690" s="20"/>
      <c r="M2690" s="20"/>
      <c r="N2690" s="320" t="s">
        <v>2685</v>
      </c>
      <c r="O2690" s="70">
        <v>0</v>
      </c>
      <c r="P2690" s="70">
        <v>0</v>
      </c>
      <c r="Q2690" s="70">
        <f t="shared" si="229"/>
        <v>0</v>
      </c>
      <c r="R2690" s="70"/>
      <c r="S2690" s="67"/>
      <c r="T2690" s="2" t="str">
        <f t="shared" si="230"/>
        <v>Huỳnh Long Hòa_11KT1</v>
      </c>
      <c r="U2690" s="28">
        <f t="array" ref="U2690">IFERROR(VLOOKUP($T2690,'Nghi hoc T12'!$H$7:$I$160,2,0),0)</f>
        <v>0</v>
      </c>
      <c r="V2690" s="28"/>
      <c r="W2690" s="28">
        <f t="shared" si="231"/>
        <v>0</v>
      </c>
      <c r="X2690" s="333">
        <f t="shared" si="232"/>
        <v>0</v>
      </c>
      <c r="Y2690" s="333">
        <f t="shared" si="233"/>
        <v>0</v>
      </c>
    </row>
    <row r="2691" spans="1:25" s="2" customFormat="1" ht="21.95" customHeight="1">
      <c r="A2691" s="82">
        <v>22</v>
      </c>
      <c r="B2691" s="91" t="s">
        <v>3348</v>
      </c>
      <c r="C2691" s="83" t="s">
        <v>366</v>
      </c>
      <c r="D2691" s="81" t="s">
        <v>3010</v>
      </c>
      <c r="E2691" s="48">
        <v>500246</v>
      </c>
      <c r="F2691" s="30" t="s">
        <v>2250</v>
      </c>
      <c r="G2691" s="29" t="s">
        <v>10</v>
      </c>
      <c r="H2691" s="30" t="s">
        <v>3001</v>
      </c>
      <c r="I2691" s="78"/>
      <c r="J2691" s="20"/>
      <c r="K2691" s="20"/>
      <c r="L2691" s="20"/>
      <c r="M2691" s="20"/>
      <c r="N2691" s="320" t="s">
        <v>2685</v>
      </c>
      <c r="O2691" s="70">
        <v>0</v>
      </c>
      <c r="P2691" s="70">
        <v>0</v>
      </c>
      <c r="Q2691" s="70">
        <f t="shared" si="229"/>
        <v>0</v>
      </c>
      <c r="R2691" s="70"/>
      <c r="S2691" s="67"/>
      <c r="T2691" s="2" t="str">
        <f t="shared" si="230"/>
        <v>Đinh Nhật Hoàng_11KT2</v>
      </c>
      <c r="U2691" s="28">
        <f t="array" ref="U2691">IFERROR(VLOOKUP($T2691,'Nghi hoc T12'!$H$7:$I$160,2,0),0)</f>
        <v>0</v>
      </c>
      <c r="V2691" s="28"/>
      <c r="W2691" s="28">
        <f t="shared" si="231"/>
        <v>0</v>
      </c>
      <c r="X2691" s="333">
        <f t="shared" si="232"/>
        <v>0</v>
      </c>
      <c r="Y2691" s="333">
        <f t="shared" si="233"/>
        <v>0</v>
      </c>
    </row>
    <row r="2692" spans="1:25" s="2" customFormat="1" ht="21.95" customHeight="1">
      <c r="A2692" s="82">
        <v>23</v>
      </c>
      <c r="B2692" s="91" t="s">
        <v>3348</v>
      </c>
      <c r="C2692" s="83" t="s">
        <v>366</v>
      </c>
      <c r="D2692" s="81" t="s">
        <v>3010</v>
      </c>
      <c r="E2692" s="48">
        <v>500247</v>
      </c>
      <c r="F2692" s="30" t="s">
        <v>2815</v>
      </c>
      <c r="G2692" s="29" t="s">
        <v>10</v>
      </c>
      <c r="H2692" s="30" t="s">
        <v>3003</v>
      </c>
      <c r="I2692" s="78"/>
      <c r="J2692" s="20"/>
      <c r="K2692" s="20"/>
      <c r="L2692" s="20"/>
      <c r="M2692" s="20"/>
      <c r="N2692" s="320" t="s">
        <v>2685</v>
      </c>
      <c r="O2692" s="70">
        <v>0</v>
      </c>
      <c r="P2692" s="70">
        <v>0</v>
      </c>
      <c r="Q2692" s="70">
        <f t="shared" si="229"/>
        <v>0</v>
      </c>
      <c r="R2692" s="70"/>
      <c r="S2692" s="67"/>
      <c r="T2692" s="2" t="str">
        <f t="shared" si="230"/>
        <v>Lương Việt Hoàng_11KT4</v>
      </c>
      <c r="U2692" s="28">
        <f t="array" ref="U2692">IFERROR(VLOOKUP($T2692,'Nghi hoc T12'!$H$7:$I$160,2,0),0)</f>
        <v>0</v>
      </c>
      <c r="V2692" s="28"/>
      <c r="W2692" s="28">
        <f t="shared" si="231"/>
        <v>0</v>
      </c>
      <c r="X2692" s="333">
        <f t="shared" si="232"/>
        <v>0</v>
      </c>
      <c r="Y2692" s="333">
        <f t="shared" si="233"/>
        <v>0</v>
      </c>
    </row>
    <row r="2693" spans="1:25" s="2" customFormat="1" ht="21.95" customHeight="1">
      <c r="A2693" s="82">
        <v>24</v>
      </c>
      <c r="B2693" s="91" t="s">
        <v>3348</v>
      </c>
      <c r="C2693" s="83" t="s">
        <v>366</v>
      </c>
      <c r="D2693" s="81" t="s">
        <v>3010</v>
      </c>
      <c r="E2693" s="48">
        <v>500248</v>
      </c>
      <c r="F2693" s="30" t="s">
        <v>330</v>
      </c>
      <c r="G2693" s="29" t="s">
        <v>10</v>
      </c>
      <c r="H2693" s="30" t="s">
        <v>3000</v>
      </c>
      <c r="I2693" s="78"/>
      <c r="J2693" s="20"/>
      <c r="K2693" s="20"/>
      <c r="L2693" s="20"/>
      <c r="M2693" s="20"/>
      <c r="N2693" s="320" t="s">
        <v>2685</v>
      </c>
      <c r="O2693" s="70">
        <v>0</v>
      </c>
      <c r="P2693" s="70">
        <v>0</v>
      </c>
      <c r="Q2693" s="70">
        <f t="shared" si="229"/>
        <v>0</v>
      </c>
      <c r="R2693" s="70"/>
      <c r="S2693" s="67"/>
      <c r="T2693" s="2" t="str">
        <f t="shared" si="230"/>
        <v>Nguyễn Hoàng_11KT3</v>
      </c>
      <c r="U2693" s="28">
        <f t="array" ref="U2693">IFERROR(VLOOKUP($T2693,'Nghi hoc T12'!$H$7:$I$160,2,0),0)</f>
        <v>0</v>
      </c>
      <c r="V2693" s="28"/>
      <c r="W2693" s="28">
        <f t="shared" si="231"/>
        <v>0</v>
      </c>
      <c r="X2693" s="333">
        <f t="shared" si="232"/>
        <v>0</v>
      </c>
      <c r="Y2693" s="333">
        <f t="shared" si="233"/>
        <v>0</v>
      </c>
    </row>
    <row r="2694" spans="1:25" s="2" customFormat="1" ht="21.95" customHeight="1">
      <c r="A2694" s="82">
        <v>25</v>
      </c>
      <c r="B2694" s="91" t="s">
        <v>3348</v>
      </c>
      <c r="C2694" s="83" t="s">
        <v>366</v>
      </c>
      <c r="D2694" s="81" t="s">
        <v>3010</v>
      </c>
      <c r="E2694" s="48">
        <v>500249</v>
      </c>
      <c r="F2694" s="30" t="s">
        <v>2816</v>
      </c>
      <c r="G2694" s="29" t="s">
        <v>10</v>
      </c>
      <c r="H2694" s="30" t="s">
        <v>3002</v>
      </c>
      <c r="I2694" s="78"/>
      <c r="J2694" s="20"/>
      <c r="K2694" s="20"/>
      <c r="L2694" s="20"/>
      <c r="M2694" s="20"/>
      <c r="N2694" s="320" t="s">
        <v>2685</v>
      </c>
      <c r="O2694" s="70">
        <v>0</v>
      </c>
      <c r="P2694" s="70">
        <v>0</v>
      </c>
      <c r="Q2694" s="70">
        <f t="shared" si="229"/>
        <v>0</v>
      </c>
      <c r="R2694" s="70"/>
      <c r="S2694" s="67"/>
      <c r="T2694" s="2" t="str">
        <f t="shared" si="230"/>
        <v>Nguyễn Hữu Huy Hoàng_11KT1</v>
      </c>
      <c r="U2694" s="28">
        <f t="array" ref="U2694">IFERROR(VLOOKUP($T2694,'Nghi hoc T12'!$H$7:$I$160,2,0),0)</f>
        <v>0</v>
      </c>
      <c r="V2694" s="28"/>
      <c r="W2694" s="28">
        <f t="shared" si="231"/>
        <v>0</v>
      </c>
      <c r="X2694" s="333">
        <f t="shared" si="232"/>
        <v>0</v>
      </c>
      <c r="Y2694" s="333">
        <f t="shared" si="233"/>
        <v>0</v>
      </c>
    </row>
    <row r="2695" spans="1:25" s="2" customFormat="1" ht="21.95" customHeight="1">
      <c r="A2695" s="82">
        <v>26</v>
      </c>
      <c r="B2695" s="91" t="s">
        <v>3348</v>
      </c>
      <c r="C2695" s="83" t="s">
        <v>366</v>
      </c>
      <c r="D2695" s="81" t="s">
        <v>3010</v>
      </c>
      <c r="E2695" s="48">
        <v>500250</v>
      </c>
      <c r="F2695" s="30" t="s">
        <v>2817</v>
      </c>
      <c r="G2695" s="29" t="s">
        <v>10</v>
      </c>
      <c r="H2695" s="30" t="s">
        <v>3000</v>
      </c>
      <c r="I2695" s="78"/>
      <c r="J2695" s="20"/>
      <c r="K2695" s="20"/>
      <c r="L2695" s="20"/>
      <c r="M2695" s="20"/>
      <c r="N2695" s="320" t="s">
        <v>2685</v>
      </c>
      <c r="O2695" s="70">
        <v>0</v>
      </c>
      <c r="P2695" s="70">
        <v>0</v>
      </c>
      <c r="Q2695" s="70">
        <f t="shared" si="229"/>
        <v>0</v>
      </c>
      <c r="R2695" s="70"/>
      <c r="S2695" s="67"/>
      <c r="T2695" s="2" t="str">
        <f t="shared" si="230"/>
        <v>Phạm Công Hoàng_11KT3</v>
      </c>
      <c r="U2695" s="28">
        <f t="array" ref="U2695">IFERROR(VLOOKUP($T2695,'Nghi hoc T12'!$H$7:$I$160,2,0),0)</f>
        <v>0</v>
      </c>
      <c r="V2695" s="28"/>
      <c r="W2695" s="28">
        <f t="shared" si="231"/>
        <v>0</v>
      </c>
      <c r="X2695" s="333">
        <f t="shared" si="232"/>
        <v>0</v>
      </c>
      <c r="Y2695" s="333">
        <f t="shared" si="233"/>
        <v>0</v>
      </c>
    </row>
    <row r="2696" spans="1:25" s="2" customFormat="1" ht="21.95" customHeight="1">
      <c r="A2696" s="82">
        <v>27</v>
      </c>
      <c r="B2696" s="91" t="s">
        <v>3348</v>
      </c>
      <c r="C2696" s="83" t="s">
        <v>366</v>
      </c>
      <c r="D2696" s="81" t="s">
        <v>3010</v>
      </c>
      <c r="E2696" s="48">
        <v>500251</v>
      </c>
      <c r="F2696" s="30" t="s">
        <v>160</v>
      </c>
      <c r="G2696" s="29" t="s">
        <v>100</v>
      </c>
      <c r="H2696" s="30" t="s">
        <v>3003</v>
      </c>
      <c r="I2696" s="78"/>
      <c r="J2696" s="20"/>
      <c r="K2696" s="20"/>
      <c r="L2696" s="20"/>
      <c r="M2696" s="20"/>
      <c r="N2696" s="320" t="s">
        <v>2685</v>
      </c>
      <c r="O2696" s="70">
        <v>0</v>
      </c>
      <c r="P2696" s="70">
        <v>0</v>
      </c>
      <c r="Q2696" s="70">
        <f t="shared" si="229"/>
        <v>0</v>
      </c>
      <c r="R2696" s="70"/>
      <c r="S2696" s="67"/>
      <c r="T2696" s="2" t="str">
        <f t="shared" si="230"/>
        <v>Nguyễn Thành Hùng_11KT4</v>
      </c>
      <c r="U2696" s="28">
        <f t="array" ref="U2696">IFERROR(VLOOKUP($T2696,'Nghi hoc T12'!$H$7:$I$160,2,0),0)</f>
        <v>0</v>
      </c>
      <c r="V2696" s="28"/>
      <c r="W2696" s="28">
        <f t="shared" si="231"/>
        <v>0</v>
      </c>
      <c r="X2696" s="333">
        <f t="shared" si="232"/>
        <v>0</v>
      </c>
      <c r="Y2696" s="333">
        <f t="shared" si="233"/>
        <v>0</v>
      </c>
    </row>
    <row r="2697" spans="1:25" s="2" customFormat="1" ht="21.95" customHeight="1">
      <c r="A2697" s="82">
        <v>28</v>
      </c>
      <c r="B2697" s="91" t="s">
        <v>3348</v>
      </c>
      <c r="C2697" s="83" t="s">
        <v>366</v>
      </c>
      <c r="D2697" s="81" t="s">
        <v>3010</v>
      </c>
      <c r="E2697" s="48">
        <v>500252</v>
      </c>
      <c r="F2697" s="30" t="s">
        <v>2818</v>
      </c>
      <c r="G2697" s="29" t="s">
        <v>11</v>
      </c>
      <c r="H2697" s="30" t="s">
        <v>3000</v>
      </c>
      <c r="I2697" s="78"/>
      <c r="J2697" s="20"/>
      <c r="K2697" s="20"/>
      <c r="L2697" s="20"/>
      <c r="M2697" s="20"/>
      <c r="N2697" s="320" t="s">
        <v>2685</v>
      </c>
      <c r="O2697" s="70">
        <v>0</v>
      </c>
      <c r="P2697" s="70">
        <v>0</v>
      </c>
      <c r="Q2697" s="70">
        <f t="shared" si="229"/>
        <v>0</v>
      </c>
      <c r="R2697" s="70"/>
      <c r="S2697" s="67"/>
      <c r="T2697" s="2" t="str">
        <f t="shared" si="230"/>
        <v>Bùi Đỗ Khoa Huy_11KT3</v>
      </c>
      <c r="U2697" s="28">
        <f t="array" ref="U2697">IFERROR(VLOOKUP($T2697,'Nghi hoc T12'!$H$7:$I$160,2,0),0)</f>
        <v>0</v>
      </c>
      <c r="V2697" s="28"/>
      <c r="W2697" s="28">
        <f t="shared" si="231"/>
        <v>0</v>
      </c>
      <c r="X2697" s="333">
        <f t="shared" si="232"/>
        <v>0</v>
      </c>
      <c r="Y2697" s="333">
        <f t="shared" si="233"/>
        <v>0</v>
      </c>
    </row>
    <row r="2698" spans="1:25" s="2" customFormat="1" ht="21.95" customHeight="1">
      <c r="A2698" s="321">
        <v>1</v>
      </c>
      <c r="B2698" s="91" t="s">
        <v>3349</v>
      </c>
      <c r="C2698" s="185" t="s">
        <v>366</v>
      </c>
      <c r="D2698" s="186" t="s">
        <v>3011</v>
      </c>
      <c r="E2698" s="187">
        <v>500253</v>
      </c>
      <c r="F2698" s="188" t="s">
        <v>2819</v>
      </c>
      <c r="G2698" s="189" t="s">
        <v>11</v>
      </c>
      <c r="H2698" s="188" t="s">
        <v>3001</v>
      </c>
      <c r="I2698" s="190"/>
      <c r="J2698" s="191"/>
      <c r="K2698" s="191"/>
      <c r="L2698" s="191"/>
      <c r="M2698" s="191"/>
      <c r="N2698" s="320" t="s">
        <v>2685</v>
      </c>
      <c r="O2698" s="70">
        <v>0</v>
      </c>
      <c r="P2698" s="70">
        <v>0</v>
      </c>
      <c r="Q2698" s="70">
        <f t="shared" ref="Q2698:Q2761" si="235">U2698</f>
        <v>0</v>
      </c>
      <c r="R2698" s="70"/>
      <c r="S2698" s="67"/>
      <c r="T2698" s="2" t="str">
        <f t="shared" ref="T2698:T2761" si="236">TRIM(F2698&amp;" "&amp;G2698&amp;"_"&amp;H2698)</f>
        <v>Mai Nhật Huy_11KT2</v>
      </c>
      <c r="U2698" s="28">
        <f t="array" ref="U2698">IFERROR(VLOOKUP($T2698,'Nghi hoc T12'!$H$7:$I$160,2,0),0)</f>
        <v>0</v>
      </c>
      <c r="V2698" s="28"/>
      <c r="W2698" s="28">
        <f t="shared" ref="W2698:W2761" si="237">I2698</f>
        <v>0</v>
      </c>
      <c r="X2698" s="333">
        <f t="shared" ref="X2698:X2761" si="238">O2698</f>
        <v>0</v>
      </c>
      <c r="Y2698" s="333">
        <f t="shared" ref="Y2698:Y2761" si="239">P2698</f>
        <v>0</v>
      </c>
    </row>
    <row r="2699" spans="1:25" s="2" customFormat="1" ht="21.95" customHeight="1">
      <c r="A2699" s="82">
        <v>2</v>
      </c>
      <c r="B2699" s="91" t="s">
        <v>3349</v>
      </c>
      <c r="C2699" s="83" t="s">
        <v>366</v>
      </c>
      <c r="D2699" s="81" t="s">
        <v>3011</v>
      </c>
      <c r="E2699" s="48">
        <v>500254</v>
      </c>
      <c r="F2699" s="30" t="s">
        <v>2820</v>
      </c>
      <c r="G2699" s="29" t="s">
        <v>11</v>
      </c>
      <c r="H2699" s="30" t="s">
        <v>3000</v>
      </c>
      <c r="I2699" s="78"/>
      <c r="J2699" s="20"/>
      <c r="K2699" s="20"/>
      <c r="L2699" s="20"/>
      <c r="M2699" s="20"/>
      <c r="N2699" s="320" t="s">
        <v>2685</v>
      </c>
      <c r="O2699" s="70">
        <v>0</v>
      </c>
      <c r="P2699" s="70">
        <v>0</v>
      </c>
      <c r="Q2699" s="70">
        <f t="shared" si="235"/>
        <v>0</v>
      </c>
      <c r="R2699" s="70"/>
      <c r="S2699" s="67"/>
      <c r="T2699" s="2" t="str">
        <f t="shared" si="236"/>
        <v>Võ Lưu Nhật Huy_11KT3</v>
      </c>
      <c r="U2699" s="28">
        <f t="array" ref="U2699">IFERROR(VLOOKUP($T2699,'Nghi hoc T12'!$H$7:$I$160,2,0),0)</f>
        <v>0</v>
      </c>
      <c r="V2699" s="28"/>
      <c r="W2699" s="28">
        <f t="shared" si="237"/>
        <v>0</v>
      </c>
      <c r="X2699" s="333">
        <f t="shared" si="238"/>
        <v>0</v>
      </c>
      <c r="Y2699" s="333">
        <f t="shared" si="239"/>
        <v>0</v>
      </c>
    </row>
    <row r="2700" spans="1:25" s="2" customFormat="1" ht="21.95" customHeight="1">
      <c r="A2700" s="82">
        <v>3</v>
      </c>
      <c r="B2700" s="91" t="s">
        <v>3349</v>
      </c>
      <c r="C2700" s="83" t="s">
        <v>366</v>
      </c>
      <c r="D2700" s="81" t="s">
        <v>3011</v>
      </c>
      <c r="E2700" s="48">
        <v>500255</v>
      </c>
      <c r="F2700" s="30" t="s">
        <v>1480</v>
      </c>
      <c r="G2700" s="29" t="s">
        <v>67</v>
      </c>
      <c r="H2700" s="30" t="s">
        <v>3003</v>
      </c>
      <c r="I2700" s="78"/>
      <c r="J2700" s="20"/>
      <c r="K2700" s="20"/>
      <c r="L2700" s="20"/>
      <c r="M2700" s="20"/>
      <c r="N2700" s="320" t="s">
        <v>2685</v>
      </c>
      <c r="O2700" s="70">
        <v>0</v>
      </c>
      <c r="P2700" s="70">
        <v>0</v>
      </c>
      <c r="Q2700" s="70">
        <f t="shared" si="235"/>
        <v>0</v>
      </c>
      <c r="R2700" s="70"/>
      <c r="S2700" s="67"/>
      <c r="T2700" s="2" t="str">
        <f t="shared" si="236"/>
        <v>Nguyễn Kim Huyền_11KT4</v>
      </c>
      <c r="U2700" s="28">
        <f t="array" ref="U2700">IFERROR(VLOOKUP($T2700,'Nghi hoc T12'!$H$7:$I$160,2,0),0)</f>
        <v>0</v>
      </c>
      <c r="V2700" s="28"/>
      <c r="W2700" s="28">
        <f t="shared" si="237"/>
        <v>0</v>
      </c>
      <c r="X2700" s="333">
        <f t="shared" si="238"/>
        <v>0</v>
      </c>
      <c r="Y2700" s="333">
        <f t="shared" si="239"/>
        <v>0</v>
      </c>
    </row>
    <row r="2701" spans="1:25" s="2" customFormat="1" ht="21.95" customHeight="1">
      <c r="A2701" s="82">
        <v>4</v>
      </c>
      <c r="B2701" s="91" t="s">
        <v>3349</v>
      </c>
      <c r="C2701" s="83" t="s">
        <v>366</v>
      </c>
      <c r="D2701" s="81" t="s">
        <v>3011</v>
      </c>
      <c r="E2701" s="48">
        <v>500256</v>
      </c>
      <c r="F2701" s="30" t="s">
        <v>2821</v>
      </c>
      <c r="G2701" s="29" t="s">
        <v>91</v>
      </c>
      <c r="H2701" s="30" t="s">
        <v>3002</v>
      </c>
      <c r="I2701" s="78"/>
      <c r="J2701" s="20"/>
      <c r="K2701" s="20"/>
      <c r="L2701" s="20"/>
      <c r="M2701" s="20"/>
      <c r="N2701" s="320" t="s">
        <v>2685</v>
      </c>
      <c r="O2701" s="70">
        <v>0</v>
      </c>
      <c r="P2701" s="70">
        <v>0</v>
      </c>
      <c r="Q2701" s="70">
        <f t="shared" si="235"/>
        <v>0</v>
      </c>
      <c r="R2701" s="70"/>
      <c r="S2701" s="67"/>
      <c r="T2701" s="2" t="str">
        <f t="shared" si="236"/>
        <v>Đỗ Gia Hưng_11KT1</v>
      </c>
      <c r="U2701" s="28">
        <f t="array" ref="U2701">IFERROR(VLOOKUP($T2701,'Nghi hoc T12'!$H$7:$I$160,2,0),0)</f>
        <v>0</v>
      </c>
      <c r="V2701" s="28"/>
      <c r="W2701" s="28">
        <f t="shared" si="237"/>
        <v>0</v>
      </c>
      <c r="X2701" s="333">
        <f t="shared" si="238"/>
        <v>0</v>
      </c>
      <c r="Y2701" s="333">
        <f t="shared" si="239"/>
        <v>0</v>
      </c>
    </row>
    <row r="2702" spans="1:25" s="2" customFormat="1" ht="21.95" customHeight="1">
      <c r="A2702" s="82">
        <v>5</v>
      </c>
      <c r="B2702" s="91" t="s">
        <v>3349</v>
      </c>
      <c r="C2702" s="83" t="s">
        <v>366</v>
      </c>
      <c r="D2702" s="81" t="s">
        <v>3011</v>
      </c>
      <c r="E2702" s="48">
        <v>500257</v>
      </c>
      <c r="F2702" s="30" t="s">
        <v>2822</v>
      </c>
      <c r="G2702" s="29" t="s">
        <v>91</v>
      </c>
      <c r="H2702" s="30" t="s">
        <v>3000</v>
      </c>
      <c r="I2702" s="78"/>
      <c r="J2702" s="20"/>
      <c r="K2702" s="20"/>
      <c r="L2702" s="20"/>
      <c r="M2702" s="20"/>
      <c r="N2702" s="320" t="s">
        <v>2685</v>
      </c>
      <c r="O2702" s="70">
        <v>0</v>
      </c>
      <c r="P2702" s="70">
        <v>0</v>
      </c>
      <c r="Q2702" s="70">
        <f t="shared" si="235"/>
        <v>0</v>
      </c>
      <c r="R2702" s="70"/>
      <c r="S2702" s="67"/>
      <c r="T2702" s="2" t="str">
        <f t="shared" si="236"/>
        <v>Phạm Công Quốc Hưng_11KT3</v>
      </c>
      <c r="U2702" s="28">
        <f t="array" ref="U2702">IFERROR(VLOOKUP($T2702,'Nghi hoc T12'!$H$7:$I$160,2,0),0)</f>
        <v>0</v>
      </c>
      <c r="V2702" s="28"/>
      <c r="W2702" s="28">
        <f t="shared" si="237"/>
        <v>0</v>
      </c>
      <c r="X2702" s="333">
        <f t="shared" si="238"/>
        <v>0</v>
      </c>
      <c r="Y2702" s="333">
        <f t="shared" si="239"/>
        <v>0</v>
      </c>
    </row>
    <row r="2703" spans="1:25" s="2" customFormat="1" ht="21.95" customHeight="1">
      <c r="A2703" s="82">
        <v>6</v>
      </c>
      <c r="B2703" s="91" t="s">
        <v>3349</v>
      </c>
      <c r="C2703" s="83" t="s">
        <v>366</v>
      </c>
      <c r="D2703" s="81" t="s">
        <v>3011</v>
      </c>
      <c r="E2703" s="48">
        <v>500258</v>
      </c>
      <c r="F2703" s="30" t="s">
        <v>2823</v>
      </c>
      <c r="G2703" s="29" t="s">
        <v>54</v>
      </c>
      <c r="H2703" s="30" t="s">
        <v>3001</v>
      </c>
      <c r="I2703" s="78"/>
      <c r="J2703" s="20"/>
      <c r="K2703" s="20"/>
      <c r="L2703" s="20"/>
      <c r="M2703" s="20"/>
      <c r="N2703" s="320" t="s">
        <v>2685</v>
      </c>
      <c r="O2703" s="70">
        <v>0</v>
      </c>
      <c r="P2703" s="70">
        <v>0</v>
      </c>
      <c r="Q2703" s="70">
        <f t="shared" si="235"/>
        <v>0</v>
      </c>
      <c r="R2703" s="70"/>
      <c r="S2703" s="67"/>
      <c r="T2703" s="2" t="str">
        <f t="shared" si="236"/>
        <v>Phạm Thị Huỳnh Hương_11KT2</v>
      </c>
      <c r="U2703" s="28">
        <f t="array" ref="U2703">IFERROR(VLOOKUP($T2703,'Nghi hoc T12'!$H$7:$I$160,2,0),0)</f>
        <v>0</v>
      </c>
      <c r="V2703" s="28"/>
      <c r="W2703" s="28">
        <f t="shared" si="237"/>
        <v>0</v>
      </c>
      <c r="X2703" s="333">
        <f t="shared" si="238"/>
        <v>0</v>
      </c>
      <c r="Y2703" s="333">
        <f t="shared" si="239"/>
        <v>0</v>
      </c>
    </row>
    <row r="2704" spans="1:25" s="2" customFormat="1" ht="21.95" customHeight="1">
      <c r="A2704" s="82">
        <v>7</v>
      </c>
      <c r="B2704" s="91" t="s">
        <v>3349</v>
      </c>
      <c r="C2704" s="83" t="s">
        <v>366</v>
      </c>
      <c r="D2704" s="81" t="s">
        <v>3011</v>
      </c>
      <c r="E2704" s="48">
        <v>500259</v>
      </c>
      <c r="F2704" s="30" t="s">
        <v>2824</v>
      </c>
      <c r="G2704" s="29" t="s">
        <v>79</v>
      </c>
      <c r="H2704" s="30" t="s">
        <v>3003</v>
      </c>
      <c r="I2704" s="78"/>
      <c r="J2704" s="20"/>
      <c r="K2704" s="20"/>
      <c r="L2704" s="20"/>
      <c r="M2704" s="20"/>
      <c r="N2704" s="320" t="s">
        <v>2685</v>
      </c>
      <c r="O2704" s="70">
        <v>0</v>
      </c>
      <c r="P2704" s="70">
        <v>0</v>
      </c>
      <c r="Q2704" s="70">
        <f t="shared" si="235"/>
        <v>0</v>
      </c>
      <c r="R2704" s="70"/>
      <c r="S2704" s="67"/>
      <c r="T2704" s="2" t="str">
        <f t="shared" si="236"/>
        <v>Lại Trọng Khang_11KT4</v>
      </c>
      <c r="U2704" s="28">
        <f t="array" ref="U2704">IFERROR(VLOOKUP($T2704,'Nghi hoc T12'!$H$7:$I$160,2,0),0)</f>
        <v>0</v>
      </c>
      <c r="V2704" s="28"/>
      <c r="W2704" s="28">
        <f t="shared" si="237"/>
        <v>0</v>
      </c>
      <c r="X2704" s="333">
        <f t="shared" si="238"/>
        <v>0</v>
      </c>
      <c r="Y2704" s="333">
        <f t="shared" si="239"/>
        <v>0</v>
      </c>
    </row>
    <row r="2705" spans="1:25" s="2" customFormat="1" ht="21.95" customHeight="1">
      <c r="A2705" s="82">
        <v>8</v>
      </c>
      <c r="B2705" s="91" t="s">
        <v>3349</v>
      </c>
      <c r="C2705" s="83" t="s">
        <v>366</v>
      </c>
      <c r="D2705" s="81" t="s">
        <v>3011</v>
      </c>
      <c r="E2705" s="48">
        <v>500260</v>
      </c>
      <c r="F2705" s="30" t="s">
        <v>2825</v>
      </c>
      <c r="G2705" s="29" t="s">
        <v>79</v>
      </c>
      <c r="H2705" s="30" t="s">
        <v>3002</v>
      </c>
      <c r="I2705" s="78"/>
      <c r="J2705" s="20"/>
      <c r="K2705" s="20"/>
      <c r="L2705" s="20"/>
      <c r="M2705" s="20"/>
      <c r="N2705" s="320" t="s">
        <v>2685</v>
      </c>
      <c r="O2705" s="70">
        <v>0</v>
      </c>
      <c r="P2705" s="70">
        <v>0</v>
      </c>
      <c r="Q2705" s="70">
        <f t="shared" si="235"/>
        <v>0</v>
      </c>
      <c r="R2705" s="70"/>
      <c r="S2705" s="67"/>
      <c r="T2705" s="2" t="str">
        <f t="shared" si="236"/>
        <v>Nguyễn Hoàng Tuấn Khang_11KT1</v>
      </c>
      <c r="U2705" s="28">
        <f t="array" ref="U2705">IFERROR(VLOOKUP($T2705,'Nghi hoc T12'!$H$7:$I$160,2,0),0)</f>
        <v>0</v>
      </c>
      <c r="V2705" s="28"/>
      <c r="W2705" s="28">
        <f t="shared" si="237"/>
        <v>0</v>
      </c>
      <c r="X2705" s="333">
        <f t="shared" si="238"/>
        <v>0</v>
      </c>
      <c r="Y2705" s="333">
        <f t="shared" si="239"/>
        <v>0</v>
      </c>
    </row>
    <row r="2706" spans="1:25" s="2" customFormat="1" ht="21.95" customHeight="1">
      <c r="A2706" s="82">
        <v>9</v>
      </c>
      <c r="B2706" s="91" t="s">
        <v>3349</v>
      </c>
      <c r="C2706" s="83" t="s">
        <v>366</v>
      </c>
      <c r="D2706" s="81" t="s">
        <v>3011</v>
      </c>
      <c r="E2706" s="48">
        <v>500261</v>
      </c>
      <c r="F2706" s="30" t="s">
        <v>2431</v>
      </c>
      <c r="G2706" s="29" t="s">
        <v>79</v>
      </c>
      <c r="H2706" s="30" t="s">
        <v>3000</v>
      </c>
      <c r="I2706" s="78"/>
      <c r="J2706" s="20"/>
      <c r="K2706" s="20"/>
      <c r="L2706" s="20"/>
      <c r="M2706" s="20"/>
      <c r="N2706" s="320" t="s">
        <v>2685</v>
      </c>
      <c r="O2706" s="70">
        <v>0</v>
      </c>
      <c r="P2706" s="70">
        <v>0</v>
      </c>
      <c r="Q2706" s="70">
        <f t="shared" si="235"/>
        <v>0</v>
      </c>
      <c r="R2706" s="70"/>
      <c r="S2706" s="67"/>
      <c r="T2706" s="2" t="str">
        <f t="shared" si="236"/>
        <v>Nguyễn Lê Khang_11KT3</v>
      </c>
      <c r="U2706" s="28">
        <f t="array" ref="U2706">IFERROR(VLOOKUP($T2706,'Nghi hoc T12'!$H$7:$I$160,2,0),0)</f>
        <v>0</v>
      </c>
      <c r="V2706" s="28"/>
      <c r="W2706" s="28">
        <f t="shared" si="237"/>
        <v>0</v>
      </c>
      <c r="X2706" s="333">
        <f t="shared" si="238"/>
        <v>0</v>
      </c>
      <c r="Y2706" s="333">
        <f t="shared" si="239"/>
        <v>0</v>
      </c>
    </row>
    <row r="2707" spans="1:25" s="2" customFormat="1" ht="21.95" customHeight="1">
      <c r="A2707" s="82">
        <v>10</v>
      </c>
      <c r="B2707" s="91" t="s">
        <v>3349</v>
      </c>
      <c r="C2707" s="83" t="s">
        <v>366</v>
      </c>
      <c r="D2707" s="81" t="s">
        <v>3011</v>
      </c>
      <c r="E2707" s="48">
        <v>500262</v>
      </c>
      <c r="F2707" s="30" t="s">
        <v>2826</v>
      </c>
      <c r="G2707" s="29" t="s">
        <v>79</v>
      </c>
      <c r="H2707" s="30" t="s">
        <v>3001</v>
      </c>
      <c r="I2707" s="78"/>
      <c r="J2707" s="20"/>
      <c r="K2707" s="20"/>
      <c r="L2707" s="20"/>
      <c r="M2707" s="20"/>
      <c r="N2707" s="320" t="s">
        <v>2685</v>
      </c>
      <c r="O2707" s="70">
        <v>0</v>
      </c>
      <c r="P2707" s="70">
        <v>0</v>
      </c>
      <c r="Q2707" s="70">
        <f t="shared" si="235"/>
        <v>0</v>
      </c>
      <c r="R2707" s="70"/>
      <c r="S2707" s="67"/>
      <c r="T2707" s="2" t="str">
        <f t="shared" si="236"/>
        <v>Phạm Lê Minh Khang_11KT2</v>
      </c>
      <c r="U2707" s="28">
        <f t="array" ref="U2707">IFERROR(VLOOKUP($T2707,'Nghi hoc T12'!$H$7:$I$160,2,0),0)</f>
        <v>0</v>
      </c>
      <c r="V2707" s="28"/>
      <c r="W2707" s="28">
        <f t="shared" si="237"/>
        <v>0</v>
      </c>
      <c r="X2707" s="333">
        <f t="shared" si="238"/>
        <v>0</v>
      </c>
      <c r="Y2707" s="333">
        <f t="shared" si="239"/>
        <v>0</v>
      </c>
    </row>
    <row r="2708" spans="1:25" s="2" customFormat="1" ht="21.95" customHeight="1">
      <c r="A2708" s="82">
        <v>11</v>
      </c>
      <c r="B2708" s="91" t="s">
        <v>3349</v>
      </c>
      <c r="C2708" s="83" t="s">
        <v>366</v>
      </c>
      <c r="D2708" s="81" t="s">
        <v>3011</v>
      </c>
      <c r="E2708" s="48">
        <v>500263</v>
      </c>
      <c r="F2708" s="30" t="s">
        <v>260</v>
      </c>
      <c r="G2708" s="29" t="s">
        <v>94</v>
      </c>
      <c r="H2708" s="30" t="s">
        <v>3003</v>
      </c>
      <c r="I2708" s="78"/>
      <c r="J2708" s="20"/>
      <c r="K2708" s="20"/>
      <c r="L2708" s="20"/>
      <c r="M2708" s="20"/>
      <c r="N2708" s="320" t="s">
        <v>2685</v>
      </c>
      <c r="O2708" s="70">
        <v>0</v>
      </c>
      <c r="P2708" s="70">
        <v>0</v>
      </c>
      <c r="Q2708" s="70">
        <f t="shared" si="235"/>
        <v>0</v>
      </c>
      <c r="R2708" s="70"/>
      <c r="S2708" s="67"/>
      <c r="T2708" s="2" t="str">
        <f t="shared" si="236"/>
        <v>Đặng Quốc Khánh_11KT4</v>
      </c>
      <c r="U2708" s="28">
        <f t="array" ref="U2708">IFERROR(VLOOKUP($T2708,'Nghi hoc T12'!$H$7:$I$160,2,0),0)</f>
        <v>0</v>
      </c>
      <c r="V2708" s="28"/>
      <c r="W2708" s="28">
        <f t="shared" si="237"/>
        <v>0</v>
      </c>
      <c r="X2708" s="333">
        <f t="shared" si="238"/>
        <v>0</v>
      </c>
      <c r="Y2708" s="333">
        <f t="shared" si="239"/>
        <v>0</v>
      </c>
    </row>
    <row r="2709" spans="1:25" s="2" customFormat="1" ht="21.95" customHeight="1">
      <c r="A2709" s="82">
        <v>12</v>
      </c>
      <c r="B2709" s="91" t="s">
        <v>3349</v>
      </c>
      <c r="C2709" s="83" t="s">
        <v>366</v>
      </c>
      <c r="D2709" s="81" t="s">
        <v>3011</v>
      </c>
      <c r="E2709" s="48">
        <v>500264</v>
      </c>
      <c r="F2709" s="30" t="s">
        <v>2827</v>
      </c>
      <c r="G2709" s="29" t="s">
        <v>55</v>
      </c>
      <c r="H2709" s="30" t="s">
        <v>3001</v>
      </c>
      <c r="I2709" s="78"/>
      <c r="J2709" s="20"/>
      <c r="K2709" s="20"/>
      <c r="L2709" s="20"/>
      <c r="M2709" s="20"/>
      <c r="N2709" s="320" t="s">
        <v>2685</v>
      </c>
      <c r="O2709" s="70">
        <v>0</v>
      </c>
      <c r="P2709" s="70">
        <v>0</v>
      </c>
      <c r="Q2709" s="70">
        <f t="shared" si="235"/>
        <v>0</v>
      </c>
      <c r="R2709" s="70"/>
      <c r="S2709" s="67"/>
      <c r="T2709" s="2" t="str">
        <f t="shared" si="236"/>
        <v>Đào Đăng Khoa_11KT2</v>
      </c>
      <c r="U2709" s="28">
        <f t="array" ref="U2709">IFERROR(VLOOKUP($T2709,'Nghi hoc T12'!$H$7:$I$160,2,0),0)</f>
        <v>0</v>
      </c>
      <c r="V2709" s="28"/>
      <c r="W2709" s="28">
        <f t="shared" si="237"/>
        <v>0</v>
      </c>
      <c r="X2709" s="333">
        <f t="shared" si="238"/>
        <v>0</v>
      </c>
      <c r="Y2709" s="333">
        <f t="shared" si="239"/>
        <v>0</v>
      </c>
    </row>
    <row r="2710" spans="1:25" s="2" customFormat="1" ht="21.95" customHeight="1">
      <c r="A2710" s="82">
        <v>13</v>
      </c>
      <c r="B2710" s="91" t="s">
        <v>3349</v>
      </c>
      <c r="C2710" s="83" t="s">
        <v>366</v>
      </c>
      <c r="D2710" s="81" t="s">
        <v>3011</v>
      </c>
      <c r="E2710" s="48">
        <v>500265</v>
      </c>
      <c r="F2710" s="30" t="s">
        <v>2828</v>
      </c>
      <c r="G2710" s="29" t="s">
        <v>55</v>
      </c>
      <c r="H2710" s="30" t="s">
        <v>3002</v>
      </c>
      <c r="I2710" s="78"/>
      <c r="J2710" s="20"/>
      <c r="K2710" s="20"/>
      <c r="L2710" s="20"/>
      <c r="M2710" s="20"/>
      <c r="N2710" s="320" t="s">
        <v>2685</v>
      </c>
      <c r="O2710" s="70">
        <v>0</v>
      </c>
      <c r="P2710" s="70">
        <v>0</v>
      </c>
      <c r="Q2710" s="70">
        <f t="shared" si="235"/>
        <v>0</v>
      </c>
      <c r="R2710" s="70"/>
      <c r="S2710" s="67"/>
      <c r="T2710" s="2" t="str">
        <f t="shared" si="236"/>
        <v>Đoàn Nguyễn Anh Khoa_11KT1</v>
      </c>
      <c r="U2710" s="28">
        <f t="array" ref="U2710">IFERROR(VLOOKUP($T2710,'Nghi hoc T12'!$H$7:$I$160,2,0),0)</f>
        <v>0</v>
      </c>
      <c r="V2710" s="28"/>
      <c r="W2710" s="28">
        <f t="shared" si="237"/>
        <v>0</v>
      </c>
      <c r="X2710" s="333">
        <f t="shared" si="238"/>
        <v>0</v>
      </c>
      <c r="Y2710" s="333">
        <f t="shared" si="239"/>
        <v>0</v>
      </c>
    </row>
    <row r="2711" spans="1:25" s="2" customFormat="1" ht="21.95" customHeight="1">
      <c r="A2711" s="82">
        <v>14</v>
      </c>
      <c r="B2711" s="91" t="s">
        <v>3349</v>
      </c>
      <c r="C2711" s="83" t="s">
        <v>366</v>
      </c>
      <c r="D2711" s="81" t="s">
        <v>3011</v>
      </c>
      <c r="E2711" s="48">
        <v>500266</v>
      </c>
      <c r="F2711" s="30" t="s">
        <v>2829</v>
      </c>
      <c r="G2711" s="29" t="s">
        <v>55</v>
      </c>
      <c r="H2711" s="30" t="s">
        <v>3000</v>
      </c>
      <c r="I2711" s="78"/>
      <c r="J2711" s="20"/>
      <c r="K2711" s="20"/>
      <c r="L2711" s="20"/>
      <c r="M2711" s="20"/>
      <c r="N2711" s="320" t="s">
        <v>2685</v>
      </c>
      <c r="O2711" s="70">
        <v>0</v>
      </c>
      <c r="P2711" s="70">
        <v>0</v>
      </c>
      <c r="Q2711" s="70">
        <f t="shared" si="235"/>
        <v>0</v>
      </c>
      <c r="R2711" s="70"/>
      <c r="S2711" s="67"/>
      <c r="T2711" s="2" t="str">
        <f t="shared" si="236"/>
        <v>Phạm Trần Anh Khoa_11KT3</v>
      </c>
      <c r="U2711" s="28">
        <f t="array" ref="U2711">IFERROR(VLOOKUP($T2711,'Nghi hoc T12'!$H$7:$I$160,2,0),0)</f>
        <v>0</v>
      </c>
      <c r="V2711" s="28"/>
      <c r="W2711" s="28">
        <f t="shared" si="237"/>
        <v>0</v>
      </c>
      <c r="X2711" s="333">
        <f t="shared" si="238"/>
        <v>0</v>
      </c>
      <c r="Y2711" s="333">
        <f t="shared" si="239"/>
        <v>0</v>
      </c>
    </row>
    <row r="2712" spans="1:25" s="2" customFormat="1" ht="21.95" customHeight="1">
      <c r="A2712" s="82">
        <v>15</v>
      </c>
      <c r="B2712" s="91" t="s">
        <v>3349</v>
      </c>
      <c r="C2712" s="83" t="s">
        <v>366</v>
      </c>
      <c r="D2712" s="81" t="s">
        <v>3011</v>
      </c>
      <c r="E2712" s="48">
        <v>500267</v>
      </c>
      <c r="F2712" s="30" t="s">
        <v>2830</v>
      </c>
      <c r="G2712" s="29" t="s">
        <v>1643</v>
      </c>
      <c r="H2712" s="30" t="s">
        <v>3003</v>
      </c>
      <c r="I2712" s="78"/>
      <c r="J2712" s="20"/>
      <c r="K2712" s="20"/>
      <c r="L2712" s="20"/>
      <c r="M2712" s="20"/>
      <c r="N2712" s="320" t="s">
        <v>2685</v>
      </c>
      <c r="O2712" s="70">
        <v>0</v>
      </c>
      <c r="P2712" s="70">
        <v>0</v>
      </c>
      <c r="Q2712" s="70">
        <f t="shared" si="235"/>
        <v>0</v>
      </c>
      <c r="R2712" s="70"/>
      <c r="S2712" s="67"/>
      <c r="T2712" s="2" t="str">
        <f t="shared" si="236"/>
        <v>Nguyễn Bá Mai Khuê_11KT4</v>
      </c>
      <c r="U2712" s="28">
        <f t="array" ref="U2712">IFERROR(VLOOKUP($T2712,'Nghi hoc T12'!$H$7:$I$160,2,0),0)</f>
        <v>0</v>
      </c>
      <c r="V2712" s="28"/>
      <c r="W2712" s="28">
        <f t="shared" si="237"/>
        <v>0</v>
      </c>
      <c r="X2712" s="333">
        <f t="shared" si="238"/>
        <v>0</v>
      </c>
      <c r="Y2712" s="333">
        <f t="shared" si="239"/>
        <v>0</v>
      </c>
    </row>
    <row r="2713" spans="1:25" s="2" customFormat="1" ht="21.95" customHeight="1">
      <c r="A2713" s="82">
        <v>16</v>
      </c>
      <c r="B2713" s="91" t="s">
        <v>3349</v>
      </c>
      <c r="C2713" s="83" t="s">
        <v>366</v>
      </c>
      <c r="D2713" s="81" t="s">
        <v>3011</v>
      </c>
      <c r="E2713" s="48">
        <v>500268</v>
      </c>
      <c r="F2713" s="30" t="s">
        <v>2831</v>
      </c>
      <c r="G2713" s="29" t="s">
        <v>1132</v>
      </c>
      <c r="H2713" s="30" t="s">
        <v>3001</v>
      </c>
      <c r="I2713" s="78"/>
      <c r="J2713" s="20"/>
      <c r="K2713" s="20"/>
      <c r="L2713" s="20"/>
      <c r="M2713" s="20"/>
      <c r="N2713" s="320" t="s">
        <v>2685</v>
      </c>
      <c r="O2713" s="70">
        <v>0</v>
      </c>
      <c r="P2713" s="70">
        <v>0</v>
      </c>
      <c r="Q2713" s="70">
        <f t="shared" si="235"/>
        <v>0</v>
      </c>
      <c r="R2713" s="70"/>
      <c r="S2713" s="67"/>
      <c r="T2713" s="2" t="str">
        <f t="shared" si="236"/>
        <v>Nguyễn Tiến Trung Kiên_11KT2</v>
      </c>
      <c r="U2713" s="28">
        <f t="array" ref="U2713">IFERROR(VLOOKUP($T2713,'Nghi hoc T12'!$H$7:$I$160,2,0),0)</f>
        <v>0</v>
      </c>
      <c r="V2713" s="28"/>
      <c r="W2713" s="28">
        <f t="shared" si="237"/>
        <v>0</v>
      </c>
      <c r="X2713" s="333">
        <f t="shared" si="238"/>
        <v>0</v>
      </c>
      <c r="Y2713" s="333">
        <f t="shared" si="239"/>
        <v>0</v>
      </c>
    </row>
    <row r="2714" spans="1:25" s="2" customFormat="1" ht="21.95" customHeight="1">
      <c r="A2714" s="82">
        <v>17</v>
      </c>
      <c r="B2714" s="91" t="s">
        <v>3349</v>
      </c>
      <c r="C2714" s="83" t="s">
        <v>366</v>
      </c>
      <c r="D2714" s="81" t="s">
        <v>3011</v>
      </c>
      <c r="E2714" s="48">
        <v>500269</v>
      </c>
      <c r="F2714" s="30" t="s">
        <v>239</v>
      </c>
      <c r="G2714" s="29" t="s">
        <v>68</v>
      </c>
      <c r="H2714" s="30" t="s">
        <v>3003</v>
      </c>
      <c r="I2714" s="78"/>
      <c r="J2714" s="20"/>
      <c r="K2714" s="20"/>
      <c r="L2714" s="20"/>
      <c r="M2714" s="20"/>
      <c r="N2714" s="320" t="s">
        <v>2685</v>
      </c>
      <c r="O2714" s="70">
        <v>0</v>
      </c>
      <c r="P2714" s="70">
        <v>0</v>
      </c>
      <c r="Q2714" s="70">
        <f t="shared" si="235"/>
        <v>0</v>
      </c>
      <c r="R2714" s="70"/>
      <c r="S2714" s="67"/>
      <c r="T2714" s="2" t="str">
        <f t="shared" si="236"/>
        <v>Nguyễn Ngọc Anh Kiệt_11KT4</v>
      </c>
      <c r="U2714" s="28">
        <f t="array" ref="U2714">IFERROR(VLOOKUP($T2714,'Nghi hoc T12'!$H$7:$I$160,2,0),0)</f>
        <v>0</v>
      </c>
      <c r="V2714" s="28"/>
      <c r="W2714" s="28">
        <f t="shared" si="237"/>
        <v>0</v>
      </c>
      <c r="X2714" s="333">
        <f t="shared" si="238"/>
        <v>0</v>
      </c>
      <c r="Y2714" s="333">
        <f t="shared" si="239"/>
        <v>0</v>
      </c>
    </row>
    <row r="2715" spans="1:25" s="2" customFormat="1" ht="21.95" customHeight="1">
      <c r="A2715" s="82">
        <v>18</v>
      </c>
      <c r="B2715" s="91" t="s">
        <v>3349</v>
      </c>
      <c r="C2715" s="83" t="s">
        <v>366</v>
      </c>
      <c r="D2715" s="81" t="s">
        <v>3011</v>
      </c>
      <c r="E2715" s="48">
        <v>500270</v>
      </c>
      <c r="F2715" s="30" t="s">
        <v>1619</v>
      </c>
      <c r="G2715" s="29" t="s">
        <v>68</v>
      </c>
      <c r="H2715" s="30" t="s">
        <v>3000</v>
      </c>
      <c r="I2715" s="78"/>
      <c r="J2715" s="20"/>
      <c r="K2715" s="20"/>
      <c r="L2715" s="20"/>
      <c r="M2715" s="20"/>
      <c r="N2715" s="320" t="s">
        <v>2685</v>
      </c>
      <c r="O2715" s="70">
        <v>0</v>
      </c>
      <c r="P2715" s="70">
        <v>0</v>
      </c>
      <c r="Q2715" s="70">
        <f t="shared" si="235"/>
        <v>0</v>
      </c>
      <c r="R2715" s="70"/>
      <c r="S2715" s="67"/>
      <c r="T2715" s="2" t="str">
        <f t="shared" si="236"/>
        <v>Võ Anh Kiệt_11KT3</v>
      </c>
      <c r="U2715" s="28">
        <f t="array" ref="U2715">IFERROR(VLOOKUP($T2715,'Nghi hoc T12'!$H$7:$I$160,2,0),0)</f>
        <v>0</v>
      </c>
      <c r="V2715" s="28"/>
      <c r="W2715" s="28">
        <f t="shared" si="237"/>
        <v>0</v>
      </c>
      <c r="X2715" s="333">
        <f t="shared" si="238"/>
        <v>0</v>
      </c>
      <c r="Y2715" s="333">
        <f t="shared" si="239"/>
        <v>0</v>
      </c>
    </row>
    <row r="2716" spans="1:25" s="2" customFormat="1" ht="21.95" customHeight="1">
      <c r="A2716" s="82">
        <v>19</v>
      </c>
      <c r="B2716" s="91" t="s">
        <v>3349</v>
      </c>
      <c r="C2716" s="83" t="s">
        <v>366</v>
      </c>
      <c r="D2716" s="81" t="s">
        <v>3011</v>
      </c>
      <c r="E2716" s="48">
        <v>500271</v>
      </c>
      <c r="F2716" s="30" t="s">
        <v>1499</v>
      </c>
      <c r="G2716" s="29" t="s">
        <v>86</v>
      </c>
      <c r="H2716" s="30" t="s">
        <v>3002</v>
      </c>
      <c r="I2716" s="78"/>
      <c r="J2716" s="20"/>
      <c r="K2716" s="20"/>
      <c r="L2716" s="20"/>
      <c r="M2716" s="20"/>
      <c r="N2716" s="320" t="s">
        <v>2685</v>
      </c>
      <c r="O2716" s="70">
        <v>0</v>
      </c>
      <c r="P2716" s="70">
        <v>0</v>
      </c>
      <c r="Q2716" s="70">
        <f t="shared" si="235"/>
        <v>0</v>
      </c>
      <c r="R2716" s="70"/>
      <c r="S2716" s="67"/>
      <c r="T2716" s="2" t="str">
        <f t="shared" si="236"/>
        <v>Nguyễn Thị Hoàng Kim_11KT1</v>
      </c>
      <c r="U2716" s="28">
        <f t="array" ref="U2716">IFERROR(VLOOKUP($T2716,'Nghi hoc T12'!$H$7:$I$160,2,0),0)</f>
        <v>0</v>
      </c>
      <c r="V2716" s="28"/>
      <c r="W2716" s="28">
        <f t="shared" si="237"/>
        <v>0</v>
      </c>
      <c r="X2716" s="333">
        <f t="shared" si="238"/>
        <v>0</v>
      </c>
      <c r="Y2716" s="333">
        <f t="shared" si="239"/>
        <v>0</v>
      </c>
    </row>
    <row r="2717" spans="1:25" s="2" customFormat="1" ht="21.95" customHeight="1">
      <c r="A2717" s="82">
        <v>20</v>
      </c>
      <c r="B2717" s="91" t="s">
        <v>3349</v>
      </c>
      <c r="C2717" s="83" t="s">
        <v>366</v>
      </c>
      <c r="D2717" s="81" t="s">
        <v>3011</v>
      </c>
      <c r="E2717" s="48">
        <v>500272</v>
      </c>
      <c r="F2717" s="30" t="s">
        <v>1130</v>
      </c>
      <c r="G2717" s="29" t="s">
        <v>278</v>
      </c>
      <c r="H2717" s="30" t="s">
        <v>3002</v>
      </c>
      <c r="I2717" s="78"/>
      <c r="J2717" s="20"/>
      <c r="K2717" s="20"/>
      <c r="L2717" s="20"/>
      <c r="M2717" s="20"/>
      <c r="N2717" s="320" t="s">
        <v>2685</v>
      </c>
      <c r="O2717" s="70">
        <v>0</v>
      </c>
      <c r="P2717" s="70">
        <v>0</v>
      </c>
      <c r="Q2717" s="70">
        <f t="shared" si="235"/>
        <v>0</v>
      </c>
      <c r="R2717" s="70"/>
      <c r="S2717" s="67"/>
      <c r="T2717" s="2" t="str">
        <f t="shared" si="236"/>
        <v>Trần Thị Thanh Lam_11KT1</v>
      </c>
      <c r="U2717" s="28">
        <f t="array" ref="U2717">IFERROR(VLOOKUP($T2717,'Nghi hoc T12'!$H$7:$I$160,2,0),0)</f>
        <v>0</v>
      </c>
      <c r="V2717" s="28"/>
      <c r="W2717" s="28">
        <f t="shared" si="237"/>
        <v>0</v>
      </c>
      <c r="X2717" s="333">
        <f t="shared" si="238"/>
        <v>0</v>
      </c>
      <c r="Y2717" s="333">
        <f t="shared" si="239"/>
        <v>0</v>
      </c>
    </row>
    <row r="2718" spans="1:25" s="2" customFormat="1" ht="21.95" customHeight="1">
      <c r="A2718" s="82">
        <v>21</v>
      </c>
      <c r="B2718" s="91" t="s">
        <v>3349</v>
      </c>
      <c r="C2718" s="83" t="s">
        <v>366</v>
      </c>
      <c r="D2718" s="81" t="s">
        <v>3011</v>
      </c>
      <c r="E2718" s="48">
        <v>500273</v>
      </c>
      <c r="F2718" s="30" t="s">
        <v>2832</v>
      </c>
      <c r="G2718" s="29" t="s">
        <v>38</v>
      </c>
      <c r="H2718" s="30" t="s">
        <v>3001</v>
      </c>
      <c r="I2718" s="78"/>
      <c r="J2718" s="20"/>
      <c r="K2718" s="20"/>
      <c r="L2718" s="20"/>
      <c r="M2718" s="20"/>
      <c r="N2718" s="320" t="s">
        <v>2685</v>
      </c>
      <c r="O2718" s="70">
        <v>0</v>
      </c>
      <c r="P2718" s="70">
        <v>0</v>
      </c>
      <c r="Q2718" s="70">
        <f t="shared" si="235"/>
        <v>0</v>
      </c>
      <c r="R2718" s="70"/>
      <c r="S2718" s="67"/>
      <c r="T2718" s="2" t="str">
        <f t="shared" si="236"/>
        <v>Chu khánh Linh_11KT2</v>
      </c>
      <c r="U2718" s="28">
        <f t="array" ref="U2718">IFERROR(VLOOKUP($T2718,'Nghi hoc T12'!$H$7:$I$160,2,0),0)</f>
        <v>0</v>
      </c>
      <c r="V2718" s="28"/>
      <c r="W2718" s="28">
        <f t="shared" si="237"/>
        <v>0</v>
      </c>
      <c r="X2718" s="333">
        <f t="shared" si="238"/>
        <v>0</v>
      </c>
      <c r="Y2718" s="333">
        <f t="shared" si="239"/>
        <v>0</v>
      </c>
    </row>
    <row r="2719" spans="1:25" s="2" customFormat="1" ht="21.95" customHeight="1">
      <c r="A2719" s="82">
        <v>22</v>
      </c>
      <c r="B2719" s="91" t="s">
        <v>3349</v>
      </c>
      <c r="C2719" s="83" t="s">
        <v>366</v>
      </c>
      <c r="D2719" s="81" t="s">
        <v>3011</v>
      </c>
      <c r="E2719" s="48">
        <v>500274</v>
      </c>
      <c r="F2719" s="30" t="s">
        <v>2833</v>
      </c>
      <c r="G2719" s="29" t="s">
        <v>38</v>
      </c>
      <c r="H2719" s="30" t="s">
        <v>3002</v>
      </c>
      <c r="I2719" s="78"/>
      <c r="J2719" s="20"/>
      <c r="K2719" s="20"/>
      <c r="L2719" s="20"/>
      <c r="M2719" s="20"/>
      <c r="N2719" s="320" t="s">
        <v>2685</v>
      </c>
      <c r="O2719" s="70">
        <v>0</v>
      </c>
      <c r="P2719" s="70">
        <v>0</v>
      </c>
      <c r="Q2719" s="70">
        <f t="shared" si="235"/>
        <v>0</v>
      </c>
      <c r="R2719" s="70"/>
      <c r="S2719" s="67"/>
      <c r="T2719" s="2" t="str">
        <f t="shared" si="236"/>
        <v>Phạm Hoàng Khánh Linh_11KT1</v>
      </c>
      <c r="U2719" s="28">
        <f t="array" ref="U2719">IFERROR(VLOOKUP($T2719,'Nghi hoc T12'!$H$7:$I$160,2,0),0)</f>
        <v>0</v>
      </c>
      <c r="V2719" s="28"/>
      <c r="W2719" s="28">
        <f t="shared" si="237"/>
        <v>0</v>
      </c>
      <c r="X2719" s="333">
        <f t="shared" si="238"/>
        <v>0</v>
      </c>
      <c r="Y2719" s="333">
        <f t="shared" si="239"/>
        <v>0</v>
      </c>
    </row>
    <row r="2720" spans="1:25" s="2" customFormat="1" ht="21.95" customHeight="1">
      <c r="A2720" s="82">
        <v>23</v>
      </c>
      <c r="B2720" s="91" t="s">
        <v>3349</v>
      </c>
      <c r="C2720" s="83" t="s">
        <v>366</v>
      </c>
      <c r="D2720" s="81" t="s">
        <v>3011</v>
      </c>
      <c r="E2720" s="48">
        <v>500275</v>
      </c>
      <c r="F2720" s="30" t="s">
        <v>2317</v>
      </c>
      <c r="G2720" s="29" t="s">
        <v>269</v>
      </c>
      <c r="H2720" s="30" t="s">
        <v>3001</v>
      </c>
      <c r="I2720" s="78"/>
      <c r="J2720" s="20"/>
      <c r="K2720" s="20"/>
      <c r="L2720" s="20"/>
      <c r="M2720" s="20"/>
      <c r="N2720" s="320" t="s">
        <v>2685</v>
      </c>
      <c r="O2720" s="70">
        <v>0</v>
      </c>
      <c r="P2720" s="70">
        <v>0</v>
      </c>
      <c r="Q2720" s="70">
        <f t="shared" si="235"/>
        <v>0</v>
      </c>
      <c r="R2720" s="70"/>
      <c r="S2720" s="67"/>
      <c r="T2720" s="2" t="str">
        <f t="shared" si="236"/>
        <v>Nguyễn Hoàng Phương Loan_11KT2</v>
      </c>
      <c r="U2720" s="28">
        <f t="array" ref="U2720">IFERROR(VLOOKUP($T2720,'Nghi hoc T12'!$H$7:$I$160,2,0),0)</f>
        <v>0</v>
      </c>
      <c r="V2720" s="28"/>
      <c r="W2720" s="28">
        <f t="shared" si="237"/>
        <v>0</v>
      </c>
      <c r="X2720" s="333">
        <f t="shared" si="238"/>
        <v>0</v>
      </c>
      <c r="Y2720" s="333">
        <f t="shared" si="239"/>
        <v>0</v>
      </c>
    </row>
    <row r="2721" spans="1:25" s="2" customFormat="1" ht="21.95" customHeight="1">
      <c r="A2721" s="82">
        <v>24</v>
      </c>
      <c r="B2721" s="91" t="s">
        <v>3349</v>
      </c>
      <c r="C2721" s="83" t="s">
        <v>366</v>
      </c>
      <c r="D2721" s="81" t="s">
        <v>3011</v>
      </c>
      <c r="E2721" s="48">
        <v>500276</v>
      </c>
      <c r="F2721" s="30" t="s">
        <v>2834</v>
      </c>
      <c r="G2721" s="29" t="s">
        <v>14</v>
      </c>
      <c r="H2721" s="30" t="s">
        <v>3000</v>
      </c>
      <c r="I2721" s="78"/>
      <c r="J2721" s="20"/>
      <c r="K2721" s="20"/>
      <c r="L2721" s="20"/>
      <c r="M2721" s="20"/>
      <c r="N2721" s="320" t="s">
        <v>2685</v>
      </c>
      <c r="O2721" s="70">
        <v>0</v>
      </c>
      <c r="P2721" s="70">
        <v>0</v>
      </c>
      <c r="Q2721" s="70">
        <f t="shared" si="235"/>
        <v>0</v>
      </c>
      <c r="R2721" s="70"/>
      <c r="S2721" s="67"/>
      <c r="T2721" s="2" t="str">
        <f t="shared" si="236"/>
        <v>Lương Đào Tiểu Long_11KT3</v>
      </c>
      <c r="U2721" s="28">
        <f t="array" ref="U2721">IFERROR(VLOOKUP($T2721,'Nghi hoc T12'!$H$7:$I$160,2,0),0)</f>
        <v>0</v>
      </c>
      <c r="V2721" s="28"/>
      <c r="W2721" s="28">
        <f t="shared" si="237"/>
        <v>0</v>
      </c>
      <c r="X2721" s="333">
        <f t="shared" si="238"/>
        <v>0</v>
      </c>
      <c r="Y2721" s="333">
        <f t="shared" si="239"/>
        <v>0</v>
      </c>
    </row>
    <row r="2722" spans="1:25" s="2" customFormat="1" ht="21.95" customHeight="1">
      <c r="A2722" s="82">
        <v>25</v>
      </c>
      <c r="B2722" s="91" t="s">
        <v>3349</v>
      </c>
      <c r="C2722" s="83" t="s">
        <v>366</v>
      </c>
      <c r="D2722" s="81" t="s">
        <v>3011</v>
      </c>
      <c r="E2722" s="48">
        <v>500277</v>
      </c>
      <c r="F2722" s="30" t="s">
        <v>2835</v>
      </c>
      <c r="G2722" s="29" t="s">
        <v>14</v>
      </c>
      <c r="H2722" s="30" t="s">
        <v>3000</v>
      </c>
      <c r="I2722" s="78"/>
      <c r="J2722" s="20"/>
      <c r="K2722" s="20"/>
      <c r="L2722" s="20"/>
      <c r="M2722" s="20"/>
      <c r="N2722" s="320" t="s">
        <v>2685</v>
      </c>
      <c r="O2722" s="70">
        <v>0</v>
      </c>
      <c r="P2722" s="70">
        <v>0</v>
      </c>
      <c r="Q2722" s="70">
        <f t="shared" si="235"/>
        <v>0</v>
      </c>
      <c r="R2722" s="70"/>
      <c r="S2722" s="67"/>
      <c r="T2722" s="2" t="str">
        <f t="shared" si="236"/>
        <v>Ngô Đức Thiên Long_11KT3</v>
      </c>
      <c r="U2722" s="28">
        <f t="array" ref="U2722">IFERROR(VLOOKUP($T2722,'Nghi hoc T12'!$H$7:$I$160,2,0),0)</f>
        <v>0</v>
      </c>
      <c r="V2722" s="28"/>
      <c r="W2722" s="28">
        <f t="shared" si="237"/>
        <v>0</v>
      </c>
      <c r="X2722" s="333">
        <f t="shared" si="238"/>
        <v>0</v>
      </c>
      <c r="Y2722" s="333">
        <f t="shared" si="239"/>
        <v>0</v>
      </c>
    </row>
    <row r="2723" spans="1:25" s="2" customFormat="1" ht="21.95" customHeight="1">
      <c r="A2723" s="82">
        <v>26</v>
      </c>
      <c r="B2723" s="91" t="s">
        <v>3349</v>
      </c>
      <c r="C2723" s="83" t="s">
        <v>366</v>
      </c>
      <c r="D2723" s="81" t="s">
        <v>3011</v>
      </c>
      <c r="E2723" s="48">
        <v>500278</v>
      </c>
      <c r="F2723" s="30" t="s">
        <v>2836</v>
      </c>
      <c r="G2723" s="29" t="s">
        <v>14</v>
      </c>
      <c r="H2723" s="30" t="s">
        <v>3003</v>
      </c>
      <c r="I2723" s="78"/>
      <c r="J2723" s="20"/>
      <c r="K2723" s="20"/>
      <c r="L2723" s="20"/>
      <c r="M2723" s="20"/>
      <c r="N2723" s="320" t="s">
        <v>2685</v>
      </c>
      <c r="O2723" s="70">
        <v>0</v>
      </c>
      <c r="P2723" s="70">
        <v>0</v>
      </c>
      <c r="Q2723" s="70">
        <f t="shared" si="235"/>
        <v>0</v>
      </c>
      <c r="R2723" s="70"/>
      <c r="S2723" s="67"/>
      <c r="T2723" s="2" t="str">
        <f t="shared" si="236"/>
        <v>Trương Dương Hoàng Long_11KT4</v>
      </c>
      <c r="U2723" s="28">
        <f t="array" ref="U2723">IFERROR(VLOOKUP($T2723,'Nghi hoc T12'!$H$7:$I$160,2,0),0)</f>
        <v>0</v>
      </c>
      <c r="V2723" s="28"/>
      <c r="W2723" s="28">
        <f t="shared" si="237"/>
        <v>0</v>
      </c>
      <c r="X2723" s="333">
        <f t="shared" si="238"/>
        <v>0</v>
      </c>
      <c r="Y2723" s="333">
        <f t="shared" si="239"/>
        <v>0</v>
      </c>
    </row>
    <row r="2724" spans="1:25" s="2" customFormat="1" ht="21.95" customHeight="1">
      <c r="A2724" s="82">
        <v>27</v>
      </c>
      <c r="B2724" s="91" t="s">
        <v>3349</v>
      </c>
      <c r="C2724" s="83" t="s">
        <v>366</v>
      </c>
      <c r="D2724" s="81" t="s">
        <v>3011</v>
      </c>
      <c r="E2724" s="48">
        <v>500279</v>
      </c>
      <c r="F2724" s="30" t="s">
        <v>1277</v>
      </c>
      <c r="G2724" s="29" t="s">
        <v>14</v>
      </c>
      <c r="H2724" s="30" t="s">
        <v>3002</v>
      </c>
      <c r="I2724" s="78"/>
      <c r="J2724" s="20"/>
      <c r="K2724" s="20"/>
      <c r="L2724" s="20"/>
      <c r="M2724" s="20"/>
      <c r="N2724" s="320" t="s">
        <v>2685</v>
      </c>
      <c r="O2724" s="70">
        <v>0</v>
      </c>
      <c r="P2724" s="70">
        <v>0</v>
      </c>
      <c r="Q2724" s="70">
        <f t="shared" si="235"/>
        <v>0</v>
      </c>
      <c r="R2724" s="70"/>
      <c r="S2724" s="67"/>
      <c r="T2724" s="2" t="str">
        <f t="shared" si="236"/>
        <v>Võ Hoàng Long_11KT1</v>
      </c>
      <c r="U2724" s="28">
        <f t="array" ref="U2724">IFERROR(VLOOKUP($T2724,'Nghi hoc T12'!$H$7:$I$160,2,0),0)</f>
        <v>0</v>
      </c>
      <c r="V2724" s="28"/>
      <c r="W2724" s="28">
        <f t="shared" si="237"/>
        <v>0</v>
      </c>
      <c r="X2724" s="333">
        <f t="shared" si="238"/>
        <v>0</v>
      </c>
      <c r="Y2724" s="333">
        <f t="shared" si="239"/>
        <v>0</v>
      </c>
    </row>
    <row r="2725" spans="1:25" s="2" customFormat="1" ht="21.95" customHeight="1">
      <c r="A2725" s="82">
        <v>28</v>
      </c>
      <c r="B2725" s="91" t="s">
        <v>3349</v>
      </c>
      <c r="C2725" s="83" t="s">
        <v>366</v>
      </c>
      <c r="D2725" s="81" t="s">
        <v>3011</v>
      </c>
      <c r="E2725" s="48">
        <v>500280</v>
      </c>
      <c r="F2725" s="30" t="s">
        <v>2837</v>
      </c>
      <c r="G2725" s="29" t="s">
        <v>39</v>
      </c>
      <c r="H2725" s="30" t="s">
        <v>3001</v>
      </c>
      <c r="I2725" s="78"/>
      <c r="J2725" s="20"/>
      <c r="K2725" s="20"/>
      <c r="L2725" s="20"/>
      <c r="M2725" s="20"/>
      <c r="N2725" s="320" t="s">
        <v>2685</v>
      </c>
      <c r="O2725" s="70">
        <v>0</v>
      </c>
      <c r="P2725" s="70">
        <v>0</v>
      </c>
      <c r="Q2725" s="70">
        <f t="shared" si="235"/>
        <v>0</v>
      </c>
      <c r="R2725" s="70"/>
      <c r="S2725" s="67"/>
      <c r="T2725" s="2" t="str">
        <f t="shared" si="236"/>
        <v>Mai Thành Lợi_11KT2</v>
      </c>
      <c r="U2725" s="28">
        <f t="array" ref="U2725">IFERROR(VLOOKUP($T2725,'Nghi hoc T12'!$H$7:$I$160,2,0),0)</f>
        <v>0</v>
      </c>
      <c r="V2725" s="28"/>
      <c r="W2725" s="28">
        <f t="shared" si="237"/>
        <v>0</v>
      </c>
      <c r="X2725" s="333">
        <f t="shared" si="238"/>
        <v>0</v>
      </c>
      <c r="Y2725" s="333">
        <f t="shared" si="239"/>
        <v>0</v>
      </c>
    </row>
    <row r="2726" spans="1:25" s="2" customFormat="1" ht="21.95" customHeight="1">
      <c r="A2726" s="321">
        <v>1</v>
      </c>
      <c r="B2726" s="91" t="s">
        <v>3350</v>
      </c>
      <c r="C2726" s="185" t="s">
        <v>366</v>
      </c>
      <c r="D2726" s="186" t="s">
        <v>3012</v>
      </c>
      <c r="E2726" s="187">
        <v>500281</v>
      </c>
      <c r="F2726" s="188" t="s">
        <v>471</v>
      </c>
      <c r="G2726" s="189" t="s">
        <v>69</v>
      </c>
      <c r="H2726" s="188" t="s">
        <v>3001</v>
      </c>
      <c r="I2726" s="190"/>
      <c r="J2726" s="191"/>
      <c r="K2726" s="191"/>
      <c r="L2726" s="191"/>
      <c r="M2726" s="191"/>
      <c r="N2726" s="320" t="s">
        <v>2685</v>
      </c>
      <c r="O2726" s="70">
        <v>0</v>
      </c>
      <c r="P2726" s="70">
        <v>0</v>
      </c>
      <c r="Q2726" s="70">
        <f t="shared" si="235"/>
        <v>0</v>
      </c>
      <c r="R2726" s="70"/>
      <c r="S2726" s="67"/>
      <c r="T2726" s="2" t="str">
        <f t="shared" si="236"/>
        <v>Nguyễn Ngọc Khánh Ly_11KT2</v>
      </c>
      <c r="U2726" s="28">
        <f t="array" ref="U2726">IFERROR(VLOOKUP($T2726,'Nghi hoc T12'!$H$7:$I$160,2,0),0)</f>
        <v>0</v>
      </c>
      <c r="V2726" s="28"/>
      <c r="W2726" s="28">
        <f t="shared" si="237"/>
        <v>0</v>
      </c>
      <c r="X2726" s="333">
        <f t="shared" si="238"/>
        <v>0</v>
      </c>
      <c r="Y2726" s="333">
        <f t="shared" si="239"/>
        <v>0</v>
      </c>
    </row>
    <row r="2727" spans="1:25" s="2" customFormat="1" ht="21.95" customHeight="1">
      <c r="A2727" s="82">
        <v>2</v>
      </c>
      <c r="B2727" s="91" t="s">
        <v>3350</v>
      </c>
      <c r="C2727" s="83" t="s">
        <v>366</v>
      </c>
      <c r="D2727" s="81" t="s">
        <v>3012</v>
      </c>
      <c r="E2727" s="48">
        <v>500282</v>
      </c>
      <c r="F2727" s="30" t="s">
        <v>232</v>
      </c>
      <c r="G2727" s="29" t="s">
        <v>15</v>
      </c>
      <c r="H2727" s="30" t="s">
        <v>3003</v>
      </c>
      <c r="I2727" s="78"/>
      <c r="J2727" s="20"/>
      <c r="K2727" s="20"/>
      <c r="L2727" s="20"/>
      <c r="M2727" s="20"/>
      <c r="N2727" s="320" t="s">
        <v>2685</v>
      </c>
      <c r="O2727" s="70">
        <v>0</v>
      </c>
      <c r="P2727" s="70">
        <v>0</v>
      </c>
      <c r="Q2727" s="70">
        <f t="shared" si="235"/>
        <v>0</v>
      </c>
      <c r="R2727" s="70"/>
      <c r="S2727" s="67"/>
      <c r="T2727" s="2" t="str">
        <f t="shared" si="236"/>
        <v>Nguyễn Thị Tuyết Mai_11KT4</v>
      </c>
      <c r="U2727" s="28">
        <f t="array" ref="U2727">IFERROR(VLOOKUP($T2727,'Nghi hoc T12'!$H$7:$I$160,2,0),0)</f>
        <v>0</v>
      </c>
      <c r="V2727" s="28"/>
      <c r="W2727" s="28">
        <f t="shared" si="237"/>
        <v>0</v>
      </c>
      <c r="X2727" s="333">
        <f t="shared" si="238"/>
        <v>0</v>
      </c>
      <c r="Y2727" s="333">
        <f t="shared" si="239"/>
        <v>0</v>
      </c>
    </row>
    <row r="2728" spans="1:25" s="2" customFormat="1" ht="21.95" customHeight="1">
      <c r="A2728" s="82">
        <v>3</v>
      </c>
      <c r="B2728" s="91" t="s">
        <v>3350</v>
      </c>
      <c r="C2728" s="83" t="s">
        <v>366</v>
      </c>
      <c r="D2728" s="81" t="s">
        <v>3012</v>
      </c>
      <c r="E2728" s="48">
        <v>500283</v>
      </c>
      <c r="F2728" s="30" t="s">
        <v>2838</v>
      </c>
      <c r="G2728" s="29" t="s">
        <v>15</v>
      </c>
      <c r="H2728" s="30" t="s">
        <v>3000</v>
      </c>
      <c r="I2728" s="78"/>
      <c r="J2728" s="20"/>
      <c r="K2728" s="20"/>
      <c r="L2728" s="20"/>
      <c r="M2728" s="20"/>
      <c r="N2728" s="320" t="s">
        <v>2685</v>
      </c>
      <c r="O2728" s="70">
        <v>0</v>
      </c>
      <c r="P2728" s="70">
        <v>0</v>
      </c>
      <c r="Q2728" s="70">
        <f t="shared" si="235"/>
        <v>0</v>
      </c>
      <c r="R2728" s="70"/>
      <c r="S2728" s="67"/>
      <c r="T2728" s="2" t="str">
        <f t="shared" si="236"/>
        <v>Phan Thị Tiểu Mai_11KT3</v>
      </c>
      <c r="U2728" s="28">
        <f t="array" ref="U2728">IFERROR(VLOOKUP($T2728,'Nghi hoc T12'!$H$7:$I$160,2,0),0)</f>
        <v>0</v>
      </c>
      <c r="V2728" s="28"/>
      <c r="W2728" s="28">
        <f t="shared" si="237"/>
        <v>0</v>
      </c>
      <c r="X2728" s="333">
        <f t="shared" si="238"/>
        <v>0</v>
      </c>
      <c r="Y2728" s="333">
        <f t="shared" si="239"/>
        <v>0</v>
      </c>
    </row>
    <row r="2729" spans="1:25" s="2" customFormat="1" ht="21.95" customHeight="1">
      <c r="A2729" s="82">
        <v>4</v>
      </c>
      <c r="B2729" s="91" t="s">
        <v>3350</v>
      </c>
      <c r="C2729" s="83" t="s">
        <v>366</v>
      </c>
      <c r="D2729" s="81" t="s">
        <v>3012</v>
      </c>
      <c r="E2729" s="48">
        <v>500284</v>
      </c>
      <c r="F2729" s="30" t="s">
        <v>2839</v>
      </c>
      <c r="G2729" s="29" t="s">
        <v>1371</v>
      </c>
      <c r="H2729" s="30" t="s">
        <v>3002</v>
      </c>
      <c r="I2729" s="78"/>
      <c r="J2729" s="20"/>
      <c r="K2729" s="20"/>
      <c r="L2729" s="20"/>
      <c r="M2729" s="20"/>
      <c r="N2729" s="320" t="s">
        <v>2685</v>
      </c>
      <c r="O2729" s="70">
        <v>0</v>
      </c>
      <c r="P2729" s="70">
        <v>0</v>
      </c>
      <c r="Q2729" s="70">
        <f t="shared" si="235"/>
        <v>0</v>
      </c>
      <c r="R2729" s="70"/>
      <c r="S2729" s="67"/>
      <c r="T2729" s="2" t="str">
        <f t="shared" si="236"/>
        <v>Nguyễn Hoàng Triệu Mẫn_11KT1</v>
      </c>
      <c r="U2729" s="28">
        <f t="array" ref="U2729">IFERROR(VLOOKUP($T2729,'Nghi hoc T12'!$H$7:$I$160,2,0),0)</f>
        <v>0</v>
      </c>
      <c r="V2729" s="28"/>
      <c r="W2729" s="28">
        <f t="shared" si="237"/>
        <v>0</v>
      </c>
      <c r="X2729" s="333">
        <f t="shared" si="238"/>
        <v>0</v>
      </c>
      <c r="Y2729" s="333">
        <f t="shared" si="239"/>
        <v>0</v>
      </c>
    </row>
    <row r="2730" spans="1:25" s="2" customFormat="1" ht="21.95" customHeight="1">
      <c r="A2730" s="82">
        <v>5</v>
      </c>
      <c r="B2730" s="91" t="s">
        <v>3350</v>
      </c>
      <c r="C2730" s="83" t="s">
        <v>366</v>
      </c>
      <c r="D2730" s="81" t="s">
        <v>3012</v>
      </c>
      <c r="E2730" s="48">
        <v>500285</v>
      </c>
      <c r="F2730" s="30" t="s">
        <v>2840</v>
      </c>
      <c r="G2730" s="29" t="s">
        <v>40</v>
      </c>
      <c r="H2730" s="30" t="s">
        <v>3000</v>
      </c>
      <c r="I2730" s="78"/>
      <c r="J2730" s="20"/>
      <c r="K2730" s="20"/>
      <c r="L2730" s="20"/>
      <c r="M2730" s="20"/>
      <c r="N2730" s="320" t="s">
        <v>2685</v>
      </c>
      <c r="O2730" s="70">
        <v>0</v>
      </c>
      <c r="P2730" s="70">
        <v>0</v>
      </c>
      <c r="Q2730" s="70">
        <f t="shared" si="235"/>
        <v>0</v>
      </c>
      <c r="R2730" s="70"/>
      <c r="S2730" s="67"/>
      <c r="T2730" s="2" t="str">
        <f t="shared" si="236"/>
        <v>Đoàn Đỗ Hà My_11KT3</v>
      </c>
      <c r="U2730" s="28">
        <f t="array" ref="U2730">IFERROR(VLOOKUP($T2730,'Nghi hoc T12'!$H$7:$I$160,2,0),0)</f>
        <v>0</v>
      </c>
      <c r="V2730" s="28"/>
      <c r="W2730" s="28">
        <f t="shared" si="237"/>
        <v>0</v>
      </c>
      <c r="X2730" s="333">
        <f t="shared" si="238"/>
        <v>0</v>
      </c>
      <c r="Y2730" s="333">
        <f t="shared" si="239"/>
        <v>0</v>
      </c>
    </row>
    <row r="2731" spans="1:25" s="2" customFormat="1" ht="21.95" customHeight="1">
      <c r="A2731" s="82">
        <v>6</v>
      </c>
      <c r="B2731" s="91" t="s">
        <v>3350</v>
      </c>
      <c r="C2731" s="83" t="s">
        <v>366</v>
      </c>
      <c r="D2731" s="81" t="s">
        <v>3012</v>
      </c>
      <c r="E2731" s="48">
        <v>500286</v>
      </c>
      <c r="F2731" s="30" t="s">
        <v>2841</v>
      </c>
      <c r="G2731" s="29" t="s">
        <v>40</v>
      </c>
      <c r="H2731" s="30" t="s">
        <v>3001</v>
      </c>
      <c r="I2731" s="78"/>
      <c r="J2731" s="20"/>
      <c r="K2731" s="20"/>
      <c r="L2731" s="20"/>
      <c r="M2731" s="20"/>
      <c r="N2731" s="320" t="s">
        <v>2685</v>
      </c>
      <c r="O2731" s="70">
        <v>0</v>
      </c>
      <c r="P2731" s="70">
        <v>0</v>
      </c>
      <c r="Q2731" s="70">
        <f t="shared" si="235"/>
        <v>0</v>
      </c>
      <c r="R2731" s="70"/>
      <c r="S2731" s="67"/>
      <c r="T2731" s="2" t="str">
        <f t="shared" si="236"/>
        <v>Đoàn Lê Uyển My_11KT2</v>
      </c>
      <c r="U2731" s="28">
        <f t="array" ref="U2731">IFERROR(VLOOKUP($T2731,'Nghi hoc T12'!$H$7:$I$160,2,0),0)</f>
        <v>0</v>
      </c>
      <c r="V2731" s="28"/>
      <c r="W2731" s="28">
        <f t="shared" si="237"/>
        <v>0</v>
      </c>
      <c r="X2731" s="333">
        <f t="shared" si="238"/>
        <v>0</v>
      </c>
      <c r="Y2731" s="333">
        <f t="shared" si="239"/>
        <v>0</v>
      </c>
    </row>
    <row r="2732" spans="1:25" s="2" customFormat="1" ht="21.95" customHeight="1">
      <c r="A2732" s="82">
        <v>7</v>
      </c>
      <c r="B2732" s="91" t="s">
        <v>3350</v>
      </c>
      <c r="C2732" s="83" t="s">
        <v>366</v>
      </c>
      <c r="D2732" s="81" t="s">
        <v>3012</v>
      </c>
      <c r="E2732" s="48">
        <v>500287</v>
      </c>
      <c r="F2732" s="30" t="s">
        <v>2842</v>
      </c>
      <c r="G2732" s="29" t="s">
        <v>40</v>
      </c>
      <c r="H2732" s="30" t="s">
        <v>3003</v>
      </c>
      <c r="I2732" s="78"/>
      <c r="J2732" s="20"/>
      <c r="K2732" s="20"/>
      <c r="L2732" s="20"/>
      <c r="M2732" s="20"/>
      <c r="N2732" s="320" t="s">
        <v>2685</v>
      </c>
      <c r="O2732" s="70">
        <v>0</v>
      </c>
      <c r="P2732" s="70">
        <v>0</v>
      </c>
      <c r="Q2732" s="70">
        <f t="shared" si="235"/>
        <v>0</v>
      </c>
      <c r="R2732" s="70"/>
      <c r="S2732" s="67"/>
      <c r="T2732" s="2" t="str">
        <f t="shared" si="236"/>
        <v>Lâm Tuyết My_11KT4</v>
      </c>
      <c r="U2732" s="28">
        <f t="array" ref="U2732">IFERROR(VLOOKUP($T2732,'Nghi hoc T12'!$H$7:$I$160,2,0),0)</f>
        <v>0</v>
      </c>
      <c r="V2732" s="28"/>
      <c r="W2732" s="28">
        <f t="shared" si="237"/>
        <v>0</v>
      </c>
      <c r="X2732" s="333">
        <f t="shared" si="238"/>
        <v>0</v>
      </c>
      <c r="Y2732" s="333">
        <f t="shared" si="239"/>
        <v>0</v>
      </c>
    </row>
    <row r="2733" spans="1:25" s="2" customFormat="1" ht="21.95" customHeight="1">
      <c r="A2733" s="82">
        <v>8</v>
      </c>
      <c r="B2733" s="91" t="s">
        <v>3350</v>
      </c>
      <c r="C2733" s="83" t="s">
        <v>366</v>
      </c>
      <c r="D2733" s="81" t="s">
        <v>3012</v>
      </c>
      <c r="E2733" s="48">
        <v>500288</v>
      </c>
      <c r="F2733" s="30" t="s">
        <v>2843</v>
      </c>
      <c r="G2733" s="29" t="s">
        <v>17</v>
      </c>
      <c r="H2733" s="30" t="s">
        <v>3000</v>
      </c>
      <c r="I2733" s="78"/>
      <c r="J2733" s="20"/>
      <c r="K2733" s="20"/>
      <c r="L2733" s="20"/>
      <c r="M2733" s="20"/>
      <c r="N2733" s="320" t="s">
        <v>2685</v>
      </c>
      <c r="O2733" s="70">
        <v>0</v>
      </c>
      <c r="P2733" s="70">
        <v>0</v>
      </c>
      <c r="Q2733" s="70">
        <f t="shared" si="235"/>
        <v>0</v>
      </c>
      <c r="R2733" s="70"/>
      <c r="S2733" s="67"/>
      <c r="T2733" s="2" t="str">
        <f t="shared" si="236"/>
        <v>Hồ Đình Hoàng Nam_11KT3</v>
      </c>
      <c r="U2733" s="28">
        <f t="array" ref="U2733">IFERROR(VLOOKUP($T2733,'Nghi hoc T12'!$H$7:$I$160,2,0),0)</f>
        <v>0</v>
      </c>
      <c r="V2733" s="28"/>
      <c r="W2733" s="28">
        <f t="shared" si="237"/>
        <v>0</v>
      </c>
      <c r="X2733" s="333">
        <f t="shared" si="238"/>
        <v>0</v>
      </c>
      <c r="Y2733" s="333">
        <f t="shared" si="239"/>
        <v>0</v>
      </c>
    </row>
    <row r="2734" spans="1:25" s="2" customFormat="1" ht="21.95" customHeight="1">
      <c r="A2734" s="82">
        <v>9</v>
      </c>
      <c r="B2734" s="91" t="s">
        <v>3350</v>
      </c>
      <c r="C2734" s="83" t="s">
        <v>366</v>
      </c>
      <c r="D2734" s="81" t="s">
        <v>3012</v>
      </c>
      <c r="E2734" s="48">
        <v>500289</v>
      </c>
      <c r="F2734" s="30" t="s">
        <v>237</v>
      </c>
      <c r="G2734" s="29" t="s">
        <v>17</v>
      </c>
      <c r="H2734" s="30" t="s">
        <v>3003</v>
      </c>
      <c r="I2734" s="78"/>
      <c r="J2734" s="20"/>
      <c r="K2734" s="20"/>
      <c r="L2734" s="20"/>
      <c r="M2734" s="20"/>
      <c r="N2734" s="320" t="s">
        <v>2685</v>
      </c>
      <c r="O2734" s="70">
        <v>0</v>
      </c>
      <c r="P2734" s="70">
        <v>0</v>
      </c>
      <c r="Q2734" s="70">
        <f t="shared" si="235"/>
        <v>0</v>
      </c>
      <c r="R2734" s="70"/>
      <c r="S2734" s="67"/>
      <c r="T2734" s="2" t="str">
        <f t="shared" si="236"/>
        <v>Lê Bảo Nam_11KT4</v>
      </c>
      <c r="U2734" s="28">
        <f t="array" ref="U2734">IFERROR(VLOOKUP($T2734,'Nghi hoc T12'!$H$7:$I$160,2,0),0)</f>
        <v>0</v>
      </c>
      <c r="V2734" s="28"/>
      <c r="W2734" s="28">
        <f t="shared" si="237"/>
        <v>0</v>
      </c>
      <c r="X2734" s="333">
        <f t="shared" si="238"/>
        <v>0</v>
      </c>
      <c r="Y2734" s="333">
        <f t="shared" si="239"/>
        <v>0</v>
      </c>
    </row>
    <row r="2735" spans="1:25" s="2" customFormat="1" ht="21.95" customHeight="1">
      <c r="A2735" s="82">
        <v>10</v>
      </c>
      <c r="B2735" s="91" t="s">
        <v>3350</v>
      </c>
      <c r="C2735" s="83" t="s">
        <v>366</v>
      </c>
      <c r="D2735" s="81" t="s">
        <v>3012</v>
      </c>
      <c r="E2735" s="48">
        <v>500290</v>
      </c>
      <c r="F2735" s="30" t="s">
        <v>1818</v>
      </c>
      <c r="G2735" s="29" t="s">
        <v>101</v>
      </c>
      <c r="H2735" s="30" t="s">
        <v>3001</v>
      </c>
      <c r="I2735" s="78"/>
      <c r="J2735" s="20"/>
      <c r="K2735" s="20"/>
      <c r="L2735" s="20"/>
      <c r="M2735" s="20"/>
      <c r="N2735" s="320" t="s">
        <v>2685</v>
      </c>
      <c r="O2735" s="70">
        <v>0</v>
      </c>
      <c r="P2735" s="70">
        <v>0</v>
      </c>
      <c r="Q2735" s="70">
        <f t="shared" si="235"/>
        <v>0</v>
      </c>
      <c r="R2735" s="70"/>
      <c r="S2735" s="67"/>
      <c r="T2735" s="2" t="str">
        <f t="shared" si="236"/>
        <v>Phạm Thị Yến Nghi_11KT2</v>
      </c>
      <c r="U2735" s="28">
        <f t="array" ref="U2735">IFERROR(VLOOKUP($T2735,'Nghi hoc T12'!$H$7:$I$160,2,0),0)</f>
        <v>0</v>
      </c>
      <c r="V2735" s="28"/>
      <c r="W2735" s="28">
        <f t="shared" si="237"/>
        <v>0</v>
      </c>
      <c r="X2735" s="333">
        <f t="shared" si="238"/>
        <v>0</v>
      </c>
      <c r="Y2735" s="333">
        <f t="shared" si="239"/>
        <v>0</v>
      </c>
    </row>
    <row r="2736" spans="1:25" s="2" customFormat="1" ht="21.95" customHeight="1">
      <c r="A2736" s="82">
        <v>11</v>
      </c>
      <c r="B2736" s="91" t="s">
        <v>3350</v>
      </c>
      <c r="C2736" s="83" t="s">
        <v>366</v>
      </c>
      <c r="D2736" s="81" t="s">
        <v>3012</v>
      </c>
      <c r="E2736" s="48">
        <v>500291</v>
      </c>
      <c r="F2736" s="30" t="s">
        <v>2844</v>
      </c>
      <c r="G2736" s="29" t="s">
        <v>96</v>
      </c>
      <c r="H2736" s="30" t="s">
        <v>3002</v>
      </c>
      <c r="I2736" s="78"/>
      <c r="J2736" s="20"/>
      <c r="K2736" s="20"/>
      <c r="L2736" s="20"/>
      <c r="M2736" s="20"/>
      <c r="N2736" s="320" t="s">
        <v>2685</v>
      </c>
      <c r="O2736" s="70">
        <v>0</v>
      </c>
      <c r="P2736" s="70">
        <v>0</v>
      </c>
      <c r="Q2736" s="70">
        <f t="shared" si="235"/>
        <v>0</v>
      </c>
      <c r="R2736" s="70"/>
      <c r="S2736" s="67"/>
      <c r="T2736" s="2" t="str">
        <f t="shared" si="236"/>
        <v>Mai Trần Chí Nghĩa_11KT1</v>
      </c>
      <c r="U2736" s="28">
        <f t="array" ref="U2736">IFERROR(VLOOKUP($T2736,'Nghi hoc T12'!$H$7:$I$160,2,0),0)</f>
        <v>0</v>
      </c>
      <c r="V2736" s="28"/>
      <c r="W2736" s="28">
        <f t="shared" si="237"/>
        <v>0</v>
      </c>
      <c r="X2736" s="333">
        <f t="shared" si="238"/>
        <v>0</v>
      </c>
      <c r="Y2736" s="333">
        <f t="shared" si="239"/>
        <v>0</v>
      </c>
    </row>
    <row r="2737" spans="1:25" s="2" customFormat="1" ht="21.95" customHeight="1">
      <c r="A2737" s="82">
        <v>12</v>
      </c>
      <c r="B2737" s="91" t="s">
        <v>3350</v>
      </c>
      <c r="C2737" s="83" t="s">
        <v>366</v>
      </c>
      <c r="D2737" s="81" t="s">
        <v>3012</v>
      </c>
      <c r="E2737" s="48">
        <v>500292</v>
      </c>
      <c r="F2737" s="30" t="s">
        <v>142</v>
      </c>
      <c r="G2737" s="29" t="s">
        <v>96</v>
      </c>
      <c r="H2737" s="30" t="s">
        <v>3003</v>
      </c>
      <c r="I2737" s="78"/>
      <c r="J2737" s="20"/>
      <c r="K2737" s="20"/>
      <c r="L2737" s="20"/>
      <c r="M2737" s="20"/>
      <c r="N2737" s="320" t="s">
        <v>2685</v>
      </c>
      <c r="O2737" s="70">
        <v>0</v>
      </c>
      <c r="P2737" s="70">
        <v>0</v>
      </c>
      <c r="Q2737" s="70">
        <f t="shared" si="235"/>
        <v>0</v>
      </c>
      <c r="R2737" s="70"/>
      <c r="S2737" s="67"/>
      <c r="T2737" s="2" t="str">
        <f t="shared" si="236"/>
        <v>Nguyễn Tấn Nghĩa_11KT4</v>
      </c>
      <c r="U2737" s="28">
        <f t="array" ref="U2737">IFERROR(VLOOKUP($T2737,'Nghi hoc T12'!$H$7:$I$160,2,0),0)</f>
        <v>0</v>
      </c>
      <c r="V2737" s="28"/>
      <c r="W2737" s="28">
        <f t="shared" si="237"/>
        <v>0</v>
      </c>
      <c r="X2737" s="333">
        <f t="shared" si="238"/>
        <v>0</v>
      </c>
      <c r="Y2737" s="333">
        <f t="shared" si="239"/>
        <v>0</v>
      </c>
    </row>
    <row r="2738" spans="1:25" s="2" customFormat="1" ht="21.95" customHeight="1">
      <c r="A2738" s="82">
        <v>13</v>
      </c>
      <c r="B2738" s="91" t="s">
        <v>3350</v>
      </c>
      <c r="C2738" s="83" t="s">
        <v>366</v>
      </c>
      <c r="D2738" s="81" t="s">
        <v>3012</v>
      </c>
      <c r="E2738" s="48">
        <v>500293</v>
      </c>
      <c r="F2738" s="30" t="s">
        <v>2845</v>
      </c>
      <c r="G2738" s="29" t="s">
        <v>19</v>
      </c>
      <c r="H2738" s="30" t="s">
        <v>3002</v>
      </c>
      <c r="I2738" s="78"/>
      <c r="J2738" s="20"/>
      <c r="K2738" s="20"/>
      <c r="L2738" s="20"/>
      <c r="M2738" s="20"/>
      <c r="N2738" s="320" t="s">
        <v>2685</v>
      </c>
      <c r="O2738" s="70">
        <v>0</v>
      </c>
      <c r="P2738" s="70">
        <v>0</v>
      </c>
      <c r="Q2738" s="70">
        <f t="shared" si="235"/>
        <v>0</v>
      </c>
      <c r="R2738" s="70"/>
      <c r="S2738" s="67"/>
      <c r="T2738" s="2" t="str">
        <f t="shared" si="236"/>
        <v>Chung Khánh Ngọc_11KT1</v>
      </c>
      <c r="U2738" s="28">
        <f t="array" ref="U2738">IFERROR(VLOOKUP($T2738,'Nghi hoc T12'!$H$7:$I$160,2,0),0)</f>
        <v>0</v>
      </c>
      <c r="V2738" s="28"/>
      <c r="W2738" s="28">
        <f t="shared" si="237"/>
        <v>0</v>
      </c>
      <c r="X2738" s="333">
        <f t="shared" si="238"/>
        <v>0</v>
      </c>
      <c r="Y2738" s="333">
        <f t="shared" si="239"/>
        <v>0</v>
      </c>
    </row>
    <row r="2739" spans="1:25" s="2" customFormat="1" ht="21.95" customHeight="1">
      <c r="A2739" s="82">
        <v>14</v>
      </c>
      <c r="B2739" s="91" t="s">
        <v>3350</v>
      </c>
      <c r="C2739" s="83" t="s">
        <v>366</v>
      </c>
      <c r="D2739" s="81" t="s">
        <v>3012</v>
      </c>
      <c r="E2739" s="48">
        <v>500294</v>
      </c>
      <c r="F2739" s="30" t="s">
        <v>151</v>
      </c>
      <c r="G2739" s="29" t="s">
        <v>87</v>
      </c>
      <c r="H2739" s="30" t="s">
        <v>3000</v>
      </c>
      <c r="I2739" s="78"/>
      <c r="J2739" s="20"/>
      <c r="K2739" s="20"/>
      <c r="L2739" s="20"/>
      <c r="M2739" s="20"/>
      <c r="N2739" s="320" t="s">
        <v>2685</v>
      </c>
      <c r="O2739" s="70">
        <v>0</v>
      </c>
      <c r="P2739" s="70">
        <v>0</v>
      </c>
      <c r="Q2739" s="70">
        <f t="shared" si="235"/>
        <v>0</v>
      </c>
      <c r="R2739" s="70"/>
      <c r="S2739" s="67"/>
      <c r="T2739" s="2" t="str">
        <f t="shared" si="236"/>
        <v>Nguyễn Hoàng Nguyên_11KT3</v>
      </c>
      <c r="U2739" s="28">
        <f t="array" ref="U2739">IFERROR(VLOOKUP($T2739,'Nghi hoc T12'!$H$7:$I$160,2,0),0)</f>
        <v>0</v>
      </c>
      <c r="V2739" s="28"/>
      <c r="W2739" s="28">
        <f t="shared" si="237"/>
        <v>0</v>
      </c>
      <c r="X2739" s="333">
        <f t="shared" si="238"/>
        <v>0</v>
      </c>
      <c r="Y2739" s="333">
        <f t="shared" si="239"/>
        <v>0</v>
      </c>
    </row>
    <row r="2740" spans="1:25" s="2" customFormat="1" ht="21.95" customHeight="1">
      <c r="A2740" s="82">
        <v>15</v>
      </c>
      <c r="B2740" s="91" t="s">
        <v>3350</v>
      </c>
      <c r="C2740" s="83" t="s">
        <v>366</v>
      </c>
      <c r="D2740" s="81" t="s">
        <v>3012</v>
      </c>
      <c r="E2740" s="48">
        <v>500295</v>
      </c>
      <c r="F2740" s="30" t="s">
        <v>2846</v>
      </c>
      <c r="G2740" s="29" t="s">
        <v>102</v>
      </c>
      <c r="H2740" s="30" t="s">
        <v>3000</v>
      </c>
      <c r="I2740" s="78"/>
      <c r="J2740" s="20"/>
      <c r="K2740" s="20"/>
      <c r="L2740" s="20"/>
      <c r="M2740" s="20"/>
      <c r="N2740" s="320" t="s">
        <v>2685</v>
      </c>
      <c r="O2740" s="70">
        <v>0</v>
      </c>
      <c r="P2740" s="70">
        <v>0</v>
      </c>
      <c r="Q2740" s="70">
        <f t="shared" si="235"/>
        <v>0</v>
      </c>
      <c r="R2740" s="70"/>
      <c r="S2740" s="67"/>
      <c r="T2740" s="2" t="str">
        <f t="shared" si="236"/>
        <v>Thạch Bành Thanh Nhân_11KT3</v>
      </c>
      <c r="U2740" s="28">
        <f t="array" ref="U2740">IFERROR(VLOOKUP($T2740,'Nghi hoc T12'!$H$7:$I$160,2,0),0)</f>
        <v>0</v>
      </c>
      <c r="V2740" s="28"/>
      <c r="W2740" s="28">
        <f t="shared" si="237"/>
        <v>0</v>
      </c>
      <c r="X2740" s="333">
        <f t="shared" si="238"/>
        <v>0</v>
      </c>
      <c r="Y2740" s="333">
        <f t="shared" si="239"/>
        <v>0</v>
      </c>
    </row>
    <row r="2741" spans="1:25" s="2" customFormat="1" ht="21.95" customHeight="1">
      <c r="A2741" s="82">
        <v>16</v>
      </c>
      <c r="B2741" s="91" t="s">
        <v>3350</v>
      </c>
      <c r="C2741" s="83" t="s">
        <v>366</v>
      </c>
      <c r="D2741" s="81" t="s">
        <v>3012</v>
      </c>
      <c r="E2741" s="48">
        <v>500296</v>
      </c>
      <c r="F2741" s="30" t="s">
        <v>1123</v>
      </c>
      <c r="G2741" s="29" t="s">
        <v>254</v>
      </c>
      <c r="H2741" s="30" t="s">
        <v>3002</v>
      </c>
      <c r="I2741" s="78" t="s">
        <v>529</v>
      </c>
      <c r="J2741" s="20"/>
      <c r="K2741" s="20"/>
      <c r="L2741" s="20"/>
      <c r="M2741" s="20"/>
      <c r="N2741" s="320" t="s">
        <v>2685</v>
      </c>
      <c r="O2741" s="70">
        <v>0</v>
      </c>
      <c r="P2741" s="70">
        <v>0</v>
      </c>
      <c r="Q2741" s="70" t="str">
        <f t="shared" si="235"/>
        <v>NgiH</v>
      </c>
      <c r="R2741" s="70"/>
      <c r="S2741" s="67"/>
      <c r="T2741" s="2" t="str">
        <f t="shared" si="236"/>
        <v>Phạm Tiến Nhật_11KT1</v>
      </c>
      <c r="U2741" s="28" t="s">
        <v>3334</v>
      </c>
      <c r="V2741" s="28"/>
      <c r="W2741" s="28" t="str">
        <f t="shared" si="237"/>
        <v>Nghỉ học</v>
      </c>
      <c r="X2741" s="333">
        <f t="shared" si="238"/>
        <v>0</v>
      </c>
      <c r="Y2741" s="333">
        <f t="shared" si="239"/>
        <v>0</v>
      </c>
    </row>
    <row r="2742" spans="1:25" s="2" customFormat="1" ht="21.95" customHeight="1">
      <c r="A2742" s="82">
        <v>17</v>
      </c>
      <c r="B2742" s="91" t="s">
        <v>3350</v>
      </c>
      <c r="C2742" s="83" t="s">
        <v>366</v>
      </c>
      <c r="D2742" s="81" t="s">
        <v>3012</v>
      </c>
      <c r="E2742" s="48">
        <v>500297</v>
      </c>
      <c r="F2742" s="30" t="s">
        <v>242</v>
      </c>
      <c r="G2742" s="29" t="s">
        <v>20</v>
      </c>
      <c r="H2742" s="30" t="s">
        <v>3003</v>
      </c>
      <c r="I2742" s="78"/>
      <c r="J2742" s="20"/>
      <c r="K2742" s="20"/>
      <c r="L2742" s="20"/>
      <c r="M2742" s="20"/>
      <c r="N2742" s="320" t="s">
        <v>2685</v>
      </c>
      <c r="O2742" s="70">
        <v>0</v>
      </c>
      <c r="P2742" s="70">
        <v>0</v>
      </c>
      <c r="Q2742" s="70">
        <f t="shared" si="235"/>
        <v>0</v>
      </c>
      <c r="R2742" s="70"/>
      <c r="S2742" s="67"/>
      <c r="T2742" s="2" t="str">
        <f t="shared" si="236"/>
        <v>Nguyễn Ngọc Bảo Nhi_11KT4</v>
      </c>
      <c r="U2742" s="28">
        <f t="array" ref="U2742">IFERROR(VLOOKUP($T2742,'Nghi hoc T12'!$H$7:$I$160,2,0),0)</f>
        <v>0</v>
      </c>
      <c r="V2742" s="28"/>
      <c r="W2742" s="28">
        <f t="shared" si="237"/>
        <v>0</v>
      </c>
      <c r="X2742" s="333">
        <f t="shared" si="238"/>
        <v>0</v>
      </c>
      <c r="Y2742" s="333">
        <f t="shared" si="239"/>
        <v>0</v>
      </c>
    </row>
    <row r="2743" spans="1:25" s="2" customFormat="1" ht="21.95" customHeight="1">
      <c r="A2743" s="82">
        <v>18</v>
      </c>
      <c r="B2743" s="91" t="s">
        <v>3350</v>
      </c>
      <c r="C2743" s="83" t="s">
        <v>366</v>
      </c>
      <c r="D2743" s="81" t="s">
        <v>3012</v>
      </c>
      <c r="E2743" s="48">
        <v>500298</v>
      </c>
      <c r="F2743" s="30" t="s">
        <v>246</v>
      </c>
      <c r="G2743" s="29" t="s">
        <v>20</v>
      </c>
      <c r="H2743" s="30" t="s">
        <v>3002</v>
      </c>
      <c r="I2743" s="78"/>
      <c r="J2743" s="20"/>
      <c r="K2743" s="20"/>
      <c r="L2743" s="20"/>
      <c r="M2743" s="20"/>
      <c r="N2743" s="320" t="s">
        <v>2685</v>
      </c>
      <c r="O2743" s="70">
        <v>0</v>
      </c>
      <c r="P2743" s="70">
        <v>0</v>
      </c>
      <c r="Q2743" s="70">
        <f t="shared" si="235"/>
        <v>0</v>
      </c>
      <c r="R2743" s="70"/>
      <c r="S2743" s="67"/>
      <c r="T2743" s="2" t="str">
        <f t="shared" si="236"/>
        <v>Nguyễn Thị Ngọc Nhi_11KT1</v>
      </c>
      <c r="U2743" s="28">
        <f t="array" ref="U2743">IFERROR(VLOOKUP($T2743,'Nghi hoc T12'!$H$7:$I$160,2,0),0)</f>
        <v>0</v>
      </c>
      <c r="V2743" s="28"/>
      <c r="W2743" s="28">
        <f t="shared" si="237"/>
        <v>0</v>
      </c>
      <c r="X2743" s="333">
        <f t="shared" si="238"/>
        <v>0</v>
      </c>
      <c r="Y2743" s="333">
        <f t="shared" si="239"/>
        <v>0</v>
      </c>
    </row>
    <row r="2744" spans="1:25" s="2" customFormat="1" ht="21.95" customHeight="1">
      <c r="A2744" s="82">
        <v>19</v>
      </c>
      <c r="B2744" s="91" t="s">
        <v>3350</v>
      </c>
      <c r="C2744" s="83" t="s">
        <v>366</v>
      </c>
      <c r="D2744" s="81" t="s">
        <v>3012</v>
      </c>
      <c r="E2744" s="48">
        <v>500299</v>
      </c>
      <c r="F2744" s="30" t="s">
        <v>223</v>
      </c>
      <c r="G2744" s="29" t="s">
        <v>20</v>
      </c>
      <c r="H2744" s="30" t="s">
        <v>3001</v>
      </c>
      <c r="I2744" s="78"/>
      <c r="J2744" s="20"/>
      <c r="K2744" s="20"/>
      <c r="L2744" s="20"/>
      <c r="M2744" s="20"/>
      <c r="N2744" s="320" t="s">
        <v>2685</v>
      </c>
      <c r="O2744" s="70">
        <v>0</v>
      </c>
      <c r="P2744" s="70">
        <v>0</v>
      </c>
      <c r="Q2744" s="70">
        <f t="shared" si="235"/>
        <v>0</v>
      </c>
      <c r="R2744" s="70"/>
      <c r="S2744" s="67"/>
      <c r="T2744" s="2" t="str">
        <f t="shared" si="236"/>
        <v>Nguyễn Thị Yến Nhi_11KT2</v>
      </c>
      <c r="U2744" s="28">
        <f t="array" ref="U2744">IFERROR(VLOOKUP($T2744,'Nghi hoc T12'!$H$7:$I$160,2,0),0)</f>
        <v>0</v>
      </c>
      <c r="V2744" s="28"/>
      <c r="W2744" s="28">
        <f t="shared" si="237"/>
        <v>0</v>
      </c>
      <c r="X2744" s="333">
        <f t="shared" si="238"/>
        <v>0</v>
      </c>
      <c r="Y2744" s="333">
        <f t="shared" si="239"/>
        <v>0</v>
      </c>
    </row>
    <row r="2745" spans="1:25" s="2" customFormat="1" ht="21.95" customHeight="1">
      <c r="A2745" s="82">
        <v>20</v>
      </c>
      <c r="B2745" s="91" t="s">
        <v>3350</v>
      </c>
      <c r="C2745" s="83" t="s">
        <v>366</v>
      </c>
      <c r="D2745" s="81" t="s">
        <v>3012</v>
      </c>
      <c r="E2745" s="48">
        <v>500300</v>
      </c>
      <c r="F2745" s="30" t="s">
        <v>2847</v>
      </c>
      <c r="G2745" s="29" t="s">
        <v>88</v>
      </c>
      <c r="H2745" s="30" t="s">
        <v>3000</v>
      </c>
      <c r="I2745" s="78"/>
      <c r="J2745" s="20"/>
      <c r="K2745" s="20"/>
      <c r="L2745" s="20"/>
      <c r="M2745" s="20"/>
      <c r="N2745" s="320" t="s">
        <v>2685</v>
      </c>
      <c r="O2745" s="70">
        <v>0</v>
      </c>
      <c r="P2745" s="70">
        <v>0</v>
      </c>
      <c r="Q2745" s="70">
        <f t="shared" si="235"/>
        <v>0</v>
      </c>
      <c r="R2745" s="70"/>
      <c r="S2745" s="67"/>
      <c r="T2745" s="2" t="str">
        <f t="shared" si="236"/>
        <v>Trần Thị Thuỳ Nhung_11KT3</v>
      </c>
      <c r="U2745" s="28">
        <f t="array" ref="U2745">IFERROR(VLOOKUP($T2745,'Nghi hoc T12'!$H$7:$I$160,2,0),0)</f>
        <v>0</v>
      </c>
      <c r="V2745" s="28"/>
      <c r="W2745" s="28">
        <f t="shared" si="237"/>
        <v>0</v>
      </c>
      <c r="X2745" s="333">
        <f t="shared" si="238"/>
        <v>0</v>
      </c>
      <c r="Y2745" s="333">
        <f t="shared" si="239"/>
        <v>0</v>
      </c>
    </row>
    <row r="2746" spans="1:25" s="2" customFormat="1" ht="21.95" customHeight="1">
      <c r="A2746" s="82">
        <v>21</v>
      </c>
      <c r="B2746" s="91" t="s">
        <v>3350</v>
      </c>
      <c r="C2746" s="83" t="s">
        <v>366</v>
      </c>
      <c r="D2746" s="81" t="s">
        <v>3012</v>
      </c>
      <c r="E2746" s="48">
        <v>500301</v>
      </c>
      <c r="F2746" s="30" t="s">
        <v>1759</v>
      </c>
      <c r="G2746" s="29" t="s">
        <v>21</v>
      </c>
      <c r="H2746" s="30" t="s">
        <v>3001</v>
      </c>
      <c r="I2746" s="78"/>
      <c r="J2746" s="20"/>
      <c r="K2746" s="20"/>
      <c r="L2746" s="20"/>
      <c r="M2746" s="20"/>
      <c r="N2746" s="320" t="s">
        <v>2685</v>
      </c>
      <c r="O2746" s="70">
        <v>0</v>
      </c>
      <c r="P2746" s="70">
        <v>0</v>
      </c>
      <c r="Q2746" s="70">
        <f t="shared" si="235"/>
        <v>0</v>
      </c>
      <c r="R2746" s="70"/>
      <c r="S2746" s="67"/>
      <c r="T2746" s="2" t="str">
        <f t="shared" si="236"/>
        <v>Hồ Thị Quỳnh Như_11KT2</v>
      </c>
      <c r="U2746" s="28">
        <f t="array" ref="U2746">IFERROR(VLOOKUP($T2746,'Nghi hoc T12'!$H$7:$I$160,2,0),0)</f>
        <v>0</v>
      </c>
      <c r="V2746" s="28"/>
      <c r="W2746" s="28">
        <f t="shared" si="237"/>
        <v>0</v>
      </c>
      <c r="X2746" s="333">
        <f t="shared" si="238"/>
        <v>0</v>
      </c>
      <c r="Y2746" s="333">
        <f t="shared" si="239"/>
        <v>0</v>
      </c>
    </row>
    <row r="2747" spans="1:25" s="2" customFormat="1" ht="21.95" customHeight="1">
      <c r="A2747" s="82">
        <v>22</v>
      </c>
      <c r="B2747" s="91" t="s">
        <v>3350</v>
      </c>
      <c r="C2747" s="83" t="s">
        <v>366</v>
      </c>
      <c r="D2747" s="81" t="s">
        <v>3012</v>
      </c>
      <c r="E2747" s="48">
        <v>500302</v>
      </c>
      <c r="F2747" s="30" t="s">
        <v>160</v>
      </c>
      <c r="G2747" s="29" t="s">
        <v>2848</v>
      </c>
      <c r="H2747" s="30" t="s">
        <v>3003</v>
      </c>
      <c r="I2747" s="78"/>
      <c r="J2747" s="20"/>
      <c r="K2747" s="20"/>
      <c r="L2747" s="20"/>
      <c r="M2747" s="20"/>
      <c r="N2747" s="320" t="s">
        <v>2685</v>
      </c>
      <c r="O2747" s="70">
        <v>0</v>
      </c>
      <c r="P2747" s="70">
        <v>0</v>
      </c>
      <c r="Q2747" s="70">
        <f t="shared" si="235"/>
        <v>0</v>
      </c>
      <c r="R2747" s="70"/>
      <c r="S2747" s="67"/>
      <c r="T2747" s="2" t="str">
        <f t="shared" si="236"/>
        <v>Nguyễn Thành Nhứt_11KT4</v>
      </c>
      <c r="U2747" s="28">
        <f t="array" ref="U2747">IFERROR(VLOOKUP($T2747,'Nghi hoc T12'!$H$7:$I$160,2,0),0)</f>
        <v>0</v>
      </c>
      <c r="V2747" s="28"/>
      <c r="W2747" s="28">
        <f t="shared" si="237"/>
        <v>0</v>
      </c>
      <c r="X2747" s="333">
        <f t="shared" si="238"/>
        <v>0</v>
      </c>
      <c r="Y2747" s="333">
        <f t="shared" si="239"/>
        <v>0</v>
      </c>
    </row>
    <row r="2748" spans="1:25" s="2" customFormat="1" ht="21.95" customHeight="1">
      <c r="A2748" s="82">
        <v>23</v>
      </c>
      <c r="B2748" s="91" t="s">
        <v>3350</v>
      </c>
      <c r="C2748" s="83" t="s">
        <v>366</v>
      </c>
      <c r="D2748" s="81" t="s">
        <v>3012</v>
      </c>
      <c r="E2748" s="48">
        <v>500303</v>
      </c>
      <c r="F2748" s="30" t="s">
        <v>142</v>
      </c>
      <c r="G2748" s="29" t="s">
        <v>42</v>
      </c>
      <c r="H2748" s="30" t="s">
        <v>3001</v>
      </c>
      <c r="I2748" s="78"/>
      <c r="J2748" s="20"/>
      <c r="K2748" s="20"/>
      <c r="L2748" s="20"/>
      <c r="M2748" s="20"/>
      <c r="N2748" s="320" t="s">
        <v>2685</v>
      </c>
      <c r="O2748" s="70">
        <v>0</v>
      </c>
      <c r="P2748" s="70">
        <v>0</v>
      </c>
      <c r="Q2748" s="70">
        <f t="shared" si="235"/>
        <v>0</v>
      </c>
      <c r="R2748" s="70"/>
      <c r="S2748" s="67"/>
      <c r="T2748" s="2" t="str">
        <f t="shared" si="236"/>
        <v>Nguyễn Tấn Phát_11KT2</v>
      </c>
      <c r="U2748" s="28">
        <f t="array" ref="U2748">IFERROR(VLOOKUP($T2748,'Nghi hoc T12'!$H$7:$I$160,2,0),0)</f>
        <v>0</v>
      </c>
      <c r="V2748" s="28"/>
      <c r="W2748" s="28">
        <f t="shared" si="237"/>
        <v>0</v>
      </c>
      <c r="X2748" s="333">
        <f t="shared" si="238"/>
        <v>0</v>
      </c>
      <c r="Y2748" s="333">
        <f t="shared" si="239"/>
        <v>0</v>
      </c>
    </row>
    <row r="2749" spans="1:25" s="2" customFormat="1" ht="21.95" customHeight="1">
      <c r="A2749" s="82">
        <v>24</v>
      </c>
      <c r="B2749" s="91" t="s">
        <v>3350</v>
      </c>
      <c r="C2749" s="83" t="s">
        <v>366</v>
      </c>
      <c r="D2749" s="81" t="s">
        <v>3012</v>
      </c>
      <c r="E2749" s="48">
        <v>500304</v>
      </c>
      <c r="F2749" s="30" t="s">
        <v>2849</v>
      </c>
      <c r="G2749" s="29" t="s">
        <v>42</v>
      </c>
      <c r="H2749" s="30" t="s">
        <v>3002</v>
      </c>
      <c r="I2749" s="78"/>
      <c r="J2749" s="20"/>
      <c r="K2749" s="20"/>
      <c r="L2749" s="20"/>
      <c r="M2749" s="20"/>
      <c r="N2749" s="320" t="s">
        <v>2685</v>
      </c>
      <c r="O2749" s="70">
        <v>0</v>
      </c>
      <c r="P2749" s="70">
        <v>0</v>
      </c>
      <c r="Q2749" s="70">
        <f t="shared" si="235"/>
        <v>0</v>
      </c>
      <c r="R2749" s="70"/>
      <c r="S2749" s="67"/>
      <c r="T2749" s="2" t="str">
        <f t="shared" si="236"/>
        <v>Trần Chấn Phát_11KT1</v>
      </c>
      <c r="U2749" s="28">
        <f t="array" ref="U2749">IFERROR(VLOOKUP($T2749,'Nghi hoc T12'!$H$7:$I$160,2,0),0)</f>
        <v>0</v>
      </c>
      <c r="V2749" s="28"/>
      <c r="W2749" s="28">
        <f t="shared" si="237"/>
        <v>0</v>
      </c>
      <c r="X2749" s="333">
        <f t="shared" si="238"/>
        <v>0</v>
      </c>
      <c r="Y2749" s="333">
        <f t="shared" si="239"/>
        <v>0</v>
      </c>
    </row>
    <row r="2750" spans="1:25" s="2" customFormat="1" ht="21.95" customHeight="1">
      <c r="A2750" s="82">
        <v>25</v>
      </c>
      <c r="B2750" s="91" t="s">
        <v>3350</v>
      </c>
      <c r="C2750" s="83" t="s">
        <v>366</v>
      </c>
      <c r="D2750" s="81" t="s">
        <v>3012</v>
      </c>
      <c r="E2750" s="48">
        <v>500305</v>
      </c>
      <c r="F2750" s="30" t="s">
        <v>2850</v>
      </c>
      <c r="G2750" s="29" t="s">
        <v>42</v>
      </c>
      <c r="H2750" s="30" t="s">
        <v>3001</v>
      </c>
      <c r="I2750" s="78"/>
      <c r="J2750" s="20"/>
      <c r="K2750" s="20"/>
      <c r="L2750" s="20"/>
      <c r="M2750" s="20"/>
      <c r="N2750" s="320" t="s">
        <v>2685</v>
      </c>
      <c r="O2750" s="70">
        <v>0</v>
      </c>
      <c r="P2750" s="70">
        <v>0</v>
      </c>
      <c r="Q2750" s="70">
        <f t="shared" si="235"/>
        <v>0</v>
      </c>
      <c r="R2750" s="70"/>
      <c r="S2750" s="67"/>
      <c r="T2750" s="2" t="str">
        <f t="shared" si="236"/>
        <v>Trần Tài Phát_11KT2</v>
      </c>
      <c r="U2750" s="28">
        <f t="array" ref="U2750">IFERROR(VLOOKUP($T2750,'Nghi hoc T12'!$H$7:$I$160,2,0),0)</f>
        <v>0</v>
      </c>
      <c r="V2750" s="28"/>
      <c r="W2750" s="28">
        <f t="shared" si="237"/>
        <v>0</v>
      </c>
      <c r="X2750" s="333">
        <f t="shared" si="238"/>
        <v>0</v>
      </c>
      <c r="Y2750" s="333">
        <f t="shared" si="239"/>
        <v>0</v>
      </c>
    </row>
    <row r="2751" spans="1:25" s="2" customFormat="1" ht="21.95" customHeight="1">
      <c r="A2751" s="82">
        <v>26</v>
      </c>
      <c r="B2751" s="91" t="s">
        <v>3350</v>
      </c>
      <c r="C2751" s="83" t="s">
        <v>366</v>
      </c>
      <c r="D2751" s="81" t="s">
        <v>3012</v>
      </c>
      <c r="E2751" s="48">
        <v>500306</v>
      </c>
      <c r="F2751" s="30" t="s">
        <v>2851</v>
      </c>
      <c r="G2751" s="29" t="s">
        <v>70</v>
      </c>
      <c r="H2751" s="30" t="s">
        <v>3000</v>
      </c>
      <c r="I2751" s="78"/>
      <c r="J2751" s="20"/>
      <c r="K2751" s="20"/>
      <c r="L2751" s="20"/>
      <c r="M2751" s="20"/>
      <c r="N2751" s="320" t="s">
        <v>2685</v>
      </c>
      <c r="O2751" s="70">
        <v>0</v>
      </c>
      <c r="P2751" s="70">
        <v>0</v>
      </c>
      <c r="Q2751" s="70">
        <f t="shared" si="235"/>
        <v>0</v>
      </c>
      <c r="R2751" s="70"/>
      <c r="S2751" s="67"/>
      <c r="T2751" s="2" t="str">
        <f t="shared" si="236"/>
        <v>Huỳnh Nguyễn Duy Phong_11KT3</v>
      </c>
      <c r="U2751" s="28">
        <f t="array" ref="U2751">IFERROR(VLOOKUP($T2751,'Nghi hoc T12'!$H$7:$I$160,2,0),0)</f>
        <v>0</v>
      </c>
      <c r="V2751" s="28"/>
      <c r="W2751" s="28">
        <f t="shared" si="237"/>
        <v>0</v>
      </c>
      <c r="X2751" s="333">
        <f t="shared" si="238"/>
        <v>0</v>
      </c>
      <c r="Y2751" s="333">
        <f t="shared" si="239"/>
        <v>0</v>
      </c>
    </row>
    <row r="2752" spans="1:25" s="2" customFormat="1" ht="21.95" customHeight="1">
      <c r="A2752" s="82">
        <v>27</v>
      </c>
      <c r="B2752" s="91" t="s">
        <v>3350</v>
      </c>
      <c r="C2752" s="83" t="s">
        <v>366</v>
      </c>
      <c r="D2752" s="81" t="s">
        <v>3012</v>
      </c>
      <c r="E2752" s="48">
        <v>500307</v>
      </c>
      <c r="F2752" s="30" t="s">
        <v>186</v>
      </c>
      <c r="G2752" s="29" t="s">
        <v>70</v>
      </c>
      <c r="H2752" s="30" t="s">
        <v>3000</v>
      </c>
      <c r="I2752" s="78"/>
      <c r="J2752" s="20"/>
      <c r="K2752" s="20"/>
      <c r="L2752" s="20"/>
      <c r="M2752" s="20"/>
      <c r="N2752" s="320" t="s">
        <v>2685</v>
      </c>
      <c r="O2752" s="70">
        <v>0</v>
      </c>
      <c r="P2752" s="70">
        <v>0</v>
      </c>
      <c r="Q2752" s="70">
        <f t="shared" si="235"/>
        <v>0</v>
      </c>
      <c r="R2752" s="70"/>
      <c r="S2752" s="67"/>
      <c r="T2752" s="2" t="str">
        <f t="shared" si="236"/>
        <v>Nguyễn Minh Phong_11KT3</v>
      </c>
      <c r="U2752" s="28">
        <f t="array" ref="U2752">IFERROR(VLOOKUP($T2752,'Nghi hoc T12'!$H$7:$I$160,2,0),0)</f>
        <v>0</v>
      </c>
      <c r="V2752" s="28"/>
      <c r="W2752" s="28">
        <f t="shared" si="237"/>
        <v>0</v>
      </c>
      <c r="X2752" s="333">
        <f t="shared" si="238"/>
        <v>0</v>
      </c>
      <c r="Y2752" s="333">
        <f t="shared" si="239"/>
        <v>0</v>
      </c>
    </row>
    <row r="2753" spans="1:25" s="2" customFormat="1" ht="21.95" customHeight="1">
      <c r="A2753" s="82">
        <v>28</v>
      </c>
      <c r="B2753" s="91" t="s">
        <v>3350</v>
      </c>
      <c r="C2753" s="83" t="s">
        <v>366</v>
      </c>
      <c r="D2753" s="81" t="s">
        <v>3012</v>
      </c>
      <c r="E2753" s="48">
        <v>500308</v>
      </c>
      <c r="F2753" s="30" t="s">
        <v>315</v>
      </c>
      <c r="G2753" s="29" t="s">
        <v>70</v>
      </c>
      <c r="H2753" s="30" t="s">
        <v>3000</v>
      </c>
      <c r="I2753" s="78"/>
      <c r="J2753" s="20"/>
      <c r="K2753" s="20"/>
      <c r="L2753" s="20"/>
      <c r="M2753" s="20"/>
      <c r="N2753" s="320" t="s">
        <v>2685</v>
      </c>
      <c r="O2753" s="70">
        <v>0</v>
      </c>
      <c r="P2753" s="70">
        <v>0</v>
      </c>
      <c r="Q2753" s="70">
        <f t="shared" si="235"/>
        <v>0</v>
      </c>
      <c r="R2753" s="70"/>
      <c r="S2753" s="67"/>
      <c r="T2753" s="2" t="str">
        <f t="shared" si="236"/>
        <v>Nguyễn Tuấn Phong_11KT3</v>
      </c>
      <c r="U2753" s="28">
        <f t="array" ref="U2753">IFERROR(VLOOKUP($T2753,'Nghi hoc T12'!$H$7:$I$160,2,0),0)</f>
        <v>0</v>
      </c>
      <c r="V2753" s="28"/>
      <c r="W2753" s="28">
        <f t="shared" si="237"/>
        <v>0</v>
      </c>
      <c r="X2753" s="333">
        <f t="shared" si="238"/>
        <v>0</v>
      </c>
      <c r="Y2753" s="333">
        <f t="shared" si="239"/>
        <v>0</v>
      </c>
    </row>
    <row r="2754" spans="1:25" s="2" customFormat="1" ht="21.95" customHeight="1">
      <c r="A2754" s="321">
        <v>1</v>
      </c>
      <c r="B2754" s="91" t="s">
        <v>3351</v>
      </c>
      <c r="C2754" s="185" t="s">
        <v>366</v>
      </c>
      <c r="D2754" s="186" t="s">
        <v>3013</v>
      </c>
      <c r="E2754" s="187">
        <v>500309</v>
      </c>
      <c r="F2754" s="188" t="s">
        <v>1129</v>
      </c>
      <c r="G2754" s="189" t="s">
        <v>70</v>
      </c>
      <c r="H2754" s="188" t="s">
        <v>3003</v>
      </c>
      <c r="I2754" s="190"/>
      <c r="J2754" s="191"/>
      <c r="K2754" s="191"/>
      <c r="L2754" s="191"/>
      <c r="M2754" s="191"/>
      <c r="N2754" s="320" t="s">
        <v>2685</v>
      </c>
      <c r="O2754" s="70">
        <v>0</v>
      </c>
      <c r="P2754" s="70">
        <v>0</v>
      </c>
      <c r="Q2754" s="70">
        <f t="shared" si="235"/>
        <v>0</v>
      </c>
      <c r="R2754" s="70"/>
      <c r="S2754" s="67"/>
      <c r="T2754" s="2" t="str">
        <f t="shared" si="236"/>
        <v>Trần Việt Phong_11KT4</v>
      </c>
      <c r="U2754" s="28">
        <f t="array" ref="U2754">IFERROR(VLOOKUP($T2754,'Nghi hoc T12'!$H$7:$I$160,2,0),0)</f>
        <v>0</v>
      </c>
      <c r="V2754" s="28"/>
      <c r="W2754" s="28">
        <f t="shared" si="237"/>
        <v>0</v>
      </c>
      <c r="X2754" s="333">
        <f t="shared" si="238"/>
        <v>0</v>
      </c>
      <c r="Y2754" s="333">
        <f t="shared" si="239"/>
        <v>0</v>
      </c>
    </row>
    <row r="2755" spans="1:25" s="2" customFormat="1" ht="21.95" customHeight="1">
      <c r="A2755" s="82">
        <v>2</v>
      </c>
      <c r="B2755" s="91" t="s">
        <v>3351</v>
      </c>
      <c r="C2755" s="83" t="s">
        <v>366</v>
      </c>
      <c r="D2755" s="81" t="s">
        <v>3013</v>
      </c>
      <c r="E2755" s="48">
        <v>500310</v>
      </c>
      <c r="F2755" s="30" t="s">
        <v>2852</v>
      </c>
      <c r="G2755" s="29" t="s">
        <v>70</v>
      </c>
      <c r="H2755" s="30" t="s">
        <v>3002</v>
      </c>
      <c r="I2755" s="78"/>
      <c r="J2755" s="20"/>
      <c r="K2755" s="20"/>
      <c r="L2755" s="20"/>
      <c r="M2755" s="20"/>
      <c r="N2755" s="320" t="s">
        <v>2685</v>
      </c>
      <c r="O2755" s="70">
        <v>0</v>
      </c>
      <c r="P2755" s="70">
        <v>0</v>
      </c>
      <c r="Q2755" s="70">
        <f t="shared" si="235"/>
        <v>0</v>
      </c>
      <c r="R2755" s="70"/>
      <c r="S2755" s="67"/>
      <c r="T2755" s="2" t="str">
        <f t="shared" si="236"/>
        <v>Trương Hoàng Phong_11KT1</v>
      </c>
      <c r="U2755" s="28">
        <f t="array" ref="U2755">IFERROR(VLOOKUP($T2755,'Nghi hoc T12'!$H$7:$I$160,2,0),0)</f>
        <v>0</v>
      </c>
      <c r="V2755" s="28"/>
      <c r="W2755" s="28">
        <f t="shared" si="237"/>
        <v>0</v>
      </c>
      <c r="X2755" s="333">
        <f t="shared" si="238"/>
        <v>0</v>
      </c>
      <c r="Y2755" s="333">
        <f t="shared" si="239"/>
        <v>0</v>
      </c>
    </row>
    <row r="2756" spans="1:25" s="2" customFormat="1" ht="21.95" customHeight="1">
      <c r="A2756" s="82">
        <v>3</v>
      </c>
      <c r="B2756" s="91" t="s">
        <v>3351</v>
      </c>
      <c r="C2756" s="83" t="s">
        <v>366</v>
      </c>
      <c r="D2756" s="81" t="s">
        <v>3013</v>
      </c>
      <c r="E2756" s="48">
        <v>500311</v>
      </c>
      <c r="F2756" s="30" t="s">
        <v>357</v>
      </c>
      <c r="G2756" s="29" t="s">
        <v>70</v>
      </c>
      <c r="H2756" s="30" t="s">
        <v>3003</v>
      </c>
      <c r="I2756" s="78"/>
      <c r="J2756" s="20"/>
      <c r="K2756" s="20"/>
      <c r="L2756" s="20"/>
      <c r="M2756" s="20"/>
      <c r="N2756" s="320" t="s">
        <v>2685</v>
      </c>
      <c r="O2756" s="70">
        <v>0</v>
      </c>
      <c r="P2756" s="70">
        <v>0</v>
      </c>
      <c r="Q2756" s="70">
        <f t="shared" si="235"/>
        <v>0</v>
      </c>
      <c r="R2756" s="70"/>
      <c r="S2756" s="67"/>
      <c r="T2756" s="2" t="str">
        <f t="shared" si="236"/>
        <v>Võ Văn Phong_11KT4</v>
      </c>
      <c r="U2756" s="28">
        <f t="array" ref="U2756">IFERROR(VLOOKUP($T2756,'Nghi hoc T12'!$H$7:$I$160,2,0),0)</f>
        <v>0</v>
      </c>
      <c r="V2756" s="28"/>
      <c r="W2756" s="28">
        <f t="shared" si="237"/>
        <v>0</v>
      </c>
      <c r="X2756" s="333">
        <f t="shared" si="238"/>
        <v>0</v>
      </c>
      <c r="Y2756" s="333">
        <f t="shared" si="239"/>
        <v>0</v>
      </c>
    </row>
    <row r="2757" spans="1:25" s="2" customFormat="1" ht="21.95" customHeight="1">
      <c r="A2757" s="82">
        <v>4</v>
      </c>
      <c r="B2757" s="91" t="s">
        <v>3351</v>
      </c>
      <c r="C2757" s="83" t="s">
        <v>366</v>
      </c>
      <c r="D2757" s="81" t="s">
        <v>3013</v>
      </c>
      <c r="E2757" s="48">
        <v>500312</v>
      </c>
      <c r="F2757" s="30" t="s">
        <v>2853</v>
      </c>
      <c r="G2757" s="29" t="s">
        <v>71</v>
      </c>
      <c r="H2757" s="30" t="s">
        <v>3003</v>
      </c>
      <c r="I2757" s="78"/>
      <c r="J2757" s="20"/>
      <c r="K2757" s="20"/>
      <c r="L2757" s="20"/>
      <c r="M2757" s="20"/>
      <c r="N2757" s="320" t="s">
        <v>2685</v>
      </c>
      <c r="O2757" s="70">
        <v>0</v>
      </c>
      <c r="P2757" s="70">
        <v>0</v>
      </c>
      <c r="Q2757" s="70">
        <f t="shared" si="235"/>
        <v>0</v>
      </c>
      <c r="R2757" s="70"/>
      <c r="S2757" s="67"/>
      <c r="T2757" s="2" t="str">
        <f t="shared" si="236"/>
        <v>Ngô Trường Phúc_11KT4</v>
      </c>
      <c r="U2757" s="28">
        <f t="array" ref="U2757">IFERROR(VLOOKUP($T2757,'Nghi hoc T12'!$H$7:$I$160,2,0),0)</f>
        <v>0</v>
      </c>
      <c r="V2757" s="28"/>
      <c r="W2757" s="28">
        <f t="shared" si="237"/>
        <v>0</v>
      </c>
      <c r="X2757" s="333">
        <f t="shared" si="238"/>
        <v>0</v>
      </c>
      <c r="Y2757" s="333">
        <f t="shared" si="239"/>
        <v>0</v>
      </c>
    </row>
    <row r="2758" spans="1:25" s="2" customFormat="1" ht="21.95" customHeight="1">
      <c r="A2758" s="82">
        <v>5</v>
      </c>
      <c r="B2758" s="91" t="s">
        <v>3351</v>
      </c>
      <c r="C2758" s="83" t="s">
        <v>366</v>
      </c>
      <c r="D2758" s="81" t="s">
        <v>3013</v>
      </c>
      <c r="E2758" s="48">
        <v>500313</v>
      </c>
      <c r="F2758" s="30" t="s">
        <v>2854</v>
      </c>
      <c r="G2758" s="29" t="s">
        <v>71</v>
      </c>
      <c r="H2758" s="30" t="s">
        <v>3001</v>
      </c>
      <c r="I2758" s="78"/>
      <c r="J2758" s="20"/>
      <c r="K2758" s="20"/>
      <c r="L2758" s="20"/>
      <c r="M2758" s="20"/>
      <c r="N2758" s="320" t="s">
        <v>2685</v>
      </c>
      <c r="O2758" s="70">
        <v>0</v>
      </c>
      <c r="P2758" s="70">
        <v>0</v>
      </c>
      <c r="Q2758" s="70">
        <f t="shared" si="235"/>
        <v>0</v>
      </c>
      <c r="R2758" s="70"/>
      <c r="S2758" s="67"/>
      <c r="T2758" s="2" t="str">
        <f t="shared" si="236"/>
        <v>Nguyễn Kế Phúc_11KT2</v>
      </c>
      <c r="U2758" s="28">
        <f t="array" ref="U2758">IFERROR(VLOOKUP($T2758,'Nghi hoc T12'!$H$7:$I$160,2,0),0)</f>
        <v>0</v>
      </c>
      <c r="V2758" s="28"/>
      <c r="W2758" s="28">
        <f t="shared" si="237"/>
        <v>0</v>
      </c>
      <c r="X2758" s="333">
        <f t="shared" si="238"/>
        <v>0</v>
      </c>
      <c r="Y2758" s="333">
        <f t="shared" si="239"/>
        <v>0</v>
      </c>
    </row>
    <row r="2759" spans="1:25" s="2" customFormat="1" ht="21.95" customHeight="1">
      <c r="A2759" s="82">
        <v>6</v>
      </c>
      <c r="B2759" s="91" t="s">
        <v>3351</v>
      </c>
      <c r="C2759" s="83" t="s">
        <v>366</v>
      </c>
      <c r="D2759" s="81" t="s">
        <v>3013</v>
      </c>
      <c r="E2759" s="48">
        <v>500314</v>
      </c>
      <c r="F2759" s="30" t="s">
        <v>210</v>
      </c>
      <c r="G2759" s="29" t="s">
        <v>71</v>
      </c>
      <c r="H2759" s="30" t="s">
        <v>3002</v>
      </c>
      <c r="I2759" s="78"/>
      <c r="J2759" s="20"/>
      <c r="K2759" s="20"/>
      <c r="L2759" s="20"/>
      <c r="M2759" s="20"/>
      <c r="N2759" s="320" t="s">
        <v>2685</v>
      </c>
      <c r="O2759" s="70">
        <v>0</v>
      </c>
      <c r="P2759" s="70">
        <v>0</v>
      </c>
      <c r="Q2759" s="70">
        <f t="shared" si="235"/>
        <v>0</v>
      </c>
      <c r="R2759" s="70"/>
      <c r="S2759" s="67"/>
      <c r="T2759" s="2" t="str">
        <f t="shared" si="236"/>
        <v>Võ Minh Phúc_11KT1</v>
      </c>
      <c r="U2759" s="28">
        <f t="array" ref="U2759">IFERROR(VLOOKUP($T2759,'Nghi hoc T12'!$H$7:$I$160,2,0),0)</f>
        <v>0</v>
      </c>
      <c r="V2759" s="28"/>
      <c r="W2759" s="28">
        <f t="shared" si="237"/>
        <v>0</v>
      </c>
      <c r="X2759" s="333">
        <f t="shared" si="238"/>
        <v>0</v>
      </c>
      <c r="Y2759" s="333">
        <f t="shared" si="239"/>
        <v>0</v>
      </c>
    </row>
    <row r="2760" spans="1:25" s="2" customFormat="1" ht="21.95" customHeight="1">
      <c r="A2760" s="82">
        <v>7</v>
      </c>
      <c r="B2760" s="91" t="s">
        <v>3351</v>
      </c>
      <c r="C2760" s="83" t="s">
        <v>366</v>
      </c>
      <c r="D2760" s="81" t="s">
        <v>3013</v>
      </c>
      <c r="E2760" s="48">
        <v>500315</v>
      </c>
      <c r="F2760" s="30" t="s">
        <v>2855</v>
      </c>
      <c r="G2760" s="29" t="s">
        <v>1537</v>
      </c>
      <c r="H2760" s="30" t="s">
        <v>3002</v>
      </c>
      <c r="I2760" s="78"/>
      <c r="J2760" s="20"/>
      <c r="K2760" s="20"/>
      <c r="L2760" s="20"/>
      <c r="M2760" s="20"/>
      <c r="N2760" s="320" t="s">
        <v>2685</v>
      </c>
      <c r="O2760" s="70">
        <v>0</v>
      </c>
      <c r="P2760" s="70">
        <v>0</v>
      </c>
      <c r="Q2760" s="70">
        <f t="shared" si="235"/>
        <v>0</v>
      </c>
      <c r="R2760" s="70"/>
      <c r="S2760" s="67"/>
      <c r="T2760" s="2" t="str">
        <f t="shared" si="236"/>
        <v>Trịnh Lý Ngọc Phụng_11KT1</v>
      </c>
      <c r="U2760" s="28">
        <f t="array" ref="U2760">IFERROR(VLOOKUP($T2760,'Nghi hoc T12'!$H$7:$I$160,2,0),0)</f>
        <v>0</v>
      </c>
      <c r="V2760" s="28"/>
      <c r="W2760" s="28">
        <f t="shared" si="237"/>
        <v>0</v>
      </c>
      <c r="X2760" s="333">
        <f t="shared" si="238"/>
        <v>0</v>
      </c>
      <c r="Y2760" s="333">
        <f t="shared" si="239"/>
        <v>0</v>
      </c>
    </row>
    <row r="2761" spans="1:25" s="2" customFormat="1" ht="21.95" customHeight="1">
      <c r="A2761" s="82">
        <v>8</v>
      </c>
      <c r="B2761" s="91" t="s">
        <v>3351</v>
      </c>
      <c r="C2761" s="83" t="s">
        <v>366</v>
      </c>
      <c r="D2761" s="81" t="s">
        <v>3013</v>
      </c>
      <c r="E2761" s="48">
        <v>500316</v>
      </c>
      <c r="F2761" s="30" t="s">
        <v>2856</v>
      </c>
      <c r="G2761" s="29" t="s">
        <v>43</v>
      </c>
      <c r="H2761" s="30" t="s">
        <v>3001</v>
      </c>
      <c r="I2761" s="78"/>
      <c r="J2761" s="20"/>
      <c r="K2761" s="20"/>
      <c r="L2761" s="20"/>
      <c r="M2761" s="20"/>
      <c r="N2761" s="320" t="s">
        <v>2685</v>
      </c>
      <c r="O2761" s="70">
        <v>0</v>
      </c>
      <c r="P2761" s="70">
        <v>0</v>
      </c>
      <c r="Q2761" s="70">
        <f t="shared" si="235"/>
        <v>0</v>
      </c>
      <c r="R2761" s="70"/>
      <c r="S2761" s="67"/>
      <c r="T2761" s="2" t="str">
        <f t="shared" si="236"/>
        <v>Hoàng Trần Nguyên Phương_11KT2</v>
      </c>
      <c r="U2761" s="28">
        <f t="array" ref="U2761">IFERROR(VLOOKUP($T2761,'Nghi hoc T12'!$H$7:$I$160,2,0),0)</f>
        <v>0</v>
      </c>
      <c r="V2761" s="28"/>
      <c r="W2761" s="28">
        <f t="shared" si="237"/>
        <v>0</v>
      </c>
      <c r="X2761" s="333">
        <f t="shared" si="238"/>
        <v>0</v>
      </c>
      <c r="Y2761" s="333">
        <f t="shared" si="239"/>
        <v>0</v>
      </c>
    </row>
    <row r="2762" spans="1:25" s="2" customFormat="1" ht="21.95" customHeight="1">
      <c r="A2762" s="82">
        <v>9</v>
      </c>
      <c r="B2762" s="91" t="s">
        <v>3351</v>
      </c>
      <c r="C2762" s="83" t="s">
        <v>366</v>
      </c>
      <c r="D2762" s="81" t="s">
        <v>3013</v>
      </c>
      <c r="E2762" s="48">
        <v>500317</v>
      </c>
      <c r="F2762" s="30" t="s">
        <v>2857</v>
      </c>
      <c r="G2762" s="29" t="s">
        <v>43</v>
      </c>
      <c r="H2762" s="30" t="s">
        <v>3000</v>
      </c>
      <c r="I2762" s="78"/>
      <c r="J2762" s="20"/>
      <c r="K2762" s="20"/>
      <c r="L2762" s="20"/>
      <c r="M2762" s="20"/>
      <c r="N2762" s="320" t="s">
        <v>2685</v>
      </c>
      <c r="O2762" s="70">
        <v>0</v>
      </c>
      <c r="P2762" s="70">
        <v>0</v>
      </c>
      <c r="Q2762" s="70">
        <f t="shared" ref="Q2762:Q2825" si="240">U2762</f>
        <v>0</v>
      </c>
      <c r="R2762" s="70"/>
      <c r="S2762" s="67"/>
      <c r="T2762" s="2" t="str">
        <f t="shared" ref="T2762:T2825" si="241">TRIM(F2762&amp;" "&amp;G2762&amp;"_"&amp;H2762)</f>
        <v>Nguyễn Hoàng Yến Phương_11KT3</v>
      </c>
      <c r="U2762" s="28">
        <f t="array" ref="U2762">IFERROR(VLOOKUP($T2762,'Nghi hoc T12'!$H$7:$I$160,2,0),0)</f>
        <v>0</v>
      </c>
      <c r="V2762" s="28"/>
      <c r="W2762" s="28">
        <f t="shared" ref="W2762:W2825" si="242">I2762</f>
        <v>0</v>
      </c>
      <c r="X2762" s="333">
        <f t="shared" ref="X2762:X2825" si="243">O2762</f>
        <v>0</v>
      </c>
      <c r="Y2762" s="333">
        <f t="shared" ref="Y2762:Y2825" si="244">P2762</f>
        <v>0</v>
      </c>
    </row>
    <row r="2763" spans="1:25" s="2" customFormat="1" ht="21.95" customHeight="1">
      <c r="A2763" s="82">
        <v>10</v>
      </c>
      <c r="B2763" s="91" t="s">
        <v>3351</v>
      </c>
      <c r="C2763" s="83" t="s">
        <v>366</v>
      </c>
      <c r="D2763" s="81" t="s">
        <v>3013</v>
      </c>
      <c r="E2763" s="48">
        <v>500318</v>
      </c>
      <c r="F2763" s="30" t="s">
        <v>1747</v>
      </c>
      <c r="G2763" s="29" t="s">
        <v>43</v>
      </c>
      <c r="H2763" s="30" t="s">
        <v>3001</v>
      </c>
      <c r="I2763" s="78"/>
      <c r="J2763" s="20"/>
      <c r="K2763" s="20"/>
      <c r="L2763" s="20"/>
      <c r="M2763" s="20"/>
      <c r="N2763" s="320" t="s">
        <v>2685</v>
      </c>
      <c r="O2763" s="70">
        <v>0</v>
      </c>
      <c r="P2763" s="70">
        <v>0</v>
      </c>
      <c r="Q2763" s="70">
        <f t="shared" si="240"/>
        <v>0</v>
      </c>
      <c r="R2763" s="70"/>
      <c r="S2763" s="67"/>
      <c r="T2763" s="2" t="str">
        <f t="shared" si="241"/>
        <v>Trần Mai Phương_11KT2</v>
      </c>
      <c r="U2763" s="28">
        <f t="array" ref="U2763">IFERROR(VLOOKUP($T2763,'Nghi hoc T12'!$H$7:$I$160,2,0),0)</f>
        <v>0</v>
      </c>
      <c r="V2763" s="28"/>
      <c r="W2763" s="28">
        <f t="shared" si="242"/>
        <v>0</v>
      </c>
      <c r="X2763" s="333">
        <f t="shared" si="243"/>
        <v>0</v>
      </c>
      <c r="Y2763" s="333">
        <f t="shared" si="244"/>
        <v>0</v>
      </c>
    </row>
    <row r="2764" spans="1:25" s="2" customFormat="1" ht="21.95" customHeight="1">
      <c r="A2764" s="82">
        <v>11</v>
      </c>
      <c r="B2764" s="91" t="s">
        <v>3351</v>
      </c>
      <c r="C2764" s="83" t="s">
        <v>366</v>
      </c>
      <c r="D2764" s="81" t="s">
        <v>3013</v>
      </c>
      <c r="E2764" s="48">
        <v>500319</v>
      </c>
      <c r="F2764" s="30" t="s">
        <v>2355</v>
      </c>
      <c r="G2764" s="29" t="s">
        <v>43</v>
      </c>
      <c r="H2764" s="30" t="s">
        <v>3000</v>
      </c>
      <c r="I2764" s="78"/>
      <c r="J2764" s="20"/>
      <c r="K2764" s="20"/>
      <c r="L2764" s="20"/>
      <c r="M2764" s="20"/>
      <c r="N2764" s="320" t="s">
        <v>2685</v>
      </c>
      <c r="O2764" s="70">
        <v>0</v>
      </c>
      <c r="P2764" s="70">
        <v>0</v>
      </c>
      <c r="Q2764" s="70">
        <f t="shared" si="240"/>
        <v>0</v>
      </c>
      <c r="R2764" s="70"/>
      <c r="S2764" s="67"/>
      <c r="T2764" s="2" t="str">
        <f t="shared" si="241"/>
        <v>Võ Thị Ngọc Phương_11KT3</v>
      </c>
      <c r="U2764" s="28">
        <f t="array" ref="U2764">IFERROR(VLOOKUP($T2764,'Nghi hoc T12'!$H$7:$I$160,2,0),0)</f>
        <v>0</v>
      </c>
      <c r="V2764" s="28"/>
      <c r="W2764" s="28">
        <f t="shared" si="242"/>
        <v>0</v>
      </c>
      <c r="X2764" s="333">
        <f t="shared" si="243"/>
        <v>0</v>
      </c>
      <c r="Y2764" s="333">
        <f t="shared" si="244"/>
        <v>0</v>
      </c>
    </row>
    <row r="2765" spans="1:25" s="2" customFormat="1" ht="21.95" customHeight="1">
      <c r="A2765" s="82">
        <v>12</v>
      </c>
      <c r="B2765" s="91" t="s">
        <v>3351</v>
      </c>
      <c r="C2765" s="83" t="s">
        <v>366</v>
      </c>
      <c r="D2765" s="81" t="s">
        <v>3013</v>
      </c>
      <c r="E2765" s="48">
        <v>500320</v>
      </c>
      <c r="F2765" s="30" t="s">
        <v>151</v>
      </c>
      <c r="G2765" s="29" t="s">
        <v>57</v>
      </c>
      <c r="H2765" s="30" t="s">
        <v>3003</v>
      </c>
      <c r="I2765" s="78"/>
      <c r="J2765" s="20"/>
      <c r="K2765" s="20"/>
      <c r="L2765" s="20"/>
      <c r="M2765" s="20"/>
      <c r="N2765" s="320" t="s">
        <v>2685</v>
      </c>
      <c r="O2765" s="70">
        <v>0</v>
      </c>
      <c r="P2765" s="70">
        <v>0</v>
      </c>
      <c r="Q2765" s="70">
        <f t="shared" si="240"/>
        <v>0</v>
      </c>
      <c r="R2765" s="70"/>
      <c r="S2765" s="67"/>
      <c r="T2765" s="2" t="str">
        <f t="shared" si="241"/>
        <v>Nguyễn Hoàng Quân_11KT4</v>
      </c>
      <c r="U2765" s="28">
        <f t="array" ref="U2765">IFERROR(VLOOKUP($T2765,'Nghi hoc T12'!$H$7:$I$160,2,0),0)</f>
        <v>0</v>
      </c>
      <c r="V2765" s="28"/>
      <c r="W2765" s="28">
        <f t="shared" si="242"/>
        <v>0</v>
      </c>
      <c r="X2765" s="333">
        <f t="shared" si="243"/>
        <v>0</v>
      </c>
      <c r="Y2765" s="333">
        <f t="shared" si="244"/>
        <v>0</v>
      </c>
    </row>
    <row r="2766" spans="1:25" s="2" customFormat="1" ht="21.95" customHeight="1">
      <c r="A2766" s="82">
        <v>13</v>
      </c>
      <c r="B2766" s="91" t="s">
        <v>3351</v>
      </c>
      <c r="C2766" s="83" t="s">
        <v>366</v>
      </c>
      <c r="D2766" s="81" t="s">
        <v>3013</v>
      </c>
      <c r="E2766" s="48">
        <v>500321</v>
      </c>
      <c r="F2766" s="30" t="s">
        <v>129</v>
      </c>
      <c r="G2766" s="29" t="s">
        <v>57</v>
      </c>
      <c r="H2766" s="30" t="s">
        <v>3000</v>
      </c>
      <c r="I2766" s="78"/>
      <c r="J2766" s="20"/>
      <c r="K2766" s="20"/>
      <c r="L2766" s="20"/>
      <c r="M2766" s="20"/>
      <c r="N2766" s="320" t="s">
        <v>2685</v>
      </c>
      <c r="O2766" s="70">
        <v>0</v>
      </c>
      <c r="P2766" s="70">
        <v>0</v>
      </c>
      <c r="Q2766" s="70">
        <f t="shared" si="240"/>
        <v>0</v>
      </c>
      <c r="R2766" s="70"/>
      <c r="S2766" s="67"/>
      <c r="T2766" s="2" t="str">
        <f t="shared" si="241"/>
        <v>Nguyễn Hoàng Anh Quân_11KT3</v>
      </c>
      <c r="U2766" s="28">
        <f t="array" ref="U2766">IFERROR(VLOOKUP($T2766,'Nghi hoc T12'!$H$7:$I$160,2,0),0)</f>
        <v>0</v>
      </c>
      <c r="V2766" s="28"/>
      <c r="W2766" s="28">
        <f t="shared" si="242"/>
        <v>0</v>
      </c>
      <c r="X2766" s="333">
        <f t="shared" si="243"/>
        <v>0</v>
      </c>
      <c r="Y2766" s="333">
        <f t="shared" si="244"/>
        <v>0</v>
      </c>
    </row>
    <row r="2767" spans="1:25" s="2" customFormat="1" ht="21.95" customHeight="1">
      <c r="A2767" s="82">
        <v>14</v>
      </c>
      <c r="B2767" s="91" t="s">
        <v>3351</v>
      </c>
      <c r="C2767" s="83" t="s">
        <v>366</v>
      </c>
      <c r="D2767" s="81" t="s">
        <v>3013</v>
      </c>
      <c r="E2767" s="48">
        <v>500322</v>
      </c>
      <c r="F2767" s="30" t="s">
        <v>186</v>
      </c>
      <c r="G2767" s="29" t="s">
        <v>57</v>
      </c>
      <c r="H2767" s="30" t="s">
        <v>3003</v>
      </c>
      <c r="I2767" s="78"/>
      <c r="J2767" s="20"/>
      <c r="K2767" s="20"/>
      <c r="L2767" s="20"/>
      <c r="M2767" s="20"/>
      <c r="N2767" s="320" t="s">
        <v>2685</v>
      </c>
      <c r="O2767" s="70">
        <v>0</v>
      </c>
      <c r="P2767" s="70">
        <v>0</v>
      </c>
      <c r="Q2767" s="70">
        <f t="shared" si="240"/>
        <v>0</v>
      </c>
      <c r="R2767" s="70"/>
      <c r="S2767" s="67"/>
      <c r="T2767" s="2" t="str">
        <f t="shared" si="241"/>
        <v>Nguyễn Minh Quân_11KT4</v>
      </c>
      <c r="U2767" s="28">
        <f t="array" ref="U2767">IFERROR(VLOOKUP($T2767,'Nghi hoc T12'!$H$7:$I$160,2,0),0)</f>
        <v>0</v>
      </c>
      <c r="V2767" s="28"/>
      <c r="W2767" s="28">
        <f t="shared" si="242"/>
        <v>0</v>
      </c>
      <c r="X2767" s="333">
        <f t="shared" si="243"/>
        <v>0</v>
      </c>
      <c r="Y2767" s="333">
        <f t="shared" si="244"/>
        <v>0</v>
      </c>
    </row>
    <row r="2768" spans="1:25" s="2" customFormat="1" ht="21.95" customHeight="1">
      <c r="A2768" s="82">
        <v>15</v>
      </c>
      <c r="B2768" s="91" t="s">
        <v>3351</v>
      </c>
      <c r="C2768" s="83" t="s">
        <v>366</v>
      </c>
      <c r="D2768" s="81" t="s">
        <v>3013</v>
      </c>
      <c r="E2768" s="48">
        <v>500323</v>
      </c>
      <c r="F2768" s="30" t="s">
        <v>2858</v>
      </c>
      <c r="G2768" s="29" t="s">
        <v>57</v>
      </c>
      <c r="H2768" s="30" t="s">
        <v>3002</v>
      </c>
      <c r="I2768" s="78"/>
      <c r="J2768" s="20"/>
      <c r="K2768" s="20"/>
      <c r="L2768" s="20"/>
      <c r="M2768" s="20"/>
      <c r="N2768" s="320" t="s">
        <v>2685</v>
      </c>
      <c r="O2768" s="70">
        <v>0</v>
      </c>
      <c r="P2768" s="70">
        <v>0</v>
      </c>
      <c r="Q2768" s="70">
        <f t="shared" si="240"/>
        <v>0</v>
      </c>
      <c r="R2768" s="70"/>
      <c r="S2768" s="67"/>
      <c r="T2768" s="2" t="str">
        <f t="shared" si="241"/>
        <v>Thái Hoàng Anh Quân_11KT1</v>
      </c>
      <c r="U2768" s="28">
        <f t="array" ref="U2768">IFERROR(VLOOKUP($T2768,'Nghi hoc T12'!$H$7:$I$160,2,0),0)</f>
        <v>0</v>
      </c>
      <c r="V2768" s="28"/>
      <c r="W2768" s="28">
        <f t="shared" si="242"/>
        <v>0</v>
      </c>
      <c r="X2768" s="333">
        <f t="shared" si="243"/>
        <v>0</v>
      </c>
      <c r="Y2768" s="333">
        <f t="shared" si="244"/>
        <v>0</v>
      </c>
    </row>
    <row r="2769" spans="1:25" s="2" customFormat="1" ht="21.95" customHeight="1">
      <c r="A2769" s="82">
        <v>16</v>
      </c>
      <c r="B2769" s="91" t="s">
        <v>3351</v>
      </c>
      <c r="C2769" s="83" t="s">
        <v>366</v>
      </c>
      <c r="D2769" s="81" t="s">
        <v>3013</v>
      </c>
      <c r="E2769" s="48">
        <v>500324</v>
      </c>
      <c r="F2769" s="30" t="s">
        <v>2859</v>
      </c>
      <c r="G2769" s="29" t="s">
        <v>2182</v>
      </c>
      <c r="H2769" s="30" t="s">
        <v>3002</v>
      </c>
      <c r="I2769" s="78"/>
      <c r="J2769" s="20"/>
      <c r="K2769" s="20"/>
      <c r="L2769" s="20"/>
      <c r="M2769" s="20"/>
      <c r="N2769" s="320" t="s">
        <v>2685</v>
      </c>
      <c r="O2769" s="70">
        <v>0</v>
      </c>
      <c r="P2769" s="70">
        <v>0</v>
      </c>
      <c r="Q2769" s="70">
        <f t="shared" si="240"/>
        <v>0</v>
      </c>
      <c r="R2769" s="70"/>
      <c r="S2769" s="67"/>
      <c r="T2769" s="2" t="str">
        <f t="shared" si="241"/>
        <v>Huỳnh Nguyễn An Quí_11KT1</v>
      </c>
      <c r="U2769" s="28">
        <f t="array" ref="U2769">IFERROR(VLOOKUP($T2769,'Nghi hoc T12'!$H$7:$I$160,2,0),0)</f>
        <v>0</v>
      </c>
      <c r="V2769" s="28"/>
      <c r="W2769" s="28">
        <f t="shared" si="242"/>
        <v>0</v>
      </c>
      <c r="X2769" s="333">
        <f t="shared" si="243"/>
        <v>0</v>
      </c>
      <c r="Y2769" s="333">
        <f t="shared" si="244"/>
        <v>0</v>
      </c>
    </row>
    <row r="2770" spans="1:25" s="2" customFormat="1" ht="21.95" customHeight="1">
      <c r="A2770" s="82">
        <v>17</v>
      </c>
      <c r="B2770" s="91" t="s">
        <v>3351</v>
      </c>
      <c r="C2770" s="83" t="s">
        <v>366</v>
      </c>
      <c r="D2770" s="81" t="s">
        <v>3013</v>
      </c>
      <c r="E2770" s="48">
        <v>500325</v>
      </c>
      <c r="F2770" s="30" t="s">
        <v>2860</v>
      </c>
      <c r="G2770" s="29" t="s">
        <v>235</v>
      </c>
      <c r="H2770" s="30" t="s">
        <v>3001</v>
      </c>
      <c r="I2770" s="78"/>
      <c r="J2770" s="20"/>
      <c r="K2770" s="20"/>
      <c r="L2770" s="20"/>
      <c r="M2770" s="20"/>
      <c r="N2770" s="320" t="s">
        <v>2685</v>
      </c>
      <c r="O2770" s="70">
        <v>0</v>
      </c>
      <c r="P2770" s="70">
        <v>0</v>
      </c>
      <c r="Q2770" s="70">
        <f t="shared" si="240"/>
        <v>0</v>
      </c>
      <c r="R2770" s="70"/>
      <c r="S2770" s="67"/>
      <c r="T2770" s="2" t="str">
        <f t="shared" si="241"/>
        <v>Phạm Hữu Anh Quốc_11KT2</v>
      </c>
      <c r="U2770" s="28">
        <f t="array" ref="U2770">IFERROR(VLOOKUP($T2770,'Nghi hoc T12'!$H$7:$I$160,2,0),0)</f>
        <v>0</v>
      </c>
      <c r="V2770" s="28"/>
      <c r="W2770" s="28">
        <f t="shared" si="242"/>
        <v>0</v>
      </c>
      <c r="X2770" s="333">
        <f t="shared" si="243"/>
        <v>0</v>
      </c>
      <c r="Y2770" s="333">
        <f t="shared" si="244"/>
        <v>0</v>
      </c>
    </row>
    <row r="2771" spans="1:25" s="2" customFormat="1" ht="21.95" customHeight="1">
      <c r="A2771" s="82">
        <v>18</v>
      </c>
      <c r="B2771" s="91" t="s">
        <v>3351</v>
      </c>
      <c r="C2771" s="83" t="s">
        <v>366</v>
      </c>
      <c r="D2771" s="81" t="s">
        <v>3013</v>
      </c>
      <c r="E2771" s="48">
        <v>500326</v>
      </c>
      <c r="F2771" s="30" t="s">
        <v>2861</v>
      </c>
      <c r="G2771" s="29" t="s">
        <v>46</v>
      </c>
      <c r="H2771" s="30" t="s">
        <v>3003</v>
      </c>
      <c r="I2771" s="78"/>
      <c r="J2771" s="20"/>
      <c r="K2771" s="20"/>
      <c r="L2771" s="20"/>
      <c r="M2771" s="20"/>
      <c r="N2771" s="320" t="s">
        <v>2685</v>
      </c>
      <c r="O2771" s="70">
        <v>0</v>
      </c>
      <c r="P2771" s="70">
        <v>0</v>
      </c>
      <c r="Q2771" s="70">
        <f t="shared" si="240"/>
        <v>0</v>
      </c>
      <c r="R2771" s="70"/>
      <c r="S2771" s="67"/>
      <c r="T2771" s="2" t="str">
        <f t="shared" si="241"/>
        <v>Kim Hoàng Quý_11KT4</v>
      </c>
      <c r="U2771" s="28">
        <f t="array" ref="U2771">IFERROR(VLOOKUP($T2771,'Nghi hoc T12'!$H$7:$I$160,2,0),0)</f>
        <v>0</v>
      </c>
      <c r="V2771" s="28"/>
      <c r="W2771" s="28">
        <f t="shared" si="242"/>
        <v>0</v>
      </c>
      <c r="X2771" s="333">
        <f t="shared" si="243"/>
        <v>0</v>
      </c>
      <c r="Y2771" s="333">
        <f t="shared" si="244"/>
        <v>0</v>
      </c>
    </row>
    <row r="2772" spans="1:25" s="2" customFormat="1" ht="21.95" customHeight="1">
      <c r="A2772" s="82">
        <v>19</v>
      </c>
      <c r="B2772" s="91" t="s">
        <v>3351</v>
      </c>
      <c r="C2772" s="83" t="s">
        <v>366</v>
      </c>
      <c r="D2772" s="81" t="s">
        <v>3013</v>
      </c>
      <c r="E2772" s="48">
        <v>500327</v>
      </c>
      <c r="F2772" s="30" t="s">
        <v>2862</v>
      </c>
      <c r="G2772" s="29" t="s">
        <v>305</v>
      </c>
      <c r="H2772" s="30" t="s">
        <v>3001</v>
      </c>
      <c r="I2772" s="78"/>
      <c r="J2772" s="20"/>
      <c r="K2772" s="20"/>
      <c r="L2772" s="20"/>
      <c r="M2772" s="20"/>
      <c r="N2772" s="320" t="s">
        <v>2685</v>
      </c>
      <c r="O2772" s="70">
        <v>0</v>
      </c>
      <c r="P2772" s="70">
        <v>0</v>
      </c>
      <c r="Q2772" s="70">
        <f t="shared" si="240"/>
        <v>0</v>
      </c>
      <c r="R2772" s="70"/>
      <c r="S2772" s="67"/>
      <c r="T2772" s="2" t="str">
        <f t="shared" si="241"/>
        <v>Lê Trần Hoàng Quyên_11KT2</v>
      </c>
      <c r="U2772" s="28">
        <f t="array" ref="U2772">IFERROR(VLOOKUP($T2772,'Nghi hoc T12'!$H$7:$I$160,2,0),0)</f>
        <v>0</v>
      </c>
      <c r="V2772" s="28"/>
      <c r="W2772" s="28">
        <f t="shared" si="242"/>
        <v>0</v>
      </c>
      <c r="X2772" s="333">
        <f t="shared" si="243"/>
        <v>0</v>
      </c>
      <c r="Y2772" s="333">
        <f t="shared" si="244"/>
        <v>0</v>
      </c>
    </row>
    <row r="2773" spans="1:25" s="2" customFormat="1" ht="21.95" customHeight="1">
      <c r="A2773" s="82">
        <v>20</v>
      </c>
      <c r="B2773" s="91" t="s">
        <v>3351</v>
      </c>
      <c r="C2773" s="83" t="s">
        <v>366</v>
      </c>
      <c r="D2773" s="81" t="s">
        <v>3013</v>
      </c>
      <c r="E2773" s="48">
        <v>500328</v>
      </c>
      <c r="F2773" s="30" t="s">
        <v>2863</v>
      </c>
      <c r="G2773" s="29" t="s">
        <v>2656</v>
      </c>
      <c r="H2773" s="30" t="s">
        <v>3002</v>
      </c>
      <c r="I2773" s="78"/>
      <c r="J2773" s="20"/>
      <c r="K2773" s="20"/>
      <c r="L2773" s="20"/>
      <c r="M2773" s="20"/>
      <c r="N2773" s="320" t="s">
        <v>2685</v>
      </c>
      <c r="O2773" s="70">
        <v>0</v>
      </c>
      <c r="P2773" s="70">
        <v>0</v>
      </c>
      <c r="Q2773" s="70">
        <f t="shared" si="240"/>
        <v>0</v>
      </c>
      <c r="R2773" s="70"/>
      <c r="S2773" s="67"/>
      <c r="T2773" s="2" t="str">
        <f t="shared" si="241"/>
        <v>Đỗ Trọng Quyền_11KT1</v>
      </c>
      <c r="U2773" s="28">
        <f t="array" ref="U2773">IFERROR(VLOOKUP($T2773,'Nghi hoc T12'!$H$7:$I$160,2,0),0)</f>
        <v>0</v>
      </c>
      <c r="V2773" s="28"/>
      <c r="W2773" s="28">
        <f t="shared" si="242"/>
        <v>0</v>
      </c>
      <c r="X2773" s="333">
        <f t="shared" si="243"/>
        <v>0</v>
      </c>
      <c r="Y2773" s="333">
        <f t="shared" si="244"/>
        <v>0</v>
      </c>
    </row>
    <row r="2774" spans="1:25" s="2" customFormat="1" ht="21.95" customHeight="1">
      <c r="A2774" s="82">
        <v>21</v>
      </c>
      <c r="B2774" s="91" t="s">
        <v>3351</v>
      </c>
      <c r="C2774" s="83" t="s">
        <v>366</v>
      </c>
      <c r="D2774" s="81" t="s">
        <v>3013</v>
      </c>
      <c r="E2774" s="48">
        <v>500329</v>
      </c>
      <c r="F2774" s="30" t="s">
        <v>2666</v>
      </c>
      <c r="G2774" s="29" t="s">
        <v>22</v>
      </c>
      <c r="H2774" s="30" t="s">
        <v>3000</v>
      </c>
      <c r="I2774" s="78"/>
      <c r="J2774" s="20"/>
      <c r="K2774" s="20"/>
      <c r="L2774" s="20"/>
      <c r="M2774" s="20"/>
      <c r="N2774" s="320" t="s">
        <v>2685</v>
      </c>
      <c r="O2774" s="70">
        <v>0</v>
      </c>
      <c r="P2774" s="70">
        <v>0</v>
      </c>
      <c r="Q2774" s="70">
        <f t="shared" si="240"/>
        <v>0</v>
      </c>
      <c r="R2774" s="70"/>
      <c r="S2774" s="67"/>
      <c r="T2774" s="2" t="str">
        <f t="shared" si="241"/>
        <v>Đỗ Mạnh Quỳnh_11KT3</v>
      </c>
      <c r="U2774" s="28">
        <f t="array" ref="U2774">IFERROR(VLOOKUP($T2774,'Nghi hoc T12'!$H$7:$I$160,2,0),0)</f>
        <v>0</v>
      </c>
      <c r="V2774" s="28"/>
      <c r="W2774" s="28">
        <f t="shared" si="242"/>
        <v>0</v>
      </c>
      <c r="X2774" s="333">
        <f t="shared" si="243"/>
        <v>0</v>
      </c>
      <c r="Y2774" s="333">
        <f t="shared" si="244"/>
        <v>0</v>
      </c>
    </row>
    <row r="2775" spans="1:25" s="2" customFormat="1" ht="21.95" customHeight="1">
      <c r="A2775" s="82">
        <v>22</v>
      </c>
      <c r="B2775" s="91" t="s">
        <v>3351</v>
      </c>
      <c r="C2775" s="83" t="s">
        <v>366</v>
      </c>
      <c r="D2775" s="81" t="s">
        <v>3013</v>
      </c>
      <c r="E2775" s="48">
        <v>500330</v>
      </c>
      <c r="F2775" s="30" t="s">
        <v>2864</v>
      </c>
      <c r="G2775" s="29" t="s">
        <v>47</v>
      </c>
      <c r="H2775" s="30" t="s">
        <v>3003</v>
      </c>
      <c r="I2775" s="78"/>
      <c r="J2775" s="20"/>
      <c r="K2775" s="20"/>
      <c r="L2775" s="20"/>
      <c r="M2775" s="20"/>
      <c r="N2775" s="320" t="s">
        <v>2685</v>
      </c>
      <c r="O2775" s="70">
        <v>0</v>
      </c>
      <c r="P2775" s="70">
        <v>0</v>
      </c>
      <c r="Q2775" s="70">
        <f t="shared" si="240"/>
        <v>0</v>
      </c>
      <c r="R2775" s="70"/>
      <c r="S2775" s="67"/>
      <c r="T2775" s="2" t="str">
        <f t="shared" si="241"/>
        <v>Lưu Trần Phước Sang_11KT4</v>
      </c>
      <c r="U2775" s="28">
        <f t="array" ref="U2775">IFERROR(VLOOKUP($T2775,'Nghi hoc T12'!$H$7:$I$160,2,0),0)</f>
        <v>0</v>
      </c>
      <c r="V2775" s="28"/>
      <c r="W2775" s="28">
        <f t="shared" si="242"/>
        <v>0</v>
      </c>
      <c r="X2775" s="333">
        <f t="shared" si="243"/>
        <v>0</v>
      </c>
      <c r="Y2775" s="333">
        <f t="shared" si="244"/>
        <v>0</v>
      </c>
    </row>
    <row r="2776" spans="1:25" s="2" customFormat="1" ht="21.95" customHeight="1">
      <c r="A2776" s="82">
        <v>23</v>
      </c>
      <c r="B2776" s="91" t="s">
        <v>3351</v>
      </c>
      <c r="C2776" s="83" t="s">
        <v>366</v>
      </c>
      <c r="D2776" s="81" t="s">
        <v>3013</v>
      </c>
      <c r="E2776" s="48">
        <v>500331</v>
      </c>
      <c r="F2776" s="30" t="s">
        <v>2362</v>
      </c>
      <c r="G2776" s="29" t="s">
        <v>47</v>
      </c>
      <c r="H2776" s="30" t="s">
        <v>3003</v>
      </c>
      <c r="I2776" s="78"/>
      <c r="J2776" s="20"/>
      <c r="K2776" s="20"/>
      <c r="L2776" s="20"/>
      <c r="M2776" s="20"/>
      <c r="N2776" s="320" t="s">
        <v>2685</v>
      </c>
      <c r="O2776" s="70">
        <v>0</v>
      </c>
      <c r="P2776" s="70">
        <v>0</v>
      </c>
      <c r="Q2776" s="70">
        <f t="shared" si="240"/>
        <v>0</v>
      </c>
      <c r="R2776" s="70"/>
      <c r="S2776" s="67"/>
      <c r="T2776" s="2" t="str">
        <f t="shared" si="241"/>
        <v>Trương Tấn Sang_11KT4</v>
      </c>
      <c r="U2776" s="28">
        <f t="array" ref="U2776">IFERROR(VLOOKUP($T2776,'Nghi hoc T12'!$H$7:$I$160,2,0),0)</f>
        <v>0</v>
      </c>
      <c r="V2776" s="28"/>
      <c r="W2776" s="28">
        <f t="shared" si="242"/>
        <v>0</v>
      </c>
      <c r="X2776" s="333">
        <f t="shared" si="243"/>
        <v>0</v>
      </c>
      <c r="Y2776" s="333">
        <f t="shared" si="244"/>
        <v>0</v>
      </c>
    </row>
    <row r="2777" spans="1:25" s="2" customFormat="1" ht="21.95" customHeight="1">
      <c r="A2777" s="82">
        <v>24</v>
      </c>
      <c r="B2777" s="91" t="s">
        <v>3351</v>
      </c>
      <c r="C2777" s="83" t="s">
        <v>366</v>
      </c>
      <c r="D2777" s="81" t="s">
        <v>3013</v>
      </c>
      <c r="E2777" s="48">
        <v>500332</v>
      </c>
      <c r="F2777" s="30" t="s">
        <v>2865</v>
      </c>
      <c r="G2777" s="29" t="s">
        <v>47</v>
      </c>
      <c r="H2777" s="30" t="s">
        <v>3000</v>
      </c>
      <c r="I2777" s="78"/>
      <c r="J2777" s="20"/>
      <c r="K2777" s="20"/>
      <c r="L2777" s="20"/>
      <c r="M2777" s="20"/>
      <c r="N2777" s="320" t="s">
        <v>2685</v>
      </c>
      <c r="O2777" s="70">
        <v>0</v>
      </c>
      <c r="P2777" s="70">
        <v>0</v>
      </c>
      <c r="Q2777" s="70">
        <f t="shared" si="240"/>
        <v>0</v>
      </c>
      <c r="R2777" s="70"/>
      <c r="S2777" s="67"/>
      <c r="T2777" s="2" t="str">
        <f t="shared" si="241"/>
        <v>Yến Ngọc Thanh Sang_11KT3</v>
      </c>
      <c r="U2777" s="28">
        <f t="array" ref="U2777">IFERROR(VLOOKUP($T2777,'Nghi hoc T12'!$H$7:$I$160,2,0),0)</f>
        <v>0</v>
      </c>
      <c r="V2777" s="28"/>
      <c r="W2777" s="28">
        <f t="shared" si="242"/>
        <v>0</v>
      </c>
      <c r="X2777" s="333">
        <f t="shared" si="243"/>
        <v>0</v>
      </c>
      <c r="Y2777" s="333">
        <f t="shared" si="244"/>
        <v>0</v>
      </c>
    </row>
    <row r="2778" spans="1:25" s="2" customFormat="1" ht="21.95" customHeight="1">
      <c r="A2778" s="82">
        <v>25</v>
      </c>
      <c r="B2778" s="91" t="s">
        <v>3351</v>
      </c>
      <c r="C2778" s="83" t="s">
        <v>366</v>
      </c>
      <c r="D2778" s="81" t="s">
        <v>3013</v>
      </c>
      <c r="E2778" s="48">
        <v>500333</v>
      </c>
      <c r="F2778" s="30" t="s">
        <v>2866</v>
      </c>
      <c r="G2778" s="29" t="s">
        <v>2549</v>
      </c>
      <c r="H2778" s="30" t="s">
        <v>3003</v>
      </c>
      <c r="I2778" s="78"/>
      <c r="J2778" s="20"/>
      <c r="K2778" s="20"/>
      <c r="L2778" s="20"/>
      <c r="M2778" s="20"/>
      <c r="N2778" s="320" t="s">
        <v>2685</v>
      </c>
      <c r="O2778" s="70">
        <v>0</v>
      </c>
      <c r="P2778" s="70">
        <v>0</v>
      </c>
      <c r="Q2778" s="70">
        <f t="shared" si="240"/>
        <v>0</v>
      </c>
      <c r="R2778" s="70"/>
      <c r="S2778" s="67"/>
      <c r="T2778" s="2" t="str">
        <f t="shared" si="241"/>
        <v>Trần Ngô Phục Sinh_11KT4</v>
      </c>
      <c r="U2778" s="28">
        <f t="array" ref="U2778">IFERROR(VLOOKUP($T2778,'Nghi hoc T12'!$H$7:$I$160,2,0),0)</f>
        <v>0</v>
      </c>
      <c r="V2778" s="28"/>
      <c r="W2778" s="28">
        <f t="shared" si="242"/>
        <v>0</v>
      </c>
      <c r="X2778" s="333">
        <f t="shared" si="243"/>
        <v>0</v>
      </c>
      <c r="Y2778" s="333">
        <f t="shared" si="244"/>
        <v>0</v>
      </c>
    </row>
    <row r="2779" spans="1:25" s="2" customFormat="1" ht="21.95" customHeight="1">
      <c r="A2779" s="82">
        <v>26</v>
      </c>
      <c r="B2779" s="91" t="s">
        <v>3351</v>
      </c>
      <c r="C2779" s="83" t="s">
        <v>366</v>
      </c>
      <c r="D2779" s="81" t="s">
        <v>3013</v>
      </c>
      <c r="E2779" s="48">
        <v>500334</v>
      </c>
      <c r="F2779" s="30" t="s">
        <v>151</v>
      </c>
      <c r="G2779" s="29" t="s">
        <v>23</v>
      </c>
      <c r="H2779" s="30" t="s">
        <v>3002</v>
      </c>
      <c r="I2779" s="78"/>
      <c r="J2779" s="20"/>
      <c r="K2779" s="20"/>
      <c r="L2779" s="20"/>
      <c r="M2779" s="20"/>
      <c r="N2779" s="320" t="s">
        <v>2685</v>
      </c>
      <c r="O2779" s="70">
        <v>0</v>
      </c>
      <c r="P2779" s="70">
        <v>0</v>
      </c>
      <c r="Q2779" s="70">
        <f t="shared" si="240"/>
        <v>0</v>
      </c>
      <c r="R2779" s="70"/>
      <c r="S2779" s="67"/>
      <c r="T2779" s="2" t="str">
        <f t="shared" si="241"/>
        <v>Nguyễn Hoàng Sơn_11KT1</v>
      </c>
      <c r="U2779" s="28">
        <f t="array" ref="U2779">IFERROR(VLOOKUP($T2779,'Nghi hoc T12'!$H$7:$I$160,2,0),0)</f>
        <v>0</v>
      </c>
      <c r="V2779" s="28"/>
      <c r="W2779" s="28">
        <f t="shared" si="242"/>
        <v>0</v>
      </c>
      <c r="X2779" s="333">
        <f t="shared" si="243"/>
        <v>0</v>
      </c>
      <c r="Y2779" s="333">
        <f t="shared" si="244"/>
        <v>0</v>
      </c>
    </row>
    <row r="2780" spans="1:25" s="2" customFormat="1" ht="21.95" customHeight="1">
      <c r="A2780" s="82">
        <v>27</v>
      </c>
      <c r="B2780" s="91" t="s">
        <v>3351</v>
      </c>
      <c r="C2780" s="83" t="s">
        <v>366</v>
      </c>
      <c r="D2780" s="81" t="s">
        <v>3013</v>
      </c>
      <c r="E2780" s="48">
        <v>500335</v>
      </c>
      <c r="F2780" s="30" t="s">
        <v>1616</v>
      </c>
      <c r="G2780" s="29" t="s">
        <v>23</v>
      </c>
      <c r="H2780" s="30" t="s">
        <v>3002</v>
      </c>
      <c r="I2780" s="78"/>
      <c r="J2780" s="20"/>
      <c r="K2780" s="20"/>
      <c r="L2780" s="20"/>
      <c r="M2780" s="20"/>
      <c r="N2780" s="320" t="s">
        <v>2685</v>
      </c>
      <c r="O2780" s="70">
        <v>0</v>
      </c>
      <c r="P2780" s="70">
        <v>0</v>
      </c>
      <c r="Q2780" s="70">
        <f t="shared" si="240"/>
        <v>0</v>
      </c>
      <c r="R2780" s="70"/>
      <c r="S2780" s="67"/>
      <c r="T2780" s="2" t="str">
        <f t="shared" si="241"/>
        <v>Trịnh Công Sơn_11KT1</v>
      </c>
      <c r="U2780" s="28">
        <f t="array" ref="U2780">IFERROR(VLOOKUP($T2780,'Nghi hoc T12'!$H$7:$I$160,2,0),0)</f>
        <v>0</v>
      </c>
      <c r="V2780" s="28"/>
      <c r="W2780" s="28">
        <f t="shared" si="242"/>
        <v>0</v>
      </c>
      <c r="X2780" s="333">
        <f t="shared" si="243"/>
        <v>0</v>
      </c>
      <c r="Y2780" s="333">
        <f t="shared" si="244"/>
        <v>0</v>
      </c>
    </row>
    <row r="2781" spans="1:25" s="2" customFormat="1" ht="21.95" customHeight="1">
      <c r="A2781" s="82">
        <v>28</v>
      </c>
      <c r="B2781" s="91" t="s">
        <v>3351</v>
      </c>
      <c r="C2781" s="83" t="s">
        <v>366</v>
      </c>
      <c r="D2781" s="81" t="s">
        <v>3013</v>
      </c>
      <c r="E2781" s="48">
        <v>500336</v>
      </c>
      <c r="F2781" s="30" t="s">
        <v>2867</v>
      </c>
      <c r="G2781" s="29" t="s">
        <v>93</v>
      </c>
      <c r="H2781" s="30" t="s">
        <v>3000</v>
      </c>
      <c r="I2781" s="78"/>
      <c r="J2781" s="20"/>
      <c r="K2781" s="20"/>
      <c r="L2781" s="20"/>
      <c r="M2781" s="20"/>
      <c r="N2781" s="320" t="s">
        <v>2685</v>
      </c>
      <c r="O2781" s="70">
        <v>0</v>
      </c>
      <c r="P2781" s="70">
        <v>0</v>
      </c>
      <c r="Q2781" s="70">
        <f t="shared" si="240"/>
        <v>0</v>
      </c>
      <c r="R2781" s="70"/>
      <c r="S2781" s="67"/>
      <c r="T2781" s="2" t="str">
        <f t="shared" si="241"/>
        <v>Đoàn Chí Tài_11KT3</v>
      </c>
      <c r="U2781" s="28">
        <f t="array" ref="U2781">IFERROR(VLOOKUP($T2781,'Nghi hoc T12'!$H$7:$I$160,2,0),0)</f>
        <v>0</v>
      </c>
      <c r="V2781" s="28"/>
      <c r="W2781" s="28">
        <f t="shared" si="242"/>
        <v>0</v>
      </c>
      <c r="X2781" s="333">
        <f t="shared" si="243"/>
        <v>0</v>
      </c>
      <c r="Y2781" s="333">
        <f t="shared" si="244"/>
        <v>0</v>
      </c>
    </row>
    <row r="2782" spans="1:25" s="2" customFormat="1" ht="21.95" customHeight="1">
      <c r="A2782" s="321">
        <v>1</v>
      </c>
      <c r="B2782" s="91" t="s">
        <v>3352</v>
      </c>
      <c r="C2782" s="185" t="s">
        <v>366</v>
      </c>
      <c r="D2782" s="186" t="s">
        <v>3014</v>
      </c>
      <c r="E2782" s="187">
        <v>500337</v>
      </c>
      <c r="F2782" s="188" t="s">
        <v>167</v>
      </c>
      <c r="G2782" s="189" t="s">
        <v>93</v>
      </c>
      <c r="H2782" s="188" t="s">
        <v>3001</v>
      </c>
      <c r="I2782" s="190"/>
      <c r="J2782" s="191"/>
      <c r="K2782" s="191"/>
      <c r="L2782" s="191"/>
      <c r="M2782" s="191"/>
      <c r="N2782" s="320" t="s">
        <v>2685</v>
      </c>
      <c r="O2782" s="70">
        <v>0</v>
      </c>
      <c r="P2782" s="70">
        <v>0</v>
      </c>
      <c r="Q2782" s="70">
        <f t="shared" si="240"/>
        <v>0</v>
      </c>
      <c r="R2782" s="70"/>
      <c r="S2782" s="67"/>
      <c r="T2782" s="2" t="str">
        <f t="shared" si="241"/>
        <v>Trần Thanh Tài_11KT2</v>
      </c>
      <c r="U2782" s="28">
        <f t="array" ref="U2782">IFERROR(VLOOKUP($T2782,'Nghi hoc T12'!$H$7:$I$160,2,0),0)</f>
        <v>0</v>
      </c>
      <c r="V2782" s="28"/>
      <c r="W2782" s="28">
        <f t="shared" si="242"/>
        <v>0</v>
      </c>
      <c r="X2782" s="333">
        <f t="shared" si="243"/>
        <v>0</v>
      </c>
      <c r="Y2782" s="333">
        <f t="shared" si="244"/>
        <v>0</v>
      </c>
    </row>
    <row r="2783" spans="1:25" s="2" customFormat="1" ht="21.95" customHeight="1">
      <c r="A2783" s="82">
        <v>2</v>
      </c>
      <c r="B2783" s="91" t="s">
        <v>3352</v>
      </c>
      <c r="C2783" s="83" t="s">
        <v>366</v>
      </c>
      <c r="D2783" s="81" t="s">
        <v>3014</v>
      </c>
      <c r="E2783" s="48">
        <v>500338</v>
      </c>
      <c r="F2783" s="30" t="s">
        <v>2868</v>
      </c>
      <c r="G2783" s="29" t="s">
        <v>24</v>
      </c>
      <c r="H2783" s="30" t="s">
        <v>3001</v>
      </c>
      <c r="I2783" s="78"/>
      <c r="J2783" s="20"/>
      <c r="K2783" s="20"/>
      <c r="L2783" s="20"/>
      <c r="M2783" s="20"/>
      <c r="N2783" s="320" t="s">
        <v>2685</v>
      </c>
      <c r="O2783" s="70">
        <v>0</v>
      </c>
      <c r="P2783" s="70">
        <v>0</v>
      </c>
      <c r="Q2783" s="70">
        <f t="shared" si="240"/>
        <v>0</v>
      </c>
      <c r="R2783" s="70"/>
      <c r="S2783" s="67"/>
      <c r="T2783" s="2" t="str">
        <f t="shared" si="241"/>
        <v>Hồ Tuệ Tâm_11KT2</v>
      </c>
      <c r="U2783" s="28">
        <f t="array" ref="U2783">IFERROR(VLOOKUP($T2783,'Nghi hoc T12'!$H$7:$I$160,2,0),0)</f>
        <v>0</v>
      </c>
      <c r="V2783" s="28"/>
      <c r="W2783" s="28">
        <f t="shared" si="242"/>
        <v>0</v>
      </c>
      <c r="X2783" s="333">
        <f t="shared" si="243"/>
        <v>0</v>
      </c>
      <c r="Y2783" s="333">
        <f t="shared" si="244"/>
        <v>0</v>
      </c>
    </row>
    <row r="2784" spans="1:25" s="2" customFormat="1" ht="21.95" customHeight="1">
      <c r="A2784" s="82">
        <v>3</v>
      </c>
      <c r="B2784" s="91" t="s">
        <v>3352</v>
      </c>
      <c r="C2784" s="83" t="s">
        <v>366</v>
      </c>
      <c r="D2784" s="81" t="s">
        <v>3014</v>
      </c>
      <c r="E2784" s="48">
        <v>500339</v>
      </c>
      <c r="F2784" s="30" t="s">
        <v>2869</v>
      </c>
      <c r="G2784" s="29" t="s">
        <v>24</v>
      </c>
      <c r="H2784" s="30" t="s">
        <v>3002</v>
      </c>
      <c r="I2784" s="78"/>
      <c r="J2784" s="20"/>
      <c r="K2784" s="20"/>
      <c r="L2784" s="20"/>
      <c r="M2784" s="20"/>
      <c r="N2784" s="320" t="s">
        <v>2685</v>
      </c>
      <c r="O2784" s="70">
        <v>0</v>
      </c>
      <c r="P2784" s="70">
        <v>0</v>
      </c>
      <c r="Q2784" s="70">
        <f t="shared" si="240"/>
        <v>0</v>
      </c>
      <c r="R2784" s="70"/>
      <c r="S2784" s="67"/>
      <c r="T2784" s="2" t="str">
        <f t="shared" si="241"/>
        <v>Hoàng Phước Quảng Tâm_11KT1</v>
      </c>
      <c r="U2784" s="28">
        <f t="array" ref="U2784">IFERROR(VLOOKUP($T2784,'Nghi hoc T12'!$H$7:$I$160,2,0),0)</f>
        <v>0</v>
      </c>
      <c r="V2784" s="28"/>
      <c r="W2784" s="28">
        <f t="shared" si="242"/>
        <v>0</v>
      </c>
      <c r="X2784" s="333">
        <f t="shared" si="243"/>
        <v>0</v>
      </c>
      <c r="Y2784" s="333">
        <f t="shared" si="244"/>
        <v>0</v>
      </c>
    </row>
    <row r="2785" spans="1:25" s="2" customFormat="1" ht="21.95" customHeight="1">
      <c r="A2785" s="82">
        <v>4</v>
      </c>
      <c r="B2785" s="91" t="s">
        <v>3352</v>
      </c>
      <c r="C2785" s="83" t="s">
        <v>366</v>
      </c>
      <c r="D2785" s="81" t="s">
        <v>3014</v>
      </c>
      <c r="E2785" s="48">
        <v>500340</v>
      </c>
      <c r="F2785" s="30" t="s">
        <v>2870</v>
      </c>
      <c r="G2785" s="29" t="s">
        <v>24</v>
      </c>
      <c r="H2785" s="30" t="s">
        <v>3003</v>
      </c>
      <c r="I2785" s="78"/>
      <c r="J2785" s="20"/>
      <c r="K2785" s="20"/>
      <c r="L2785" s="20"/>
      <c r="M2785" s="20"/>
      <c r="N2785" s="320" t="s">
        <v>2685</v>
      </c>
      <c r="O2785" s="70">
        <v>0</v>
      </c>
      <c r="P2785" s="70">
        <v>0</v>
      </c>
      <c r="Q2785" s="70">
        <f t="shared" si="240"/>
        <v>0</v>
      </c>
      <c r="R2785" s="70"/>
      <c r="S2785" s="67"/>
      <c r="T2785" s="2" t="str">
        <f t="shared" si="241"/>
        <v>Phan Văn Tâm_11KT4</v>
      </c>
      <c r="U2785" s="28">
        <f t="array" ref="U2785">IFERROR(VLOOKUP($T2785,'Nghi hoc T12'!$H$7:$I$160,2,0),0)</f>
        <v>0</v>
      </c>
      <c r="V2785" s="28"/>
      <c r="W2785" s="28">
        <f t="shared" si="242"/>
        <v>0</v>
      </c>
      <c r="X2785" s="333">
        <f t="shared" si="243"/>
        <v>0</v>
      </c>
      <c r="Y2785" s="333">
        <f t="shared" si="244"/>
        <v>0</v>
      </c>
    </row>
    <row r="2786" spans="1:25" s="2" customFormat="1" ht="21.95" customHeight="1">
      <c r="A2786" s="82">
        <v>5</v>
      </c>
      <c r="B2786" s="91" t="s">
        <v>3352</v>
      </c>
      <c r="C2786" s="83" t="s">
        <v>366</v>
      </c>
      <c r="D2786" s="81" t="s">
        <v>3014</v>
      </c>
      <c r="E2786" s="48">
        <v>500341</v>
      </c>
      <c r="F2786" s="30" t="s">
        <v>2638</v>
      </c>
      <c r="G2786" s="29" t="s">
        <v>26</v>
      </c>
      <c r="H2786" s="30" t="s">
        <v>3002</v>
      </c>
      <c r="I2786" s="78"/>
      <c r="J2786" s="20"/>
      <c r="K2786" s="20"/>
      <c r="L2786" s="20"/>
      <c r="M2786" s="20"/>
      <c r="N2786" s="320" t="s">
        <v>2685</v>
      </c>
      <c r="O2786" s="70">
        <v>0</v>
      </c>
      <c r="P2786" s="70">
        <v>0</v>
      </c>
      <c r="Q2786" s="70">
        <f t="shared" si="240"/>
        <v>0</v>
      </c>
      <c r="R2786" s="70"/>
      <c r="S2786" s="67"/>
      <c r="T2786" s="2" t="str">
        <f t="shared" si="241"/>
        <v>Dương Đông Thanh_11KT1</v>
      </c>
      <c r="U2786" s="28">
        <f t="array" ref="U2786">IFERROR(VLOOKUP($T2786,'Nghi hoc T12'!$H$7:$I$160,2,0),0)</f>
        <v>0</v>
      </c>
      <c r="V2786" s="28"/>
      <c r="W2786" s="28">
        <f t="shared" si="242"/>
        <v>0</v>
      </c>
      <c r="X2786" s="333">
        <f t="shared" si="243"/>
        <v>0</v>
      </c>
      <c r="Y2786" s="333">
        <f t="shared" si="244"/>
        <v>0</v>
      </c>
    </row>
    <row r="2787" spans="1:25" s="2" customFormat="1" ht="21.95" customHeight="1">
      <c r="A2787" s="82">
        <v>6</v>
      </c>
      <c r="B2787" s="91" t="s">
        <v>3352</v>
      </c>
      <c r="C2787" s="83" t="s">
        <v>366</v>
      </c>
      <c r="D2787" s="81" t="s">
        <v>3014</v>
      </c>
      <c r="E2787" s="48">
        <v>500342</v>
      </c>
      <c r="F2787" s="30" t="s">
        <v>2871</v>
      </c>
      <c r="G2787" s="29" t="s">
        <v>27</v>
      </c>
      <c r="H2787" s="30" t="s">
        <v>3001</v>
      </c>
      <c r="I2787" s="78"/>
      <c r="J2787" s="20"/>
      <c r="K2787" s="20"/>
      <c r="L2787" s="20"/>
      <c r="M2787" s="20"/>
      <c r="N2787" s="320" t="s">
        <v>2685</v>
      </c>
      <c r="O2787" s="70">
        <v>0</v>
      </c>
      <c r="P2787" s="70">
        <v>0</v>
      </c>
      <c r="Q2787" s="70">
        <f t="shared" si="240"/>
        <v>0</v>
      </c>
      <c r="R2787" s="70"/>
      <c r="S2787" s="67"/>
      <c r="T2787" s="2" t="str">
        <f t="shared" si="241"/>
        <v>Trịnh Xuân Thành_11KT2</v>
      </c>
      <c r="U2787" s="28">
        <f t="array" ref="U2787">IFERROR(VLOOKUP($T2787,'Nghi hoc T12'!$H$7:$I$160,2,0),0)</f>
        <v>0</v>
      </c>
      <c r="V2787" s="28"/>
      <c r="W2787" s="28">
        <f t="shared" si="242"/>
        <v>0</v>
      </c>
      <c r="X2787" s="333">
        <f t="shared" si="243"/>
        <v>0</v>
      </c>
      <c r="Y2787" s="333">
        <f t="shared" si="244"/>
        <v>0</v>
      </c>
    </row>
    <row r="2788" spans="1:25" s="2" customFormat="1" ht="21.95" customHeight="1">
      <c r="A2788" s="82">
        <v>7</v>
      </c>
      <c r="B2788" s="91" t="s">
        <v>3352</v>
      </c>
      <c r="C2788" s="83" t="s">
        <v>366</v>
      </c>
      <c r="D2788" s="81" t="s">
        <v>3014</v>
      </c>
      <c r="E2788" s="48">
        <v>500343</v>
      </c>
      <c r="F2788" s="30" t="s">
        <v>487</v>
      </c>
      <c r="G2788" s="29" t="s">
        <v>49</v>
      </c>
      <c r="H2788" s="30" t="s">
        <v>3002</v>
      </c>
      <c r="I2788" s="78"/>
      <c r="J2788" s="20"/>
      <c r="K2788" s="20"/>
      <c r="L2788" s="20"/>
      <c r="M2788" s="20"/>
      <c r="N2788" s="320" t="s">
        <v>2685</v>
      </c>
      <c r="O2788" s="70">
        <v>0</v>
      </c>
      <c r="P2788" s="70">
        <v>0</v>
      </c>
      <c r="Q2788" s="70">
        <f t="shared" si="240"/>
        <v>0</v>
      </c>
      <c r="R2788" s="70"/>
      <c r="S2788" s="67"/>
      <c r="T2788" s="2" t="str">
        <f t="shared" si="241"/>
        <v>Lê Thị Phương Thảo_11KT1</v>
      </c>
      <c r="U2788" s="28">
        <f t="array" ref="U2788">IFERROR(VLOOKUP($T2788,'Nghi hoc T12'!$H$7:$I$160,2,0),0)</f>
        <v>0</v>
      </c>
      <c r="V2788" s="28"/>
      <c r="W2788" s="28">
        <f t="shared" si="242"/>
        <v>0</v>
      </c>
      <c r="X2788" s="333">
        <f t="shared" si="243"/>
        <v>0</v>
      </c>
      <c r="Y2788" s="333">
        <f t="shared" si="244"/>
        <v>0</v>
      </c>
    </row>
    <row r="2789" spans="1:25" s="2" customFormat="1" ht="21.95" customHeight="1">
      <c r="A2789" s="82">
        <v>8</v>
      </c>
      <c r="B2789" s="91" t="s">
        <v>3352</v>
      </c>
      <c r="C2789" s="83" t="s">
        <v>366</v>
      </c>
      <c r="D2789" s="81" t="s">
        <v>3014</v>
      </c>
      <c r="E2789" s="48">
        <v>500344</v>
      </c>
      <c r="F2789" s="30" t="s">
        <v>2872</v>
      </c>
      <c r="G2789" s="29" t="s">
        <v>49</v>
      </c>
      <c r="H2789" s="30" t="s">
        <v>3000</v>
      </c>
      <c r="I2789" s="78"/>
      <c r="J2789" s="20"/>
      <c r="K2789" s="20"/>
      <c r="L2789" s="20"/>
      <c r="M2789" s="20"/>
      <c r="N2789" s="320" t="s">
        <v>2685</v>
      </c>
      <c r="O2789" s="70">
        <v>0</v>
      </c>
      <c r="P2789" s="70">
        <v>0</v>
      </c>
      <c r="Q2789" s="70">
        <f t="shared" si="240"/>
        <v>0</v>
      </c>
      <c r="R2789" s="70"/>
      <c r="S2789" s="67"/>
      <c r="T2789" s="2" t="str">
        <f t="shared" si="241"/>
        <v>Nguyễn Lê Nguyên Thảo_11KT3</v>
      </c>
      <c r="U2789" s="28">
        <f t="array" ref="U2789">IFERROR(VLOOKUP($T2789,'Nghi hoc T12'!$H$7:$I$160,2,0),0)</f>
        <v>0</v>
      </c>
      <c r="V2789" s="28"/>
      <c r="W2789" s="28">
        <f t="shared" si="242"/>
        <v>0</v>
      </c>
      <c r="X2789" s="333">
        <f t="shared" si="243"/>
        <v>0</v>
      </c>
      <c r="Y2789" s="333">
        <f t="shared" si="244"/>
        <v>0</v>
      </c>
    </row>
    <row r="2790" spans="1:25" s="2" customFormat="1" ht="21.95" customHeight="1">
      <c r="A2790" s="82">
        <v>9</v>
      </c>
      <c r="B2790" s="91" t="s">
        <v>3352</v>
      </c>
      <c r="C2790" s="83" t="s">
        <v>366</v>
      </c>
      <c r="D2790" s="81" t="s">
        <v>3014</v>
      </c>
      <c r="E2790" s="48">
        <v>500345</v>
      </c>
      <c r="F2790" s="30" t="s">
        <v>2873</v>
      </c>
      <c r="G2790" s="29" t="s">
        <v>48</v>
      </c>
      <c r="H2790" s="30" t="s">
        <v>3000</v>
      </c>
      <c r="I2790" s="78"/>
      <c r="J2790" s="20"/>
      <c r="K2790" s="20"/>
      <c r="L2790" s="20"/>
      <c r="M2790" s="20"/>
      <c r="N2790" s="320" t="s">
        <v>2685</v>
      </c>
      <c r="O2790" s="70">
        <v>0</v>
      </c>
      <c r="P2790" s="70">
        <v>0</v>
      </c>
      <c r="Q2790" s="70">
        <f t="shared" si="240"/>
        <v>0</v>
      </c>
      <c r="R2790" s="70"/>
      <c r="S2790" s="67"/>
      <c r="T2790" s="2" t="str">
        <f t="shared" si="241"/>
        <v>Đoàn Quốc Thắng_11KT3</v>
      </c>
      <c r="U2790" s="28">
        <f t="array" ref="U2790">IFERROR(VLOOKUP($T2790,'Nghi hoc T12'!$H$7:$I$160,2,0),0)</f>
        <v>0</v>
      </c>
      <c r="V2790" s="28"/>
      <c r="W2790" s="28">
        <f t="shared" si="242"/>
        <v>0</v>
      </c>
      <c r="X2790" s="333">
        <f t="shared" si="243"/>
        <v>0</v>
      </c>
      <c r="Y2790" s="333">
        <f t="shared" si="244"/>
        <v>0</v>
      </c>
    </row>
    <row r="2791" spans="1:25" s="2" customFormat="1" ht="21.95" customHeight="1">
      <c r="A2791" s="82">
        <v>10</v>
      </c>
      <c r="B2791" s="91" t="s">
        <v>3352</v>
      </c>
      <c r="C2791" s="83" t="s">
        <v>366</v>
      </c>
      <c r="D2791" s="81" t="s">
        <v>3014</v>
      </c>
      <c r="E2791" s="48">
        <v>500346</v>
      </c>
      <c r="F2791" s="30" t="s">
        <v>201</v>
      </c>
      <c r="G2791" s="29" t="s">
        <v>48</v>
      </c>
      <c r="H2791" s="30" t="s">
        <v>3001</v>
      </c>
      <c r="I2791" s="78" t="s">
        <v>529</v>
      </c>
      <c r="J2791" s="20"/>
      <c r="K2791" s="20"/>
      <c r="L2791" s="20"/>
      <c r="M2791" s="20"/>
      <c r="N2791" s="320" t="s">
        <v>2685</v>
      </c>
      <c r="O2791" s="70">
        <v>0</v>
      </c>
      <c r="P2791" s="70">
        <v>0</v>
      </c>
      <c r="Q2791" s="70" t="str">
        <f t="shared" si="240"/>
        <v>NgiH</v>
      </c>
      <c r="R2791" s="70"/>
      <c r="S2791" s="67"/>
      <c r="T2791" s="2" t="str">
        <f t="shared" si="241"/>
        <v>Nguyễn Hữu Thắng_11KT2</v>
      </c>
      <c r="U2791" s="28" t="s">
        <v>3334</v>
      </c>
      <c r="V2791" s="28"/>
      <c r="W2791" s="28" t="str">
        <f t="shared" si="242"/>
        <v>Nghỉ học</v>
      </c>
      <c r="X2791" s="333">
        <f t="shared" si="243"/>
        <v>0</v>
      </c>
      <c r="Y2791" s="333">
        <f t="shared" si="244"/>
        <v>0</v>
      </c>
    </row>
    <row r="2792" spans="1:25" s="2" customFormat="1" ht="21.95" customHeight="1">
      <c r="A2792" s="82">
        <v>11</v>
      </c>
      <c r="B2792" s="91" t="s">
        <v>3352</v>
      </c>
      <c r="C2792" s="83" t="s">
        <v>366</v>
      </c>
      <c r="D2792" s="81" t="s">
        <v>3014</v>
      </c>
      <c r="E2792" s="48">
        <v>500347</v>
      </c>
      <c r="F2792" s="30" t="s">
        <v>2391</v>
      </c>
      <c r="G2792" s="29" t="s">
        <v>48</v>
      </c>
      <c r="H2792" s="30" t="s">
        <v>3001</v>
      </c>
      <c r="I2792" s="78"/>
      <c r="J2792" s="20"/>
      <c r="K2792" s="20"/>
      <c r="L2792" s="20"/>
      <c r="M2792" s="20"/>
      <c r="N2792" s="320" t="s">
        <v>2685</v>
      </c>
      <c r="O2792" s="70">
        <v>0</v>
      </c>
      <c r="P2792" s="70">
        <v>0</v>
      </c>
      <c r="Q2792" s="70">
        <f t="shared" si="240"/>
        <v>0</v>
      </c>
      <c r="R2792" s="70"/>
      <c r="S2792" s="67"/>
      <c r="T2792" s="2" t="str">
        <f t="shared" si="241"/>
        <v>Phạm Hoàng Thắng_11KT2</v>
      </c>
      <c r="U2792" s="28">
        <f t="array" ref="U2792">IFERROR(VLOOKUP($T2792,'Nghi hoc T12'!$H$7:$I$160,2,0),0)</f>
        <v>0</v>
      </c>
      <c r="V2792" s="28"/>
      <c r="W2792" s="28">
        <f t="shared" si="242"/>
        <v>0</v>
      </c>
      <c r="X2792" s="333">
        <f t="shared" si="243"/>
        <v>0</v>
      </c>
      <c r="Y2792" s="333">
        <f t="shared" si="244"/>
        <v>0</v>
      </c>
    </row>
    <row r="2793" spans="1:25" s="2" customFormat="1" ht="21.95" customHeight="1">
      <c r="A2793" s="82">
        <v>12</v>
      </c>
      <c r="B2793" s="91" t="s">
        <v>3352</v>
      </c>
      <c r="C2793" s="83" t="s">
        <v>366</v>
      </c>
      <c r="D2793" s="81" t="s">
        <v>3014</v>
      </c>
      <c r="E2793" s="48">
        <v>500348</v>
      </c>
      <c r="F2793" s="30" t="s">
        <v>2874</v>
      </c>
      <c r="G2793" s="29" t="s">
        <v>58</v>
      </c>
      <c r="H2793" s="30" t="s">
        <v>3001</v>
      </c>
      <c r="I2793" s="78"/>
      <c r="J2793" s="20"/>
      <c r="K2793" s="20"/>
      <c r="L2793" s="20"/>
      <c r="M2793" s="20"/>
      <c r="N2793" s="320" t="s">
        <v>2685</v>
      </c>
      <c r="O2793" s="70">
        <v>0</v>
      </c>
      <c r="P2793" s="70">
        <v>0</v>
      </c>
      <c r="Q2793" s="70">
        <f t="shared" si="240"/>
        <v>0</v>
      </c>
      <c r="R2793" s="70"/>
      <c r="S2793" s="67"/>
      <c r="T2793" s="2" t="str">
        <f t="shared" si="241"/>
        <v>Hồ Nguyễn Thái Thịnh_11KT2</v>
      </c>
      <c r="U2793" s="28">
        <f t="array" ref="U2793">IFERROR(VLOOKUP($T2793,'Nghi hoc T12'!$H$7:$I$160,2,0),0)</f>
        <v>0</v>
      </c>
      <c r="V2793" s="28"/>
      <c r="W2793" s="28">
        <f t="shared" si="242"/>
        <v>0</v>
      </c>
      <c r="X2793" s="333">
        <f t="shared" si="243"/>
        <v>0</v>
      </c>
      <c r="Y2793" s="333">
        <f t="shared" si="244"/>
        <v>0</v>
      </c>
    </row>
    <row r="2794" spans="1:25" s="2" customFormat="1" ht="21.95" customHeight="1">
      <c r="A2794" s="82">
        <v>13</v>
      </c>
      <c r="B2794" s="91" t="s">
        <v>3352</v>
      </c>
      <c r="C2794" s="83" t="s">
        <v>366</v>
      </c>
      <c r="D2794" s="81" t="s">
        <v>3014</v>
      </c>
      <c r="E2794" s="48">
        <v>500349</v>
      </c>
      <c r="F2794" s="30" t="s">
        <v>2362</v>
      </c>
      <c r="G2794" s="29" t="s">
        <v>58</v>
      </c>
      <c r="H2794" s="30" t="s">
        <v>3003</v>
      </c>
      <c r="I2794" s="78"/>
      <c r="J2794" s="20"/>
      <c r="K2794" s="20"/>
      <c r="L2794" s="20"/>
      <c r="M2794" s="20"/>
      <c r="N2794" s="320" t="s">
        <v>2685</v>
      </c>
      <c r="O2794" s="70">
        <v>0</v>
      </c>
      <c r="P2794" s="70">
        <v>0</v>
      </c>
      <c r="Q2794" s="70">
        <f t="shared" si="240"/>
        <v>0</v>
      </c>
      <c r="R2794" s="70"/>
      <c r="S2794" s="67"/>
      <c r="T2794" s="2" t="str">
        <f t="shared" si="241"/>
        <v>Trương Tấn Thịnh_11KT4</v>
      </c>
      <c r="U2794" s="28">
        <f t="array" ref="U2794">IFERROR(VLOOKUP($T2794,'Nghi hoc T12'!$H$7:$I$160,2,0),0)</f>
        <v>0</v>
      </c>
      <c r="V2794" s="28"/>
      <c r="W2794" s="28">
        <f t="shared" si="242"/>
        <v>0</v>
      </c>
      <c r="X2794" s="333">
        <f t="shared" si="243"/>
        <v>0</v>
      </c>
      <c r="Y2794" s="333">
        <f t="shared" si="244"/>
        <v>0</v>
      </c>
    </row>
    <row r="2795" spans="1:25" s="2" customFormat="1" ht="21.95" customHeight="1">
      <c r="A2795" s="82">
        <v>14</v>
      </c>
      <c r="B2795" s="91" t="s">
        <v>3352</v>
      </c>
      <c r="C2795" s="83" t="s">
        <v>366</v>
      </c>
      <c r="D2795" s="81" t="s">
        <v>3014</v>
      </c>
      <c r="E2795" s="48">
        <v>500350</v>
      </c>
      <c r="F2795" s="30" t="s">
        <v>2875</v>
      </c>
      <c r="G2795" s="29" t="s">
        <v>59</v>
      </c>
      <c r="H2795" s="30" t="s">
        <v>3003</v>
      </c>
      <c r="I2795" s="78"/>
      <c r="J2795" s="20"/>
      <c r="K2795" s="20"/>
      <c r="L2795" s="20"/>
      <c r="M2795" s="20"/>
      <c r="N2795" s="320" t="s">
        <v>2685</v>
      </c>
      <c r="O2795" s="70">
        <v>0</v>
      </c>
      <c r="P2795" s="70">
        <v>0</v>
      </c>
      <c r="Q2795" s="70">
        <f t="shared" si="240"/>
        <v>0</v>
      </c>
      <c r="R2795" s="70"/>
      <c r="S2795" s="67"/>
      <c r="T2795" s="2" t="str">
        <f t="shared" si="241"/>
        <v>Hồ Lê Đức Thuận_11KT4</v>
      </c>
      <c r="U2795" s="28">
        <f t="array" ref="U2795">IFERROR(VLOOKUP($T2795,'Nghi hoc T12'!$H$7:$I$160,2,0),0)</f>
        <v>0</v>
      </c>
      <c r="V2795" s="28"/>
      <c r="W2795" s="28">
        <f t="shared" si="242"/>
        <v>0</v>
      </c>
      <c r="X2795" s="333">
        <f t="shared" si="243"/>
        <v>0</v>
      </c>
      <c r="Y2795" s="333">
        <f t="shared" si="244"/>
        <v>0</v>
      </c>
    </row>
    <row r="2796" spans="1:25" s="2" customFormat="1" ht="21.95" customHeight="1">
      <c r="A2796" s="82">
        <v>15</v>
      </c>
      <c r="B2796" s="91" t="s">
        <v>3352</v>
      </c>
      <c r="C2796" s="83" t="s">
        <v>366</v>
      </c>
      <c r="D2796" s="81" t="s">
        <v>3014</v>
      </c>
      <c r="E2796" s="48">
        <v>500351</v>
      </c>
      <c r="F2796" s="30" t="s">
        <v>183</v>
      </c>
      <c r="G2796" s="29" t="s">
        <v>59</v>
      </c>
      <c r="H2796" s="30" t="s">
        <v>3001</v>
      </c>
      <c r="I2796" s="78"/>
      <c r="J2796" s="20"/>
      <c r="K2796" s="20"/>
      <c r="L2796" s="20"/>
      <c r="M2796" s="20"/>
      <c r="N2796" s="320" t="s">
        <v>2685</v>
      </c>
      <c r="O2796" s="70">
        <v>0</v>
      </c>
      <c r="P2796" s="70">
        <v>0</v>
      </c>
      <c r="Q2796" s="70">
        <f t="shared" si="240"/>
        <v>0</v>
      </c>
      <c r="R2796" s="70"/>
      <c r="S2796" s="67"/>
      <c r="T2796" s="2" t="str">
        <f t="shared" si="241"/>
        <v>Nguyễn Thanh Thuận_11KT2</v>
      </c>
      <c r="U2796" s="28">
        <f t="array" ref="U2796">IFERROR(VLOOKUP($T2796,'Nghi hoc T12'!$H$7:$I$160,2,0),0)</f>
        <v>0</v>
      </c>
      <c r="V2796" s="28"/>
      <c r="W2796" s="28">
        <f t="shared" si="242"/>
        <v>0</v>
      </c>
      <c r="X2796" s="333">
        <f t="shared" si="243"/>
        <v>0</v>
      </c>
      <c r="Y2796" s="333">
        <f t="shared" si="244"/>
        <v>0</v>
      </c>
    </row>
    <row r="2797" spans="1:25" s="2" customFormat="1" ht="21.95" customHeight="1">
      <c r="A2797" s="82">
        <v>16</v>
      </c>
      <c r="B2797" s="91" t="s">
        <v>3352</v>
      </c>
      <c r="C2797" s="83" t="s">
        <v>366</v>
      </c>
      <c r="D2797" s="81" t="s">
        <v>3014</v>
      </c>
      <c r="E2797" s="48">
        <v>500352</v>
      </c>
      <c r="F2797" s="30" t="s">
        <v>156</v>
      </c>
      <c r="G2797" s="29" t="s">
        <v>59</v>
      </c>
      <c r="H2797" s="30" t="s">
        <v>3000</v>
      </c>
      <c r="I2797" s="78"/>
      <c r="J2797" s="20"/>
      <c r="K2797" s="20"/>
      <c r="L2797" s="20"/>
      <c r="M2797" s="20"/>
      <c r="N2797" s="320" t="s">
        <v>2685</v>
      </c>
      <c r="O2797" s="70">
        <v>0</v>
      </c>
      <c r="P2797" s="70">
        <v>0</v>
      </c>
      <c r="Q2797" s="70">
        <f t="shared" si="240"/>
        <v>0</v>
      </c>
      <c r="R2797" s="70"/>
      <c r="S2797" s="67"/>
      <c r="T2797" s="2" t="str">
        <f t="shared" si="241"/>
        <v>Trần Minh Thuận_11KT3</v>
      </c>
      <c r="U2797" s="28">
        <f t="array" ref="U2797">IFERROR(VLOOKUP($T2797,'Nghi hoc T12'!$H$7:$I$160,2,0),0)</f>
        <v>0</v>
      </c>
      <c r="V2797" s="28"/>
      <c r="W2797" s="28">
        <f t="shared" si="242"/>
        <v>0</v>
      </c>
      <c r="X2797" s="333">
        <f t="shared" si="243"/>
        <v>0</v>
      </c>
      <c r="Y2797" s="333">
        <f t="shared" si="244"/>
        <v>0</v>
      </c>
    </row>
    <row r="2798" spans="1:25" s="2" customFormat="1" ht="21.95" customHeight="1">
      <c r="A2798" s="82">
        <v>17</v>
      </c>
      <c r="B2798" s="91" t="s">
        <v>3352</v>
      </c>
      <c r="C2798" s="83" t="s">
        <v>366</v>
      </c>
      <c r="D2798" s="81" t="s">
        <v>3014</v>
      </c>
      <c r="E2798" s="48">
        <v>500353</v>
      </c>
      <c r="F2798" s="30" t="s">
        <v>148</v>
      </c>
      <c r="G2798" s="29" t="s">
        <v>28</v>
      </c>
      <c r="H2798" s="30" t="s">
        <v>3000</v>
      </c>
      <c r="I2798" s="78"/>
      <c r="J2798" s="20"/>
      <c r="K2798" s="20"/>
      <c r="L2798" s="20"/>
      <c r="M2798" s="20"/>
      <c r="N2798" s="320" t="s">
        <v>2685</v>
      </c>
      <c r="O2798" s="70">
        <v>0</v>
      </c>
      <c r="P2798" s="70">
        <v>0</v>
      </c>
      <c r="Q2798" s="70">
        <f t="shared" si="240"/>
        <v>0</v>
      </c>
      <c r="R2798" s="70"/>
      <c r="S2798" s="67"/>
      <c r="T2798" s="2" t="str">
        <f t="shared" si="241"/>
        <v>Nguyễn Anh Thư_11KT3</v>
      </c>
      <c r="U2798" s="28">
        <f t="array" ref="U2798">IFERROR(VLOOKUP($T2798,'Nghi hoc T12'!$H$7:$I$160,2,0),0)</f>
        <v>0</v>
      </c>
      <c r="V2798" s="28"/>
      <c r="W2798" s="28">
        <f t="shared" si="242"/>
        <v>0</v>
      </c>
      <c r="X2798" s="333">
        <f t="shared" si="243"/>
        <v>0</v>
      </c>
      <c r="Y2798" s="333">
        <f t="shared" si="244"/>
        <v>0</v>
      </c>
    </row>
    <row r="2799" spans="1:25" s="2" customFormat="1" ht="21.95" customHeight="1">
      <c r="A2799" s="82">
        <v>18</v>
      </c>
      <c r="B2799" s="91" t="s">
        <v>3352</v>
      </c>
      <c r="C2799" s="83" t="s">
        <v>366</v>
      </c>
      <c r="D2799" s="81" t="s">
        <v>3014</v>
      </c>
      <c r="E2799" s="48">
        <v>500354</v>
      </c>
      <c r="F2799" s="30" t="s">
        <v>1487</v>
      </c>
      <c r="G2799" s="29" t="s">
        <v>28</v>
      </c>
      <c r="H2799" s="30" t="s">
        <v>3001</v>
      </c>
      <c r="I2799" s="78"/>
      <c r="J2799" s="20"/>
      <c r="K2799" s="20"/>
      <c r="L2799" s="20"/>
      <c r="M2799" s="20"/>
      <c r="N2799" s="320" t="s">
        <v>2685</v>
      </c>
      <c r="O2799" s="70">
        <v>0</v>
      </c>
      <c r="P2799" s="70">
        <v>0</v>
      </c>
      <c r="Q2799" s="70">
        <f t="shared" si="240"/>
        <v>0</v>
      </c>
      <c r="R2799" s="70"/>
      <c r="S2799" s="67"/>
      <c r="T2799" s="2" t="str">
        <f t="shared" si="241"/>
        <v>Nguyễn Võ Anh Thư_11KT2</v>
      </c>
      <c r="U2799" s="28">
        <f t="array" ref="U2799">IFERROR(VLOOKUP($T2799,'Nghi hoc T12'!$H$7:$I$160,2,0),0)</f>
        <v>0</v>
      </c>
      <c r="V2799" s="28"/>
      <c r="W2799" s="28">
        <f t="shared" si="242"/>
        <v>0</v>
      </c>
      <c r="X2799" s="333">
        <f t="shared" si="243"/>
        <v>0</v>
      </c>
      <c r="Y2799" s="333">
        <f t="shared" si="244"/>
        <v>0</v>
      </c>
    </row>
    <row r="2800" spans="1:25" s="2" customFormat="1" ht="21.95" customHeight="1">
      <c r="A2800" s="82">
        <v>19</v>
      </c>
      <c r="B2800" s="91" t="s">
        <v>3352</v>
      </c>
      <c r="C2800" s="83" t="s">
        <v>366</v>
      </c>
      <c r="D2800" s="81" t="s">
        <v>3014</v>
      </c>
      <c r="E2800" s="48">
        <v>500355</v>
      </c>
      <c r="F2800" s="30" t="s">
        <v>2876</v>
      </c>
      <c r="G2800" s="29" t="s">
        <v>28</v>
      </c>
      <c r="H2800" s="30" t="s">
        <v>3002</v>
      </c>
      <c r="I2800" s="78"/>
      <c r="J2800" s="20"/>
      <c r="K2800" s="20"/>
      <c r="L2800" s="20"/>
      <c r="M2800" s="20"/>
      <c r="N2800" s="320" t="s">
        <v>2685</v>
      </c>
      <c r="O2800" s="70">
        <v>0</v>
      </c>
      <c r="P2800" s="70">
        <v>0</v>
      </c>
      <c r="Q2800" s="70">
        <f t="shared" si="240"/>
        <v>0</v>
      </c>
      <c r="R2800" s="70"/>
      <c r="S2800" s="67"/>
      <c r="T2800" s="2" t="str">
        <f t="shared" si="241"/>
        <v>Thái Nguyễn Anh Thư_11KT1</v>
      </c>
      <c r="U2800" s="28">
        <f t="array" ref="U2800">IFERROR(VLOOKUP($T2800,'Nghi hoc T12'!$H$7:$I$160,2,0),0)</f>
        <v>0</v>
      </c>
      <c r="V2800" s="28"/>
      <c r="W2800" s="28">
        <f t="shared" si="242"/>
        <v>0</v>
      </c>
      <c r="X2800" s="333">
        <f t="shared" si="243"/>
        <v>0</v>
      </c>
      <c r="Y2800" s="333">
        <f t="shared" si="244"/>
        <v>0</v>
      </c>
    </row>
    <row r="2801" spans="1:25" s="2" customFormat="1" ht="21.95" customHeight="1">
      <c r="A2801" s="82">
        <v>20</v>
      </c>
      <c r="B2801" s="91" t="s">
        <v>3352</v>
      </c>
      <c r="C2801" s="83" t="s">
        <v>366</v>
      </c>
      <c r="D2801" s="81" t="s">
        <v>3014</v>
      </c>
      <c r="E2801" s="48">
        <v>500356</v>
      </c>
      <c r="F2801" s="30" t="s">
        <v>1767</v>
      </c>
      <c r="G2801" s="29" t="s">
        <v>28</v>
      </c>
      <c r="H2801" s="30" t="s">
        <v>3003</v>
      </c>
      <c r="I2801" s="78"/>
      <c r="J2801" s="20"/>
      <c r="K2801" s="20"/>
      <c r="L2801" s="20"/>
      <c r="M2801" s="20"/>
      <c r="N2801" s="320" t="s">
        <v>2685</v>
      </c>
      <c r="O2801" s="70">
        <v>0</v>
      </c>
      <c r="P2801" s="70">
        <v>0</v>
      </c>
      <c r="Q2801" s="70">
        <f t="shared" si="240"/>
        <v>0</v>
      </c>
      <c r="R2801" s="70"/>
      <c r="S2801" s="67"/>
      <c r="T2801" s="2" t="str">
        <f t="shared" si="241"/>
        <v>Trịnh Minh Thư_11KT4</v>
      </c>
      <c r="U2801" s="28">
        <f t="array" ref="U2801">IFERROR(VLOOKUP($T2801,'Nghi hoc T12'!$H$7:$I$160,2,0),0)</f>
        <v>0</v>
      </c>
      <c r="V2801" s="28"/>
      <c r="W2801" s="28">
        <f t="shared" si="242"/>
        <v>0</v>
      </c>
      <c r="X2801" s="333">
        <f t="shared" si="243"/>
        <v>0</v>
      </c>
      <c r="Y2801" s="333">
        <f t="shared" si="244"/>
        <v>0</v>
      </c>
    </row>
    <row r="2802" spans="1:25" s="2" customFormat="1" ht="21.95" customHeight="1">
      <c r="A2802" s="82">
        <v>21</v>
      </c>
      <c r="B2802" s="91" t="s">
        <v>3352</v>
      </c>
      <c r="C2802" s="83" t="s">
        <v>366</v>
      </c>
      <c r="D2802" s="81" t="s">
        <v>3014</v>
      </c>
      <c r="E2802" s="48">
        <v>500357</v>
      </c>
      <c r="F2802" s="30" t="s">
        <v>2877</v>
      </c>
      <c r="G2802" s="29" t="s">
        <v>213</v>
      </c>
      <c r="H2802" s="30" t="s">
        <v>3003</v>
      </c>
      <c r="I2802" s="78"/>
      <c r="J2802" s="20"/>
      <c r="K2802" s="20"/>
      <c r="L2802" s="20"/>
      <c r="M2802" s="20"/>
      <c r="N2802" s="320" t="s">
        <v>2685</v>
      </c>
      <c r="O2802" s="70">
        <v>0</v>
      </c>
      <c r="P2802" s="70">
        <v>0</v>
      </c>
      <c r="Q2802" s="70">
        <f t="shared" si="240"/>
        <v>0</v>
      </c>
      <c r="R2802" s="70"/>
      <c r="S2802" s="67"/>
      <c r="T2802" s="2" t="str">
        <f t="shared" si="241"/>
        <v>Nguyễn Ngọc Trang Thy_11KT4</v>
      </c>
      <c r="U2802" s="28">
        <f t="array" ref="U2802">IFERROR(VLOOKUP($T2802,'Nghi hoc T12'!$H$7:$I$160,2,0),0)</f>
        <v>0</v>
      </c>
      <c r="V2802" s="28"/>
      <c r="W2802" s="28">
        <f t="shared" si="242"/>
        <v>0</v>
      </c>
      <c r="X2802" s="333">
        <f t="shared" si="243"/>
        <v>0</v>
      </c>
      <c r="Y2802" s="333">
        <f t="shared" si="244"/>
        <v>0</v>
      </c>
    </row>
    <row r="2803" spans="1:25" s="2" customFormat="1" ht="21.95" customHeight="1">
      <c r="A2803" s="82">
        <v>22</v>
      </c>
      <c r="B2803" s="91" t="s">
        <v>3352</v>
      </c>
      <c r="C2803" s="83" t="s">
        <v>366</v>
      </c>
      <c r="D2803" s="81" t="s">
        <v>3014</v>
      </c>
      <c r="E2803" s="48">
        <v>500358</v>
      </c>
      <c r="F2803" s="30" t="s">
        <v>156</v>
      </c>
      <c r="G2803" s="29" t="s">
        <v>215</v>
      </c>
      <c r="H2803" s="30" t="s">
        <v>3001</v>
      </c>
      <c r="I2803" s="78"/>
      <c r="J2803" s="20"/>
      <c r="K2803" s="20"/>
      <c r="L2803" s="20"/>
      <c r="M2803" s="20"/>
      <c r="N2803" s="320" t="s">
        <v>2685</v>
      </c>
      <c r="O2803" s="70">
        <v>0</v>
      </c>
      <c r="P2803" s="70">
        <v>0</v>
      </c>
      <c r="Q2803" s="70">
        <f t="shared" si="240"/>
        <v>0</v>
      </c>
      <c r="R2803" s="70"/>
      <c r="S2803" s="67"/>
      <c r="T2803" s="2" t="str">
        <f t="shared" si="241"/>
        <v>Trần Minh Tiến_11KT2</v>
      </c>
      <c r="U2803" s="28">
        <f t="array" ref="U2803">IFERROR(VLOOKUP($T2803,'Nghi hoc T12'!$H$7:$I$160,2,0),0)</f>
        <v>0</v>
      </c>
      <c r="V2803" s="28"/>
      <c r="W2803" s="28">
        <f t="shared" si="242"/>
        <v>0</v>
      </c>
      <c r="X2803" s="333">
        <f t="shared" si="243"/>
        <v>0</v>
      </c>
      <c r="Y2803" s="333">
        <f t="shared" si="244"/>
        <v>0</v>
      </c>
    </row>
    <row r="2804" spans="1:25" s="2" customFormat="1" ht="21.95" customHeight="1">
      <c r="A2804" s="82">
        <v>23</v>
      </c>
      <c r="B2804" s="91" t="s">
        <v>3352</v>
      </c>
      <c r="C2804" s="83" t="s">
        <v>366</v>
      </c>
      <c r="D2804" s="81" t="s">
        <v>3014</v>
      </c>
      <c r="E2804" s="48">
        <v>500359</v>
      </c>
      <c r="F2804" s="30" t="s">
        <v>2878</v>
      </c>
      <c r="G2804" s="29" t="s">
        <v>72</v>
      </c>
      <c r="H2804" s="30" t="s">
        <v>3000</v>
      </c>
      <c r="I2804" s="78"/>
      <c r="J2804" s="20"/>
      <c r="K2804" s="20"/>
      <c r="L2804" s="20"/>
      <c r="M2804" s="20"/>
      <c r="N2804" s="320" t="s">
        <v>2685</v>
      </c>
      <c r="O2804" s="70">
        <v>0</v>
      </c>
      <c r="P2804" s="70">
        <v>0</v>
      </c>
      <c r="Q2804" s="70">
        <f t="shared" si="240"/>
        <v>0</v>
      </c>
      <c r="R2804" s="70"/>
      <c r="S2804" s="67"/>
      <c r="T2804" s="2" t="str">
        <f t="shared" si="241"/>
        <v>Mai Hoàng Tín_11KT3</v>
      </c>
      <c r="U2804" s="28">
        <f t="array" ref="U2804">IFERROR(VLOOKUP($T2804,'Nghi hoc T12'!$H$7:$I$160,2,0),0)</f>
        <v>0</v>
      </c>
      <c r="V2804" s="28"/>
      <c r="W2804" s="28">
        <f t="shared" si="242"/>
        <v>0</v>
      </c>
      <c r="X2804" s="333">
        <f t="shared" si="243"/>
        <v>0</v>
      </c>
      <c r="Y2804" s="333">
        <f t="shared" si="244"/>
        <v>0</v>
      </c>
    </row>
    <row r="2805" spans="1:25" s="2" customFormat="1" ht="21.95" customHeight="1">
      <c r="A2805" s="82">
        <v>24</v>
      </c>
      <c r="B2805" s="91" t="s">
        <v>3352</v>
      </c>
      <c r="C2805" s="83" t="s">
        <v>366</v>
      </c>
      <c r="D2805" s="81" t="s">
        <v>3014</v>
      </c>
      <c r="E2805" s="48">
        <v>500360</v>
      </c>
      <c r="F2805" s="30" t="s">
        <v>234</v>
      </c>
      <c r="G2805" s="29" t="s">
        <v>72</v>
      </c>
      <c r="H2805" s="30" t="s">
        <v>3001</v>
      </c>
      <c r="I2805" s="78"/>
      <c r="J2805" s="20"/>
      <c r="K2805" s="20"/>
      <c r="L2805" s="20"/>
      <c r="M2805" s="20"/>
      <c r="N2805" s="320" t="s">
        <v>2685</v>
      </c>
      <c r="O2805" s="70">
        <v>0</v>
      </c>
      <c r="P2805" s="70">
        <v>0</v>
      </c>
      <c r="Q2805" s="70">
        <f t="shared" si="240"/>
        <v>0</v>
      </c>
      <c r="R2805" s="70"/>
      <c r="S2805" s="67"/>
      <c r="T2805" s="2" t="str">
        <f t="shared" si="241"/>
        <v>Nguyễn Trọng Tín_11KT2</v>
      </c>
      <c r="U2805" s="28">
        <f t="array" ref="U2805">IFERROR(VLOOKUP($T2805,'Nghi hoc T12'!$H$7:$I$160,2,0),0)</f>
        <v>0</v>
      </c>
      <c r="V2805" s="28"/>
      <c r="W2805" s="28">
        <f t="shared" si="242"/>
        <v>0</v>
      </c>
      <c r="X2805" s="333">
        <f t="shared" si="243"/>
        <v>0</v>
      </c>
      <c r="Y2805" s="333">
        <f t="shared" si="244"/>
        <v>0</v>
      </c>
    </row>
    <row r="2806" spans="1:25" s="2" customFormat="1" ht="21.95" customHeight="1">
      <c r="A2806" s="82">
        <v>25</v>
      </c>
      <c r="B2806" s="91" t="s">
        <v>3352</v>
      </c>
      <c r="C2806" s="83" t="s">
        <v>366</v>
      </c>
      <c r="D2806" s="81" t="s">
        <v>3014</v>
      </c>
      <c r="E2806" s="48">
        <v>500361</v>
      </c>
      <c r="F2806" s="30" t="s">
        <v>2400</v>
      </c>
      <c r="G2806" s="29" t="s">
        <v>106</v>
      </c>
      <c r="H2806" s="30" t="s">
        <v>3002</v>
      </c>
      <c r="I2806" s="78"/>
      <c r="J2806" s="20"/>
      <c r="K2806" s="20"/>
      <c r="L2806" s="20"/>
      <c r="M2806" s="20"/>
      <c r="N2806" s="320" t="s">
        <v>2685</v>
      </c>
      <c r="O2806" s="70">
        <v>0</v>
      </c>
      <c r="P2806" s="70">
        <v>0</v>
      </c>
      <c r="Q2806" s="70">
        <f t="shared" si="240"/>
        <v>0</v>
      </c>
      <c r="R2806" s="70"/>
      <c r="S2806" s="67"/>
      <c r="T2806" s="2" t="str">
        <f t="shared" si="241"/>
        <v>Lê Hữu Toàn_11KT1</v>
      </c>
      <c r="U2806" s="28">
        <f t="array" ref="U2806">IFERROR(VLOOKUP($T2806,'Nghi hoc T12'!$H$7:$I$160,2,0),0)</f>
        <v>0</v>
      </c>
      <c r="V2806" s="28"/>
      <c r="W2806" s="28">
        <f t="shared" si="242"/>
        <v>0</v>
      </c>
      <c r="X2806" s="333">
        <f t="shared" si="243"/>
        <v>0</v>
      </c>
      <c r="Y2806" s="333">
        <f t="shared" si="244"/>
        <v>0</v>
      </c>
    </row>
    <row r="2807" spans="1:25" s="2" customFormat="1" ht="21.95" customHeight="1">
      <c r="A2807" s="82">
        <v>26</v>
      </c>
      <c r="B2807" s="91" t="s">
        <v>3352</v>
      </c>
      <c r="C2807" s="83" t="s">
        <v>366</v>
      </c>
      <c r="D2807" s="81" t="s">
        <v>3014</v>
      </c>
      <c r="E2807" s="48">
        <v>500362</v>
      </c>
      <c r="F2807" s="30" t="s">
        <v>2879</v>
      </c>
      <c r="G2807" s="29" t="s">
        <v>106</v>
      </c>
      <c r="H2807" s="30" t="s">
        <v>3002</v>
      </c>
      <c r="I2807" s="78"/>
      <c r="J2807" s="20"/>
      <c r="K2807" s="20"/>
      <c r="L2807" s="20"/>
      <c r="M2807" s="20"/>
      <c r="N2807" s="320" t="s">
        <v>2685</v>
      </c>
      <c r="O2807" s="70">
        <v>0</v>
      </c>
      <c r="P2807" s="70">
        <v>0</v>
      </c>
      <c r="Q2807" s="70">
        <f t="shared" si="240"/>
        <v>0</v>
      </c>
      <c r="R2807" s="70"/>
      <c r="S2807" s="67"/>
      <c r="T2807" s="2" t="str">
        <f t="shared" si="241"/>
        <v>Nguyễn Bá Mạnh Toàn_11KT1</v>
      </c>
      <c r="U2807" s="28">
        <f t="array" ref="U2807">IFERROR(VLOOKUP($T2807,'Nghi hoc T12'!$H$7:$I$160,2,0),0)</f>
        <v>0</v>
      </c>
      <c r="V2807" s="28"/>
      <c r="W2807" s="28">
        <f t="shared" si="242"/>
        <v>0</v>
      </c>
      <c r="X2807" s="333">
        <f t="shared" si="243"/>
        <v>0</v>
      </c>
      <c r="Y2807" s="333">
        <f t="shared" si="244"/>
        <v>0</v>
      </c>
    </row>
    <row r="2808" spans="1:25" s="2" customFormat="1" ht="21.95" customHeight="1">
      <c r="A2808" s="82">
        <v>27</v>
      </c>
      <c r="B2808" s="91" t="s">
        <v>3352</v>
      </c>
      <c r="C2808" s="83" t="s">
        <v>366</v>
      </c>
      <c r="D2808" s="81" t="s">
        <v>3014</v>
      </c>
      <c r="E2808" s="48">
        <v>500363</v>
      </c>
      <c r="F2808" s="30" t="s">
        <v>167</v>
      </c>
      <c r="G2808" s="29" t="s">
        <v>106</v>
      </c>
      <c r="H2808" s="30" t="s">
        <v>3003</v>
      </c>
      <c r="I2808" s="78"/>
      <c r="J2808" s="20"/>
      <c r="K2808" s="20"/>
      <c r="L2808" s="20"/>
      <c r="M2808" s="20"/>
      <c r="N2808" s="320" t="s">
        <v>2685</v>
      </c>
      <c r="O2808" s="70">
        <v>0</v>
      </c>
      <c r="P2808" s="70">
        <v>0</v>
      </c>
      <c r="Q2808" s="70">
        <f t="shared" si="240"/>
        <v>0</v>
      </c>
      <c r="R2808" s="70"/>
      <c r="S2808" s="67"/>
      <c r="T2808" s="2" t="str">
        <f t="shared" si="241"/>
        <v>Trần Thanh Toàn_11KT4</v>
      </c>
      <c r="U2808" s="28">
        <f t="array" ref="U2808">IFERROR(VLOOKUP($T2808,'Nghi hoc T12'!$H$7:$I$160,2,0),0)</f>
        <v>0</v>
      </c>
      <c r="V2808" s="28"/>
      <c r="W2808" s="28">
        <f t="shared" si="242"/>
        <v>0</v>
      </c>
      <c r="X2808" s="333">
        <f t="shared" si="243"/>
        <v>0</v>
      </c>
      <c r="Y2808" s="333">
        <f t="shared" si="244"/>
        <v>0</v>
      </c>
    </row>
    <row r="2809" spans="1:25" s="2" customFormat="1" ht="21.95" customHeight="1">
      <c r="A2809" s="82">
        <v>28</v>
      </c>
      <c r="B2809" s="91" t="s">
        <v>3352</v>
      </c>
      <c r="C2809" s="83" t="s">
        <v>366</v>
      </c>
      <c r="D2809" s="81" t="s">
        <v>3014</v>
      </c>
      <c r="E2809" s="48">
        <v>500364</v>
      </c>
      <c r="F2809" s="30" t="s">
        <v>2309</v>
      </c>
      <c r="G2809" s="29" t="s">
        <v>30</v>
      </c>
      <c r="H2809" s="30" t="s">
        <v>3000</v>
      </c>
      <c r="I2809" s="78"/>
      <c r="J2809" s="20"/>
      <c r="K2809" s="20"/>
      <c r="L2809" s="20"/>
      <c r="M2809" s="20"/>
      <c r="N2809" s="320" t="s">
        <v>2685</v>
      </c>
      <c r="O2809" s="70">
        <v>0</v>
      </c>
      <c r="P2809" s="70">
        <v>0</v>
      </c>
      <c r="Q2809" s="70">
        <f t="shared" si="240"/>
        <v>0</v>
      </c>
      <c r="R2809" s="70"/>
      <c r="S2809" s="67"/>
      <c r="T2809" s="2" t="str">
        <f t="shared" si="241"/>
        <v>Hoàng Minh Trang_11KT3</v>
      </c>
      <c r="U2809" s="28">
        <f t="array" ref="U2809">IFERROR(VLOOKUP($T2809,'Nghi hoc T12'!$H$7:$I$160,2,0),0)</f>
        <v>0</v>
      </c>
      <c r="V2809" s="28"/>
      <c r="W2809" s="28">
        <f t="shared" si="242"/>
        <v>0</v>
      </c>
      <c r="X2809" s="333">
        <f t="shared" si="243"/>
        <v>0</v>
      </c>
      <c r="Y2809" s="333">
        <f t="shared" si="244"/>
        <v>0</v>
      </c>
    </row>
    <row r="2810" spans="1:25" s="2" customFormat="1" ht="21.95" customHeight="1">
      <c r="A2810" s="321">
        <v>1</v>
      </c>
      <c r="B2810" s="91" t="s">
        <v>3353</v>
      </c>
      <c r="C2810" s="185" t="s">
        <v>366</v>
      </c>
      <c r="D2810" s="186" t="s">
        <v>3015</v>
      </c>
      <c r="E2810" s="187">
        <v>500365</v>
      </c>
      <c r="F2810" s="188" t="s">
        <v>240</v>
      </c>
      <c r="G2810" s="189" t="s">
        <v>30</v>
      </c>
      <c r="H2810" s="188" t="s">
        <v>3003</v>
      </c>
      <c r="I2810" s="190"/>
      <c r="J2810" s="191"/>
      <c r="K2810" s="191"/>
      <c r="L2810" s="191"/>
      <c r="M2810" s="191"/>
      <c r="N2810" s="320" t="s">
        <v>2685</v>
      </c>
      <c r="O2810" s="70">
        <v>0</v>
      </c>
      <c r="P2810" s="70">
        <v>0</v>
      </c>
      <c r="Q2810" s="70">
        <f t="shared" si="240"/>
        <v>0</v>
      </c>
      <c r="R2810" s="70"/>
      <c r="S2810" s="67"/>
      <c r="T2810" s="2" t="str">
        <f t="shared" si="241"/>
        <v>Nguyễn Ngọc Thùy Trang_11KT4</v>
      </c>
      <c r="U2810" s="28">
        <f t="array" ref="U2810">IFERROR(VLOOKUP($T2810,'Nghi hoc T12'!$H$7:$I$160,2,0),0)</f>
        <v>0</v>
      </c>
      <c r="V2810" s="28"/>
      <c r="W2810" s="28">
        <f t="shared" si="242"/>
        <v>0</v>
      </c>
      <c r="X2810" s="333">
        <f t="shared" si="243"/>
        <v>0</v>
      </c>
      <c r="Y2810" s="333">
        <f t="shared" si="244"/>
        <v>0</v>
      </c>
    </row>
    <row r="2811" spans="1:25" s="2" customFormat="1" ht="21.95" customHeight="1">
      <c r="A2811" s="82">
        <v>2</v>
      </c>
      <c r="B2811" s="91" t="s">
        <v>3353</v>
      </c>
      <c r="C2811" s="83" t="s">
        <v>366</v>
      </c>
      <c r="D2811" s="81" t="s">
        <v>3015</v>
      </c>
      <c r="E2811" s="48">
        <v>500366</v>
      </c>
      <c r="F2811" s="30" t="s">
        <v>1265</v>
      </c>
      <c r="G2811" s="29" t="s">
        <v>30</v>
      </c>
      <c r="H2811" s="30" t="s">
        <v>3001</v>
      </c>
      <c r="I2811" s="78"/>
      <c r="J2811" s="20"/>
      <c r="K2811" s="20"/>
      <c r="L2811" s="20"/>
      <c r="M2811" s="20"/>
      <c r="N2811" s="320" t="s">
        <v>2685</v>
      </c>
      <c r="O2811" s="70">
        <v>0</v>
      </c>
      <c r="P2811" s="70">
        <v>0</v>
      </c>
      <c r="Q2811" s="70">
        <f t="shared" si="240"/>
        <v>0</v>
      </c>
      <c r="R2811" s="70"/>
      <c r="S2811" s="67"/>
      <c r="T2811" s="2" t="str">
        <f t="shared" si="241"/>
        <v>Nguyễn Thu Trang_11KT2</v>
      </c>
      <c r="U2811" s="28">
        <f t="array" ref="U2811">IFERROR(VLOOKUP($T2811,'Nghi hoc T12'!$H$7:$I$160,2,0),0)</f>
        <v>0</v>
      </c>
      <c r="V2811" s="28"/>
      <c r="W2811" s="28">
        <f t="shared" si="242"/>
        <v>0</v>
      </c>
      <c r="X2811" s="333">
        <f t="shared" si="243"/>
        <v>0</v>
      </c>
      <c r="Y2811" s="333">
        <f t="shared" si="244"/>
        <v>0</v>
      </c>
    </row>
    <row r="2812" spans="1:25" s="2" customFormat="1" ht="21.95" customHeight="1">
      <c r="A2812" s="82">
        <v>3</v>
      </c>
      <c r="B2812" s="91" t="s">
        <v>3353</v>
      </c>
      <c r="C2812" s="83" t="s">
        <v>366</v>
      </c>
      <c r="D2812" s="81" t="s">
        <v>3015</v>
      </c>
      <c r="E2812" s="48">
        <v>500367</v>
      </c>
      <c r="F2812" s="30" t="s">
        <v>156</v>
      </c>
      <c r="G2812" s="29" t="s">
        <v>206</v>
      </c>
      <c r="H2812" s="30" t="s">
        <v>3002</v>
      </c>
      <c r="I2812" s="78"/>
      <c r="J2812" s="20"/>
      <c r="K2812" s="20"/>
      <c r="L2812" s="20"/>
      <c r="M2812" s="20"/>
      <c r="N2812" s="320" t="s">
        <v>2685</v>
      </c>
      <c r="O2812" s="70">
        <v>0</v>
      </c>
      <c r="P2812" s="70">
        <v>0</v>
      </c>
      <c r="Q2812" s="70">
        <f t="shared" si="240"/>
        <v>0</v>
      </c>
      <c r="R2812" s="70"/>
      <c r="S2812" s="67"/>
      <c r="T2812" s="2" t="str">
        <f t="shared" si="241"/>
        <v>Trần Minh Trí_11KT1</v>
      </c>
      <c r="U2812" s="28">
        <f t="array" ref="U2812">IFERROR(VLOOKUP($T2812,'Nghi hoc T12'!$H$7:$I$160,2,0),0)</f>
        <v>0</v>
      </c>
      <c r="V2812" s="28"/>
      <c r="W2812" s="28">
        <f t="shared" si="242"/>
        <v>0</v>
      </c>
      <c r="X2812" s="333">
        <f t="shared" si="243"/>
        <v>0</v>
      </c>
      <c r="Y2812" s="333">
        <f t="shared" si="244"/>
        <v>0</v>
      </c>
    </row>
    <row r="2813" spans="1:25" s="2" customFormat="1" ht="21.95" customHeight="1">
      <c r="A2813" s="82">
        <v>4</v>
      </c>
      <c r="B2813" s="91" t="s">
        <v>3353</v>
      </c>
      <c r="C2813" s="83" t="s">
        <v>366</v>
      </c>
      <c r="D2813" s="81" t="s">
        <v>3015</v>
      </c>
      <c r="E2813" s="48">
        <v>500368</v>
      </c>
      <c r="F2813" s="30" t="s">
        <v>186</v>
      </c>
      <c r="G2813" s="29" t="s">
        <v>218</v>
      </c>
      <c r="H2813" s="30" t="s">
        <v>3002</v>
      </c>
      <c r="I2813" s="78"/>
      <c r="J2813" s="20"/>
      <c r="K2813" s="20"/>
      <c r="L2813" s="20"/>
      <c r="M2813" s="20"/>
      <c r="N2813" s="320" t="s">
        <v>2685</v>
      </c>
      <c r="O2813" s="70">
        <v>0</v>
      </c>
      <c r="P2813" s="70">
        <v>0</v>
      </c>
      <c r="Q2813" s="70">
        <f t="shared" si="240"/>
        <v>0</v>
      </c>
      <c r="R2813" s="70"/>
      <c r="S2813" s="67"/>
      <c r="T2813" s="2" t="str">
        <f t="shared" si="241"/>
        <v>Nguyễn Minh Triết_11KT1</v>
      </c>
      <c r="U2813" s="28">
        <f t="array" ref="U2813">IFERROR(VLOOKUP($T2813,'Nghi hoc T12'!$H$7:$I$160,2,0),0)</f>
        <v>0</v>
      </c>
      <c r="V2813" s="28"/>
      <c r="W2813" s="28">
        <f t="shared" si="242"/>
        <v>0</v>
      </c>
      <c r="X2813" s="333">
        <f t="shared" si="243"/>
        <v>0</v>
      </c>
      <c r="Y2813" s="333">
        <f t="shared" si="244"/>
        <v>0</v>
      </c>
    </row>
    <row r="2814" spans="1:25" s="2" customFormat="1" ht="21.95" customHeight="1">
      <c r="A2814" s="82">
        <v>5</v>
      </c>
      <c r="B2814" s="91" t="s">
        <v>3353</v>
      </c>
      <c r="C2814" s="83" t="s">
        <v>366</v>
      </c>
      <c r="D2814" s="81" t="s">
        <v>3015</v>
      </c>
      <c r="E2814" s="48">
        <v>500369</v>
      </c>
      <c r="F2814" s="30" t="s">
        <v>1629</v>
      </c>
      <c r="G2814" s="29" t="s">
        <v>218</v>
      </c>
      <c r="H2814" s="30" t="s">
        <v>3001</v>
      </c>
      <c r="I2814" s="78"/>
      <c r="J2814" s="20"/>
      <c r="K2814" s="20"/>
      <c r="L2814" s="20"/>
      <c r="M2814" s="20"/>
      <c r="N2814" s="320" t="s">
        <v>2685</v>
      </c>
      <c r="O2814" s="70">
        <v>0</v>
      </c>
      <c r="P2814" s="70">
        <v>0</v>
      </c>
      <c r="Q2814" s="70">
        <f t="shared" si="240"/>
        <v>0</v>
      </c>
      <c r="R2814" s="70"/>
      <c r="S2814" s="67"/>
      <c r="T2814" s="2" t="str">
        <f t="shared" si="241"/>
        <v>Võ Nguyễn Minh Triết_11KT2</v>
      </c>
      <c r="U2814" s="28">
        <f t="array" ref="U2814">IFERROR(VLOOKUP($T2814,'Nghi hoc T12'!$H$7:$I$160,2,0),0)</f>
        <v>0</v>
      </c>
      <c r="V2814" s="28"/>
      <c r="W2814" s="28">
        <f t="shared" si="242"/>
        <v>0</v>
      </c>
      <c r="X2814" s="333">
        <f t="shared" si="243"/>
        <v>0</v>
      </c>
      <c r="Y2814" s="333">
        <f t="shared" si="244"/>
        <v>0</v>
      </c>
    </row>
    <row r="2815" spans="1:25" s="2" customFormat="1" ht="21.95" customHeight="1">
      <c r="A2815" s="82">
        <v>6</v>
      </c>
      <c r="B2815" s="91" t="s">
        <v>3353</v>
      </c>
      <c r="C2815" s="83" t="s">
        <v>366</v>
      </c>
      <c r="D2815" s="81" t="s">
        <v>3015</v>
      </c>
      <c r="E2815" s="48">
        <v>500370</v>
      </c>
      <c r="F2815" s="30" t="s">
        <v>2880</v>
      </c>
      <c r="G2815" s="29" t="s">
        <v>31</v>
      </c>
      <c r="H2815" s="30" t="s">
        <v>3001</v>
      </c>
      <c r="I2815" s="78"/>
      <c r="J2815" s="20"/>
      <c r="K2815" s="20"/>
      <c r="L2815" s="20"/>
      <c r="M2815" s="20"/>
      <c r="N2815" s="320" t="s">
        <v>2685</v>
      </c>
      <c r="O2815" s="70">
        <v>0</v>
      </c>
      <c r="P2815" s="70">
        <v>0</v>
      </c>
      <c r="Q2815" s="70">
        <f t="shared" si="240"/>
        <v>0</v>
      </c>
      <c r="R2815" s="70"/>
      <c r="S2815" s="67"/>
      <c r="T2815" s="2" t="str">
        <f t="shared" si="241"/>
        <v>Lê Kim Trúc_11KT2</v>
      </c>
      <c r="U2815" s="28">
        <f t="array" ref="U2815">IFERROR(VLOOKUP($T2815,'Nghi hoc T12'!$H$7:$I$160,2,0),0)</f>
        <v>0</v>
      </c>
      <c r="V2815" s="28"/>
      <c r="W2815" s="28">
        <f t="shared" si="242"/>
        <v>0</v>
      </c>
      <c r="X2815" s="333">
        <f t="shared" si="243"/>
        <v>0</v>
      </c>
      <c r="Y2815" s="333">
        <f t="shared" si="244"/>
        <v>0</v>
      </c>
    </row>
    <row r="2816" spans="1:25" s="2" customFormat="1" ht="21.95" customHeight="1">
      <c r="A2816" s="82">
        <v>7</v>
      </c>
      <c r="B2816" s="91" t="s">
        <v>3353</v>
      </c>
      <c r="C2816" s="83" t="s">
        <v>366</v>
      </c>
      <c r="D2816" s="81" t="s">
        <v>3015</v>
      </c>
      <c r="E2816" s="48">
        <v>500371</v>
      </c>
      <c r="F2816" s="30" t="s">
        <v>1942</v>
      </c>
      <c r="G2816" s="29" t="s">
        <v>31</v>
      </c>
      <c r="H2816" s="30" t="s">
        <v>3000</v>
      </c>
      <c r="I2816" s="78"/>
      <c r="J2816" s="20"/>
      <c r="K2816" s="20"/>
      <c r="L2816" s="20"/>
      <c r="M2816" s="20"/>
      <c r="N2816" s="320" t="s">
        <v>2685</v>
      </c>
      <c r="O2816" s="70">
        <v>0</v>
      </c>
      <c r="P2816" s="70">
        <v>0</v>
      </c>
      <c r="Q2816" s="70">
        <f t="shared" si="240"/>
        <v>0</v>
      </c>
      <c r="R2816" s="70"/>
      <c r="S2816" s="67"/>
      <c r="T2816" s="2" t="str">
        <f t="shared" si="241"/>
        <v>Võ Thị Thanh Trúc_11KT3</v>
      </c>
      <c r="U2816" s="28">
        <f t="array" ref="U2816">IFERROR(VLOOKUP($T2816,'Nghi hoc T12'!$H$7:$I$160,2,0),0)</f>
        <v>0</v>
      </c>
      <c r="V2816" s="28"/>
      <c r="W2816" s="28">
        <f t="shared" si="242"/>
        <v>0</v>
      </c>
      <c r="X2816" s="333">
        <f t="shared" si="243"/>
        <v>0</v>
      </c>
      <c r="Y2816" s="333">
        <f t="shared" si="244"/>
        <v>0</v>
      </c>
    </row>
    <row r="2817" spans="1:25" s="2" customFormat="1" ht="21.95" customHeight="1">
      <c r="A2817" s="82">
        <v>8</v>
      </c>
      <c r="B2817" s="91" t="s">
        <v>3353</v>
      </c>
      <c r="C2817" s="83" t="s">
        <v>366</v>
      </c>
      <c r="D2817" s="81" t="s">
        <v>3015</v>
      </c>
      <c r="E2817" s="48">
        <v>500372</v>
      </c>
      <c r="F2817" s="30" t="s">
        <v>1257</v>
      </c>
      <c r="G2817" s="29" t="s">
        <v>32</v>
      </c>
      <c r="H2817" s="30" t="s">
        <v>3002</v>
      </c>
      <c r="I2817" s="78"/>
      <c r="J2817" s="20"/>
      <c r="K2817" s="20"/>
      <c r="L2817" s="20"/>
      <c r="M2817" s="20"/>
      <c r="N2817" s="320" t="s">
        <v>2685</v>
      </c>
      <c r="O2817" s="70">
        <v>0</v>
      </c>
      <c r="P2817" s="70">
        <v>0</v>
      </c>
      <c r="Q2817" s="70">
        <f t="shared" si="240"/>
        <v>0</v>
      </c>
      <c r="R2817" s="70"/>
      <c r="S2817" s="67"/>
      <c r="T2817" s="2" t="str">
        <f t="shared" si="241"/>
        <v>Trần Thành Trung_11KT1</v>
      </c>
      <c r="U2817" s="28">
        <f t="array" ref="U2817">IFERROR(VLOOKUP($T2817,'Nghi hoc T12'!$H$7:$I$160,2,0),0)</f>
        <v>0</v>
      </c>
      <c r="V2817" s="28"/>
      <c r="W2817" s="28">
        <f t="shared" si="242"/>
        <v>0</v>
      </c>
      <c r="X2817" s="333">
        <f t="shared" si="243"/>
        <v>0</v>
      </c>
      <c r="Y2817" s="333">
        <f t="shared" si="244"/>
        <v>0</v>
      </c>
    </row>
    <row r="2818" spans="1:25" s="2" customFormat="1" ht="21.95" customHeight="1">
      <c r="A2818" s="82">
        <v>9</v>
      </c>
      <c r="B2818" s="91" t="s">
        <v>3353</v>
      </c>
      <c r="C2818" s="83" t="s">
        <v>366</v>
      </c>
      <c r="D2818" s="81" t="s">
        <v>3015</v>
      </c>
      <c r="E2818" s="48">
        <v>500373</v>
      </c>
      <c r="F2818" s="30" t="s">
        <v>2881</v>
      </c>
      <c r="G2818" s="29" t="s">
        <v>164</v>
      </c>
      <c r="H2818" s="30" t="s">
        <v>3001</v>
      </c>
      <c r="I2818" s="78"/>
      <c r="J2818" s="20"/>
      <c r="K2818" s="20"/>
      <c r="L2818" s="20"/>
      <c r="M2818" s="20"/>
      <c r="N2818" s="320" t="s">
        <v>2685</v>
      </c>
      <c r="O2818" s="70">
        <v>0</v>
      </c>
      <c r="P2818" s="70">
        <v>0</v>
      </c>
      <c r="Q2818" s="70">
        <f t="shared" si="240"/>
        <v>0</v>
      </c>
      <c r="R2818" s="70"/>
      <c r="S2818" s="67"/>
      <c r="T2818" s="2" t="str">
        <f t="shared" si="241"/>
        <v>Đinh Xuân Trường_11KT2</v>
      </c>
      <c r="U2818" s="28">
        <f t="array" ref="U2818">IFERROR(VLOOKUP($T2818,'Nghi hoc T12'!$H$7:$I$160,2,0),0)</f>
        <v>0</v>
      </c>
      <c r="V2818" s="28"/>
      <c r="W2818" s="28">
        <f t="shared" si="242"/>
        <v>0</v>
      </c>
      <c r="X2818" s="333">
        <f t="shared" si="243"/>
        <v>0</v>
      </c>
      <c r="Y2818" s="333">
        <f t="shared" si="244"/>
        <v>0</v>
      </c>
    </row>
    <row r="2819" spans="1:25" s="2" customFormat="1" ht="21.95" customHeight="1">
      <c r="A2819" s="82">
        <v>10</v>
      </c>
      <c r="B2819" s="91" t="s">
        <v>3353</v>
      </c>
      <c r="C2819" s="83" t="s">
        <v>366</v>
      </c>
      <c r="D2819" s="81" t="s">
        <v>3015</v>
      </c>
      <c r="E2819" s="48">
        <v>500374</v>
      </c>
      <c r="F2819" s="30" t="s">
        <v>337</v>
      </c>
      <c r="G2819" s="29" t="s">
        <v>51</v>
      </c>
      <c r="H2819" s="30" t="s">
        <v>3001</v>
      </c>
      <c r="I2819" s="78"/>
      <c r="J2819" s="20"/>
      <c r="K2819" s="20"/>
      <c r="L2819" s="20"/>
      <c r="M2819" s="20"/>
      <c r="N2819" s="320" t="s">
        <v>2685</v>
      </c>
      <c r="O2819" s="70">
        <v>0</v>
      </c>
      <c r="P2819" s="70">
        <v>0</v>
      </c>
      <c r="Q2819" s="70">
        <f t="shared" si="240"/>
        <v>0</v>
      </c>
      <c r="R2819" s="70"/>
      <c r="S2819" s="67"/>
      <c r="T2819" s="2" t="str">
        <f t="shared" si="241"/>
        <v>Trần Anh Tú_11KT2</v>
      </c>
      <c r="U2819" s="28">
        <f t="array" ref="U2819">IFERROR(VLOOKUP($T2819,'Nghi hoc T12'!$H$7:$I$160,2,0),0)</f>
        <v>0</v>
      </c>
      <c r="V2819" s="28"/>
      <c r="W2819" s="28">
        <f t="shared" si="242"/>
        <v>0</v>
      </c>
      <c r="X2819" s="333">
        <f t="shared" si="243"/>
        <v>0</v>
      </c>
      <c r="Y2819" s="333">
        <f t="shared" si="244"/>
        <v>0</v>
      </c>
    </row>
    <row r="2820" spans="1:25" s="2" customFormat="1" ht="21.95" customHeight="1">
      <c r="A2820" s="82">
        <v>11</v>
      </c>
      <c r="B2820" s="91" t="s">
        <v>3353</v>
      </c>
      <c r="C2820" s="83" t="s">
        <v>366</v>
      </c>
      <c r="D2820" s="81" t="s">
        <v>3015</v>
      </c>
      <c r="E2820" s="48">
        <v>500375</v>
      </c>
      <c r="F2820" s="30" t="s">
        <v>2882</v>
      </c>
      <c r="G2820" s="29" t="s">
        <v>52</v>
      </c>
      <c r="H2820" s="30" t="s">
        <v>3000</v>
      </c>
      <c r="I2820" s="78"/>
      <c r="J2820" s="20"/>
      <c r="K2820" s="20"/>
      <c r="L2820" s="20"/>
      <c r="M2820" s="20"/>
      <c r="N2820" s="320" t="s">
        <v>2685</v>
      </c>
      <c r="O2820" s="70">
        <v>0</v>
      </c>
      <c r="P2820" s="70">
        <v>0</v>
      </c>
      <c r="Q2820" s="70">
        <f t="shared" si="240"/>
        <v>0</v>
      </c>
      <c r="R2820" s="70"/>
      <c r="S2820" s="67"/>
      <c r="T2820" s="2" t="str">
        <f t="shared" si="241"/>
        <v>Nghiêm Hà Anh Tuấn_11KT3</v>
      </c>
      <c r="U2820" s="28">
        <f t="array" ref="U2820">IFERROR(VLOOKUP($T2820,'Nghi hoc T12'!$H$7:$I$160,2,0),0)</f>
        <v>0</v>
      </c>
      <c r="V2820" s="28"/>
      <c r="W2820" s="28">
        <f t="shared" si="242"/>
        <v>0</v>
      </c>
      <c r="X2820" s="333">
        <f t="shared" si="243"/>
        <v>0</v>
      </c>
      <c r="Y2820" s="333">
        <f t="shared" si="244"/>
        <v>0</v>
      </c>
    </row>
    <row r="2821" spans="1:25" s="2" customFormat="1" ht="21.95" customHeight="1">
      <c r="A2821" s="82">
        <v>12</v>
      </c>
      <c r="B2821" s="91" t="s">
        <v>3353</v>
      </c>
      <c r="C2821" s="83" t="s">
        <v>366</v>
      </c>
      <c r="D2821" s="81" t="s">
        <v>3015</v>
      </c>
      <c r="E2821" s="48">
        <v>500376</v>
      </c>
      <c r="F2821" s="30" t="s">
        <v>2883</v>
      </c>
      <c r="G2821" s="29" t="s">
        <v>52</v>
      </c>
      <c r="H2821" s="30" t="s">
        <v>3000</v>
      </c>
      <c r="I2821" s="78"/>
      <c r="J2821" s="20"/>
      <c r="K2821" s="20"/>
      <c r="L2821" s="20"/>
      <c r="M2821" s="20"/>
      <c r="N2821" s="320" t="s">
        <v>2685</v>
      </c>
      <c r="O2821" s="70">
        <v>0</v>
      </c>
      <c r="P2821" s="70">
        <v>0</v>
      </c>
      <c r="Q2821" s="70">
        <f t="shared" si="240"/>
        <v>0</v>
      </c>
      <c r="R2821" s="70"/>
      <c r="S2821" s="67"/>
      <c r="T2821" s="2" t="str">
        <f t="shared" si="241"/>
        <v>Phạm Thái Tuấn_11KT3</v>
      </c>
      <c r="U2821" s="28">
        <f t="array" ref="U2821">IFERROR(VLOOKUP($T2821,'Nghi hoc T12'!$H$7:$I$160,2,0),0)</f>
        <v>0</v>
      </c>
      <c r="V2821" s="28"/>
      <c r="W2821" s="28">
        <f t="shared" si="242"/>
        <v>0</v>
      </c>
      <c r="X2821" s="333">
        <f t="shared" si="243"/>
        <v>0</v>
      </c>
      <c r="Y2821" s="333">
        <f t="shared" si="244"/>
        <v>0</v>
      </c>
    </row>
    <row r="2822" spans="1:25" s="2" customFormat="1" ht="21.95" customHeight="1">
      <c r="A2822" s="82">
        <v>13</v>
      </c>
      <c r="B2822" s="91" t="s">
        <v>3353</v>
      </c>
      <c r="C2822" s="83" t="s">
        <v>366</v>
      </c>
      <c r="D2822" s="81" t="s">
        <v>3015</v>
      </c>
      <c r="E2822" s="48">
        <v>500377</v>
      </c>
      <c r="F2822" s="30" t="s">
        <v>183</v>
      </c>
      <c r="G2822" s="29" t="s">
        <v>73</v>
      </c>
      <c r="H2822" s="30" t="s">
        <v>3002</v>
      </c>
      <c r="I2822" s="78"/>
      <c r="J2822" s="20"/>
      <c r="K2822" s="20"/>
      <c r="L2822" s="20"/>
      <c r="M2822" s="20"/>
      <c r="N2822" s="320" t="s">
        <v>2685</v>
      </c>
      <c r="O2822" s="70">
        <v>0</v>
      </c>
      <c r="P2822" s="70">
        <v>0</v>
      </c>
      <c r="Q2822" s="70">
        <f t="shared" si="240"/>
        <v>0</v>
      </c>
      <c r="R2822" s="70"/>
      <c r="S2822" s="67"/>
      <c r="T2822" s="2" t="str">
        <f t="shared" si="241"/>
        <v>Nguyễn Thanh Tuyền_11KT1</v>
      </c>
      <c r="U2822" s="28">
        <f t="array" ref="U2822">IFERROR(VLOOKUP($T2822,'Nghi hoc T12'!$H$7:$I$160,2,0),0)</f>
        <v>0</v>
      </c>
      <c r="V2822" s="28"/>
      <c r="W2822" s="28">
        <f t="shared" si="242"/>
        <v>0</v>
      </c>
      <c r="X2822" s="333">
        <f t="shared" si="243"/>
        <v>0</v>
      </c>
      <c r="Y2822" s="333">
        <f t="shared" si="244"/>
        <v>0</v>
      </c>
    </row>
    <row r="2823" spans="1:25" s="2" customFormat="1" ht="21.95" customHeight="1">
      <c r="A2823" s="82">
        <v>14</v>
      </c>
      <c r="B2823" s="91" t="s">
        <v>3353</v>
      </c>
      <c r="C2823" s="83" t="s">
        <v>366</v>
      </c>
      <c r="D2823" s="81" t="s">
        <v>3015</v>
      </c>
      <c r="E2823" s="48">
        <v>500378</v>
      </c>
      <c r="F2823" s="30" t="s">
        <v>2884</v>
      </c>
      <c r="G2823" s="29" t="s">
        <v>95</v>
      </c>
      <c r="H2823" s="30" t="s">
        <v>3001</v>
      </c>
      <c r="I2823" s="78"/>
      <c r="J2823" s="20"/>
      <c r="K2823" s="20"/>
      <c r="L2823" s="20"/>
      <c r="M2823" s="20"/>
      <c r="N2823" s="320" t="s">
        <v>2685</v>
      </c>
      <c r="O2823" s="70">
        <v>0</v>
      </c>
      <c r="P2823" s="70">
        <v>0</v>
      </c>
      <c r="Q2823" s="70">
        <f t="shared" si="240"/>
        <v>0</v>
      </c>
      <c r="R2823" s="70"/>
      <c r="S2823" s="67"/>
      <c r="T2823" s="2" t="str">
        <f t="shared" si="241"/>
        <v>Lê Phạm Mỹ Tuyết_11KT2</v>
      </c>
      <c r="U2823" s="28">
        <f t="array" ref="U2823">IFERROR(VLOOKUP($T2823,'Nghi hoc T12'!$H$7:$I$160,2,0),0)</f>
        <v>0</v>
      </c>
      <c r="V2823" s="28"/>
      <c r="W2823" s="28">
        <f t="shared" si="242"/>
        <v>0</v>
      </c>
      <c r="X2823" s="333">
        <f t="shared" si="243"/>
        <v>0</v>
      </c>
      <c r="Y2823" s="333">
        <f t="shared" si="244"/>
        <v>0</v>
      </c>
    </row>
    <row r="2824" spans="1:25" s="2" customFormat="1" ht="21.95" customHeight="1">
      <c r="A2824" s="82">
        <v>15</v>
      </c>
      <c r="B2824" s="91" t="s">
        <v>3353</v>
      </c>
      <c r="C2824" s="83" t="s">
        <v>366</v>
      </c>
      <c r="D2824" s="81" t="s">
        <v>3015</v>
      </c>
      <c r="E2824" s="48">
        <v>500379</v>
      </c>
      <c r="F2824" s="30" t="s">
        <v>2885</v>
      </c>
      <c r="G2824" s="29" t="s">
        <v>117</v>
      </c>
      <c r="H2824" s="30" t="s">
        <v>3003</v>
      </c>
      <c r="I2824" s="78"/>
      <c r="J2824" s="20"/>
      <c r="K2824" s="20"/>
      <c r="L2824" s="20"/>
      <c r="M2824" s="20"/>
      <c r="N2824" s="320" t="s">
        <v>2685</v>
      </c>
      <c r="O2824" s="70">
        <v>0</v>
      </c>
      <c r="P2824" s="70">
        <v>0</v>
      </c>
      <c r="Q2824" s="70">
        <f t="shared" si="240"/>
        <v>0</v>
      </c>
      <c r="R2824" s="70"/>
      <c r="S2824" s="67"/>
      <c r="T2824" s="2" t="str">
        <f t="shared" si="241"/>
        <v>Trần Cao Cát Tường_11KT4</v>
      </c>
      <c r="U2824" s="28">
        <f t="array" ref="U2824">IFERROR(VLOOKUP($T2824,'Nghi hoc T12'!$H$7:$I$160,2,0),0)</f>
        <v>0</v>
      </c>
      <c r="V2824" s="28"/>
      <c r="W2824" s="28">
        <f t="shared" si="242"/>
        <v>0</v>
      </c>
      <c r="X2824" s="333">
        <f t="shared" si="243"/>
        <v>0</v>
      </c>
      <c r="Y2824" s="333">
        <f t="shared" si="244"/>
        <v>0</v>
      </c>
    </row>
    <row r="2825" spans="1:25" s="2" customFormat="1" ht="21.95" customHeight="1">
      <c r="A2825" s="82">
        <v>16</v>
      </c>
      <c r="B2825" s="91" t="s">
        <v>3353</v>
      </c>
      <c r="C2825" s="83" t="s">
        <v>366</v>
      </c>
      <c r="D2825" s="81" t="s">
        <v>3015</v>
      </c>
      <c r="E2825" s="48">
        <v>500380</v>
      </c>
      <c r="F2825" s="30" t="s">
        <v>2886</v>
      </c>
      <c r="G2825" s="29" t="s">
        <v>188</v>
      </c>
      <c r="H2825" s="30" t="s">
        <v>3000</v>
      </c>
      <c r="I2825" s="78"/>
      <c r="J2825" s="20"/>
      <c r="K2825" s="20"/>
      <c r="L2825" s="20"/>
      <c r="M2825" s="20"/>
      <c r="N2825" s="320" t="s">
        <v>2685</v>
      </c>
      <c r="O2825" s="70">
        <v>0</v>
      </c>
      <c r="P2825" s="70">
        <v>0</v>
      </c>
      <c r="Q2825" s="70">
        <f t="shared" si="240"/>
        <v>0</v>
      </c>
      <c r="R2825" s="70"/>
      <c r="S2825" s="67"/>
      <c r="T2825" s="2" t="str">
        <f t="shared" si="241"/>
        <v>Nguyễn Ngọc Đan Uyên_11KT3</v>
      </c>
      <c r="U2825" s="28">
        <f t="array" ref="U2825">IFERROR(VLOOKUP($T2825,'Nghi hoc T12'!$H$7:$I$160,2,0),0)</f>
        <v>0</v>
      </c>
      <c r="V2825" s="28"/>
      <c r="W2825" s="28">
        <f t="shared" si="242"/>
        <v>0</v>
      </c>
      <c r="X2825" s="333">
        <f t="shared" si="243"/>
        <v>0</v>
      </c>
      <c r="Y2825" s="333">
        <f t="shared" si="244"/>
        <v>0</v>
      </c>
    </row>
    <row r="2826" spans="1:25" s="2" customFormat="1" ht="21.95" customHeight="1">
      <c r="A2826" s="82">
        <v>17</v>
      </c>
      <c r="B2826" s="91" t="s">
        <v>3353</v>
      </c>
      <c r="C2826" s="83" t="s">
        <v>366</v>
      </c>
      <c r="D2826" s="81" t="s">
        <v>3015</v>
      </c>
      <c r="E2826" s="48">
        <v>500381</v>
      </c>
      <c r="F2826" s="30" t="s">
        <v>2887</v>
      </c>
      <c r="G2826" s="29" t="s">
        <v>2318</v>
      </c>
      <c r="H2826" s="30" t="s">
        <v>3003</v>
      </c>
      <c r="I2826" s="78"/>
      <c r="J2826" s="20"/>
      <c r="K2826" s="20"/>
      <c r="L2826" s="20"/>
      <c r="M2826" s="20"/>
      <c r="N2826" s="320" t="s">
        <v>2685</v>
      </c>
      <c r="O2826" s="70">
        <v>0</v>
      </c>
      <c r="P2826" s="70">
        <v>0</v>
      </c>
      <c r="Q2826" s="70">
        <f t="shared" ref="Q2826:Q2889" si="245">U2826</f>
        <v>0</v>
      </c>
      <c r="R2826" s="70"/>
      <c r="S2826" s="67"/>
      <c r="T2826" s="2" t="str">
        <f t="shared" ref="T2826:T2889" si="246">TRIM(F2826&amp;" "&amp;G2826&amp;"_"&amp;H2826)</f>
        <v>Bùi Đình Văn_11KT4</v>
      </c>
      <c r="U2826" s="28">
        <f t="array" ref="U2826">IFERROR(VLOOKUP($T2826,'Nghi hoc T12'!$H$7:$I$160,2,0),0)</f>
        <v>0</v>
      </c>
      <c r="V2826" s="28"/>
      <c r="W2826" s="28">
        <f t="shared" ref="W2826:W2889" si="247">I2826</f>
        <v>0</v>
      </c>
      <c r="X2826" s="333">
        <f t="shared" ref="X2826:X2889" si="248">O2826</f>
        <v>0</v>
      </c>
      <c r="Y2826" s="333">
        <f t="shared" ref="Y2826:Y2889" si="249">P2826</f>
        <v>0</v>
      </c>
    </row>
    <row r="2827" spans="1:25" s="2" customFormat="1" ht="21.95" customHeight="1">
      <c r="A2827" s="82">
        <v>18</v>
      </c>
      <c r="B2827" s="91" t="s">
        <v>3353</v>
      </c>
      <c r="C2827" s="83" t="s">
        <v>366</v>
      </c>
      <c r="D2827" s="81" t="s">
        <v>3015</v>
      </c>
      <c r="E2827" s="48">
        <v>500382</v>
      </c>
      <c r="F2827" s="30" t="s">
        <v>182</v>
      </c>
      <c r="G2827" s="29" t="s">
        <v>60</v>
      </c>
      <c r="H2827" s="30" t="s">
        <v>3000</v>
      </c>
      <c r="I2827" s="78"/>
      <c r="J2827" s="20"/>
      <c r="K2827" s="20"/>
      <c r="L2827" s="20"/>
      <c r="M2827" s="20"/>
      <c r="N2827" s="320" t="s">
        <v>2685</v>
      </c>
      <c r="O2827" s="70">
        <v>0</v>
      </c>
      <c r="P2827" s="70">
        <v>0</v>
      </c>
      <c r="Q2827" s="70">
        <f t="shared" si="245"/>
        <v>0</v>
      </c>
      <c r="R2827" s="70"/>
      <c r="S2827" s="67"/>
      <c r="T2827" s="2" t="str">
        <f t="shared" si="246"/>
        <v>Lê Thanh Vân_11KT3</v>
      </c>
      <c r="U2827" s="28">
        <f t="array" ref="U2827">IFERROR(VLOOKUP($T2827,'Nghi hoc T12'!$H$7:$I$160,2,0),0)</f>
        <v>0</v>
      </c>
      <c r="V2827" s="28"/>
      <c r="W2827" s="28">
        <f t="shared" si="247"/>
        <v>0</v>
      </c>
      <c r="X2827" s="333">
        <f t="shared" si="248"/>
        <v>0</v>
      </c>
      <c r="Y2827" s="333">
        <f t="shared" si="249"/>
        <v>0</v>
      </c>
    </row>
    <row r="2828" spans="1:25" s="2" customFormat="1" ht="21.95" customHeight="1">
      <c r="A2828" s="82">
        <v>19</v>
      </c>
      <c r="B2828" s="91" t="s">
        <v>3353</v>
      </c>
      <c r="C2828" s="83" t="s">
        <v>366</v>
      </c>
      <c r="D2828" s="81" t="s">
        <v>3015</v>
      </c>
      <c r="E2828" s="48">
        <v>500383</v>
      </c>
      <c r="F2828" s="30" t="s">
        <v>350</v>
      </c>
      <c r="G2828" s="29" t="s">
        <v>61</v>
      </c>
      <c r="H2828" s="30" t="s">
        <v>3003</v>
      </c>
      <c r="I2828" s="78"/>
      <c r="J2828" s="20"/>
      <c r="K2828" s="20"/>
      <c r="L2828" s="20"/>
      <c r="M2828" s="20"/>
      <c r="N2828" s="320" t="s">
        <v>2685</v>
      </c>
      <c r="O2828" s="70">
        <v>0</v>
      </c>
      <c r="P2828" s="70">
        <v>0</v>
      </c>
      <c r="Q2828" s="70">
        <f t="shared" si="245"/>
        <v>0</v>
      </c>
      <c r="R2828" s="70"/>
      <c r="S2828" s="67"/>
      <c r="T2828" s="2" t="str">
        <f t="shared" si="246"/>
        <v>Trần Công Vinh_11KT4</v>
      </c>
      <c r="U2828" s="28">
        <f t="array" ref="U2828">IFERROR(VLOOKUP($T2828,'Nghi hoc T12'!$H$7:$I$160,2,0),0)</f>
        <v>0</v>
      </c>
      <c r="V2828" s="28"/>
      <c r="W2828" s="28">
        <f t="shared" si="247"/>
        <v>0</v>
      </c>
      <c r="X2828" s="333">
        <f t="shared" si="248"/>
        <v>0</v>
      </c>
      <c r="Y2828" s="333">
        <f t="shared" si="249"/>
        <v>0</v>
      </c>
    </row>
    <row r="2829" spans="1:25" s="2" customFormat="1" ht="21.95" customHeight="1">
      <c r="A2829" s="82">
        <v>20</v>
      </c>
      <c r="B2829" s="91" t="s">
        <v>3353</v>
      </c>
      <c r="C2829" s="83" t="s">
        <v>366</v>
      </c>
      <c r="D2829" s="81" t="s">
        <v>3015</v>
      </c>
      <c r="E2829" s="48">
        <v>500384</v>
      </c>
      <c r="F2829" s="30" t="s">
        <v>157</v>
      </c>
      <c r="G2829" s="29" t="s">
        <v>99</v>
      </c>
      <c r="H2829" s="30" t="s">
        <v>3002</v>
      </c>
      <c r="I2829" s="78"/>
      <c r="J2829" s="20"/>
      <c r="K2829" s="20"/>
      <c r="L2829" s="20"/>
      <c r="M2829" s="20"/>
      <c r="N2829" s="320" t="s">
        <v>2685</v>
      </c>
      <c r="O2829" s="70">
        <v>0</v>
      </c>
      <c r="P2829" s="70">
        <v>0</v>
      </c>
      <c r="Q2829" s="70">
        <f t="shared" si="245"/>
        <v>0</v>
      </c>
      <c r="R2829" s="70"/>
      <c r="S2829" s="67"/>
      <c r="T2829" s="2" t="str">
        <f t="shared" si="246"/>
        <v>Lê Hoàng Vũ_11KT1</v>
      </c>
      <c r="U2829" s="28">
        <f t="array" ref="U2829">IFERROR(VLOOKUP($T2829,'Nghi hoc T12'!$H$7:$I$160,2,0),0)</f>
        <v>0</v>
      </c>
      <c r="V2829" s="28"/>
      <c r="W2829" s="28">
        <f t="shared" si="247"/>
        <v>0</v>
      </c>
      <c r="X2829" s="333">
        <f t="shared" si="248"/>
        <v>0</v>
      </c>
      <c r="Y2829" s="333">
        <f t="shared" si="249"/>
        <v>0</v>
      </c>
    </row>
    <row r="2830" spans="1:25" s="2" customFormat="1" ht="21.95" customHeight="1">
      <c r="A2830" s="82">
        <v>21</v>
      </c>
      <c r="B2830" s="91" t="s">
        <v>3353</v>
      </c>
      <c r="C2830" s="83" t="s">
        <v>366</v>
      </c>
      <c r="D2830" s="81" t="s">
        <v>3015</v>
      </c>
      <c r="E2830" s="48">
        <v>500385</v>
      </c>
      <c r="F2830" s="30" t="s">
        <v>2888</v>
      </c>
      <c r="G2830" s="29" t="s">
        <v>99</v>
      </c>
      <c r="H2830" s="30" t="s">
        <v>3001</v>
      </c>
      <c r="I2830" s="78"/>
      <c r="J2830" s="20"/>
      <c r="K2830" s="20"/>
      <c r="L2830" s="20"/>
      <c r="M2830" s="20"/>
      <c r="N2830" s="320" t="s">
        <v>2685</v>
      </c>
      <c r="O2830" s="70">
        <v>0</v>
      </c>
      <c r="P2830" s="70">
        <v>0</v>
      </c>
      <c r="Q2830" s="70">
        <f t="shared" si="245"/>
        <v>0</v>
      </c>
      <c r="R2830" s="70"/>
      <c r="S2830" s="67"/>
      <c r="T2830" s="2" t="str">
        <f t="shared" si="246"/>
        <v>Trần Huy Vũ_11KT2</v>
      </c>
      <c r="U2830" s="28">
        <f t="array" ref="U2830">IFERROR(VLOOKUP($T2830,'Nghi hoc T12'!$H$7:$I$160,2,0),0)</f>
        <v>0</v>
      </c>
      <c r="V2830" s="28"/>
      <c r="W2830" s="28">
        <f t="shared" si="247"/>
        <v>0</v>
      </c>
      <c r="X2830" s="333">
        <f t="shared" si="248"/>
        <v>0</v>
      </c>
      <c r="Y2830" s="333">
        <f t="shared" si="249"/>
        <v>0</v>
      </c>
    </row>
    <row r="2831" spans="1:25" s="2" customFormat="1" ht="21.95" customHeight="1">
      <c r="A2831" s="82">
        <v>22</v>
      </c>
      <c r="B2831" s="91" t="s">
        <v>3353</v>
      </c>
      <c r="C2831" s="83" t="s">
        <v>366</v>
      </c>
      <c r="D2831" s="81" t="s">
        <v>3015</v>
      </c>
      <c r="E2831" s="48">
        <v>500386</v>
      </c>
      <c r="F2831" s="30" t="s">
        <v>2889</v>
      </c>
      <c r="G2831" s="29" t="s">
        <v>34</v>
      </c>
      <c r="H2831" s="30" t="s">
        <v>3003</v>
      </c>
      <c r="I2831" s="78"/>
      <c r="J2831" s="20"/>
      <c r="K2831" s="20"/>
      <c r="L2831" s="20"/>
      <c r="M2831" s="20"/>
      <c r="N2831" s="320" t="s">
        <v>2685</v>
      </c>
      <c r="O2831" s="70">
        <v>0</v>
      </c>
      <c r="P2831" s="70">
        <v>0</v>
      </c>
      <c r="Q2831" s="70">
        <f t="shared" si="245"/>
        <v>0</v>
      </c>
      <c r="R2831" s="70"/>
      <c r="S2831" s="67"/>
      <c r="T2831" s="2" t="str">
        <f t="shared" si="246"/>
        <v>Lương Lê Trúc Vy_11KT4</v>
      </c>
      <c r="U2831" s="28">
        <f t="array" ref="U2831">IFERROR(VLOOKUP($T2831,'Nghi hoc T12'!$H$7:$I$160,2,0),0)</f>
        <v>0</v>
      </c>
      <c r="V2831" s="28"/>
      <c r="W2831" s="28">
        <f t="shared" si="247"/>
        <v>0</v>
      </c>
      <c r="X2831" s="333">
        <f t="shared" si="248"/>
        <v>0</v>
      </c>
      <c r="Y2831" s="333">
        <f t="shared" si="249"/>
        <v>0</v>
      </c>
    </row>
    <row r="2832" spans="1:25" s="2" customFormat="1" ht="21.95" customHeight="1">
      <c r="A2832" s="82">
        <v>23</v>
      </c>
      <c r="B2832" s="91" t="s">
        <v>3353</v>
      </c>
      <c r="C2832" s="83" t="s">
        <v>366</v>
      </c>
      <c r="D2832" s="81" t="s">
        <v>3015</v>
      </c>
      <c r="E2832" s="48">
        <v>500387</v>
      </c>
      <c r="F2832" s="30" t="s">
        <v>2890</v>
      </c>
      <c r="G2832" s="29" t="s">
        <v>34</v>
      </c>
      <c r="H2832" s="30" t="s">
        <v>3003</v>
      </c>
      <c r="I2832" s="78"/>
      <c r="J2832" s="20"/>
      <c r="K2832" s="20"/>
      <c r="L2832" s="20"/>
      <c r="M2832" s="20"/>
      <c r="N2832" s="320" t="s">
        <v>2685</v>
      </c>
      <c r="O2832" s="70">
        <v>0</v>
      </c>
      <c r="P2832" s="70">
        <v>0</v>
      </c>
      <c r="Q2832" s="70">
        <f t="shared" si="245"/>
        <v>0</v>
      </c>
      <c r="R2832" s="70"/>
      <c r="S2832" s="67"/>
      <c r="T2832" s="2" t="str">
        <f t="shared" si="246"/>
        <v>Nguyễn Bùi Khánh Vy_11KT4</v>
      </c>
      <c r="U2832" s="28">
        <f t="array" ref="U2832">IFERROR(VLOOKUP($T2832,'Nghi hoc T12'!$H$7:$I$160,2,0),0)</f>
        <v>0</v>
      </c>
      <c r="V2832" s="28"/>
      <c r="W2832" s="28">
        <f t="shared" si="247"/>
        <v>0</v>
      </c>
      <c r="X2832" s="333">
        <f t="shared" si="248"/>
        <v>0</v>
      </c>
      <c r="Y2832" s="333">
        <f t="shared" si="249"/>
        <v>0</v>
      </c>
    </row>
    <row r="2833" spans="1:25" s="2" customFormat="1" ht="21.95" customHeight="1">
      <c r="A2833" s="82">
        <v>24</v>
      </c>
      <c r="B2833" s="91" t="s">
        <v>3353</v>
      </c>
      <c r="C2833" s="83" t="s">
        <v>366</v>
      </c>
      <c r="D2833" s="81" t="s">
        <v>3015</v>
      </c>
      <c r="E2833" s="48">
        <v>500388</v>
      </c>
      <c r="F2833" s="30" t="s">
        <v>2891</v>
      </c>
      <c r="G2833" s="29" t="s">
        <v>34</v>
      </c>
      <c r="H2833" s="30" t="s">
        <v>3002</v>
      </c>
      <c r="I2833" s="78"/>
      <c r="J2833" s="20"/>
      <c r="K2833" s="20"/>
      <c r="L2833" s="20"/>
      <c r="M2833" s="20"/>
      <c r="N2833" s="320" t="s">
        <v>2685</v>
      </c>
      <c r="O2833" s="70">
        <v>0</v>
      </c>
      <c r="P2833" s="70">
        <v>0</v>
      </c>
      <c r="Q2833" s="70">
        <f t="shared" si="245"/>
        <v>0</v>
      </c>
      <c r="R2833" s="70"/>
      <c r="S2833" s="67"/>
      <c r="T2833" s="2" t="str">
        <f t="shared" si="246"/>
        <v>Nguyễn Bùi Thảo Vy_11KT1</v>
      </c>
      <c r="U2833" s="28">
        <f t="array" ref="U2833">IFERROR(VLOOKUP($T2833,'Nghi hoc T12'!$H$7:$I$160,2,0),0)</f>
        <v>0</v>
      </c>
      <c r="V2833" s="28"/>
      <c r="W2833" s="28">
        <f t="shared" si="247"/>
        <v>0</v>
      </c>
      <c r="X2833" s="333">
        <f t="shared" si="248"/>
        <v>0</v>
      </c>
      <c r="Y2833" s="333">
        <f t="shared" si="249"/>
        <v>0</v>
      </c>
    </row>
    <row r="2834" spans="1:25" s="2" customFormat="1" ht="21.95" customHeight="1">
      <c r="A2834" s="82">
        <v>25</v>
      </c>
      <c r="B2834" s="91" t="s">
        <v>3353</v>
      </c>
      <c r="C2834" s="83" t="s">
        <v>366</v>
      </c>
      <c r="D2834" s="81" t="s">
        <v>3015</v>
      </c>
      <c r="E2834" s="48">
        <v>500389</v>
      </c>
      <c r="F2834" s="30" t="s">
        <v>1562</v>
      </c>
      <c r="G2834" s="29" t="s">
        <v>34</v>
      </c>
      <c r="H2834" s="30" t="s">
        <v>3000</v>
      </c>
      <c r="I2834" s="78"/>
      <c r="J2834" s="20"/>
      <c r="K2834" s="20"/>
      <c r="L2834" s="20"/>
      <c r="M2834" s="20"/>
      <c r="N2834" s="320" t="s">
        <v>2685</v>
      </c>
      <c r="O2834" s="70">
        <v>0</v>
      </c>
      <c r="P2834" s="70">
        <v>0</v>
      </c>
      <c r="Q2834" s="70">
        <f t="shared" si="245"/>
        <v>0</v>
      </c>
      <c r="R2834" s="70"/>
      <c r="S2834" s="67"/>
      <c r="T2834" s="2" t="str">
        <f t="shared" si="246"/>
        <v>Phan Thị Tường Vy_11KT3</v>
      </c>
      <c r="U2834" s="28">
        <f t="array" ref="U2834">IFERROR(VLOOKUP($T2834,'Nghi hoc T12'!$H$7:$I$160,2,0),0)</f>
        <v>0</v>
      </c>
      <c r="V2834" s="28"/>
      <c r="W2834" s="28">
        <f t="shared" si="247"/>
        <v>0</v>
      </c>
      <c r="X2834" s="333">
        <f t="shared" si="248"/>
        <v>0</v>
      </c>
      <c r="Y2834" s="333">
        <f t="shared" si="249"/>
        <v>0</v>
      </c>
    </row>
    <row r="2835" spans="1:25" s="2" customFormat="1" ht="21.95" customHeight="1">
      <c r="A2835" s="82">
        <v>26</v>
      </c>
      <c r="B2835" s="91" t="s">
        <v>3353</v>
      </c>
      <c r="C2835" s="83" t="s">
        <v>366</v>
      </c>
      <c r="D2835" s="81" t="s">
        <v>3015</v>
      </c>
      <c r="E2835" s="48">
        <v>500390</v>
      </c>
      <c r="F2835" s="30" t="s">
        <v>272</v>
      </c>
      <c r="G2835" s="29" t="s">
        <v>75</v>
      </c>
      <c r="H2835" s="30" t="s">
        <v>3002</v>
      </c>
      <c r="I2835" s="78"/>
      <c r="J2835" s="20"/>
      <c r="K2835" s="20"/>
      <c r="L2835" s="20"/>
      <c r="M2835" s="20"/>
      <c r="N2835" s="320" t="s">
        <v>2685</v>
      </c>
      <c r="O2835" s="70">
        <v>0</v>
      </c>
      <c r="P2835" s="70">
        <v>0</v>
      </c>
      <c r="Q2835" s="70">
        <f t="shared" si="245"/>
        <v>0</v>
      </c>
      <c r="R2835" s="70"/>
      <c r="S2835" s="67"/>
      <c r="T2835" s="2" t="str">
        <f t="shared" si="246"/>
        <v>Nguyễn Như Ý_11KT1</v>
      </c>
      <c r="U2835" s="28">
        <f t="array" ref="U2835">IFERROR(VLOOKUP($T2835,'Nghi hoc T12'!$H$7:$I$160,2,0),0)</f>
        <v>0</v>
      </c>
      <c r="V2835" s="28"/>
      <c r="W2835" s="28">
        <f t="shared" si="247"/>
        <v>0</v>
      </c>
      <c r="X2835" s="333">
        <f t="shared" si="248"/>
        <v>0</v>
      </c>
      <c r="Y2835" s="333">
        <f t="shared" si="249"/>
        <v>0</v>
      </c>
    </row>
    <row r="2836" spans="1:25" s="2" customFormat="1" ht="21.95" customHeight="1">
      <c r="A2836" s="82">
        <v>27</v>
      </c>
      <c r="B2836" s="91" t="s">
        <v>3353</v>
      </c>
      <c r="C2836" s="83" t="s">
        <v>366</v>
      </c>
      <c r="D2836" s="81" t="s">
        <v>3015</v>
      </c>
      <c r="E2836" s="48">
        <v>500391</v>
      </c>
      <c r="F2836" s="30" t="s">
        <v>2892</v>
      </c>
      <c r="G2836" s="29" t="s">
        <v>62</v>
      </c>
      <c r="H2836" s="30" t="s">
        <v>3001</v>
      </c>
      <c r="I2836" s="78"/>
      <c r="J2836" s="20"/>
      <c r="K2836" s="20"/>
      <c r="L2836" s="20"/>
      <c r="M2836" s="20"/>
      <c r="N2836" s="320" t="s">
        <v>2685</v>
      </c>
      <c r="O2836" s="70">
        <v>0</v>
      </c>
      <c r="P2836" s="70">
        <v>0</v>
      </c>
      <c r="Q2836" s="70">
        <f t="shared" si="245"/>
        <v>0</v>
      </c>
      <c r="R2836" s="70"/>
      <c r="S2836" s="67"/>
      <c r="T2836" s="2" t="str">
        <f t="shared" si="246"/>
        <v>Nguyễn Vân Phi Yến_11KT2</v>
      </c>
      <c r="U2836" s="28">
        <f t="array" ref="U2836">IFERROR(VLOOKUP($T2836,'Nghi hoc T12'!$H$7:$I$160,2,0),0)</f>
        <v>0</v>
      </c>
      <c r="V2836" s="28"/>
      <c r="W2836" s="28">
        <f t="shared" si="247"/>
        <v>0</v>
      </c>
      <c r="X2836" s="333">
        <f t="shared" si="248"/>
        <v>0</v>
      </c>
      <c r="Y2836" s="333">
        <f t="shared" si="249"/>
        <v>0</v>
      </c>
    </row>
    <row r="2837" spans="1:25" s="2" customFormat="1" ht="21.95" customHeight="1">
      <c r="A2837" s="321">
        <v>1</v>
      </c>
      <c r="B2837" s="91" t="str">
        <f t="shared" ref="B2837:B2890" si="250">RIGHT(D2837,LEN(D2837)-2)&amp;"."&amp;LEFT(N2837,1)</f>
        <v>HT2-1.S</v>
      </c>
      <c r="C2837" s="185" t="s">
        <v>366</v>
      </c>
      <c r="D2837" s="186" t="s">
        <v>3009</v>
      </c>
      <c r="E2837" s="187">
        <v>500392</v>
      </c>
      <c r="F2837" s="188" t="s">
        <v>2893</v>
      </c>
      <c r="G2837" s="189" t="s">
        <v>63</v>
      </c>
      <c r="H2837" s="188" t="s">
        <v>3004</v>
      </c>
      <c r="I2837" s="190"/>
      <c r="J2837" s="191"/>
      <c r="K2837" s="191"/>
      <c r="L2837" s="191"/>
      <c r="M2837" s="191"/>
      <c r="N2837" s="69" t="s">
        <v>256</v>
      </c>
      <c r="O2837" s="70">
        <v>0</v>
      </c>
      <c r="P2837" s="70">
        <v>0</v>
      </c>
      <c r="Q2837" s="70">
        <f t="shared" si="245"/>
        <v>0</v>
      </c>
      <c r="R2837" s="70"/>
      <c r="S2837" s="67"/>
      <c r="T2837" s="2" t="str">
        <f t="shared" si="246"/>
        <v>Nguyễn Hoàng Việt An_12KT3</v>
      </c>
      <c r="U2837" s="28">
        <f t="array" ref="U2837">IFERROR(VLOOKUP($T2837,'Nghi hoc T12'!$H$7:$I$160,2,0),0)</f>
        <v>0</v>
      </c>
      <c r="V2837" s="28"/>
      <c r="W2837" s="28">
        <f t="shared" si="247"/>
        <v>0</v>
      </c>
      <c r="X2837" s="333">
        <f t="shared" si="248"/>
        <v>0</v>
      </c>
      <c r="Y2837" s="333">
        <f t="shared" si="249"/>
        <v>0</v>
      </c>
    </row>
    <row r="2838" spans="1:25" s="2" customFormat="1" ht="21.95" customHeight="1">
      <c r="A2838" s="82">
        <v>2</v>
      </c>
      <c r="B2838" s="91" t="str">
        <f t="shared" si="250"/>
        <v>HT2-1.S</v>
      </c>
      <c r="C2838" s="83" t="s">
        <v>366</v>
      </c>
      <c r="D2838" s="81" t="s">
        <v>3009</v>
      </c>
      <c r="E2838" s="48">
        <v>500393</v>
      </c>
      <c r="F2838" s="30" t="s">
        <v>37</v>
      </c>
      <c r="G2838" s="29" t="s">
        <v>63</v>
      </c>
      <c r="H2838" s="30" t="s">
        <v>3005</v>
      </c>
      <c r="I2838" s="78"/>
      <c r="J2838" s="20"/>
      <c r="K2838" s="20"/>
      <c r="L2838" s="20"/>
      <c r="M2838" s="20"/>
      <c r="N2838" s="69" t="s">
        <v>256</v>
      </c>
      <c r="O2838" s="70">
        <v>0</v>
      </c>
      <c r="P2838" s="70">
        <v>0</v>
      </c>
      <c r="Q2838" s="70">
        <f t="shared" si="245"/>
        <v>0</v>
      </c>
      <c r="R2838" s="70"/>
      <c r="S2838" s="67"/>
      <c r="T2838" s="2" t="str">
        <f t="shared" si="246"/>
        <v>Nguyễn Trường An_12KT4</v>
      </c>
      <c r="U2838" s="28">
        <f t="array" ref="U2838">IFERROR(VLOOKUP($T2838,'Nghi hoc T12'!$H$7:$I$160,2,0),0)</f>
        <v>0</v>
      </c>
      <c r="V2838" s="28"/>
      <c r="W2838" s="28">
        <f t="shared" si="247"/>
        <v>0</v>
      </c>
      <c r="X2838" s="333">
        <f t="shared" si="248"/>
        <v>0</v>
      </c>
      <c r="Y2838" s="333">
        <f t="shared" si="249"/>
        <v>0</v>
      </c>
    </row>
    <row r="2839" spans="1:25" s="2" customFormat="1" ht="21.95" customHeight="1">
      <c r="A2839" s="82">
        <v>3</v>
      </c>
      <c r="B2839" s="91" t="str">
        <f t="shared" si="250"/>
        <v>HT2-1.S</v>
      </c>
      <c r="C2839" s="83" t="s">
        <v>366</v>
      </c>
      <c r="D2839" s="81" t="s">
        <v>3009</v>
      </c>
      <c r="E2839" s="48">
        <v>500394</v>
      </c>
      <c r="F2839" s="30" t="s">
        <v>237</v>
      </c>
      <c r="G2839" s="29" t="s">
        <v>5</v>
      </c>
      <c r="H2839" s="30" t="s">
        <v>3006</v>
      </c>
      <c r="I2839" s="78"/>
      <c r="J2839" s="20"/>
      <c r="K2839" s="20"/>
      <c r="L2839" s="20"/>
      <c r="M2839" s="20"/>
      <c r="N2839" s="69" t="s">
        <v>256</v>
      </c>
      <c r="O2839" s="70">
        <v>0</v>
      </c>
      <c r="P2839" s="70">
        <v>0</v>
      </c>
      <c r="Q2839" s="70">
        <f t="shared" si="245"/>
        <v>0</v>
      </c>
      <c r="R2839" s="70"/>
      <c r="S2839" s="67"/>
      <c r="T2839" s="2" t="str">
        <f t="shared" si="246"/>
        <v>Lê Bảo Anh_12KT2</v>
      </c>
      <c r="U2839" s="28">
        <f t="array" ref="U2839">IFERROR(VLOOKUP($T2839,'Nghi hoc T12'!$H$7:$I$160,2,0),0)</f>
        <v>0</v>
      </c>
      <c r="V2839" s="28"/>
      <c r="W2839" s="28">
        <f t="shared" si="247"/>
        <v>0</v>
      </c>
      <c r="X2839" s="333">
        <f t="shared" si="248"/>
        <v>0</v>
      </c>
      <c r="Y2839" s="333">
        <f t="shared" si="249"/>
        <v>0</v>
      </c>
    </row>
    <row r="2840" spans="1:25" s="2" customFormat="1" ht="21.95" customHeight="1">
      <c r="A2840" s="82">
        <v>4</v>
      </c>
      <c r="B2840" s="91" t="str">
        <f t="shared" si="250"/>
        <v>HT2-1.S</v>
      </c>
      <c r="C2840" s="83" t="s">
        <v>366</v>
      </c>
      <c r="D2840" s="81" t="s">
        <v>3009</v>
      </c>
      <c r="E2840" s="48">
        <v>500395</v>
      </c>
      <c r="F2840" s="30" t="s">
        <v>2894</v>
      </c>
      <c r="G2840" s="29" t="s">
        <v>5</v>
      </c>
      <c r="H2840" s="30" t="s">
        <v>3005</v>
      </c>
      <c r="I2840" s="78"/>
      <c r="J2840" s="20"/>
      <c r="K2840" s="20"/>
      <c r="L2840" s="20"/>
      <c r="M2840" s="20"/>
      <c r="N2840" s="69" t="s">
        <v>256</v>
      </c>
      <c r="O2840" s="70">
        <v>0</v>
      </c>
      <c r="P2840" s="70">
        <v>0</v>
      </c>
      <c r="Q2840" s="70">
        <f t="shared" si="245"/>
        <v>0</v>
      </c>
      <c r="R2840" s="70"/>
      <c r="S2840" s="67"/>
      <c r="T2840" s="2" t="str">
        <f t="shared" si="246"/>
        <v>Nguyễn Huỳnh Lan Anh_12KT4</v>
      </c>
      <c r="U2840" s="28">
        <f t="array" ref="U2840">IFERROR(VLOOKUP($T2840,'Nghi hoc T12'!$H$7:$I$160,2,0),0)</f>
        <v>0</v>
      </c>
      <c r="V2840" s="28"/>
      <c r="W2840" s="28">
        <f t="shared" si="247"/>
        <v>0</v>
      </c>
      <c r="X2840" s="333">
        <f t="shared" si="248"/>
        <v>0</v>
      </c>
      <c r="Y2840" s="333">
        <f t="shared" si="249"/>
        <v>0</v>
      </c>
    </row>
    <row r="2841" spans="1:25" s="2" customFormat="1" ht="21.95" customHeight="1">
      <c r="A2841" s="82">
        <v>5</v>
      </c>
      <c r="B2841" s="91" t="str">
        <f t="shared" si="250"/>
        <v>HT2-1.S</v>
      </c>
      <c r="C2841" s="83" t="s">
        <v>366</v>
      </c>
      <c r="D2841" s="81" t="s">
        <v>3009</v>
      </c>
      <c r="E2841" s="48">
        <v>500396</v>
      </c>
      <c r="F2841" s="30" t="s">
        <v>203</v>
      </c>
      <c r="G2841" s="29" t="s">
        <v>5</v>
      </c>
      <c r="H2841" s="30" t="s">
        <v>3007</v>
      </c>
      <c r="I2841" s="78"/>
      <c r="J2841" s="20"/>
      <c r="K2841" s="20"/>
      <c r="L2841" s="20"/>
      <c r="M2841" s="20"/>
      <c r="N2841" s="69" t="s">
        <v>256</v>
      </c>
      <c r="O2841" s="70">
        <v>0</v>
      </c>
      <c r="P2841" s="70">
        <v>0</v>
      </c>
      <c r="Q2841" s="70">
        <f t="shared" si="245"/>
        <v>0</v>
      </c>
      <c r="R2841" s="70"/>
      <c r="S2841" s="67"/>
      <c r="T2841" s="2" t="str">
        <f t="shared" si="246"/>
        <v>Nguyễn Ngọc Phương Anh_12KT1</v>
      </c>
      <c r="U2841" s="28">
        <f t="array" ref="U2841">IFERROR(VLOOKUP($T2841,'Nghi hoc T12'!$H$7:$I$160,2,0),0)</f>
        <v>0</v>
      </c>
      <c r="V2841" s="28"/>
      <c r="W2841" s="28">
        <f t="shared" si="247"/>
        <v>0</v>
      </c>
      <c r="X2841" s="333">
        <f t="shared" si="248"/>
        <v>0</v>
      </c>
      <c r="Y2841" s="333">
        <f t="shared" si="249"/>
        <v>0</v>
      </c>
    </row>
    <row r="2842" spans="1:25" s="2" customFormat="1" ht="21.95" customHeight="1">
      <c r="A2842" s="82">
        <v>6</v>
      </c>
      <c r="B2842" s="91" t="str">
        <f t="shared" si="250"/>
        <v>HT2-1.S</v>
      </c>
      <c r="C2842" s="83" t="s">
        <v>366</v>
      </c>
      <c r="D2842" s="81" t="s">
        <v>3009</v>
      </c>
      <c r="E2842" s="48">
        <v>500397</v>
      </c>
      <c r="F2842" s="30" t="s">
        <v>1515</v>
      </c>
      <c r="G2842" s="29" t="s">
        <v>5</v>
      </c>
      <c r="H2842" s="30" t="s">
        <v>3004</v>
      </c>
      <c r="I2842" s="78"/>
      <c r="J2842" s="20"/>
      <c r="K2842" s="20"/>
      <c r="L2842" s="20"/>
      <c r="M2842" s="20"/>
      <c r="N2842" s="69" t="s">
        <v>256</v>
      </c>
      <c r="O2842" s="70">
        <v>0</v>
      </c>
      <c r="P2842" s="70">
        <v>0</v>
      </c>
      <c r="Q2842" s="70">
        <f t="shared" si="245"/>
        <v>0</v>
      </c>
      <c r="R2842" s="70"/>
      <c r="S2842" s="67"/>
      <c r="T2842" s="2" t="str">
        <f t="shared" si="246"/>
        <v>Nguyễn Trần Minh Anh_12KT3</v>
      </c>
      <c r="U2842" s="28">
        <f t="array" ref="U2842">IFERROR(VLOOKUP($T2842,'Nghi hoc T12'!$H$7:$I$160,2,0),0)</f>
        <v>0</v>
      </c>
      <c r="V2842" s="28"/>
      <c r="W2842" s="28">
        <f t="shared" si="247"/>
        <v>0</v>
      </c>
      <c r="X2842" s="333">
        <f t="shared" si="248"/>
        <v>0</v>
      </c>
      <c r="Y2842" s="333">
        <f t="shared" si="249"/>
        <v>0</v>
      </c>
    </row>
    <row r="2843" spans="1:25" s="2" customFormat="1" ht="21.95" customHeight="1">
      <c r="A2843" s="82">
        <v>7</v>
      </c>
      <c r="B2843" s="91" t="str">
        <f t="shared" si="250"/>
        <v>HT2-1.S</v>
      </c>
      <c r="C2843" s="83" t="s">
        <v>366</v>
      </c>
      <c r="D2843" s="81" t="s">
        <v>3009</v>
      </c>
      <c r="E2843" s="48">
        <v>500398</v>
      </c>
      <c r="F2843" s="30" t="s">
        <v>1270</v>
      </c>
      <c r="G2843" s="29" t="s">
        <v>5</v>
      </c>
      <c r="H2843" s="30" t="s">
        <v>3005</v>
      </c>
      <c r="I2843" s="78"/>
      <c r="J2843" s="20"/>
      <c r="K2843" s="20"/>
      <c r="L2843" s="20"/>
      <c r="M2843" s="20"/>
      <c r="N2843" s="69" t="s">
        <v>256</v>
      </c>
      <c r="O2843" s="70">
        <v>0</v>
      </c>
      <c r="P2843" s="70">
        <v>0</v>
      </c>
      <c r="Q2843" s="70">
        <f t="shared" si="245"/>
        <v>0</v>
      </c>
      <c r="R2843" s="70"/>
      <c r="S2843" s="67"/>
      <c r="T2843" s="2" t="str">
        <f t="shared" si="246"/>
        <v>Tạ Quang Anh_12KT4</v>
      </c>
      <c r="U2843" s="28">
        <f t="array" ref="U2843">IFERROR(VLOOKUP($T2843,'Nghi hoc T12'!$H$7:$I$160,2,0),0)</f>
        <v>0</v>
      </c>
      <c r="V2843" s="28"/>
      <c r="W2843" s="28">
        <f t="shared" si="247"/>
        <v>0</v>
      </c>
      <c r="X2843" s="333">
        <f t="shared" si="248"/>
        <v>0</v>
      </c>
      <c r="Y2843" s="333">
        <f t="shared" si="249"/>
        <v>0</v>
      </c>
    </row>
    <row r="2844" spans="1:25" s="2" customFormat="1" ht="21.95" customHeight="1">
      <c r="A2844" s="82">
        <v>8</v>
      </c>
      <c r="B2844" s="91" t="str">
        <f t="shared" si="250"/>
        <v>HT2-1.S</v>
      </c>
      <c r="C2844" s="83" t="s">
        <v>366</v>
      </c>
      <c r="D2844" s="81" t="s">
        <v>3009</v>
      </c>
      <c r="E2844" s="48">
        <v>500399</v>
      </c>
      <c r="F2844" s="30" t="s">
        <v>2895</v>
      </c>
      <c r="G2844" s="29" t="s">
        <v>5</v>
      </c>
      <c r="H2844" s="30" t="s">
        <v>3004</v>
      </c>
      <c r="I2844" s="78"/>
      <c r="J2844" s="20"/>
      <c r="K2844" s="20"/>
      <c r="L2844" s="20"/>
      <c r="M2844" s="20"/>
      <c r="N2844" s="69" t="s">
        <v>256</v>
      </c>
      <c r="O2844" s="70">
        <v>0</v>
      </c>
      <c r="P2844" s="70">
        <v>0</v>
      </c>
      <c r="Q2844" s="70">
        <f t="shared" si="245"/>
        <v>0</v>
      </c>
      <c r="R2844" s="70"/>
      <c r="S2844" s="67"/>
      <c r="T2844" s="2" t="str">
        <f t="shared" si="246"/>
        <v>Trần Đông Anh_12KT3</v>
      </c>
      <c r="U2844" s="28">
        <f t="array" ref="U2844">IFERROR(VLOOKUP($T2844,'Nghi hoc T12'!$H$7:$I$160,2,0),0)</f>
        <v>0</v>
      </c>
      <c r="V2844" s="28"/>
      <c r="W2844" s="28">
        <f t="shared" si="247"/>
        <v>0</v>
      </c>
      <c r="X2844" s="333">
        <f t="shared" si="248"/>
        <v>0</v>
      </c>
      <c r="Y2844" s="333">
        <f t="shared" si="249"/>
        <v>0</v>
      </c>
    </row>
    <row r="2845" spans="1:25" s="2" customFormat="1" ht="21.95" customHeight="1">
      <c r="A2845" s="82">
        <v>9</v>
      </c>
      <c r="B2845" s="91" t="str">
        <f t="shared" si="250"/>
        <v>HT2-1.S</v>
      </c>
      <c r="C2845" s="83" t="s">
        <v>366</v>
      </c>
      <c r="D2845" s="81" t="s">
        <v>3009</v>
      </c>
      <c r="E2845" s="48">
        <v>500400</v>
      </c>
      <c r="F2845" s="30" t="s">
        <v>2896</v>
      </c>
      <c r="G2845" s="29" t="s">
        <v>5</v>
      </c>
      <c r="H2845" s="30" t="s">
        <v>3005</v>
      </c>
      <c r="I2845" s="78"/>
      <c r="J2845" s="20"/>
      <c r="K2845" s="20"/>
      <c r="L2845" s="20"/>
      <c r="M2845" s="20"/>
      <c r="N2845" s="69" t="s">
        <v>256</v>
      </c>
      <c r="O2845" s="70">
        <v>0</v>
      </c>
      <c r="P2845" s="70">
        <v>0</v>
      </c>
      <c r="Q2845" s="70">
        <f t="shared" si="245"/>
        <v>0</v>
      </c>
      <c r="R2845" s="70"/>
      <c r="S2845" s="67"/>
      <c r="T2845" s="2" t="str">
        <f t="shared" si="246"/>
        <v>Vũ Thái Anh_12KT4</v>
      </c>
      <c r="U2845" s="28">
        <f t="array" ref="U2845">IFERROR(VLOOKUP($T2845,'Nghi hoc T12'!$H$7:$I$160,2,0),0)</f>
        <v>0</v>
      </c>
      <c r="V2845" s="28"/>
      <c r="W2845" s="28">
        <f t="shared" si="247"/>
        <v>0</v>
      </c>
      <c r="X2845" s="333">
        <f t="shared" si="248"/>
        <v>0</v>
      </c>
      <c r="Y2845" s="333">
        <f t="shared" si="249"/>
        <v>0</v>
      </c>
    </row>
    <row r="2846" spans="1:25" s="2" customFormat="1" ht="21.95" customHeight="1">
      <c r="A2846" s="82">
        <v>10</v>
      </c>
      <c r="B2846" s="91" t="str">
        <f t="shared" si="250"/>
        <v>HT2-1.S</v>
      </c>
      <c r="C2846" s="83" t="s">
        <v>366</v>
      </c>
      <c r="D2846" s="81" t="s">
        <v>3009</v>
      </c>
      <c r="E2846" s="48">
        <v>500401</v>
      </c>
      <c r="F2846" s="30" t="s">
        <v>2897</v>
      </c>
      <c r="G2846" s="29" t="s">
        <v>83</v>
      </c>
      <c r="H2846" s="30" t="s">
        <v>3006</v>
      </c>
      <c r="I2846" s="78"/>
      <c r="J2846" s="20"/>
      <c r="K2846" s="20"/>
      <c r="L2846" s="20"/>
      <c r="M2846" s="20"/>
      <c r="N2846" s="69" t="s">
        <v>256</v>
      </c>
      <c r="O2846" s="70">
        <v>0</v>
      </c>
      <c r="P2846" s="70">
        <v>0</v>
      </c>
      <c r="Q2846" s="70">
        <f t="shared" si="245"/>
        <v>0</v>
      </c>
      <c r="R2846" s="70"/>
      <c r="S2846" s="67"/>
      <c r="T2846" s="2" t="str">
        <f t="shared" si="246"/>
        <v>Đặng Huỳnh Gia Bảo_12KT2</v>
      </c>
      <c r="U2846" s="28">
        <f t="array" ref="U2846">IFERROR(VLOOKUP($T2846,'Nghi hoc T12'!$H$7:$I$160,2,0),0)</f>
        <v>0</v>
      </c>
      <c r="V2846" s="28"/>
      <c r="W2846" s="28">
        <f t="shared" si="247"/>
        <v>0</v>
      </c>
      <c r="X2846" s="333">
        <f t="shared" si="248"/>
        <v>0</v>
      </c>
      <c r="Y2846" s="333">
        <f t="shared" si="249"/>
        <v>0</v>
      </c>
    </row>
    <row r="2847" spans="1:25" s="2" customFormat="1" ht="21.95" customHeight="1">
      <c r="A2847" s="82">
        <v>11</v>
      </c>
      <c r="B2847" s="91" t="str">
        <f t="shared" si="250"/>
        <v>HT2-1.S</v>
      </c>
      <c r="C2847" s="83" t="s">
        <v>366</v>
      </c>
      <c r="D2847" s="81" t="s">
        <v>3009</v>
      </c>
      <c r="E2847" s="48">
        <v>500402</v>
      </c>
      <c r="F2847" s="30" t="s">
        <v>2898</v>
      </c>
      <c r="G2847" s="29" t="s">
        <v>83</v>
      </c>
      <c r="H2847" s="30" t="s">
        <v>3007</v>
      </c>
      <c r="I2847" s="78"/>
      <c r="J2847" s="20"/>
      <c r="K2847" s="20"/>
      <c r="L2847" s="20"/>
      <c r="M2847" s="20"/>
      <c r="N2847" s="69" t="s">
        <v>256</v>
      </c>
      <c r="O2847" s="70">
        <v>0</v>
      </c>
      <c r="P2847" s="70">
        <v>0</v>
      </c>
      <c r="Q2847" s="70">
        <f t="shared" si="245"/>
        <v>0</v>
      </c>
      <c r="R2847" s="70"/>
      <c r="S2847" s="67"/>
      <c r="T2847" s="2" t="str">
        <f t="shared" si="246"/>
        <v>Hoàng Trần Gia Bảo_12KT1</v>
      </c>
      <c r="U2847" s="28">
        <f t="array" ref="U2847">IFERROR(VLOOKUP($T2847,'Nghi hoc T12'!$H$7:$I$160,2,0),0)</f>
        <v>0</v>
      </c>
      <c r="V2847" s="28"/>
      <c r="W2847" s="28">
        <f t="shared" si="247"/>
        <v>0</v>
      </c>
      <c r="X2847" s="333">
        <f t="shared" si="248"/>
        <v>0</v>
      </c>
      <c r="Y2847" s="333">
        <f t="shared" si="249"/>
        <v>0</v>
      </c>
    </row>
    <row r="2848" spans="1:25" s="2" customFormat="1" ht="21.95" customHeight="1">
      <c r="A2848" s="82">
        <v>12</v>
      </c>
      <c r="B2848" s="91" t="str">
        <f t="shared" si="250"/>
        <v>HT2-1.S</v>
      </c>
      <c r="C2848" s="83" t="s">
        <v>366</v>
      </c>
      <c r="D2848" s="81" t="s">
        <v>3009</v>
      </c>
      <c r="E2848" s="48">
        <v>500403</v>
      </c>
      <c r="F2848" s="30" t="s">
        <v>184</v>
      </c>
      <c r="G2848" s="29" t="s">
        <v>83</v>
      </c>
      <c r="H2848" s="30" t="s">
        <v>3007</v>
      </c>
      <c r="I2848" s="78"/>
      <c r="J2848" s="20"/>
      <c r="K2848" s="20"/>
      <c r="L2848" s="20"/>
      <c r="M2848" s="20"/>
      <c r="N2848" s="69" t="s">
        <v>256</v>
      </c>
      <c r="O2848" s="70">
        <v>0</v>
      </c>
      <c r="P2848" s="70">
        <v>0</v>
      </c>
      <c r="Q2848" s="70">
        <f t="shared" si="245"/>
        <v>0</v>
      </c>
      <c r="R2848" s="70"/>
      <c r="S2848" s="67"/>
      <c r="T2848" s="2" t="str">
        <f t="shared" si="246"/>
        <v>Nguyễn Duy Bảo_12KT1</v>
      </c>
      <c r="U2848" s="28">
        <f t="array" ref="U2848">IFERROR(VLOOKUP($T2848,'Nghi hoc T12'!$H$7:$I$160,2,0),0)</f>
        <v>0</v>
      </c>
      <c r="V2848" s="28"/>
      <c r="W2848" s="28">
        <f t="shared" si="247"/>
        <v>0</v>
      </c>
      <c r="X2848" s="333">
        <f t="shared" si="248"/>
        <v>0</v>
      </c>
      <c r="Y2848" s="333">
        <f t="shared" si="249"/>
        <v>0</v>
      </c>
    </row>
    <row r="2849" spans="1:25" s="2" customFormat="1" ht="21.95" customHeight="1">
      <c r="A2849" s="82">
        <v>13</v>
      </c>
      <c r="B2849" s="91" t="str">
        <f t="shared" si="250"/>
        <v>HT2-1.S</v>
      </c>
      <c r="C2849" s="83" t="s">
        <v>366</v>
      </c>
      <c r="D2849" s="81" t="s">
        <v>3009</v>
      </c>
      <c r="E2849" s="48">
        <v>500404</v>
      </c>
      <c r="F2849" s="30" t="s">
        <v>2899</v>
      </c>
      <c r="G2849" s="29" t="s">
        <v>83</v>
      </c>
      <c r="H2849" s="30" t="s">
        <v>3006</v>
      </c>
      <c r="I2849" s="78"/>
      <c r="J2849" s="20"/>
      <c r="K2849" s="20"/>
      <c r="L2849" s="20"/>
      <c r="M2849" s="20"/>
      <c r="N2849" s="69" t="s">
        <v>256</v>
      </c>
      <c r="O2849" s="70">
        <v>0</v>
      </c>
      <c r="P2849" s="70">
        <v>0</v>
      </c>
      <c r="Q2849" s="70">
        <f t="shared" si="245"/>
        <v>0</v>
      </c>
      <c r="R2849" s="70"/>
      <c r="S2849" s="67"/>
      <c r="T2849" s="2" t="str">
        <f t="shared" si="246"/>
        <v>Nguyễn Thiên Gia Bảo_12KT2</v>
      </c>
      <c r="U2849" s="28">
        <f t="array" ref="U2849">IFERROR(VLOOKUP($T2849,'Nghi hoc T12'!$H$7:$I$160,2,0),0)</f>
        <v>0</v>
      </c>
      <c r="V2849" s="28"/>
      <c r="W2849" s="28">
        <f t="shared" si="247"/>
        <v>0</v>
      </c>
      <c r="X2849" s="333">
        <f t="shared" si="248"/>
        <v>0</v>
      </c>
      <c r="Y2849" s="333">
        <f t="shared" si="249"/>
        <v>0</v>
      </c>
    </row>
    <row r="2850" spans="1:25" s="2" customFormat="1" ht="21.95" customHeight="1">
      <c r="A2850" s="82">
        <v>14</v>
      </c>
      <c r="B2850" s="91" t="str">
        <f t="shared" si="250"/>
        <v>HT2-1.S</v>
      </c>
      <c r="C2850" s="83" t="s">
        <v>366</v>
      </c>
      <c r="D2850" s="81" t="s">
        <v>3009</v>
      </c>
      <c r="E2850" s="48">
        <v>500405</v>
      </c>
      <c r="F2850" s="30" t="s">
        <v>202</v>
      </c>
      <c r="G2850" s="29" t="s">
        <v>2900</v>
      </c>
      <c r="H2850" s="30" t="s">
        <v>3007</v>
      </c>
      <c r="I2850" s="78"/>
      <c r="J2850" s="20"/>
      <c r="K2850" s="20"/>
      <c r="L2850" s="20"/>
      <c r="M2850" s="20"/>
      <c r="N2850" s="69" t="s">
        <v>256</v>
      </c>
      <c r="O2850" s="70">
        <v>0</v>
      </c>
      <c r="P2850" s="70">
        <v>0</v>
      </c>
      <c r="Q2850" s="70">
        <f t="shared" si="245"/>
        <v>0</v>
      </c>
      <c r="R2850" s="70"/>
      <c r="S2850" s="67"/>
      <c r="T2850" s="2" t="str">
        <f t="shared" si="246"/>
        <v>Nguyễn Chí Bằng_12KT1</v>
      </c>
      <c r="U2850" s="28">
        <f t="array" ref="U2850">IFERROR(VLOOKUP($T2850,'Nghi hoc T12'!$H$7:$I$160,2,0),0)</f>
        <v>0</v>
      </c>
      <c r="V2850" s="28"/>
      <c r="W2850" s="28">
        <f t="shared" si="247"/>
        <v>0</v>
      </c>
      <c r="X2850" s="333">
        <f t="shared" si="248"/>
        <v>0</v>
      </c>
      <c r="Y2850" s="333">
        <f t="shared" si="249"/>
        <v>0</v>
      </c>
    </row>
    <row r="2851" spans="1:25" s="2" customFormat="1" ht="21.95" customHeight="1">
      <c r="A2851" s="82">
        <v>15</v>
      </c>
      <c r="B2851" s="91" t="str">
        <f t="shared" si="250"/>
        <v>HT2-1.S</v>
      </c>
      <c r="C2851" s="83" t="s">
        <v>366</v>
      </c>
      <c r="D2851" s="81" t="s">
        <v>3009</v>
      </c>
      <c r="E2851" s="48">
        <v>500406</v>
      </c>
      <c r="F2851" s="30" t="s">
        <v>268</v>
      </c>
      <c r="G2851" s="29" t="s">
        <v>250</v>
      </c>
      <c r="H2851" s="30" t="s">
        <v>3004</v>
      </c>
      <c r="I2851" s="78"/>
      <c r="J2851" s="20"/>
      <c r="K2851" s="20"/>
      <c r="L2851" s="20"/>
      <c r="M2851" s="20"/>
      <c r="N2851" s="69" t="s">
        <v>256</v>
      </c>
      <c r="O2851" s="70">
        <v>0</v>
      </c>
      <c r="P2851" s="70">
        <v>0</v>
      </c>
      <c r="Q2851" s="70">
        <f t="shared" si="245"/>
        <v>0</v>
      </c>
      <c r="R2851" s="70"/>
      <c r="S2851" s="67"/>
      <c r="T2851" s="2" t="str">
        <f t="shared" si="246"/>
        <v>Nguyễn Văn Bi_12KT3</v>
      </c>
      <c r="U2851" s="28">
        <f t="array" ref="U2851">IFERROR(VLOOKUP($T2851,'Nghi hoc T12'!$H$7:$I$160,2,0),0)</f>
        <v>0</v>
      </c>
      <c r="V2851" s="28"/>
      <c r="W2851" s="28">
        <f t="shared" si="247"/>
        <v>0</v>
      </c>
      <c r="X2851" s="333">
        <f t="shared" si="248"/>
        <v>0</v>
      </c>
      <c r="Y2851" s="333">
        <f t="shared" si="249"/>
        <v>0</v>
      </c>
    </row>
    <row r="2852" spans="1:25" s="2" customFormat="1" ht="21.95" customHeight="1">
      <c r="A2852" s="82">
        <v>16</v>
      </c>
      <c r="B2852" s="91" t="str">
        <f t="shared" si="250"/>
        <v>HT2-1.S</v>
      </c>
      <c r="C2852" s="83" t="s">
        <v>366</v>
      </c>
      <c r="D2852" s="81" t="s">
        <v>3009</v>
      </c>
      <c r="E2852" s="48">
        <v>500407</v>
      </c>
      <c r="F2852" s="30" t="s">
        <v>2901</v>
      </c>
      <c r="G2852" s="29" t="s">
        <v>77</v>
      </c>
      <c r="H2852" s="30" t="s">
        <v>3005</v>
      </c>
      <c r="I2852" s="78"/>
      <c r="J2852" s="20"/>
      <c r="K2852" s="20"/>
      <c r="L2852" s="20"/>
      <c r="M2852" s="20"/>
      <c r="N2852" s="69" t="s">
        <v>256</v>
      </c>
      <c r="O2852" s="70">
        <v>0</v>
      </c>
      <c r="P2852" s="70">
        <v>0</v>
      </c>
      <c r="Q2852" s="70">
        <f t="shared" si="245"/>
        <v>0</v>
      </c>
      <c r="R2852" s="70"/>
      <c r="S2852" s="67"/>
      <c r="T2852" s="2" t="str">
        <f t="shared" si="246"/>
        <v>Đỗ Quang Bình_12KT4</v>
      </c>
      <c r="U2852" s="28">
        <f t="array" ref="U2852">IFERROR(VLOOKUP($T2852,'Nghi hoc T12'!$H$7:$I$160,2,0),0)</f>
        <v>0</v>
      </c>
      <c r="V2852" s="28"/>
      <c r="W2852" s="28">
        <f t="shared" si="247"/>
        <v>0</v>
      </c>
      <c r="X2852" s="333">
        <f t="shared" si="248"/>
        <v>0</v>
      </c>
      <c r="Y2852" s="333">
        <f t="shared" si="249"/>
        <v>0</v>
      </c>
    </row>
    <row r="2853" spans="1:25" s="2" customFormat="1" ht="21.95" customHeight="1">
      <c r="A2853" s="82">
        <v>17</v>
      </c>
      <c r="B2853" s="91" t="str">
        <f t="shared" si="250"/>
        <v>HT2-1.S</v>
      </c>
      <c r="C2853" s="83" t="s">
        <v>366</v>
      </c>
      <c r="D2853" s="81" t="s">
        <v>3009</v>
      </c>
      <c r="E2853" s="48">
        <v>500408</v>
      </c>
      <c r="F2853" s="30" t="s">
        <v>268</v>
      </c>
      <c r="G2853" s="29" t="s">
        <v>1926</v>
      </c>
      <c r="H2853" s="30" t="s">
        <v>3007</v>
      </c>
      <c r="I2853" s="78"/>
      <c r="J2853" s="20"/>
      <c r="K2853" s="20"/>
      <c r="L2853" s="20"/>
      <c r="M2853" s="20"/>
      <c r="N2853" s="69" t="s">
        <v>256</v>
      </c>
      <c r="O2853" s="70">
        <v>0</v>
      </c>
      <c r="P2853" s="70">
        <v>0</v>
      </c>
      <c r="Q2853" s="70">
        <f t="shared" si="245"/>
        <v>0</v>
      </c>
      <c r="R2853" s="70"/>
      <c r="S2853" s="67"/>
      <c r="T2853" s="2" t="str">
        <f t="shared" si="246"/>
        <v>Nguyễn Văn Chương_12KT1</v>
      </c>
      <c r="U2853" s="28">
        <f t="array" ref="U2853">IFERROR(VLOOKUP($T2853,'Nghi hoc T12'!$H$7:$I$160,2,0),0)</f>
        <v>0</v>
      </c>
      <c r="V2853" s="28"/>
      <c r="W2853" s="28">
        <f t="shared" si="247"/>
        <v>0</v>
      </c>
      <c r="X2853" s="333">
        <f t="shared" si="248"/>
        <v>0</v>
      </c>
      <c r="Y2853" s="333">
        <f t="shared" si="249"/>
        <v>0</v>
      </c>
    </row>
    <row r="2854" spans="1:25" s="2" customFormat="1" ht="21.95" customHeight="1">
      <c r="A2854" s="82">
        <v>18</v>
      </c>
      <c r="B2854" s="91" t="str">
        <f t="shared" si="250"/>
        <v>HT2-1.S</v>
      </c>
      <c r="C2854" s="83" t="s">
        <v>366</v>
      </c>
      <c r="D2854" s="81" t="s">
        <v>3009</v>
      </c>
      <c r="E2854" s="48">
        <v>500409</v>
      </c>
      <c r="F2854" s="30" t="s">
        <v>1216</v>
      </c>
      <c r="G2854" s="29" t="s">
        <v>35</v>
      </c>
      <c r="H2854" s="30" t="s">
        <v>3006</v>
      </c>
      <c r="I2854" s="78"/>
      <c r="J2854" s="20"/>
      <c r="K2854" s="20"/>
      <c r="L2854" s="20"/>
      <c r="M2854" s="20"/>
      <c r="N2854" s="69" t="s">
        <v>256</v>
      </c>
      <c r="O2854" s="70">
        <v>0</v>
      </c>
      <c r="P2854" s="70">
        <v>0</v>
      </c>
      <c r="Q2854" s="70">
        <f t="shared" si="245"/>
        <v>0</v>
      </c>
      <c r="R2854" s="70"/>
      <c r="S2854" s="67"/>
      <c r="T2854" s="2" t="str">
        <f t="shared" si="246"/>
        <v>Nguyễn Việt Cường_12KT2</v>
      </c>
      <c r="U2854" s="28">
        <f t="array" ref="U2854">IFERROR(VLOOKUP($T2854,'Nghi hoc T12'!$H$7:$I$160,2,0),0)</f>
        <v>0</v>
      </c>
      <c r="V2854" s="28"/>
      <c r="W2854" s="28">
        <f t="shared" si="247"/>
        <v>0</v>
      </c>
      <c r="X2854" s="333">
        <f t="shared" si="248"/>
        <v>0</v>
      </c>
      <c r="Y2854" s="333">
        <f t="shared" si="249"/>
        <v>0</v>
      </c>
    </row>
    <row r="2855" spans="1:25" s="2" customFormat="1" ht="21.95" customHeight="1">
      <c r="A2855" s="82">
        <v>19</v>
      </c>
      <c r="B2855" s="91" t="str">
        <f t="shared" si="250"/>
        <v>HT2-1.S</v>
      </c>
      <c r="C2855" s="83" t="s">
        <v>366</v>
      </c>
      <c r="D2855" s="81" t="s">
        <v>3009</v>
      </c>
      <c r="E2855" s="48">
        <v>500410</v>
      </c>
      <c r="F2855" s="30" t="s">
        <v>187</v>
      </c>
      <c r="G2855" s="29" t="s">
        <v>89</v>
      </c>
      <c r="H2855" s="30" t="s">
        <v>3006</v>
      </c>
      <c r="I2855" s="78"/>
      <c r="J2855" s="20"/>
      <c r="K2855" s="20"/>
      <c r="L2855" s="20"/>
      <c r="M2855" s="20"/>
      <c r="N2855" s="69" t="s">
        <v>256</v>
      </c>
      <c r="O2855" s="70">
        <v>0</v>
      </c>
      <c r="P2855" s="70">
        <v>0</v>
      </c>
      <c r="Q2855" s="70">
        <f t="shared" si="245"/>
        <v>0</v>
      </c>
      <c r="R2855" s="70"/>
      <c r="S2855" s="67"/>
      <c r="T2855" s="2" t="str">
        <f t="shared" si="246"/>
        <v>Nguyễn Thái Danh_12KT2</v>
      </c>
      <c r="U2855" s="28">
        <f t="array" ref="U2855">IFERROR(VLOOKUP($T2855,'Nghi hoc T12'!$H$7:$I$160,2,0),0)</f>
        <v>0</v>
      </c>
      <c r="V2855" s="28"/>
      <c r="W2855" s="28">
        <f t="shared" si="247"/>
        <v>0</v>
      </c>
      <c r="X2855" s="333">
        <f t="shared" si="248"/>
        <v>0</v>
      </c>
      <c r="Y2855" s="333">
        <f t="shared" si="249"/>
        <v>0</v>
      </c>
    </row>
    <row r="2856" spans="1:25" s="2" customFormat="1" ht="21.95" customHeight="1">
      <c r="A2856" s="82">
        <v>20</v>
      </c>
      <c r="B2856" s="91" t="str">
        <f t="shared" si="250"/>
        <v>HT2-1.S</v>
      </c>
      <c r="C2856" s="83" t="s">
        <v>366</v>
      </c>
      <c r="D2856" s="81" t="s">
        <v>3009</v>
      </c>
      <c r="E2856" s="48">
        <v>500411</v>
      </c>
      <c r="F2856" s="30" t="s">
        <v>2902</v>
      </c>
      <c r="G2856" s="29" t="s">
        <v>89</v>
      </c>
      <c r="H2856" s="30" t="s">
        <v>3007</v>
      </c>
      <c r="I2856" s="78"/>
      <c r="J2856" s="20"/>
      <c r="K2856" s="20"/>
      <c r="L2856" s="20"/>
      <c r="M2856" s="20"/>
      <c r="N2856" s="69" t="s">
        <v>256</v>
      </c>
      <c r="O2856" s="70">
        <v>0</v>
      </c>
      <c r="P2856" s="70">
        <v>0</v>
      </c>
      <c r="Q2856" s="70">
        <f t="shared" si="245"/>
        <v>0</v>
      </c>
      <c r="R2856" s="70"/>
      <c r="S2856" s="67"/>
      <c r="T2856" s="2" t="str">
        <f t="shared" si="246"/>
        <v>Phan Võ Thành Danh_12KT1</v>
      </c>
      <c r="U2856" s="28">
        <f t="array" ref="U2856">IFERROR(VLOOKUP($T2856,'Nghi hoc T12'!$H$7:$I$160,2,0),0)</f>
        <v>0</v>
      </c>
      <c r="V2856" s="28"/>
      <c r="W2856" s="28">
        <f t="shared" si="247"/>
        <v>0</v>
      </c>
      <c r="X2856" s="333">
        <f t="shared" si="248"/>
        <v>0</v>
      </c>
      <c r="Y2856" s="333">
        <f t="shared" si="249"/>
        <v>0</v>
      </c>
    </row>
    <row r="2857" spans="1:25" s="2" customFormat="1" ht="21.95" customHeight="1">
      <c r="A2857" s="82">
        <v>21</v>
      </c>
      <c r="B2857" s="91" t="str">
        <f t="shared" si="250"/>
        <v>HT2-1.S</v>
      </c>
      <c r="C2857" s="83" t="s">
        <v>366</v>
      </c>
      <c r="D2857" s="81" t="s">
        <v>3009</v>
      </c>
      <c r="E2857" s="48">
        <v>500412</v>
      </c>
      <c r="F2857" s="30" t="s">
        <v>1923</v>
      </c>
      <c r="G2857" s="29" t="s">
        <v>140</v>
      </c>
      <c r="H2857" s="30" t="s">
        <v>3005</v>
      </c>
      <c r="I2857" s="78"/>
      <c r="J2857" s="20"/>
      <c r="K2857" s="20"/>
      <c r="L2857" s="20"/>
      <c r="M2857" s="20"/>
      <c r="N2857" s="69" t="s">
        <v>256</v>
      </c>
      <c r="O2857" s="70">
        <v>0</v>
      </c>
      <c r="P2857" s="70">
        <v>0</v>
      </c>
      <c r="Q2857" s="70">
        <f t="shared" si="245"/>
        <v>0</v>
      </c>
      <c r="R2857" s="70"/>
      <c r="S2857" s="67"/>
      <c r="T2857" s="2" t="str">
        <f t="shared" si="246"/>
        <v>Phạm Thị Thùy Dung_12KT4</v>
      </c>
      <c r="U2857" s="28">
        <f t="array" ref="U2857">IFERROR(VLOOKUP($T2857,'Nghi hoc T12'!$H$7:$I$160,2,0),0)</f>
        <v>0</v>
      </c>
      <c r="V2857" s="28"/>
      <c r="W2857" s="28">
        <f t="shared" si="247"/>
        <v>0</v>
      </c>
      <c r="X2857" s="333">
        <f t="shared" si="248"/>
        <v>0</v>
      </c>
      <c r="Y2857" s="333">
        <f t="shared" si="249"/>
        <v>0</v>
      </c>
    </row>
    <row r="2858" spans="1:25" s="2" customFormat="1" ht="21.95" customHeight="1">
      <c r="A2858" s="82">
        <v>22</v>
      </c>
      <c r="B2858" s="91" t="str">
        <f t="shared" si="250"/>
        <v>HT2-1.S</v>
      </c>
      <c r="C2858" s="83" t="s">
        <v>366</v>
      </c>
      <c r="D2858" s="81" t="s">
        <v>3009</v>
      </c>
      <c r="E2858" s="48">
        <v>500413</v>
      </c>
      <c r="F2858" s="30" t="s">
        <v>165</v>
      </c>
      <c r="G2858" s="29" t="s">
        <v>6</v>
      </c>
      <c r="H2858" s="30" t="s">
        <v>3005</v>
      </c>
      <c r="I2858" s="78"/>
      <c r="J2858" s="20"/>
      <c r="K2858" s="20"/>
      <c r="L2858" s="20"/>
      <c r="M2858" s="20"/>
      <c r="N2858" s="69" t="s">
        <v>256</v>
      </c>
      <c r="O2858" s="70">
        <v>0</v>
      </c>
      <c r="P2858" s="70">
        <v>0</v>
      </c>
      <c r="Q2858" s="70">
        <f t="shared" si="245"/>
        <v>0</v>
      </c>
      <c r="R2858" s="70"/>
      <c r="S2858" s="67"/>
      <c r="T2858" s="2" t="str">
        <f t="shared" si="246"/>
        <v>Nguyễn Đức Dũng_12KT4</v>
      </c>
      <c r="U2858" s="28">
        <f t="array" ref="U2858">IFERROR(VLOOKUP($T2858,'Nghi hoc T12'!$H$7:$I$160,2,0),0)</f>
        <v>0</v>
      </c>
      <c r="V2858" s="28"/>
      <c r="W2858" s="28">
        <f t="shared" si="247"/>
        <v>0</v>
      </c>
      <c r="X2858" s="333">
        <f t="shared" si="248"/>
        <v>0</v>
      </c>
      <c r="Y2858" s="333">
        <f t="shared" si="249"/>
        <v>0</v>
      </c>
    </row>
    <row r="2859" spans="1:25" s="2" customFormat="1" ht="21.95" customHeight="1">
      <c r="A2859" s="82">
        <v>23</v>
      </c>
      <c r="B2859" s="91" t="str">
        <f t="shared" si="250"/>
        <v>HT2-1.S</v>
      </c>
      <c r="C2859" s="83" t="s">
        <v>366</v>
      </c>
      <c r="D2859" s="81" t="s">
        <v>3009</v>
      </c>
      <c r="E2859" s="48">
        <v>500414</v>
      </c>
      <c r="F2859" s="30" t="s">
        <v>314</v>
      </c>
      <c r="G2859" s="29" t="s">
        <v>6</v>
      </c>
      <c r="H2859" s="30" t="s">
        <v>3004</v>
      </c>
      <c r="I2859" s="78"/>
      <c r="J2859" s="20"/>
      <c r="K2859" s="20"/>
      <c r="L2859" s="20"/>
      <c r="M2859" s="20"/>
      <c r="N2859" s="69" t="s">
        <v>256</v>
      </c>
      <c r="O2859" s="70">
        <v>0</v>
      </c>
      <c r="P2859" s="70">
        <v>0</v>
      </c>
      <c r="Q2859" s="70">
        <f t="shared" si="245"/>
        <v>0</v>
      </c>
      <c r="R2859" s="70"/>
      <c r="S2859" s="67"/>
      <c r="T2859" s="2" t="str">
        <f t="shared" si="246"/>
        <v>Phạm Minh Dũng_12KT3</v>
      </c>
      <c r="U2859" s="28">
        <f t="array" ref="U2859">IFERROR(VLOOKUP($T2859,'Nghi hoc T12'!$H$7:$I$160,2,0),0)</f>
        <v>0</v>
      </c>
      <c r="V2859" s="28"/>
      <c r="W2859" s="28">
        <f t="shared" si="247"/>
        <v>0</v>
      </c>
      <c r="X2859" s="333">
        <f t="shared" si="248"/>
        <v>0</v>
      </c>
      <c r="Y2859" s="333">
        <f t="shared" si="249"/>
        <v>0</v>
      </c>
    </row>
    <row r="2860" spans="1:25" s="2" customFormat="1" ht="21.95" customHeight="1">
      <c r="A2860" s="82">
        <v>24</v>
      </c>
      <c r="B2860" s="91" t="str">
        <f t="shared" si="250"/>
        <v>HT2-1.S</v>
      </c>
      <c r="C2860" s="83" t="s">
        <v>366</v>
      </c>
      <c r="D2860" s="81" t="s">
        <v>3009</v>
      </c>
      <c r="E2860" s="48">
        <v>500415</v>
      </c>
      <c r="F2860" s="30" t="s">
        <v>2903</v>
      </c>
      <c r="G2860" s="29" t="s">
        <v>65</v>
      </c>
      <c r="H2860" s="30" t="s">
        <v>3007</v>
      </c>
      <c r="I2860" s="78"/>
      <c r="J2860" s="20"/>
      <c r="K2860" s="20"/>
      <c r="L2860" s="20"/>
      <c r="M2860" s="20"/>
      <c r="N2860" s="69" t="s">
        <v>256</v>
      </c>
      <c r="O2860" s="70">
        <v>0</v>
      </c>
      <c r="P2860" s="70">
        <v>0</v>
      </c>
      <c r="Q2860" s="70">
        <f t="shared" si="245"/>
        <v>0</v>
      </c>
      <c r="R2860" s="70"/>
      <c r="S2860" s="67"/>
      <c r="T2860" s="2" t="str">
        <f t="shared" si="246"/>
        <v>Lê Nhất Duy_12KT1</v>
      </c>
      <c r="U2860" s="28">
        <f t="array" ref="U2860">IFERROR(VLOOKUP($T2860,'Nghi hoc T12'!$H$7:$I$160,2,0),0)</f>
        <v>0</v>
      </c>
      <c r="V2860" s="28"/>
      <c r="W2860" s="28">
        <f t="shared" si="247"/>
        <v>0</v>
      </c>
      <c r="X2860" s="333">
        <f t="shared" si="248"/>
        <v>0</v>
      </c>
      <c r="Y2860" s="333">
        <f t="shared" si="249"/>
        <v>0</v>
      </c>
    </row>
    <row r="2861" spans="1:25" s="2" customFormat="1" ht="21.95" customHeight="1">
      <c r="A2861" s="82">
        <v>25</v>
      </c>
      <c r="B2861" s="91" t="str">
        <f t="shared" si="250"/>
        <v>HT2-1.S</v>
      </c>
      <c r="C2861" s="83" t="s">
        <v>366</v>
      </c>
      <c r="D2861" s="81" t="s">
        <v>3009</v>
      </c>
      <c r="E2861" s="48">
        <v>500416</v>
      </c>
      <c r="F2861" s="30" t="s">
        <v>174</v>
      </c>
      <c r="G2861" s="29" t="s">
        <v>65</v>
      </c>
      <c r="H2861" s="30" t="s">
        <v>3004</v>
      </c>
      <c r="I2861" s="78"/>
      <c r="J2861" s="20"/>
      <c r="K2861" s="20"/>
      <c r="L2861" s="20"/>
      <c r="M2861" s="20"/>
      <c r="N2861" s="69" t="s">
        <v>256</v>
      </c>
      <c r="O2861" s="70">
        <v>0</v>
      </c>
      <c r="P2861" s="70">
        <v>0</v>
      </c>
      <c r="Q2861" s="70">
        <f t="shared" si="245"/>
        <v>0</v>
      </c>
      <c r="R2861" s="70"/>
      <c r="S2861" s="67"/>
      <c r="T2861" s="2" t="str">
        <f t="shared" si="246"/>
        <v>Lê Văn Duy_12KT3</v>
      </c>
      <c r="U2861" s="28">
        <f t="array" ref="U2861">IFERROR(VLOOKUP($T2861,'Nghi hoc T12'!$H$7:$I$160,2,0),0)</f>
        <v>0</v>
      </c>
      <c r="V2861" s="28"/>
      <c r="W2861" s="28">
        <f t="shared" si="247"/>
        <v>0</v>
      </c>
      <c r="X2861" s="333">
        <f t="shared" si="248"/>
        <v>0</v>
      </c>
      <c r="Y2861" s="333">
        <f t="shared" si="249"/>
        <v>0</v>
      </c>
    </row>
    <row r="2862" spans="1:25" s="2" customFormat="1" ht="21.95" customHeight="1">
      <c r="A2862" s="82">
        <v>26</v>
      </c>
      <c r="B2862" s="91" t="str">
        <f t="shared" si="250"/>
        <v>HT2-1.S</v>
      </c>
      <c r="C2862" s="83" t="s">
        <v>366</v>
      </c>
      <c r="D2862" s="81" t="s">
        <v>3009</v>
      </c>
      <c r="E2862" s="48">
        <v>500417</v>
      </c>
      <c r="F2862" s="30" t="s">
        <v>165</v>
      </c>
      <c r="G2862" s="29" t="s">
        <v>65</v>
      </c>
      <c r="H2862" s="30" t="s">
        <v>3006</v>
      </c>
      <c r="I2862" s="78"/>
      <c r="J2862" s="20"/>
      <c r="K2862" s="20"/>
      <c r="L2862" s="20"/>
      <c r="M2862" s="20"/>
      <c r="N2862" s="69" t="s">
        <v>256</v>
      </c>
      <c r="O2862" s="70">
        <v>0</v>
      </c>
      <c r="P2862" s="70">
        <v>0</v>
      </c>
      <c r="Q2862" s="70">
        <f t="shared" si="245"/>
        <v>0</v>
      </c>
      <c r="R2862" s="70"/>
      <c r="S2862" s="67"/>
      <c r="T2862" s="2" t="str">
        <f t="shared" si="246"/>
        <v>Nguyễn Đức Duy_12KT2</v>
      </c>
      <c r="U2862" s="28">
        <f t="array" ref="U2862">IFERROR(VLOOKUP($T2862,'Nghi hoc T12'!$H$7:$I$160,2,0),0)</f>
        <v>0</v>
      </c>
      <c r="V2862" s="28"/>
      <c r="W2862" s="28">
        <f t="shared" si="247"/>
        <v>0</v>
      </c>
      <c r="X2862" s="333">
        <f t="shared" si="248"/>
        <v>0</v>
      </c>
      <c r="Y2862" s="333">
        <f t="shared" si="249"/>
        <v>0</v>
      </c>
    </row>
    <row r="2863" spans="1:25" s="2" customFormat="1" ht="21.95" customHeight="1">
      <c r="A2863" s="82">
        <v>27</v>
      </c>
      <c r="B2863" s="91" t="str">
        <f t="shared" si="250"/>
        <v>HT2-1.S</v>
      </c>
      <c r="C2863" s="83" t="s">
        <v>366</v>
      </c>
      <c r="D2863" s="81" t="s">
        <v>3009</v>
      </c>
      <c r="E2863" s="48">
        <v>500418</v>
      </c>
      <c r="F2863" s="30" t="s">
        <v>2904</v>
      </c>
      <c r="G2863" s="29" t="s">
        <v>53</v>
      </c>
      <c r="H2863" s="30" t="s">
        <v>3005</v>
      </c>
      <c r="I2863" s="78"/>
      <c r="J2863" s="20"/>
      <c r="K2863" s="20"/>
      <c r="L2863" s="20"/>
      <c r="M2863" s="20"/>
      <c r="N2863" s="69" t="s">
        <v>256</v>
      </c>
      <c r="O2863" s="70">
        <v>0</v>
      </c>
      <c r="P2863" s="70">
        <v>0</v>
      </c>
      <c r="Q2863" s="70">
        <f t="shared" si="245"/>
        <v>0</v>
      </c>
      <c r="R2863" s="70"/>
      <c r="S2863" s="67"/>
      <c r="T2863" s="2" t="str">
        <f t="shared" si="246"/>
        <v>Đặng Ánh Dương_12KT4</v>
      </c>
      <c r="U2863" s="28">
        <f t="array" ref="U2863">IFERROR(VLOOKUP($T2863,'Nghi hoc T12'!$H$7:$I$160,2,0),0)</f>
        <v>0</v>
      </c>
      <c r="V2863" s="28"/>
      <c r="W2863" s="28">
        <f t="shared" si="247"/>
        <v>0</v>
      </c>
      <c r="X2863" s="333">
        <f t="shared" si="248"/>
        <v>0</v>
      </c>
      <c r="Y2863" s="333">
        <f t="shared" si="249"/>
        <v>0</v>
      </c>
    </row>
    <row r="2864" spans="1:25" s="2" customFormat="1" ht="21.95" customHeight="1">
      <c r="A2864" s="321">
        <v>1</v>
      </c>
      <c r="B2864" s="91" t="str">
        <f t="shared" si="250"/>
        <v>HT2-2.S</v>
      </c>
      <c r="C2864" s="185" t="s">
        <v>366</v>
      </c>
      <c r="D2864" s="186" t="s">
        <v>3010</v>
      </c>
      <c r="E2864" s="187">
        <v>500419</v>
      </c>
      <c r="F2864" s="188" t="s">
        <v>2905</v>
      </c>
      <c r="G2864" s="189" t="s">
        <v>53</v>
      </c>
      <c r="H2864" s="188" t="s">
        <v>3007</v>
      </c>
      <c r="I2864" s="190"/>
      <c r="J2864" s="191"/>
      <c r="K2864" s="191"/>
      <c r="L2864" s="191"/>
      <c r="M2864" s="191"/>
      <c r="N2864" s="69" t="s">
        <v>256</v>
      </c>
      <c r="O2864" s="70">
        <v>0</v>
      </c>
      <c r="P2864" s="70">
        <v>0</v>
      </c>
      <c r="Q2864" s="70">
        <f t="shared" si="245"/>
        <v>0</v>
      </c>
      <c r="R2864" s="70"/>
      <c r="S2864" s="67"/>
      <c r="T2864" s="2" t="str">
        <f t="shared" si="246"/>
        <v>Lào Thị Thùy Dương_12KT1</v>
      </c>
      <c r="U2864" s="28">
        <f t="array" ref="U2864">IFERROR(VLOOKUP($T2864,'Nghi hoc T12'!$H$7:$I$160,2,0),0)</f>
        <v>0</v>
      </c>
      <c r="V2864" s="28"/>
      <c r="W2864" s="28">
        <f t="shared" si="247"/>
        <v>0</v>
      </c>
      <c r="X2864" s="333">
        <f t="shared" si="248"/>
        <v>0</v>
      </c>
      <c r="Y2864" s="333">
        <f t="shared" si="249"/>
        <v>0</v>
      </c>
    </row>
    <row r="2865" spans="1:25" s="2" customFormat="1" ht="21.95" customHeight="1">
      <c r="A2865" s="82">
        <v>2</v>
      </c>
      <c r="B2865" s="91" t="str">
        <f t="shared" si="250"/>
        <v>HT2-2.S</v>
      </c>
      <c r="C2865" s="83" t="s">
        <v>366</v>
      </c>
      <c r="D2865" s="81" t="s">
        <v>3010</v>
      </c>
      <c r="E2865" s="48">
        <v>500420</v>
      </c>
      <c r="F2865" s="30" t="s">
        <v>2906</v>
      </c>
      <c r="G2865" s="29" t="s">
        <v>53</v>
      </c>
      <c r="H2865" s="30" t="s">
        <v>3004</v>
      </c>
      <c r="I2865" s="78"/>
      <c r="J2865" s="20"/>
      <c r="K2865" s="20"/>
      <c r="L2865" s="20"/>
      <c r="M2865" s="20"/>
      <c r="N2865" s="69" t="s">
        <v>256</v>
      </c>
      <c r="O2865" s="70">
        <v>0</v>
      </c>
      <c r="P2865" s="70">
        <v>0</v>
      </c>
      <c r="Q2865" s="70">
        <f t="shared" si="245"/>
        <v>0</v>
      </c>
      <c r="R2865" s="70"/>
      <c r="S2865" s="67"/>
      <c r="T2865" s="2" t="str">
        <f t="shared" si="246"/>
        <v>Nguyễn Trọng Nguyên Dương_12KT3</v>
      </c>
      <c r="U2865" s="28">
        <f t="array" ref="U2865">IFERROR(VLOOKUP($T2865,'Nghi hoc T12'!$H$7:$I$160,2,0),0)</f>
        <v>0</v>
      </c>
      <c r="V2865" s="28"/>
      <c r="W2865" s="28">
        <f t="shared" si="247"/>
        <v>0</v>
      </c>
      <c r="X2865" s="333">
        <f t="shared" si="248"/>
        <v>0</v>
      </c>
      <c r="Y2865" s="333">
        <f t="shared" si="249"/>
        <v>0</v>
      </c>
    </row>
    <row r="2866" spans="1:25" s="2" customFormat="1" ht="21.95" customHeight="1">
      <c r="A2866" s="82">
        <v>3</v>
      </c>
      <c r="B2866" s="91" t="str">
        <f t="shared" si="250"/>
        <v>HT2-2.S</v>
      </c>
      <c r="C2866" s="83" t="s">
        <v>366</v>
      </c>
      <c r="D2866" s="81" t="s">
        <v>3010</v>
      </c>
      <c r="E2866" s="48">
        <v>500421</v>
      </c>
      <c r="F2866" s="30" t="s">
        <v>2907</v>
      </c>
      <c r="G2866" s="29" t="s">
        <v>53</v>
      </c>
      <c r="H2866" s="30" t="s">
        <v>3007</v>
      </c>
      <c r="I2866" s="78"/>
      <c r="J2866" s="20"/>
      <c r="K2866" s="20"/>
      <c r="L2866" s="20"/>
      <c r="M2866" s="20"/>
      <c r="N2866" s="69" t="s">
        <v>256</v>
      </c>
      <c r="O2866" s="70">
        <v>0</v>
      </c>
      <c r="P2866" s="70">
        <v>0</v>
      </c>
      <c r="Q2866" s="70">
        <f t="shared" si="245"/>
        <v>0</v>
      </c>
      <c r="R2866" s="70"/>
      <c r="S2866" s="67"/>
      <c r="T2866" s="2" t="str">
        <f t="shared" si="246"/>
        <v>Phạm Thị Ánh Dương_12KT1</v>
      </c>
      <c r="U2866" s="28">
        <f t="array" ref="U2866">IFERROR(VLOOKUP($T2866,'Nghi hoc T12'!$H$7:$I$160,2,0),0)</f>
        <v>0</v>
      </c>
      <c r="V2866" s="28"/>
      <c r="W2866" s="28">
        <f t="shared" si="247"/>
        <v>0</v>
      </c>
      <c r="X2866" s="333">
        <f t="shared" si="248"/>
        <v>0</v>
      </c>
      <c r="Y2866" s="333">
        <f t="shared" si="249"/>
        <v>0</v>
      </c>
    </row>
    <row r="2867" spans="1:25" s="2" customFormat="1" ht="21.95" customHeight="1">
      <c r="A2867" s="82">
        <v>4</v>
      </c>
      <c r="B2867" s="91" t="str">
        <f t="shared" si="250"/>
        <v>HT2-2.S</v>
      </c>
      <c r="C2867" s="83" t="s">
        <v>366</v>
      </c>
      <c r="D2867" s="81" t="s">
        <v>3010</v>
      </c>
      <c r="E2867" s="48">
        <v>500422</v>
      </c>
      <c r="F2867" s="30" t="s">
        <v>2212</v>
      </c>
      <c r="G2867" s="29" t="s">
        <v>53</v>
      </c>
      <c r="H2867" s="30" t="s">
        <v>3006</v>
      </c>
      <c r="I2867" s="78"/>
      <c r="J2867" s="20"/>
      <c r="K2867" s="20"/>
      <c r="L2867" s="20"/>
      <c r="M2867" s="20"/>
      <c r="N2867" s="69" t="s">
        <v>256</v>
      </c>
      <c r="O2867" s="70">
        <v>0</v>
      </c>
      <c r="P2867" s="70">
        <v>0</v>
      </c>
      <c r="Q2867" s="70">
        <f t="shared" si="245"/>
        <v>0</v>
      </c>
      <c r="R2867" s="70"/>
      <c r="S2867" s="67"/>
      <c r="T2867" s="2" t="str">
        <f t="shared" si="246"/>
        <v>Trần Đăng Dương_12KT2</v>
      </c>
      <c r="U2867" s="28">
        <f t="array" ref="U2867">IFERROR(VLOOKUP($T2867,'Nghi hoc T12'!$H$7:$I$160,2,0),0)</f>
        <v>0</v>
      </c>
      <c r="V2867" s="28"/>
      <c r="W2867" s="28">
        <f t="shared" si="247"/>
        <v>0</v>
      </c>
      <c r="X2867" s="333">
        <f t="shared" si="248"/>
        <v>0</v>
      </c>
      <c r="Y2867" s="333">
        <f t="shared" si="249"/>
        <v>0</v>
      </c>
    </row>
    <row r="2868" spans="1:25" s="2" customFormat="1" ht="21.95" customHeight="1">
      <c r="A2868" s="82">
        <v>5</v>
      </c>
      <c r="B2868" s="91" t="str">
        <f t="shared" si="250"/>
        <v>HT2-2.S</v>
      </c>
      <c r="C2868" s="83" t="s">
        <v>366</v>
      </c>
      <c r="D2868" s="81" t="s">
        <v>3010</v>
      </c>
      <c r="E2868" s="48">
        <v>500423</v>
      </c>
      <c r="F2868" s="30" t="s">
        <v>2908</v>
      </c>
      <c r="G2868" s="29" t="s">
        <v>53</v>
      </c>
      <c r="H2868" s="30" t="s">
        <v>3006</v>
      </c>
      <c r="I2868" s="78"/>
      <c r="J2868" s="20"/>
      <c r="K2868" s="20"/>
      <c r="L2868" s="20"/>
      <c r="M2868" s="20"/>
      <c r="N2868" s="69" t="s">
        <v>256</v>
      </c>
      <c r="O2868" s="70">
        <v>0</v>
      </c>
      <c r="P2868" s="70">
        <v>0</v>
      </c>
      <c r="Q2868" s="70">
        <f t="shared" si="245"/>
        <v>0</v>
      </c>
      <c r="R2868" s="70"/>
      <c r="S2868" s="67"/>
      <c r="T2868" s="2" t="str">
        <f t="shared" si="246"/>
        <v>Võ Ánh Dương_12KT2</v>
      </c>
      <c r="U2868" s="28">
        <f t="array" ref="U2868">IFERROR(VLOOKUP($T2868,'Nghi hoc T12'!$H$7:$I$160,2,0),0)</f>
        <v>0</v>
      </c>
      <c r="V2868" s="28"/>
      <c r="W2868" s="28">
        <f t="shared" si="247"/>
        <v>0</v>
      </c>
      <c r="X2868" s="333">
        <f t="shared" si="248"/>
        <v>0</v>
      </c>
      <c r="Y2868" s="333">
        <f t="shared" si="249"/>
        <v>0</v>
      </c>
    </row>
    <row r="2869" spans="1:25" s="2" customFormat="1" ht="21.95" customHeight="1">
      <c r="A2869" s="82">
        <v>6</v>
      </c>
      <c r="B2869" s="91" t="str">
        <f t="shared" si="250"/>
        <v>HT2-2.S</v>
      </c>
      <c r="C2869" s="83" t="s">
        <v>366</v>
      </c>
      <c r="D2869" s="81" t="s">
        <v>3010</v>
      </c>
      <c r="E2869" s="48">
        <v>500424</v>
      </c>
      <c r="F2869" s="30" t="s">
        <v>2909</v>
      </c>
      <c r="G2869" s="29" t="s">
        <v>1508</v>
      </c>
      <c r="H2869" s="30" t="s">
        <v>3004</v>
      </c>
      <c r="I2869" s="78"/>
      <c r="J2869" s="20"/>
      <c r="K2869" s="20"/>
      <c r="L2869" s="20"/>
      <c r="M2869" s="20"/>
      <c r="N2869" s="69" t="s">
        <v>256</v>
      </c>
      <c r="O2869" s="70">
        <v>0</v>
      </c>
      <c r="P2869" s="70">
        <v>0</v>
      </c>
      <c r="Q2869" s="70">
        <f t="shared" si="245"/>
        <v>0</v>
      </c>
      <c r="R2869" s="70"/>
      <c r="S2869" s="67"/>
      <c r="T2869" s="2" t="str">
        <f t="shared" si="246"/>
        <v>Nguyễn Hà Khánh Đan_12KT3</v>
      </c>
      <c r="U2869" s="28">
        <f t="array" ref="U2869">IFERROR(VLOOKUP($T2869,'Nghi hoc T12'!$H$7:$I$160,2,0),0)</f>
        <v>0</v>
      </c>
      <c r="V2869" s="28"/>
      <c r="W2869" s="28">
        <f t="shared" si="247"/>
        <v>0</v>
      </c>
      <c r="X2869" s="333">
        <f t="shared" si="248"/>
        <v>0</v>
      </c>
      <c r="Y2869" s="333">
        <f t="shared" si="249"/>
        <v>0</v>
      </c>
    </row>
    <row r="2870" spans="1:25" s="2" customFormat="1" ht="21.95" customHeight="1">
      <c r="A2870" s="82">
        <v>7</v>
      </c>
      <c r="B2870" s="91" t="str">
        <f t="shared" si="250"/>
        <v>HT2-2.S</v>
      </c>
      <c r="C2870" s="83" t="s">
        <v>366</v>
      </c>
      <c r="D2870" s="81" t="s">
        <v>3010</v>
      </c>
      <c r="E2870" s="48">
        <v>500425</v>
      </c>
      <c r="F2870" s="30" t="s">
        <v>1274</v>
      </c>
      <c r="G2870" s="29" t="s">
        <v>7</v>
      </c>
      <c r="H2870" s="30" t="s">
        <v>3004</v>
      </c>
      <c r="I2870" s="78"/>
      <c r="J2870" s="20"/>
      <c r="K2870" s="20"/>
      <c r="L2870" s="20"/>
      <c r="M2870" s="20"/>
      <c r="N2870" s="69" t="s">
        <v>256</v>
      </c>
      <c r="O2870" s="70">
        <v>0</v>
      </c>
      <c r="P2870" s="70">
        <v>0</v>
      </c>
      <c r="Q2870" s="70">
        <f t="shared" si="245"/>
        <v>0</v>
      </c>
      <c r="R2870" s="70"/>
      <c r="S2870" s="67"/>
      <c r="T2870" s="2" t="str">
        <f t="shared" si="246"/>
        <v>Hồ Minh Đạt_12KT3</v>
      </c>
      <c r="U2870" s="28">
        <f t="array" ref="U2870">IFERROR(VLOOKUP($T2870,'Nghi hoc T12'!$H$7:$I$160,2,0),0)</f>
        <v>0</v>
      </c>
      <c r="V2870" s="28"/>
      <c r="W2870" s="28">
        <f t="shared" si="247"/>
        <v>0</v>
      </c>
      <c r="X2870" s="333">
        <f t="shared" si="248"/>
        <v>0</v>
      </c>
      <c r="Y2870" s="333">
        <f t="shared" si="249"/>
        <v>0</v>
      </c>
    </row>
    <row r="2871" spans="1:25" s="2" customFormat="1" ht="21.95" customHeight="1">
      <c r="A2871" s="82">
        <v>8</v>
      </c>
      <c r="B2871" s="91" t="str">
        <f t="shared" si="250"/>
        <v>HT2-2.S</v>
      </c>
      <c r="C2871" s="83" t="s">
        <v>366</v>
      </c>
      <c r="D2871" s="81" t="s">
        <v>3010</v>
      </c>
      <c r="E2871" s="48">
        <v>500426</v>
      </c>
      <c r="F2871" s="30" t="s">
        <v>2910</v>
      </c>
      <c r="G2871" s="29" t="s">
        <v>119</v>
      </c>
      <c r="H2871" s="30" t="s">
        <v>3005</v>
      </c>
      <c r="I2871" s="78"/>
      <c r="J2871" s="20"/>
      <c r="K2871" s="20"/>
      <c r="L2871" s="20"/>
      <c r="M2871" s="20"/>
      <c r="N2871" s="69" t="s">
        <v>256</v>
      </c>
      <c r="O2871" s="70">
        <v>0</v>
      </c>
      <c r="P2871" s="70">
        <v>0</v>
      </c>
      <c r="Q2871" s="70">
        <f t="shared" si="245"/>
        <v>0</v>
      </c>
      <c r="R2871" s="70"/>
      <c r="S2871" s="67"/>
      <c r="T2871" s="2" t="str">
        <f t="shared" si="246"/>
        <v>Đoàn Hải Đăng_12KT4</v>
      </c>
      <c r="U2871" s="28">
        <f t="array" ref="U2871">IFERROR(VLOOKUP($T2871,'Nghi hoc T12'!$H$7:$I$160,2,0),0)</f>
        <v>0</v>
      </c>
      <c r="V2871" s="28"/>
      <c r="W2871" s="28">
        <f t="shared" si="247"/>
        <v>0</v>
      </c>
      <c r="X2871" s="333">
        <f t="shared" si="248"/>
        <v>0</v>
      </c>
      <c r="Y2871" s="333">
        <f t="shared" si="249"/>
        <v>0</v>
      </c>
    </row>
    <row r="2872" spans="1:25" s="2" customFormat="1" ht="21.95" customHeight="1">
      <c r="A2872" s="82">
        <v>9</v>
      </c>
      <c r="B2872" s="91" t="str">
        <f t="shared" si="250"/>
        <v>HT2-2.S</v>
      </c>
      <c r="C2872" s="83" t="s">
        <v>366</v>
      </c>
      <c r="D2872" s="81" t="s">
        <v>3010</v>
      </c>
      <c r="E2872" s="48">
        <v>500427</v>
      </c>
      <c r="F2872" s="30" t="s">
        <v>268</v>
      </c>
      <c r="G2872" s="29" t="s">
        <v>36</v>
      </c>
      <c r="H2872" s="30" t="s">
        <v>3006</v>
      </c>
      <c r="I2872" s="78"/>
      <c r="J2872" s="20"/>
      <c r="K2872" s="20"/>
      <c r="L2872" s="20"/>
      <c r="M2872" s="20"/>
      <c r="N2872" s="69" t="s">
        <v>256</v>
      </c>
      <c r="O2872" s="70">
        <v>0</v>
      </c>
      <c r="P2872" s="70">
        <v>0</v>
      </c>
      <c r="Q2872" s="70">
        <f t="shared" si="245"/>
        <v>0</v>
      </c>
      <c r="R2872" s="70"/>
      <c r="S2872" s="67"/>
      <c r="T2872" s="2" t="str">
        <f t="shared" si="246"/>
        <v>Nguyễn Văn Đức_12KT2</v>
      </c>
      <c r="U2872" s="28">
        <f t="array" ref="U2872">IFERROR(VLOOKUP($T2872,'Nghi hoc T12'!$H$7:$I$160,2,0),0)</f>
        <v>0</v>
      </c>
      <c r="V2872" s="28"/>
      <c r="W2872" s="28">
        <f t="shared" si="247"/>
        <v>0</v>
      </c>
      <c r="X2872" s="333">
        <f t="shared" si="248"/>
        <v>0</v>
      </c>
      <c r="Y2872" s="333">
        <f t="shared" si="249"/>
        <v>0</v>
      </c>
    </row>
    <row r="2873" spans="1:25" s="2" customFormat="1" ht="21.95" customHeight="1">
      <c r="A2873" s="82">
        <v>10</v>
      </c>
      <c r="B2873" s="91" t="str">
        <f t="shared" si="250"/>
        <v>HT2-2.S</v>
      </c>
      <c r="C2873" s="83" t="s">
        <v>366</v>
      </c>
      <c r="D2873" s="81" t="s">
        <v>3010</v>
      </c>
      <c r="E2873" s="48">
        <v>500428</v>
      </c>
      <c r="F2873" s="30" t="s">
        <v>186</v>
      </c>
      <c r="G2873" s="29" t="s">
        <v>171</v>
      </c>
      <c r="H2873" s="30" t="s">
        <v>3007</v>
      </c>
      <c r="I2873" s="78"/>
      <c r="J2873" s="20"/>
      <c r="K2873" s="20"/>
      <c r="L2873" s="20"/>
      <c r="M2873" s="20"/>
      <c r="N2873" s="69" t="s">
        <v>256</v>
      </c>
      <c r="O2873" s="70">
        <v>0</v>
      </c>
      <c r="P2873" s="70">
        <v>0</v>
      </c>
      <c r="Q2873" s="70">
        <f t="shared" si="245"/>
        <v>0</v>
      </c>
      <c r="R2873" s="70"/>
      <c r="S2873" s="67"/>
      <c r="T2873" s="2" t="str">
        <f t="shared" si="246"/>
        <v>Nguyễn Minh Hải_12KT1</v>
      </c>
      <c r="U2873" s="28">
        <f t="array" ref="U2873">IFERROR(VLOOKUP($T2873,'Nghi hoc T12'!$H$7:$I$160,2,0),0)</f>
        <v>0</v>
      </c>
      <c r="V2873" s="28"/>
      <c r="W2873" s="28">
        <f t="shared" si="247"/>
        <v>0</v>
      </c>
      <c r="X2873" s="333">
        <f t="shared" si="248"/>
        <v>0</v>
      </c>
      <c r="Y2873" s="333">
        <f t="shared" si="249"/>
        <v>0</v>
      </c>
    </row>
    <row r="2874" spans="1:25" s="2" customFormat="1" ht="21.95" customHeight="1">
      <c r="A2874" s="82">
        <v>11</v>
      </c>
      <c r="B2874" s="91" t="str">
        <f t="shared" si="250"/>
        <v>HT2-2.S</v>
      </c>
      <c r="C2874" s="83" t="s">
        <v>366</v>
      </c>
      <c r="D2874" s="81" t="s">
        <v>3010</v>
      </c>
      <c r="E2874" s="48">
        <v>500429</v>
      </c>
      <c r="F2874" s="30" t="s">
        <v>2911</v>
      </c>
      <c r="G2874" s="29" t="s">
        <v>1736</v>
      </c>
      <c r="H2874" s="30" t="s">
        <v>3004</v>
      </c>
      <c r="I2874" s="78"/>
      <c r="J2874" s="20"/>
      <c r="K2874" s="20"/>
      <c r="L2874" s="20"/>
      <c r="M2874" s="20"/>
      <c r="N2874" s="69" t="s">
        <v>256</v>
      </c>
      <c r="O2874" s="70">
        <v>0</v>
      </c>
      <c r="P2874" s="70">
        <v>0</v>
      </c>
      <c r="Q2874" s="70">
        <f t="shared" si="245"/>
        <v>0</v>
      </c>
      <c r="R2874" s="70"/>
      <c r="S2874" s="67"/>
      <c r="T2874" s="2" t="str">
        <f t="shared" si="246"/>
        <v>Trịnh Thị Hồng Hạnh_12KT3</v>
      </c>
      <c r="U2874" s="28">
        <f t="array" ref="U2874">IFERROR(VLOOKUP($T2874,'Nghi hoc T12'!$H$7:$I$160,2,0),0)</f>
        <v>0</v>
      </c>
      <c r="V2874" s="28"/>
      <c r="W2874" s="28">
        <f t="shared" si="247"/>
        <v>0</v>
      </c>
      <c r="X2874" s="333">
        <f t="shared" si="248"/>
        <v>0</v>
      </c>
      <c r="Y2874" s="333">
        <f t="shared" si="249"/>
        <v>0</v>
      </c>
    </row>
    <row r="2875" spans="1:25" s="2" customFormat="1" ht="21.95" customHeight="1">
      <c r="A2875" s="82">
        <v>12</v>
      </c>
      <c r="B2875" s="91" t="str">
        <f t="shared" si="250"/>
        <v>HT2-2.S</v>
      </c>
      <c r="C2875" s="83" t="s">
        <v>366</v>
      </c>
      <c r="D2875" s="81" t="s">
        <v>3010</v>
      </c>
      <c r="E2875" s="48">
        <v>500430</v>
      </c>
      <c r="F2875" s="30" t="s">
        <v>2912</v>
      </c>
      <c r="G2875" s="29" t="s">
        <v>78</v>
      </c>
      <c r="H2875" s="30" t="s">
        <v>3005</v>
      </c>
      <c r="I2875" s="78"/>
      <c r="J2875" s="20"/>
      <c r="K2875" s="20"/>
      <c r="L2875" s="20"/>
      <c r="M2875" s="20"/>
      <c r="N2875" s="69" t="s">
        <v>256</v>
      </c>
      <c r="O2875" s="70">
        <v>0</v>
      </c>
      <c r="P2875" s="70">
        <v>0</v>
      </c>
      <c r="Q2875" s="70">
        <f t="shared" si="245"/>
        <v>0</v>
      </c>
      <c r="R2875" s="70"/>
      <c r="S2875" s="67"/>
      <c r="T2875" s="2" t="str">
        <f t="shared" si="246"/>
        <v>Nguyễn Lý Nhật Hào_12KT4</v>
      </c>
      <c r="U2875" s="28">
        <f t="array" ref="U2875">IFERROR(VLOOKUP($T2875,'Nghi hoc T12'!$H$7:$I$160,2,0),0)</f>
        <v>0</v>
      </c>
      <c r="V2875" s="28"/>
      <c r="W2875" s="28">
        <f t="shared" si="247"/>
        <v>0</v>
      </c>
      <c r="X2875" s="333">
        <f t="shared" si="248"/>
        <v>0</v>
      </c>
      <c r="Y2875" s="333">
        <f t="shared" si="249"/>
        <v>0</v>
      </c>
    </row>
    <row r="2876" spans="1:25" s="2" customFormat="1" ht="21.95" customHeight="1">
      <c r="A2876" s="82">
        <v>13</v>
      </c>
      <c r="B2876" s="91" t="str">
        <f t="shared" si="250"/>
        <v>HT2-2.S</v>
      </c>
      <c r="C2876" s="83" t="s">
        <v>366</v>
      </c>
      <c r="D2876" s="81" t="s">
        <v>3010</v>
      </c>
      <c r="E2876" s="48">
        <v>500431</v>
      </c>
      <c r="F2876" s="30" t="s">
        <v>2913</v>
      </c>
      <c r="G2876" s="29" t="s">
        <v>78</v>
      </c>
      <c r="H2876" s="30" t="s">
        <v>3004</v>
      </c>
      <c r="I2876" s="78"/>
      <c r="J2876" s="20"/>
      <c r="K2876" s="20"/>
      <c r="L2876" s="20"/>
      <c r="M2876" s="20"/>
      <c r="N2876" s="69" t="s">
        <v>256</v>
      </c>
      <c r="O2876" s="70">
        <v>0</v>
      </c>
      <c r="P2876" s="70">
        <v>0</v>
      </c>
      <c r="Q2876" s="70">
        <f t="shared" si="245"/>
        <v>0</v>
      </c>
      <c r="R2876" s="70"/>
      <c r="S2876" s="67"/>
      <c r="T2876" s="2" t="str">
        <f t="shared" si="246"/>
        <v>Trần Chí Hào_12KT3</v>
      </c>
      <c r="U2876" s="28">
        <f t="array" ref="U2876">IFERROR(VLOOKUP($T2876,'Nghi hoc T12'!$H$7:$I$160,2,0),0)</f>
        <v>0</v>
      </c>
      <c r="V2876" s="28"/>
      <c r="W2876" s="28">
        <f t="shared" si="247"/>
        <v>0</v>
      </c>
      <c r="X2876" s="333">
        <f t="shared" si="248"/>
        <v>0</v>
      </c>
      <c r="Y2876" s="333">
        <f t="shared" si="249"/>
        <v>0</v>
      </c>
    </row>
    <row r="2877" spans="1:25" s="2" customFormat="1" ht="21.95" customHeight="1">
      <c r="A2877" s="82">
        <v>14</v>
      </c>
      <c r="B2877" s="91" t="str">
        <f t="shared" si="250"/>
        <v>HT2-2.S</v>
      </c>
      <c r="C2877" s="83" t="s">
        <v>366</v>
      </c>
      <c r="D2877" s="81" t="s">
        <v>3010</v>
      </c>
      <c r="E2877" s="48">
        <v>500432</v>
      </c>
      <c r="F2877" s="30" t="s">
        <v>2914</v>
      </c>
      <c r="G2877" s="29" t="s">
        <v>84</v>
      </c>
      <c r="H2877" s="30" t="s">
        <v>3007</v>
      </c>
      <c r="I2877" s="78"/>
      <c r="J2877" s="20"/>
      <c r="K2877" s="20"/>
      <c r="L2877" s="20"/>
      <c r="M2877" s="20"/>
      <c r="N2877" s="69" t="s">
        <v>256</v>
      </c>
      <c r="O2877" s="70">
        <v>0</v>
      </c>
      <c r="P2877" s="70">
        <v>0</v>
      </c>
      <c r="Q2877" s="70">
        <f t="shared" si="245"/>
        <v>0</v>
      </c>
      <c r="R2877" s="70"/>
      <c r="S2877" s="67"/>
      <c r="T2877" s="2" t="str">
        <f t="shared" si="246"/>
        <v>Châu Nguyễn Ngọc Hân_12KT1</v>
      </c>
      <c r="U2877" s="28">
        <f t="array" ref="U2877">IFERROR(VLOOKUP($T2877,'Nghi hoc T12'!$H$7:$I$160,2,0),0)</f>
        <v>0</v>
      </c>
      <c r="V2877" s="28"/>
      <c r="W2877" s="28">
        <f t="shared" si="247"/>
        <v>0</v>
      </c>
      <c r="X2877" s="333">
        <f t="shared" si="248"/>
        <v>0</v>
      </c>
      <c r="Y2877" s="333">
        <f t="shared" si="249"/>
        <v>0</v>
      </c>
    </row>
    <row r="2878" spans="1:25" s="2" customFormat="1" ht="21.95" customHeight="1">
      <c r="A2878" s="82">
        <v>15</v>
      </c>
      <c r="B2878" s="91" t="str">
        <f t="shared" si="250"/>
        <v>HT2-2.S</v>
      </c>
      <c r="C2878" s="83" t="s">
        <v>366</v>
      </c>
      <c r="D2878" s="81" t="s">
        <v>3010</v>
      </c>
      <c r="E2878" s="48">
        <v>500433</v>
      </c>
      <c r="F2878" s="30" t="s">
        <v>2915</v>
      </c>
      <c r="G2878" s="29" t="s">
        <v>84</v>
      </c>
      <c r="H2878" s="30" t="s">
        <v>3006</v>
      </c>
      <c r="I2878" s="78"/>
      <c r="J2878" s="20"/>
      <c r="K2878" s="20"/>
      <c r="L2878" s="20"/>
      <c r="M2878" s="20"/>
      <c r="N2878" s="69" t="s">
        <v>256</v>
      </c>
      <c r="O2878" s="70">
        <v>0</v>
      </c>
      <c r="P2878" s="70">
        <v>0</v>
      </c>
      <c r="Q2878" s="70">
        <f t="shared" si="245"/>
        <v>0</v>
      </c>
      <c r="R2878" s="70"/>
      <c r="S2878" s="67"/>
      <c r="T2878" s="2" t="str">
        <f t="shared" si="246"/>
        <v>Lâm Ngọc Hân_12KT2</v>
      </c>
      <c r="U2878" s="28">
        <f t="array" ref="U2878">IFERROR(VLOOKUP($T2878,'Nghi hoc T12'!$H$7:$I$160,2,0),0)</f>
        <v>0</v>
      </c>
      <c r="V2878" s="28"/>
      <c r="W2878" s="28">
        <f t="shared" si="247"/>
        <v>0</v>
      </c>
      <c r="X2878" s="333">
        <f t="shared" si="248"/>
        <v>0</v>
      </c>
      <c r="Y2878" s="333">
        <f t="shared" si="249"/>
        <v>0</v>
      </c>
    </row>
    <row r="2879" spans="1:25" s="2" customFormat="1" ht="21.95" customHeight="1">
      <c r="A2879" s="82">
        <v>16</v>
      </c>
      <c r="B2879" s="91" t="str">
        <f t="shared" si="250"/>
        <v>HT2-2.S</v>
      </c>
      <c r="C2879" s="83" t="s">
        <v>366</v>
      </c>
      <c r="D2879" s="81" t="s">
        <v>3010</v>
      </c>
      <c r="E2879" s="48">
        <v>500434</v>
      </c>
      <c r="F2879" s="30" t="s">
        <v>1830</v>
      </c>
      <c r="G2879" s="29" t="s">
        <v>84</v>
      </c>
      <c r="H2879" s="30" t="s">
        <v>3005</v>
      </c>
      <c r="I2879" s="78"/>
      <c r="J2879" s="20"/>
      <c r="K2879" s="20"/>
      <c r="L2879" s="20"/>
      <c r="M2879" s="20"/>
      <c r="N2879" s="69" t="s">
        <v>256</v>
      </c>
      <c r="O2879" s="70">
        <v>0</v>
      </c>
      <c r="P2879" s="70">
        <v>0</v>
      </c>
      <c r="Q2879" s="70">
        <f t="shared" si="245"/>
        <v>0</v>
      </c>
      <c r="R2879" s="70"/>
      <c r="S2879" s="67"/>
      <c r="T2879" s="2" t="str">
        <f t="shared" si="246"/>
        <v>Trần Thị Kiều Hân_12KT4</v>
      </c>
      <c r="U2879" s="28">
        <f t="array" ref="U2879">IFERROR(VLOOKUP($T2879,'Nghi hoc T12'!$H$7:$I$160,2,0),0)</f>
        <v>0</v>
      </c>
      <c r="V2879" s="28"/>
      <c r="W2879" s="28">
        <f t="shared" si="247"/>
        <v>0</v>
      </c>
      <c r="X2879" s="333">
        <f t="shared" si="248"/>
        <v>0</v>
      </c>
      <c r="Y2879" s="333">
        <f t="shared" si="249"/>
        <v>0</v>
      </c>
    </row>
    <row r="2880" spans="1:25" s="2" customFormat="1" ht="21.95" customHeight="1">
      <c r="A2880" s="82">
        <v>17</v>
      </c>
      <c r="B2880" s="91" t="str">
        <f t="shared" si="250"/>
        <v>HT2-2.S</v>
      </c>
      <c r="C2880" s="83" t="s">
        <v>366</v>
      </c>
      <c r="D2880" s="81" t="s">
        <v>3010</v>
      </c>
      <c r="E2880" s="48">
        <v>500435</v>
      </c>
      <c r="F2880" s="30" t="s">
        <v>2916</v>
      </c>
      <c r="G2880" s="29" t="s">
        <v>9</v>
      </c>
      <c r="H2880" s="30" t="s">
        <v>3007</v>
      </c>
      <c r="I2880" s="78"/>
      <c r="J2880" s="20"/>
      <c r="K2880" s="20"/>
      <c r="L2880" s="20"/>
      <c r="M2880" s="20"/>
      <c r="N2880" s="69" t="s">
        <v>256</v>
      </c>
      <c r="O2880" s="70">
        <v>0</v>
      </c>
      <c r="P2880" s="70">
        <v>0</v>
      </c>
      <c r="Q2880" s="70">
        <f t="shared" si="245"/>
        <v>0</v>
      </c>
      <c r="R2880" s="70"/>
      <c r="S2880" s="67"/>
      <c r="T2880" s="2" t="str">
        <f t="shared" si="246"/>
        <v>Lê Đăng Hiếu_12KT1</v>
      </c>
      <c r="U2880" s="28">
        <f t="array" ref="U2880">IFERROR(VLOOKUP($T2880,'Nghi hoc T12'!$H$7:$I$160,2,0),0)</f>
        <v>0</v>
      </c>
      <c r="V2880" s="28"/>
      <c r="W2880" s="28">
        <f t="shared" si="247"/>
        <v>0</v>
      </c>
      <c r="X2880" s="333">
        <f t="shared" si="248"/>
        <v>0</v>
      </c>
      <c r="Y2880" s="333">
        <f t="shared" si="249"/>
        <v>0</v>
      </c>
    </row>
    <row r="2881" spans="1:25" s="2" customFormat="1" ht="21.95" customHeight="1">
      <c r="A2881" s="82">
        <v>18</v>
      </c>
      <c r="B2881" s="91" t="str">
        <f t="shared" si="250"/>
        <v>HT2-2.S</v>
      </c>
      <c r="C2881" s="83" t="s">
        <v>366</v>
      </c>
      <c r="D2881" s="81" t="s">
        <v>3010</v>
      </c>
      <c r="E2881" s="48">
        <v>500436</v>
      </c>
      <c r="F2881" s="30" t="s">
        <v>234</v>
      </c>
      <c r="G2881" s="29" t="s">
        <v>9</v>
      </c>
      <c r="H2881" s="30" t="s">
        <v>3005</v>
      </c>
      <c r="I2881" s="78"/>
      <c r="J2881" s="20"/>
      <c r="K2881" s="20"/>
      <c r="L2881" s="20"/>
      <c r="M2881" s="20"/>
      <c r="N2881" s="69" t="s">
        <v>256</v>
      </c>
      <c r="O2881" s="70">
        <v>0</v>
      </c>
      <c r="P2881" s="70">
        <v>0</v>
      </c>
      <c r="Q2881" s="70">
        <f t="shared" si="245"/>
        <v>0</v>
      </c>
      <c r="R2881" s="70"/>
      <c r="S2881" s="67"/>
      <c r="T2881" s="2" t="str">
        <f t="shared" si="246"/>
        <v>Nguyễn Trọng Hiếu_12KT4</v>
      </c>
      <c r="U2881" s="28">
        <f t="array" ref="U2881">IFERROR(VLOOKUP($T2881,'Nghi hoc T12'!$H$7:$I$160,2,0),0)</f>
        <v>0</v>
      </c>
      <c r="V2881" s="28"/>
      <c r="W2881" s="28">
        <f t="shared" si="247"/>
        <v>0</v>
      </c>
      <c r="X2881" s="333">
        <f t="shared" si="248"/>
        <v>0</v>
      </c>
      <c r="Y2881" s="333">
        <f t="shared" si="249"/>
        <v>0</v>
      </c>
    </row>
    <row r="2882" spans="1:25" s="2" customFormat="1" ht="21.95" customHeight="1">
      <c r="A2882" s="82">
        <v>19</v>
      </c>
      <c r="B2882" s="91" t="str">
        <f t="shared" si="250"/>
        <v>HT2-2.S</v>
      </c>
      <c r="C2882" s="83" t="s">
        <v>366</v>
      </c>
      <c r="D2882" s="81" t="s">
        <v>3010</v>
      </c>
      <c r="E2882" s="48">
        <v>500437</v>
      </c>
      <c r="F2882" s="30" t="s">
        <v>1967</v>
      </c>
      <c r="G2882" s="29" t="s">
        <v>353</v>
      </c>
      <c r="H2882" s="30" t="s">
        <v>3007</v>
      </c>
      <c r="I2882" s="78"/>
      <c r="J2882" s="20"/>
      <c r="K2882" s="20"/>
      <c r="L2882" s="20"/>
      <c r="M2882" s="20"/>
      <c r="N2882" s="69" t="s">
        <v>256</v>
      </c>
      <c r="O2882" s="70">
        <v>0</v>
      </c>
      <c r="P2882" s="70">
        <v>0</v>
      </c>
      <c r="Q2882" s="70">
        <f t="shared" si="245"/>
        <v>0</v>
      </c>
      <c r="R2882" s="70"/>
      <c r="S2882" s="67"/>
      <c r="T2882" s="2" t="str">
        <f t="shared" si="246"/>
        <v>Huỳnh Hữu Hóa_12KT1</v>
      </c>
      <c r="U2882" s="28">
        <f t="array" ref="U2882">IFERROR(VLOOKUP($T2882,'Nghi hoc T12'!$H$7:$I$160,2,0),0)</f>
        <v>0</v>
      </c>
      <c r="V2882" s="28"/>
      <c r="W2882" s="28">
        <f t="shared" si="247"/>
        <v>0</v>
      </c>
      <c r="X2882" s="333">
        <f t="shared" si="248"/>
        <v>0</v>
      </c>
      <c r="Y2882" s="333">
        <f t="shared" si="249"/>
        <v>0</v>
      </c>
    </row>
    <row r="2883" spans="1:25" s="2" customFormat="1" ht="21.95" customHeight="1">
      <c r="A2883" s="82">
        <v>20</v>
      </c>
      <c r="B2883" s="91" t="str">
        <f t="shared" si="250"/>
        <v>HT2-2.S</v>
      </c>
      <c r="C2883" s="83" t="s">
        <v>366</v>
      </c>
      <c r="D2883" s="81" t="s">
        <v>3010</v>
      </c>
      <c r="E2883" s="48">
        <v>500438</v>
      </c>
      <c r="F2883" s="30" t="s">
        <v>2035</v>
      </c>
      <c r="G2883" s="29" t="s">
        <v>10</v>
      </c>
      <c r="H2883" s="30" t="s">
        <v>3006</v>
      </c>
      <c r="I2883" s="78"/>
      <c r="J2883" s="20"/>
      <c r="K2883" s="20"/>
      <c r="L2883" s="20"/>
      <c r="M2883" s="20"/>
      <c r="N2883" s="69" t="s">
        <v>256</v>
      </c>
      <c r="O2883" s="70">
        <v>0</v>
      </c>
      <c r="P2883" s="70">
        <v>0</v>
      </c>
      <c r="Q2883" s="70">
        <f t="shared" si="245"/>
        <v>0</v>
      </c>
      <c r="R2883" s="70"/>
      <c r="S2883" s="67"/>
      <c r="T2883" s="2" t="str">
        <f t="shared" si="246"/>
        <v>Nguyễn Huy Hoàng_12KT2</v>
      </c>
      <c r="U2883" s="28">
        <f t="array" ref="U2883">IFERROR(VLOOKUP($T2883,'Nghi hoc T12'!$H$7:$I$160,2,0),0)</f>
        <v>0</v>
      </c>
      <c r="V2883" s="28"/>
      <c r="W2883" s="28">
        <f t="shared" si="247"/>
        <v>0</v>
      </c>
      <c r="X2883" s="333">
        <f t="shared" si="248"/>
        <v>0</v>
      </c>
      <c r="Y2883" s="333">
        <f t="shared" si="249"/>
        <v>0</v>
      </c>
    </row>
    <row r="2884" spans="1:25" s="2" customFormat="1" ht="21.95" customHeight="1">
      <c r="A2884" s="82">
        <v>21</v>
      </c>
      <c r="B2884" s="91" t="str">
        <f t="shared" si="250"/>
        <v>HT2-2.S</v>
      </c>
      <c r="C2884" s="83" t="s">
        <v>366</v>
      </c>
      <c r="D2884" s="81" t="s">
        <v>3010</v>
      </c>
      <c r="E2884" s="48">
        <v>500439</v>
      </c>
      <c r="F2884" s="30" t="s">
        <v>2917</v>
      </c>
      <c r="G2884" s="29" t="s">
        <v>100</v>
      </c>
      <c r="H2884" s="30" t="s">
        <v>3006</v>
      </c>
      <c r="I2884" s="78"/>
      <c r="J2884" s="20"/>
      <c r="K2884" s="20"/>
      <c r="L2884" s="20"/>
      <c r="M2884" s="20"/>
      <c r="N2884" s="69" t="s">
        <v>256</v>
      </c>
      <c r="O2884" s="70">
        <v>0</v>
      </c>
      <c r="P2884" s="70">
        <v>0</v>
      </c>
      <c r="Q2884" s="70">
        <f t="shared" si="245"/>
        <v>0</v>
      </c>
      <c r="R2884" s="70"/>
      <c r="S2884" s="67"/>
      <c r="T2884" s="2" t="str">
        <f t="shared" si="246"/>
        <v>Phùng Văn Hùng_12KT2</v>
      </c>
      <c r="U2884" s="28">
        <f t="array" ref="U2884">IFERROR(VLOOKUP($T2884,'Nghi hoc T12'!$H$7:$I$160,2,0),0)</f>
        <v>0</v>
      </c>
      <c r="V2884" s="28"/>
      <c r="W2884" s="28">
        <f t="shared" si="247"/>
        <v>0</v>
      </c>
      <c r="X2884" s="333">
        <f t="shared" si="248"/>
        <v>0</v>
      </c>
      <c r="Y2884" s="333">
        <f t="shared" si="249"/>
        <v>0</v>
      </c>
    </row>
    <row r="2885" spans="1:25" s="2" customFormat="1" ht="21.95" customHeight="1">
      <c r="A2885" s="82">
        <v>22</v>
      </c>
      <c r="B2885" s="91" t="str">
        <f t="shared" si="250"/>
        <v>HT2-2.S</v>
      </c>
      <c r="C2885" s="83" t="s">
        <v>366</v>
      </c>
      <c r="D2885" s="81" t="s">
        <v>3010</v>
      </c>
      <c r="E2885" s="48">
        <v>500440</v>
      </c>
      <c r="F2885" s="30" t="s">
        <v>2918</v>
      </c>
      <c r="G2885" s="29" t="s">
        <v>11</v>
      </c>
      <c r="H2885" s="30" t="s">
        <v>3007</v>
      </c>
      <c r="I2885" s="78"/>
      <c r="J2885" s="20"/>
      <c r="K2885" s="20"/>
      <c r="L2885" s="20"/>
      <c r="M2885" s="20"/>
      <c r="N2885" s="69" t="s">
        <v>256</v>
      </c>
      <c r="O2885" s="70">
        <v>0</v>
      </c>
      <c r="P2885" s="70">
        <v>0</v>
      </c>
      <c r="Q2885" s="70">
        <f t="shared" si="245"/>
        <v>0</v>
      </c>
      <c r="R2885" s="70"/>
      <c r="S2885" s="67"/>
      <c r="T2885" s="2" t="str">
        <f t="shared" si="246"/>
        <v>Đinh Thế Quốc Huy_12KT1</v>
      </c>
      <c r="U2885" s="28">
        <f t="array" ref="U2885">IFERROR(VLOOKUP($T2885,'Nghi hoc T12'!$H$7:$I$160,2,0),0)</f>
        <v>0</v>
      </c>
      <c r="V2885" s="28"/>
      <c r="W2885" s="28">
        <f t="shared" si="247"/>
        <v>0</v>
      </c>
      <c r="X2885" s="333">
        <f t="shared" si="248"/>
        <v>0</v>
      </c>
      <c r="Y2885" s="333">
        <f t="shared" si="249"/>
        <v>0</v>
      </c>
    </row>
    <row r="2886" spans="1:25" s="2" customFormat="1" ht="21.95" customHeight="1">
      <c r="A2886" s="82">
        <v>23</v>
      </c>
      <c r="B2886" s="91" t="str">
        <f t="shared" si="250"/>
        <v>HT2-2.S</v>
      </c>
      <c r="C2886" s="83" t="s">
        <v>366</v>
      </c>
      <c r="D2886" s="81" t="s">
        <v>3010</v>
      </c>
      <c r="E2886" s="48">
        <v>500441</v>
      </c>
      <c r="F2886" s="30" t="s">
        <v>151</v>
      </c>
      <c r="G2886" s="29" t="s">
        <v>11</v>
      </c>
      <c r="H2886" s="30" t="s">
        <v>3005</v>
      </c>
      <c r="I2886" s="78"/>
      <c r="J2886" s="20"/>
      <c r="K2886" s="20"/>
      <c r="L2886" s="20"/>
      <c r="M2886" s="20"/>
      <c r="N2886" s="69" t="s">
        <v>256</v>
      </c>
      <c r="O2886" s="70">
        <v>0</v>
      </c>
      <c r="P2886" s="70">
        <v>0</v>
      </c>
      <c r="Q2886" s="70">
        <f t="shared" si="245"/>
        <v>0</v>
      </c>
      <c r="R2886" s="70"/>
      <c r="S2886" s="67"/>
      <c r="T2886" s="2" t="str">
        <f t="shared" si="246"/>
        <v>Nguyễn Hoàng Huy_12KT4</v>
      </c>
      <c r="U2886" s="28">
        <f t="array" ref="U2886">IFERROR(VLOOKUP($T2886,'Nghi hoc T12'!$H$7:$I$160,2,0),0)</f>
        <v>0</v>
      </c>
      <c r="V2886" s="28"/>
      <c r="W2886" s="28">
        <f t="shared" si="247"/>
        <v>0</v>
      </c>
      <c r="X2886" s="333">
        <f t="shared" si="248"/>
        <v>0</v>
      </c>
      <c r="Y2886" s="333">
        <f t="shared" si="249"/>
        <v>0</v>
      </c>
    </row>
    <row r="2887" spans="1:25" s="2" customFormat="1" ht="21.95" customHeight="1">
      <c r="A2887" s="82">
        <v>24</v>
      </c>
      <c r="B2887" s="91" t="str">
        <f t="shared" si="250"/>
        <v>HT2-2.S</v>
      </c>
      <c r="C2887" s="83" t="s">
        <v>366</v>
      </c>
      <c r="D2887" s="81" t="s">
        <v>3010</v>
      </c>
      <c r="E2887" s="48">
        <v>500442</v>
      </c>
      <c r="F2887" s="30" t="s">
        <v>327</v>
      </c>
      <c r="G2887" s="29" t="s">
        <v>11</v>
      </c>
      <c r="H2887" s="30" t="s">
        <v>3006</v>
      </c>
      <c r="I2887" s="78"/>
      <c r="J2887" s="20"/>
      <c r="K2887" s="20"/>
      <c r="L2887" s="20"/>
      <c r="M2887" s="20"/>
      <c r="N2887" s="69" t="s">
        <v>256</v>
      </c>
      <c r="O2887" s="70">
        <v>0</v>
      </c>
      <c r="P2887" s="70">
        <v>0</v>
      </c>
      <c r="Q2887" s="70">
        <f t="shared" si="245"/>
        <v>0</v>
      </c>
      <c r="R2887" s="70"/>
      <c r="S2887" s="67"/>
      <c r="T2887" s="2" t="str">
        <f t="shared" si="246"/>
        <v>Nguyễn Phương Huy_12KT2</v>
      </c>
      <c r="U2887" s="28">
        <f t="array" ref="U2887">IFERROR(VLOOKUP($T2887,'Nghi hoc T12'!$H$7:$I$160,2,0),0)</f>
        <v>0</v>
      </c>
      <c r="V2887" s="28"/>
      <c r="W2887" s="28">
        <f t="shared" si="247"/>
        <v>0</v>
      </c>
      <c r="X2887" s="333">
        <f t="shared" si="248"/>
        <v>0</v>
      </c>
      <c r="Y2887" s="333">
        <f t="shared" si="249"/>
        <v>0</v>
      </c>
    </row>
    <row r="2888" spans="1:25" s="2" customFormat="1" ht="21.95" customHeight="1">
      <c r="A2888" s="82">
        <v>25</v>
      </c>
      <c r="B2888" s="91" t="str">
        <f t="shared" si="250"/>
        <v>HT2-2.S</v>
      </c>
      <c r="C2888" s="83" t="s">
        <v>366</v>
      </c>
      <c r="D2888" s="81" t="s">
        <v>3010</v>
      </c>
      <c r="E2888" s="48">
        <v>500443</v>
      </c>
      <c r="F2888" s="30" t="s">
        <v>2919</v>
      </c>
      <c r="G2888" s="29" t="s">
        <v>11</v>
      </c>
      <c r="H2888" s="30" t="s">
        <v>3006</v>
      </c>
      <c r="I2888" s="78"/>
      <c r="J2888" s="20"/>
      <c r="K2888" s="20"/>
      <c r="L2888" s="20"/>
      <c r="M2888" s="20"/>
      <c r="N2888" s="69" t="s">
        <v>256</v>
      </c>
      <c r="O2888" s="70">
        <v>0</v>
      </c>
      <c r="P2888" s="70">
        <v>0</v>
      </c>
      <c r="Q2888" s="70">
        <f t="shared" si="245"/>
        <v>0</v>
      </c>
      <c r="R2888" s="70"/>
      <c r="S2888" s="67"/>
      <c r="T2888" s="2" t="str">
        <f t="shared" si="246"/>
        <v>Phạm Hoàng Nhật Huy_12KT2</v>
      </c>
      <c r="U2888" s="28">
        <f t="array" ref="U2888">IFERROR(VLOOKUP($T2888,'Nghi hoc T12'!$H$7:$I$160,2,0),0)</f>
        <v>0</v>
      </c>
      <c r="V2888" s="28"/>
      <c r="W2888" s="28">
        <f t="shared" si="247"/>
        <v>0</v>
      </c>
      <c r="X2888" s="333">
        <f t="shared" si="248"/>
        <v>0</v>
      </c>
      <c r="Y2888" s="333">
        <f t="shared" si="249"/>
        <v>0</v>
      </c>
    </row>
    <row r="2889" spans="1:25" s="2" customFormat="1" ht="21.95" customHeight="1">
      <c r="A2889" s="82">
        <v>26</v>
      </c>
      <c r="B2889" s="91" t="str">
        <f t="shared" si="250"/>
        <v>HT2-2.S</v>
      </c>
      <c r="C2889" s="83" t="s">
        <v>366</v>
      </c>
      <c r="D2889" s="81" t="s">
        <v>3010</v>
      </c>
      <c r="E2889" s="48">
        <v>500444</v>
      </c>
      <c r="F2889" s="30" t="s">
        <v>2920</v>
      </c>
      <c r="G2889" s="29" t="s">
        <v>11</v>
      </c>
      <c r="H2889" s="30" t="s">
        <v>3004</v>
      </c>
      <c r="I2889" s="78"/>
      <c r="J2889" s="20"/>
      <c r="K2889" s="20"/>
      <c r="L2889" s="20"/>
      <c r="M2889" s="20"/>
      <c r="N2889" s="69" t="s">
        <v>256</v>
      </c>
      <c r="O2889" s="70">
        <v>0</v>
      </c>
      <c r="P2889" s="70">
        <v>0</v>
      </c>
      <c r="Q2889" s="70">
        <f t="shared" si="245"/>
        <v>0</v>
      </c>
      <c r="R2889" s="70"/>
      <c r="S2889" s="67"/>
      <c r="T2889" s="2" t="str">
        <f t="shared" si="246"/>
        <v>Viên Gia Huy_12KT3</v>
      </c>
      <c r="U2889" s="28">
        <f t="array" ref="U2889">IFERROR(VLOOKUP($T2889,'Nghi hoc T12'!$H$7:$I$160,2,0),0)</f>
        <v>0</v>
      </c>
      <c r="V2889" s="28"/>
      <c r="W2889" s="28">
        <f t="shared" si="247"/>
        <v>0</v>
      </c>
      <c r="X2889" s="333">
        <f t="shared" si="248"/>
        <v>0</v>
      </c>
      <c r="Y2889" s="333">
        <f t="shared" si="249"/>
        <v>0</v>
      </c>
    </row>
    <row r="2890" spans="1:25" s="2" customFormat="1" ht="21.95" customHeight="1">
      <c r="A2890" s="82">
        <v>27</v>
      </c>
      <c r="B2890" s="91" t="str">
        <f t="shared" si="250"/>
        <v>HT2-2.S</v>
      </c>
      <c r="C2890" s="83" t="s">
        <v>366</v>
      </c>
      <c r="D2890" s="81" t="s">
        <v>3010</v>
      </c>
      <c r="E2890" s="48">
        <v>500445</v>
      </c>
      <c r="F2890" s="30" t="s">
        <v>2921</v>
      </c>
      <c r="G2890" s="29" t="s">
        <v>67</v>
      </c>
      <c r="H2890" s="30" t="s">
        <v>3004</v>
      </c>
      <c r="I2890" s="78"/>
      <c r="J2890" s="20"/>
      <c r="K2890" s="20"/>
      <c r="L2890" s="20"/>
      <c r="M2890" s="20"/>
      <c r="N2890" s="69" t="s">
        <v>256</v>
      </c>
      <c r="O2890" s="70">
        <v>0</v>
      </c>
      <c r="P2890" s="70">
        <v>0</v>
      </c>
      <c r="Q2890" s="70">
        <f t="shared" ref="Q2890:Q2953" si="251">U2890</f>
        <v>0</v>
      </c>
      <c r="R2890" s="70"/>
      <c r="S2890" s="67"/>
      <c r="T2890" s="2" t="str">
        <f t="shared" ref="T2890:T2953" si="252">TRIM(F2890&amp;" "&amp;G2890&amp;"_"&amp;H2890)</f>
        <v>Nguyễn Bùi Nhật Huyền_12KT3</v>
      </c>
      <c r="U2890" s="28">
        <f t="array" ref="U2890">IFERROR(VLOOKUP($T2890,'Nghi hoc T12'!$H$7:$I$160,2,0),0)</f>
        <v>0</v>
      </c>
      <c r="V2890" s="28"/>
      <c r="W2890" s="28">
        <f t="shared" ref="W2890:W2953" si="253">I2890</f>
        <v>0</v>
      </c>
      <c r="X2890" s="333">
        <f t="shared" ref="X2890:X2953" si="254">O2890</f>
        <v>0</v>
      </c>
      <c r="Y2890" s="333">
        <f t="shared" ref="Y2890:Y2953" si="255">P2890</f>
        <v>0</v>
      </c>
    </row>
    <row r="2891" spans="1:25" s="2" customFormat="1" ht="21.95" customHeight="1">
      <c r="A2891" s="321">
        <v>1</v>
      </c>
      <c r="B2891" s="91" t="str">
        <f t="shared" ref="B2891:B2954" si="256">RIGHT(D2891,LEN(D2891)-2)&amp;"."&amp;LEFT(N2891,1)</f>
        <v>HT2-3.S</v>
      </c>
      <c r="C2891" s="185" t="s">
        <v>366</v>
      </c>
      <c r="D2891" s="186" t="s">
        <v>3011</v>
      </c>
      <c r="E2891" s="187">
        <v>500446</v>
      </c>
      <c r="F2891" s="188" t="s">
        <v>2922</v>
      </c>
      <c r="G2891" s="189" t="s">
        <v>91</v>
      </c>
      <c r="H2891" s="188" t="s">
        <v>3004</v>
      </c>
      <c r="I2891" s="190"/>
      <c r="J2891" s="191"/>
      <c r="K2891" s="191"/>
      <c r="L2891" s="191"/>
      <c r="M2891" s="191"/>
      <c r="N2891" s="69" t="s">
        <v>256</v>
      </c>
      <c r="O2891" s="70">
        <v>0</v>
      </c>
      <c r="P2891" s="70">
        <v>0</v>
      </c>
      <c r="Q2891" s="70">
        <f t="shared" si="251"/>
        <v>0</v>
      </c>
      <c r="R2891" s="70"/>
      <c r="S2891" s="67"/>
      <c r="T2891" s="2" t="str">
        <f t="shared" si="252"/>
        <v>Lê Phúc Hưng_12KT3</v>
      </c>
      <c r="U2891" s="28">
        <f t="array" ref="U2891">IFERROR(VLOOKUP($T2891,'Nghi hoc T12'!$H$7:$I$160,2,0),0)</f>
        <v>0</v>
      </c>
      <c r="V2891" s="28"/>
      <c r="W2891" s="28">
        <f t="shared" si="253"/>
        <v>0</v>
      </c>
      <c r="X2891" s="333">
        <f t="shared" si="254"/>
        <v>0</v>
      </c>
      <c r="Y2891" s="333">
        <f t="shared" si="255"/>
        <v>0</v>
      </c>
    </row>
    <row r="2892" spans="1:25" s="2" customFormat="1" ht="21.95" customHeight="1">
      <c r="A2892" s="82">
        <v>2</v>
      </c>
      <c r="B2892" s="91" t="str">
        <f t="shared" si="256"/>
        <v>HT2-3.S</v>
      </c>
      <c r="C2892" s="83" t="s">
        <v>366</v>
      </c>
      <c r="D2892" s="81" t="s">
        <v>3011</v>
      </c>
      <c r="E2892" s="48">
        <v>500447</v>
      </c>
      <c r="F2892" s="30" t="s">
        <v>196</v>
      </c>
      <c r="G2892" s="29" t="s">
        <v>91</v>
      </c>
      <c r="H2892" s="30" t="s">
        <v>3005</v>
      </c>
      <c r="I2892" s="78"/>
      <c r="J2892" s="20"/>
      <c r="K2892" s="20"/>
      <c r="L2892" s="20"/>
      <c r="M2892" s="20"/>
      <c r="N2892" s="69" t="s">
        <v>256</v>
      </c>
      <c r="O2892" s="70">
        <v>0</v>
      </c>
      <c r="P2892" s="70">
        <v>0</v>
      </c>
      <c r="Q2892" s="70">
        <f t="shared" si="251"/>
        <v>0</v>
      </c>
      <c r="R2892" s="70"/>
      <c r="S2892" s="67"/>
      <c r="T2892" s="2" t="str">
        <f t="shared" si="252"/>
        <v>Trần Gia Hưng_12KT4</v>
      </c>
      <c r="U2892" s="28">
        <f t="array" ref="U2892">IFERROR(VLOOKUP($T2892,'Nghi hoc T12'!$H$7:$I$160,2,0),0)</f>
        <v>0</v>
      </c>
      <c r="V2892" s="28"/>
      <c r="W2892" s="28">
        <f t="shared" si="253"/>
        <v>0</v>
      </c>
      <c r="X2892" s="333">
        <f t="shared" si="254"/>
        <v>0</v>
      </c>
      <c r="Y2892" s="333">
        <f t="shared" si="255"/>
        <v>0</v>
      </c>
    </row>
    <row r="2893" spans="1:25" s="2" customFormat="1" ht="21.95" customHeight="1">
      <c r="A2893" s="82">
        <v>3</v>
      </c>
      <c r="B2893" s="91" t="str">
        <f t="shared" si="256"/>
        <v>HT2-3.S</v>
      </c>
      <c r="C2893" s="83" t="s">
        <v>366</v>
      </c>
      <c r="D2893" s="81" t="s">
        <v>3011</v>
      </c>
      <c r="E2893" s="48">
        <v>500448</v>
      </c>
      <c r="F2893" s="30" t="s">
        <v>262</v>
      </c>
      <c r="G2893" s="29" t="s">
        <v>54</v>
      </c>
      <c r="H2893" s="30" t="s">
        <v>3004</v>
      </c>
      <c r="I2893" s="78"/>
      <c r="J2893" s="20"/>
      <c r="K2893" s="20"/>
      <c r="L2893" s="20"/>
      <c r="M2893" s="20"/>
      <c r="N2893" s="69" t="s">
        <v>256</v>
      </c>
      <c r="O2893" s="70">
        <v>0</v>
      </c>
      <c r="P2893" s="70">
        <v>0</v>
      </c>
      <c r="Q2893" s="70">
        <f t="shared" si="251"/>
        <v>0</v>
      </c>
      <c r="R2893" s="70"/>
      <c r="S2893" s="67"/>
      <c r="T2893" s="2" t="str">
        <f t="shared" si="252"/>
        <v>Trần Quỳnh Hương_12KT3</v>
      </c>
      <c r="U2893" s="28">
        <f t="array" ref="U2893">IFERROR(VLOOKUP($T2893,'Nghi hoc T12'!$H$7:$I$160,2,0),0)</f>
        <v>0</v>
      </c>
      <c r="V2893" s="28"/>
      <c r="W2893" s="28">
        <f t="shared" si="253"/>
        <v>0</v>
      </c>
      <c r="X2893" s="333">
        <f t="shared" si="254"/>
        <v>0</v>
      </c>
      <c r="Y2893" s="333">
        <f t="shared" si="255"/>
        <v>0</v>
      </c>
    </row>
    <row r="2894" spans="1:25" s="2" customFormat="1" ht="21.95" customHeight="1">
      <c r="A2894" s="82">
        <v>4</v>
      </c>
      <c r="B2894" s="91" t="str">
        <f t="shared" si="256"/>
        <v>HT2-3.S</v>
      </c>
      <c r="C2894" s="83" t="s">
        <v>366</v>
      </c>
      <c r="D2894" s="81" t="s">
        <v>3011</v>
      </c>
      <c r="E2894" s="48">
        <v>500449</v>
      </c>
      <c r="F2894" s="30" t="s">
        <v>2923</v>
      </c>
      <c r="G2894" s="29" t="s">
        <v>79</v>
      </c>
      <c r="H2894" s="30" t="s">
        <v>3007</v>
      </c>
      <c r="I2894" s="78"/>
      <c r="J2894" s="20"/>
      <c r="K2894" s="20"/>
      <c r="L2894" s="20"/>
      <c r="M2894" s="20"/>
      <c r="N2894" s="69" t="s">
        <v>256</v>
      </c>
      <c r="O2894" s="70">
        <v>0</v>
      </c>
      <c r="P2894" s="70">
        <v>0</v>
      </c>
      <c r="Q2894" s="70">
        <f t="shared" si="251"/>
        <v>0</v>
      </c>
      <c r="R2894" s="70"/>
      <c r="S2894" s="67"/>
      <c r="T2894" s="2" t="str">
        <f t="shared" si="252"/>
        <v>Thạch Nhất Khang_12KT1</v>
      </c>
      <c r="U2894" s="28">
        <f t="array" ref="U2894">IFERROR(VLOOKUP($T2894,'Nghi hoc T12'!$H$7:$I$160,2,0),0)</f>
        <v>0</v>
      </c>
      <c r="V2894" s="28"/>
      <c r="W2894" s="28">
        <f t="shared" si="253"/>
        <v>0</v>
      </c>
      <c r="X2894" s="333">
        <f t="shared" si="254"/>
        <v>0</v>
      </c>
      <c r="Y2894" s="333">
        <f t="shared" si="255"/>
        <v>0</v>
      </c>
    </row>
    <row r="2895" spans="1:25" s="2" customFormat="1" ht="21.95" customHeight="1">
      <c r="A2895" s="82">
        <v>5</v>
      </c>
      <c r="B2895" s="91" t="str">
        <f t="shared" si="256"/>
        <v>HT2-3.S</v>
      </c>
      <c r="C2895" s="83" t="s">
        <v>366</v>
      </c>
      <c r="D2895" s="81" t="s">
        <v>3011</v>
      </c>
      <c r="E2895" s="48">
        <v>500450</v>
      </c>
      <c r="F2895" s="30" t="s">
        <v>156</v>
      </c>
      <c r="G2895" s="29" t="s">
        <v>79</v>
      </c>
      <c r="H2895" s="30" t="s">
        <v>3005</v>
      </c>
      <c r="I2895" s="78"/>
      <c r="J2895" s="20"/>
      <c r="K2895" s="20"/>
      <c r="L2895" s="20"/>
      <c r="M2895" s="20"/>
      <c r="N2895" s="69" t="s">
        <v>256</v>
      </c>
      <c r="O2895" s="70">
        <v>0</v>
      </c>
      <c r="P2895" s="70">
        <v>0</v>
      </c>
      <c r="Q2895" s="70">
        <f t="shared" si="251"/>
        <v>0</v>
      </c>
      <c r="R2895" s="70"/>
      <c r="S2895" s="67"/>
      <c r="T2895" s="2" t="str">
        <f t="shared" si="252"/>
        <v>Trần Minh Khang_12KT4</v>
      </c>
      <c r="U2895" s="28">
        <f t="array" ref="U2895">IFERROR(VLOOKUP($T2895,'Nghi hoc T12'!$H$7:$I$160,2,0),0)</f>
        <v>0</v>
      </c>
      <c r="V2895" s="28"/>
      <c r="W2895" s="28">
        <f t="shared" si="253"/>
        <v>0</v>
      </c>
      <c r="X2895" s="333">
        <f t="shared" si="254"/>
        <v>0</v>
      </c>
      <c r="Y2895" s="333">
        <f t="shared" si="255"/>
        <v>0</v>
      </c>
    </row>
    <row r="2896" spans="1:25" s="2" customFormat="1" ht="21.95" customHeight="1">
      <c r="A2896" s="82">
        <v>6</v>
      </c>
      <c r="B2896" s="91" t="str">
        <f t="shared" si="256"/>
        <v>HT2-3.S</v>
      </c>
      <c r="C2896" s="83" t="s">
        <v>366</v>
      </c>
      <c r="D2896" s="81" t="s">
        <v>3011</v>
      </c>
      <c r="E2896" s="48">
        <v>500451</v>
      </c>
      <c r="F2896" s="30" t="s">
        <v>352</v>
      </c>
      <c r="G2896" s="29" t="s">
        <v>1196</v>
      </c>
      <c r="H2896" s="30" t="s">
        <v>3006</v>
      </c>
      <c r="I2896" s="78"/>
      <c r="J2896" s="20"/>
      <c r="K2896" s="20"/>
      <c r="L2896" s="20"/>
      <c r="M2896" s="20"/>
      <c r="N2896" s="69" t="s">
        <v>256</v>
      </c>
      <c r="O2896" s="70">
        <v>0</v>
      </c>
      <c r="P2896" s="70">
        <v>0</v>
      </c>
      <c r="Q2896" s="70">
        <f t="shared" si="251"/>
        <v>0</v>
      </c>
      <c r="R2896" s="70"/>
      <c r="S2896" s="67"/>
      <c r="T2896" s="2" t="str">
        <f t="shared" si="252"/>
        <v>Nguyễn Kiều Khanh_12KT2</v>
      </c>
      <c r="U2896" s="28">
        <f t="array" ref="U2896">IFERROR(VLOOKUP($T2896,'Nghi hoc T12'!$H$7:$I$160,2,0),0)</f>
        <v>0</v>
      </c>
      <c r="V2896" s="28"/>
      <c r="W2896" s="28">
        <f t="shared" si="253"/>
        <v>0</v>
      </c>
      <c r="X2896" s="333">
        <f t="shared" si="254"/>
        <v>0</v>
      </c>
      <c r="Y2896" s="333">
        <f t="shared" si="255"/>
        <v>0</v>
      </c>
    </row>
    <row r="2897" spans="1:25" s="2" customFormat="1" ht="21.95" customHeight="1">
      <c r="A2897" s="82">
        <v>7</v>
      </c>
      <c r="B2897" s="91" t="str">
        <f t="shared" si="256"/>
        <v>HT2-3.S</v>
      </c>
      <c r="C2897" s="83" t="s">
        <v>366</v>
      </c>
      <c r="D2897" s="81" t="s">
        <v>3011</v>
      </c>
      <c r="E2897" s="48">
        <v>500452</v>
      </c>
      <c r="F2897" s="30" t="s">
        <v>165</v>
      </c>
      <c r="G2897" s="29" t="s">
        <v>94</v>
      </c>
      <c r="H2897" s="30" t="s">
        <v>3004</v>
      </c>
      <c r="I2897" s="78"/>
      <c r="J2897" s="20"/>
      <c r="K2897" s="20"/>
      <c r="L2897" s="20"/>
      <c r="M2897" s="20"/>
      <c r="N2897" s="69" t="s">
        <v>256</v>
      </c>
      <c r="O2897" s="70">
        <v>0</v>
      </c>
      <c r="P2897" s="70">
        <v>0</v>
      </c>
      <c r="Q2897" s="70">
        <f t="shared" si="251"/>
        <v>0</v>
      </c>
      <c r="R2897" s="70"/>
      <c r="S2897" s="67"/>
      <c r="T2897" s="2" t="str">
        <f t="shared" si="252"/>
        <v>Nguyễn Đức Khánh_12KT3</v>
      </c>
      <c r="U2897" s="28">
        <f t="array" ref="U2897">IFERROR(VLOOKUP($T2897,'Nghi hoc T12'!$H$7:$I$160,2,0),0)</f>
        <v>0</v>
      </c>
      <c r="V2897" s="28"/>
      <c r="W2897" s="28">
        <f t="shared" si="253"/>
        <v>0</v>
      </c>
      <c r="X2897" s="333">
        <f t="shared" si="254"/>
        <v>0</v>
      </c>
      <c r="Y2897" s="333">
        <f t="shared" si="255"/>
        <v>0</v>
      </c>
    </row>
    <row r="2898" spans="1:25" s="2" customFormat="1" ht="21.95" customHeight="1">
      <c r="A2898" s="82">
        <v>8</v>
      </c>
      <c r="B2898" s="91" t="str">
        <f t="shared" si="256"/>
        <v>HT2-3.S</v>
      </c>
      <c r="C2898" s="83" t="s">
        <v>366</v>
      </c>
      <c r="D2898" s="81" t="s">
        <v>3011</v>
      </c>
      <c r="E2898" s="48">
        <v>500453</v>
      </c>
      <c r="F2898" s="30" t="s">
        <v>2924</v>
      </c>
      <c r="G2898" s="29" t="s">
        <v>55</v>
      </c>
      <c r="H2898" s="30" t="s">
        <v>3005</v>
      </c>
      <c r="I2898" s="78"/>
      <c r="J2898" s="20"/>
      <c r="K2898" s="20"/>
      <c r="L2898" s="20"/>
      <c r="M2898" s="20"/>
      <c r="N2898" s="69" t="s">
        <v>256</v>
      </c>
      <c r="O2898" s="70">
        <v>0</v>
      </c>
      <c r="P2898" s="70">
        <v>0</v>
      </c>
      <c r="Q2898" s="70">
        <f t="shared" si="251"/>
        <v>0</v>
      </c>
      <c r="R2898" s="70"/>
      <c r="S2898" s="67"/>
      <c r="T2898" s="2" t="str">
        <f t="shared" si="252"/>
        <v>Lâm Đăng Khoa_12KT4</v>
      </c>
      <c r="U2898" s="28">
        <f t="array" ref="U2898">IFERROR(VLOOKUP($T2898,'Nghi hoc T12'!$H$7:$I$160,2,0),0)</f>
        <v>0</v>
      </c>
      <c r="V2898" s="28"/>
      <c r="W2898" s="28">
        <f t="shared" si="253"/>
        <v>0</v>
      </c>
      <c r="X2898" s="333">
        <f t="shared" si="254"/>
        <v>0</v>
      </c>
      <c r="Y2898" s="333">
        <f t="shared" si="255"/>
        <v>0</v>
      </c>
    </row>
    <row r="2899" spans="1:25" s="2" customFormat="1" ht="21.95" customHeight="1">
      <c r="A2899" s="82">
        <v>9</v>
      </c>
      <c r="B2899" s="91" t="str">
        <f t="shared" si="256"/>
        <v>HT2-3.S</v>
      </c>
      <c r="C2899" s="83" t="s">
        <v>366</v>
      </c>
      <c r="D2899" s="81" t="s">
        <v>3011</v>
      </c>
      <c r="E2899" s="48">
        <v>500454</v>
      </c>
      <c r="F2899" s="30" t="s">
        <v>2925</v>
      </c>
      <c r="G2899" s="29" t="s">
        <v>13</v>
      </c>
      <c r="H2899" s="30" t="s">
        <v>3005</v>
      </c>
      <c r="I2899" s="78"/>
      <c r="J2899" s="20"/>
      <c r="K2899" s="20"/>
      <c r="L2899" s="20"/>
      <c r="M2899" s="20"/>
      <c r="N2899" s="69" t="s">
        <v>256</v>
      </c>
      <c r="O2899" s="70">
        <v>0</v>
      </c>
      <c r="P2899" s="70">
        <v>0</v>
      </c>
      <c r="Q2899" s="70">
        <f t="shared" si="251"/>
        <v>0</v>
      </c>
      <c r="R2899" s="70"/>
      <c r="S2899" s="67"/>
      <c r="T2899" s="2" t="str">
        <f t="shared" si="252"/>
        <v>Hồ Trần Minh Khôi_12KT4</v>
      </c>
      <c r="U2899" s="28">
        <f t="array" ref="U2899">IFERROR(VLOOKUP($T2899,'Nghi hoc T12'!$H$7:$I$160,2,0),0)</f>
        <v>0</v>
      </c>
      <c r="V2899" s="28"/>
      <c r="W2899" s="28">
        <f t="shared" si="253"/>
        <v>0</v>
      </c>
      <c r="X2899" s="333">
        <f t="shared" si="254"/>
        <v>0</v>
      </c>
      <c r="Y2899" s="333">
        <f t="shared" si="255"/>
        <v>0</v>
      </c>
    </row>
    <row r="2900" spans="1:25" s="2" customFormat="1" ht="21.95" customHeight="1">
      <c r="A2900" s="82">
        <v>10</v>
      </c>
      <c r="B2900" s="91" t="str">
        <f t="shared" si="256"/>
        <v>HT2-3.S</v>
      </c>
      <c r="C2900" s="83" t="s">
        <v>366</v>
      </c>
      <c r="D2900" s="81" t="s">
        <v>3011</v>
      </c>
      <c r="E2900" s="48">
        <v>500455</v>
      </c>
      <c r="F2900" s="30" t="s">
        <v>148</v>
      </c>
      <c r="G2900" s="29" t="s">
        <v>13</v>
      </c>
      <c r="H2900" s="30" t="s">
        <v>3007</v>
      </c>
      <c r="I2900" s="78"/>
      <c r="J2900" s="20"/>
      <c r="K2900" s="20"/>
      <c r="L2900" s="20"/>
      <c r="M2900" s="20"/>
      <c r="N2900" s="69" t="s">
        <v>256</v>
      </c>
      <c r="O2900" s="70">
        <v>0</v>
      </c>
      <c r="P2900" s="70">
        <v>0</v>
      </c>
      <c r="Q2900" s="70">
        <f t="shared" si="251"/>
        <v>0</v>
      </c>
      <c r="R2900" s="70"/>
      <c r="S2900" s="67"/>
      <c r="T2900" s="2" t="str">
        <f t="shared" si="252"/>
        <v>Nguyễn Anh Khôi_12KT1</v>
      </c>
      <c r="U2900" s="28">
        <f t="array" ref="U2900">IFERROR(VLOOKUP($T2900,'Nghi hoc T12'!$H$7:$I$160,2,0),0)</f>
        <v>0</v>
      </c>
      <c r="V2900" s="28"/>
      <c r="W2900" s="28">
        <f t="shared" si="253"/>
        <v>0</v>
      </c>
      <c r="X2900" s="333">
        <f t="shared" si="254"/>
        <v>0</v>
      </c>
      <c r="Y2900" s="333">
        <f t="shared" si="255"/>
        <v>0</v>
      </c>
    </row>
    <row r="2901" spans="1:25" s="2" customFormat="1" ht="21.95" customHeight="1">
      <c r="A2901" s="82">
        <v>11</v>
      </c>
      <c r="B2901" s="91" t="str">
        <f t="shared" si="256"/>
        <v>HT2-3.S</v>
      </c>
      <c r="C2901" s="83" t="s">
        <v>366</v>
      </c>
      <c r="D2901" s="81" t="s">
        <v>3011</v>
      </c>
      <c r="E2901" s="48">
        <v>500456</v>
      </c>
      <c r="F2901" s="30" t="s">
        <v>2926</v>
      </c>
      <c r="G2901" s="29" t="s">
        <v>13</v>
      </c>
      <c r="H2901" s="30" t="s">
        <v>3007</v>
      </c>
      <c r="I2901" s="78"/>
      <c r="J2901" s="20"/>
      <c r="K2901" s="20"/>
      <c r="L2901" s="20"/>
      <c r="M2901" s="20"/>
      <c r="N2901" s="69" t="s">
        <v>256</v>
      </c>
      <c r="O2901" s="70">
        <v>0</v>
      </c>
      <c r="P2901" s="70">
        <v>0</v>
      </c>
      <c r="Q2901" s="70">
        <f t="shared" si="251"/>
        <v>0</v>
      </c>
      <c r="R2901" s="70"/>
      <c r="S2901" s="67"/>
      <c r="T2901" s="2" t="str">
        <f t="shared" si="252"/>
        <v>Trịnh Đình Khôi_12KT1</v>
      </c>
      <c r="U2901" s="28">
        <f t="array" ref="U2901">IFERROR(VLOOKUP($T2901,'Nghi hoc T12'!$H$7:$I$160,2,0),0)</f>
        <v>0</v>
      </c>
      <c r="V2901" s="28"/>
      <c r="W2901" s="28">
        <f t="shared" si="253"/>
        <v>0</v>
      </c>
      <c r="X2901" s="333">
        <f t="shared" si="254"/>
        <v>0</v>
      </c>
      <c r="Y2901" s="333">
        <f t="shared" si="255"/>
        <v>0</v>
      </c>
    </row>
    <row r="2902" spans="1:25" s="2" customFormat="1" ht="21.95" customHeight="1">
      <c r="A2902" s="82">
        <v>12</v>
      </c>
      <c r="B2902" s="91" t="str">
        <f t="shared" si="256"/>
        <v>HT2-3.S</v>
      </c>
      <c r="C2902" s="83" t="s">
        <v>366</v>
      </c>
      <c r="D2902" s="81" t="s">
        <v>3011</v>
      </c>
      <c r="E2902" s="48">
        <v>500457</v>
      </c>
      <c r="F2902" s="30" t="s">
        <v>2927</v>
      </c>
      <c r="G2902" s="29" t="s">
        <v>68</v>
      </c>
      <c r="H2902" s="30" t="s">
        <v>3007</v>
      </c>
      <c r="I2902" s="78"/>
      <c r="J2902" s="20"/>
      <c r="K2902" s="20"/>
      <c r="L2902" s="20"/>
      <c r="M2902" s="20"/>
      <c r="N2902" s="69" t="s">
        <v>256</v>
      </c>
      <c r="O2902" s="70">
        <v>0</v>
      </c>
      <c r="P2902" s="70">
        <v>0</v>
      </c>
      <c r="Q2902" s="70">
        <f t="shared" si="251"/>
        <v>0</v>
      </c>
      <c r="R2902" s="70"/>
      <c r="S2902" s="67"/>
      <c r="T2902" s="2" t="str">
        <f t="shared" si="252"/>
        <v>Đinh Anh Kiệt_12KT1</v>
      </c>
      <c r="U2902" s="28">
        <f t="array" ref="U2902">IFERROR(VLOOKUP($T2902,'Nghi hoc T12'!$H$7:$I$160,2,0),0)</f>
        <v>0</v>
      </c>
      <c r="V2902" s="28"/>
      <c r="W2902" s="28">
        <f t="shared" si="253"/>
        <v>0</v>
      </c>
      <c r="X2902" s="333">
        <f t="shared" si="254"/>
        <v>0</v>
      </c>
      <c r="Y2902" s="333">
        <f t="shared" si="255"/>
        <v>0</v>
      </c>
    </row>
    <row r="2903" spans="1:25" s="2" customFormat="1" ht="21.95" customHeight="1">
      <c r="A2903" s="82">
        <v>13</v>
      </c>
      <c r="B2903" s="91" t="str">
        <f t="shared" si="256"/>
        <v>HT2-3.S</v>
      </c>
      <c r="C2903" s="83" t="s">
        <v>366</v>
      </c>
      <c r="D2903" s="81" t="s">
        <v>3011</v>
      </c>
      <c r="E2903" s="48">
        <v>500458</v>
      </c>
      <c r="F2903" s="30" t="s">
        <v>2928</v>
      </c>
      <c r="G2903" s="29" t="s">
        <v>68</v>
      </c>
      <c r="H2903" s="30" t="s">
        <v>3004</v>
      </c>
      <c r="I2903" s="78"/>
      <c r="J2903" s="20"/>
      <c r="K2903" s="20"/>
      <c r="L2903" s="20"/>
      <c r="M2903" s="20"/>
      <c r="N2903" s="69" t="s">
        <v>256</v>
      </c>
      <c r="O2903" s="70">
        <v>0</v>
      </c>
      <c r="P2903" s="70">
        <v>0</v>
      </c>
      <c r="Q2903" s="70">
        <f t="shared" si="251"/>
        <v>0</v>
      </c>
      <c r="R2903" s="70"/>
      <c r="S2903" s="67"/>
      <c r="T2903" s="2" t="str">
        <f t="shared" si="252"/>
        <v>Đỗ Quốc Kiệt_12KT3</v>
      </c>
      <c r="U2903" s="28">
        <f t="array" ref="U2903">IFERROR(VLOOKUP($T2903,'Nghi hoc T12'!$H$7:$I$160,2,0),0)</f>
        <v>0</v>
      </c>
      <c r="V2903" s="28"/>
      <c r="W2903" s="28">
        <f t="shared" si="253"/>
        <v>0</v>
      </c>
      <c r="X2903" s="333">
        <f t="shared" si="254"/>
        <v>0</v>
      </c>
      <c r="Y2903" s="333">
        <f t="shared" si="255"/>
        <v>0</v>
      </c>
    </row>
    <row r="2904" spans="1:25" s="2" customFormat="1" ht="21.95" customHeight="1">
      <c r="A2904" s="82">
        <v>14</v>
      </c>
      <c r="B2904" s="91" t="str">
        <f t="shared" si="256"/>
        <v>HT2-3.S</v>
      </c>
      <c r="C2904" s="83" t="s">
        <v>366</v>
      </c>
      <c r="D2904" s="81" t="s">
        <v>3011</v>
      </c>
      <c r="E2904" s="48">
        <v>500459</v>
      </c>
      <c r="F2904" s="30" t="s">
        <v>296</v>
      </c>
      <c r="G2904" s="29" t="s">
        <v>68</v>
      </c>
      <c r="H2904" s="30" t="s">
        <v>3006</v>
      </c>
      <c r="I2904" s="78"/>
      <c r="J2904" s="20"/>
      <c r="K2904" s="20"/>
      <c r="L2904" s="20"/>
      <c r="M2904" s="20"/>
      <c r="N2904" s="69" t="s">
        <v>256</v>
      </c>
      <c r="O2904" s="70">
        <v>0</v>
      </c>
      <c r="P2904" s="70">
        <v>0</v>
      </c>
      <c r="Q2904" s="70">
        <f t="shared" si="251"/>
        <v>0</v>
      </c>
      <c r="R2904" s="70"/>
      <c r="S2904" s="67"/>
      <c r="T2904" s="2" t="str">
        <f t="shared" si="252"/>
        <v>Lâm Gia Kiệt_12KT2</v>
      </c>
      <c r="U2904" s="28">
        <f t="array" ref="U2904">IFERROR(VLOOKUP($T2904,'Nghi hoc T12'!$H$7:$I$160,2,0),0)</f>
        <v>0</v>
      </c>
      <c r="V2904" s="28"/>
      <c r="W2904" s="28">
        <f t="shared" si="253"/>
        <v>0</v>
      </c>
      <c r="X2904" s="333">
        <f t="shared" si="254"/>
        <v>0</v>
      </c>
      <c r="Y2904" s="333">
        <f t="shared" si="255"/>
        <v>0</v>
      </c>
    </row>
    <row r="2905" spans="1:25" s="2" customFormat="1" ht="21.95" customHeight="1">
      <c r="A2905" s="82">
        <v>15</v>
      </c>
      <c r="B2905" s="91" t="str">
        <f t="shared" si="256"/>
        <v>HT2-3.S</v>
      </c>
      <c r="C2905" s="83" t="s">
        <v>366</v>
      </c>
      <c r="D2905" s="81" t="s">
        <v>3011</v>
      </c>
      <c r="E2905" s="48">
        <v>500460</v>
      </c>
      <c r="F2905" s="30" t="s">
        <v>165</v>
      </c>
      <c r="G2905" s="29" t="s">
        <v>68</v>
      </c>
      <c r="H2905" s="30" t="s">
        <v>3006</v>
      </c>
      <c r="I2905" s="78"/>
      <c r="J2905" s="20"/>
      <c r="K2905" s="20"/>
      <c r="L2905" s="20"/>
      <c r="M2905" s="20"/>
      <c r="N2905" s="69" t="s">
        <v>256</v>
      </c>
      <c r="O2905" s="70">
        <v>0</v>
      </c>
      <c r="P2905" s="70">
        <v>0</v>
      </c>
      <c r="Q2905" s="70">
        <f t="shared" si="251"/>
        <v>0</v>
      </c>
      <c r="R2905" s="70"/>
      <c r="S2905" s="67"/>
      <c r="T2905" s="2" t="str">
        <f t="shared" si="252"/>
        <v>Nguyễn Đức Kiệt_12KT2</v>
      </c>
      <c r="U2905" s="28">
        <f t="array" ref="U2905">IFERROR(VLOOKUP($T2905,'Nghi hoc T12'!$H$7:$I$160,2,0),0)</f>
        <v>0</v>
      </c>
      <c r="V2905" s="28"/>
      <c r="W2905" s="28">
        <f t="shared" si="253"/>
        <v>0</v>
      </c>
      <c r="X2905" s="333">
        <f t="shared" si="254"/>
        <v>0</v>
      </c>
      <c r="Y2905" s="333">
        <f t="shared" si="255"/>
        <v>0</v>
      </c>
    </row>
    <row r="2906" spans="1:25" s="2" customFormat="1" ht="21.95" customHeight="1">
      <c r="A2906" s="82">
        <v>16</v>
      </c>
      <c r="B2906" s="91" t="str">
        <f t="shared" si="256"/>
        <v>HT2-3.S</v>
      </c>
      <c r="C2906" s="83" t="s">
        <v>366</v>
      </c>
      <c r="D2906" s="81" t="s">
        <v>3011</v>
      </c>
      <c r="E2906" s="48">
        <v>500461</v>
      </c>
      <c r="F2906" s="30" t="s">
        <v>2929</v>
      </c>
      <c r="G2906" s="29" t="s">
        <v>68</v>
      </c>
      <c r="H2906" s="30" t="s">
        <v>3006</v>
      </c>
      <c r="I2906" s="78"/>
      <c r="J2906" s="20"/>
      <c r="K2906" s="20"/>
      <c r="L2906" s="20"/>
      <c r="M2906" s="20"/>
      <c r="N2906" s="69" t="s">
        <v>256</v>
      </c>
      <c r="O2906" s="70">
        <v>0</v>
      </c>
      <c r="P2906" s="70">
        <v>0</v>
      </c>
      <c r="Q2906" s="70">
        <f t="shared" si="251"/>
        <v>0</v>
      </c>
      <c r="R2906" s="70"/>
      <c r="S2906" s="67"/>
      <c r="T2906" s="2" t="str">
        <f t="shared" si="252"/>
        <v>Vòng Vĩnh Kiệt_12KT2</v>
      </c>
      <c r="U2906" s="28">
        <f t="array" ref="U2906">IFERROR(VLOOKUP($T2906,'Nghi hoc T12'!$H$7:$I$160,2,0),0)</f>
        <v>0</v>
      </c>
      <c r="V2906" s="28"/>
      <c r="W2906" s="28">
        <f t="shared" si="253"/>
        <v>0</v>
      </c>
      <c r="X2906" s="333">
        <f t="shared" si="254"/>
        <v>0</v>
      </c>
      <c r="Y2906" s="333">
        <f t="shared" si="255"/>
        <v>0</v>
      </c>
    </row>
    <row r="2907" spans="1:25" s="2" customFormat="1" ht="21.95" customHeight="1">
      <c r="A2907" s="82">
        <v>17</v>
      </c>
      <c r="B2907" s="91" t="str">
        <f t="shared" si="256"/>
        <v>HT2-3.S</v>
      </c>
      <c r="C2907" s="83" t="s">
        <v>366</v>
      </c>
      <c r="D2907" s="81" t="s">
        <v>3011</v>
      </c>
      <c r="E2907" s="48">
        <v>500462</v>
      </c>
      <c r="F2907" s="30" t="s">
        <v>1144</v>
      </c>
      <c r="G2907" s="29" t="s">
        <v>311</v>
      </c>
      <c r="H2907" s="30" t="s">
        <v>3004</v>
      </c>
      <c r="I2907" s="78"/>
      <c r="J2907" s="20"/>
      <c r="K2907" s="20"/>
      <c r="L2907" s="20"/>
      <c r="M2907" s="20"/>
      <c r="N2907" s="69" t="s">
        <v>256</v>
      </c>
      <c r="O2907" s="70">
        <v>0</v>
      </c>
      <c r="P2907" s="70">
        <v>0</v>
      </c>
      <c r="Q2907" s="70">
        <f t="shared" si="251"/>
        <v>0</v>
      </c>
      <c r="R2907" s="70"/>
      <c r="S2907" s="67"/>
      <c r="T2907" s="2" t="str">
        <f t="shared" si="252"/>
        <v>Huỳnh Gia Kỳ_12KT3</v>
      </c>
      <c r="U2907" s="28">
        <f t="array" ref="U2907">IFERROR(VLOOKUP($T2907,'Nghi hoc T12'!$H$7:$I$160,2,0),0)</f>
        <v>0</v>
      </c>
      <c r="V2907" s="28"/>
      <c r="W2907" s="28">
        <f t="shared" si="253"/>
        <v>0</v>
      </c>
      <c r="X2907" s="333">
        <f t="shared" si="254"/>
        <v>0</v>
      </c>
      <c r="Y2907" s="333">
        <f t="shared" si="255"/>
        <v>0</v>
      </c>
    </row>
    <row r="2908" spans="1:25" s="2" customFormat="1" ht="21.95" customHeight="1">
      <c r="A2908" s="82">
        <v>18</v>
      </c>
      <c r="B2908" s="91" t="str">
        <f t="shared" si="256"/>
        <v>HT2-3.S</v>
      </c>
      <c r="C2908" s="83" t="s">
        <v>366</v>
      </c>
      <c r="D2908" s="81" t="s">
        <v>3011</v>
      </c>
      <c r="E2908" s="48">
        <v>500463</v>
      </c>
      <c r="F2908" s="30" t="s">
        <v>2930</v>
      </c>
      <c r="G2908" s="29" t="s">
        <v>38</v>
      </c>
      <c r="H2908" s="30" t="s">
        <v>3004</v>
      </c>
      <c r="I2908" s="78"/>
      <c r="J2908" s="20"/>
      <c r="K2908" s="20"/>
      <c r="L2908" s="20"/>
      <c r="M2908" s="20"/>
      <c r="N2908" s="69" t="s">
        <v>256</v>
      </c>
      <c r="O2908" s="70">
        <v>0</v>
      </c>
      <c r="P2908" s="70">
        <v>0</v>
      </c>
      <c r="Q2908" s="70">
        <f t="shared" si="251"/>
        <v>0</v>
      </c>
      <c r="R2908" s="70"/>
      <c r="S2908" s="67"/>
      <c r="T2908" s="2" t="str">
        <f t="shared" si="252"/>
        <v>Đàm Hoàng Khánh Linh_12KT3</v>
      </c>
      <c r="U2908" s="28">
        <f t="array" ref="U2908">IFERROR(VLOOKUP($T2908,'Nghi hoc T12'!$H$7:$I$160,2,0),0)</f>
        <v>0</v>
      </c>
      <c r="V2908" s="28"/>
      <c r="W2908" s="28">
        <f t="shared" si="253"/>
        <v>0</v>
      </c>
      <c r="X2908" s="333">
        <f t="shared" si="254"/>
        <v>0</v>
      </c>
      <c r="Y2908" s="333">
        <f t="shared" si="255"/>
        <v>0</v>
      </c>
    </row>
    <row r="2909" spans="1:25" s="2" customFormat="1" ht="21.95" customHeight="1">
      <c r="A2909" s="82">
        <v>19</v>
      </c>
      <c r="B2909" s="91" t="str">
        <f t="shared" si="256"/>
        <v>HT2-3.S</v>
      </c>
      <c r="C2909" s="83" t="s">
        <v>366</v>
      </c>
      <c r="D2909" s="81" t="s">
        <v>3011</v>
      </c>
      <c r="E2909" s="48">
        <v>500464</v>
      </c>
      <c r="F2909" s="30" t="s">
        <v>2931</v>
      </c>
      <c r="G2909" s="29" t="s">
        <v>38</v>
      </c>
      <c r="H2909" s="30" t="s">
        <v>3005</v>
      </c>
      <c r="I2909" s="78"/>
      <c r="J2909" s="20"/>
      <c r="K2909" s="20"/>
      <c r="L2909" s="20"/>
      <c r="M2909" s="20"/>
      <c r="N2909" s="69" t="s">
        <v>256</v>
      </c>
      <c r="O2909" s="70">
        <v>0</v>
      </c>
      <c r="P2909" s="70">
        <v>0</v>
      </c>
      <c r="Q2909" s="70">
        <f t="shared" si="251"/>
        <v>0</v>
      </c>
      <c r="R2909" s="70"/>
      <c r="S2909" s="67"/>
      <c r="T2909" s="2" t="str">
        <f t="shared" si="252"/>
        <v>Lưu Giang Linh_12KT4</v>
      </c>
      <c r="U2909" s="28">
        <f t="array" ref="U2909">IFERROR(VLOOKUP($T2909,'Nghi hoc T12'!$H$7:$I$160,2,0),0)</f>
        <v>0</v>
      </c>
      <c r="V2909" s="28"/>
      <c r="W2909" s="28">
        <f t="shared" si="253"/>
        <v>0</v>
      </c>
      <c r="X2909" s="333">
        <f t="shared" si="254"/>
        <v>0</v>
      </c>
      <c r="Y2909" s="333">
        <f t="shared" si="255"/>
        <v>0</v>
      </c>
    </row>
    <row r="2910" spans="1:25" s="2" customFormat="1" ht="21.95" customHeight="1">
      <c r="A2910" s="82">
        <v>20</v>
      </c>
      <c r="B2910" s="91" t="str">
        <f t="shared" si="256"/>
        <v>HT2-3.S</v>
      </c>
      <c r="C2910" s="83" t="s">
        <v>366</v>
      </c>
      <c r="D2910" s="81" t="s">
        <v>3011</v>
      </c>
      <c r="E2910" s="48">
        <v>500465</v>
      </c>
      <c r="F2910" s="30" t="s">
        <v>327</v>
      </c>
      <c r="G2910" s="29" t="s">
        <v>38</v>
      </c>
      <c r="H2910" s="30" t="s">
        <v>3005</v>
      </c>
      <c r="I2910" s="78"/>
      <c r="J2910" s="20"/>
      <c r="K2910" s="20"/>
      <c r="L2910" s="20"/>
      <c r="M2910" s="20"/>
      <c r="N2910" s="69" t="s">
        <v>256</v>
      </c>
      <c r="O2910" s="70">
        <v>0</v>
      </c>
      <c r="P2910" s="70">
        <v>0</v>
      </c>
      <c r="Q2910" s="70">
        <f t="shared" si="251"/>
        <v>0</v>
      </c>
      <c r="R2910" s="70"/>
      <c r="S2910" s="67"/>
      <c r="T2910" s="2" t="str">
        <f t="shared" si="252"/>
        <v>Nguyễn Phương Linh_12KT4</v>
      </c>
      <c r="U2910" s="28">
        <f t="array" ref="U2910">IFERROR(VLOOKUP($T2910,'Nghi hoc T12'!$H$7:$I$160,2,0),0)</f>
        <v>0</v>
      </c>
      <c r="V2910" s="28"/>
      <c r="W2910" s="28">
        <f t="shared" si="253"/>
        <v>0</v>
      </c>
      <c r="X2910" s="333">
        <f t="shared" si="254"/>
        <v>0</v>
      </c>
      <c r="Y2910" s="333">
        <f t="shared" si="255"/>
        <v>0</v>
      </c>
    </row>
    <row r="2911" spans="1:25" s="2" customFormat="1" ht="21.95" customHeight="1">
      <c r="A2911" s="82">
        <v>21</v>
      </c>
      <c r="B2911" s="91" t="str">
        <f t="shared" si="256"/>
        <v>HT2-3.S</v>
      </c>
      <c r="C2911" s="83" t="s">
        <v>366</v>
      </c>
      <c r="D2911" s="81" t="s">
        <v>3011</v>
      </c>
      <c r="E2911" s="48">
        <v>500466</v>
      </c>
      <c r="F2911" s="30" t="s">
        <v>1845</v>
      </c>
      <c r="G2911" s="29" t="s">
        <v>38</v>
      </c>
      <c r="H2911" s="30" t="s">
        <v>3007</v>
      </c>
      <c r="I2911" s="78"/>
      <c r="J2911" s="20"/>
      <c r="K2911" s="20"/>
      <c r="L2911" s="20"/>
      <c r="M2911" s="20"/>
      <c r="N2911" s="69" t="s">
        <v>256</v>
      </c>
      <c r="O2911" s="70">
        <v>0</v>
      </c>
      <c r="P2911" s="70">
        <v>0</v>
      </c>
      <c r="Q2911" s="70">
        <f t="shared" si="251"/>
        <v>0</v>
      </c>
      <c r="R2911" s="70"/>
      <c r="S2911" s="67"/>
      <c r="T2911" s="2" t="str">
        <f t="shared" si="252"/>
        <v>Nguyễn Trúc Linh_12KT1</v>
      </c>
      <c r="U2911" s="28">
        <f t="array" ref="U2911">IFERROR(VLOOKUP($T2911,'Nghi hoc T12'!$H$7:$I$160,2,0),0)</f>
        <v>0</v>
      </c>
      <c r="V2911" s="28"/>
      <c r="W2911" s="28">
        <f t="shared" si="253"/>
        <v>0</v>
      </c>
      <c r="X2911" s="333">
        <f t="shared" si="254"/>
        <v>0</v>
      </c>
      <c r="Y2911" s="333">
        <f t="shared" si="255"/>
        <v>0</v>
      </c>
    </row>
    <row r="2912" spans="1:25" s="2" customFormat="1" ht="21.95" customHeight="1">
      <c r="A2912" s="82">
        <v>22</v>
      </c>
      <c r="B2912" s="91" t="str">
        <f t="shared" si="256"/>
        <v>HT2-3.S</v>
      </c>
      <c r="C2912" s="83" t="s">
        <v>366</v>
      </c>
      <c r="D2912" s="81" t="s">
        <v>3011</v>
      </c>
      <c r="E2912" s="48">
        <v>500467</v>
      </c>
      <c r="F2912" s="30" t="s">
        <v>2932</v>
      </c>
      <c r="G2912" s="29" t="s">
        <v>38</v>
      </c>
      <c r="H2912" s="30" t="s">
        <v>3005</v>
      </c>
      <c r="I2912" s="78"/>
      <c r="J2912" s="20"/>
      <c r="K2912" s="20"/>
      <c r="L2912" s="20"/>
      <c r="M2912" s="20"/>
      <c r="N2912" s="69" t="s">
        <v>256</v>
      </c>
      <c r="O2912" s="70">
        <v>0</v>
      </c>
      <c r="P2912" s="70">
        <v>0</v>
      </c>
      <c r="Q2912" s="70">
        <f t="shared" si="251"/>
        <v>0</v>
      </c>
      <c r="R2912" s="70"/>
      <c r="S2912" s="67"/>
      <c r="T2912" s="2" t="str">
        <f t="shared" si="252"/>
        <v>Trần Hồ Khánh Linh_12KT4</v>
      </c>
      <c r="U2912" s="28">
        <f t="array" ref="U2912">IFERROR(VLOOKUP($T2912,'Nghi hoc T12'!$H$7:$I$160,2,0),0)</f>
        <v>0</v>
      </c>
      <c r="V2912" s="28"/>
      <c r="W2912" s="28">
        <f t="shared" si="253"/>
        <v>0</v>
      </c>
      <c r="X2912" s="333">
        <f t="shared" si="254"/>
        <v>0</v>
      </c>
      <c r="Y2912" s="333">
        <f t="shared" si="255"/>
        <v>0</v>
      </c>
    </row>
    <row r="2913" spans="1:25" s="2" customFormat="1" ht="21.95" customHeight="1">
      <c r="A2913" s="82">
        <v>23</v>
      </c>
      <c r="B2913" s="91" t="str">
        <f t="shared" si="256"/>
        <v>HT2-3.S</v>
      </c>
      <c r="C2913" s="83" t="s">
        <v>366</v>
      </c>
      <c r="D2913" s="81" t="s">
        <v>3011</v>
      </c>
      <c r="E2913" s="48">
        <v>500468</v>
      </c>
      <c r="F2913" s="30" t="s">
        <v>2933</v>
      </c>
      <c r="G2913" s="29" t="s">
        <v>38</v>
      </c>
      <c r="H2913" s="30" t="s">
        <v>3006</v>
      </c>
      <c r="I2913" s="78"/>
      <c r="J2913" s="20"/>
      <c r="K2913" s="20"/>
      <c r="L2913" s="20"/>
      <c r="M2913" s="20"/>
      <c r="N2913" s="69" t="s">
        <v>256</v>
      </c>
      <c r="O2913" s="70">
        <v>0</v>
      </c>
      <c r="P2913" s="70">
        <v>0</v>
      </c>
      <c r="Q2913" s="70">
        <f t="shared" si="251"/>
        <v>0</v>
      </c>
      <c r="R2913" s="70"/>
      <c r="S2913" s="67"/>
      <c r="T2913" s="2" t="str">
        <f t="shared" si="252"/>
        <v>Vũ Thị Hạ Linh_12KT2</v>
      </c>
      <c r="U2913" s="28">
        <f t="array" ref="U2913">IFERROR(VLOOKUP($T2913,'Nghi hoc T12'!$H$7:$I$160,2,0),0)</f>
        <v>0</v>
      </c>
      <c r="V2913" s="28"/>
      <c r="W2913" s="28">
        <f t="shared" si="253"/>
        <v>0</v>
      </c>
      <c r="X2913" s="333">
        <f t="shared" si="254"/>
        <v>0</v>
      </c>
      <c r="Y2913" s="333">
        <f t="shared" si="255"/>
        <v>0</v>
      </c>
    </row>
    <row r="2914" spans="1:25" s="2" customFormat="1" ht="21.95" customHeight="1">
      <c r="A2914" s="82">
        <v>24</v>
      </c>
      <c r="B2914" s="91" t="str">
        <f t="shared" si="256"/>
        <v>HT2-3.S</v>
      </c>
      <c r="C2914" s="83" t="s">
        <v>366</v>
      </c>
      <c r="D2914" s="81" t="s">
        <v>3011</v>
      </c>
      <c r="E2914" s="48">
        <v>500469</v>
      </c>
      <c r="F2914" s="30" t="s">
        <v>2934</v>
      </c>
      <c r="G2914" s="29" t="s">
        <v>14</v>
      </c>
      <c r="H2914" s="30" t="s">
        <v>3004</v>
      </c>
      <c r="I2914" s="78"/>
      <c r="J2914" s="20"/>
      <c r="K2914" s="20"/>
      <c r="L2914" s="20"/>
      <c r="M2914" s="20"/>
      <c r="N2914" s="69" t="s">
        <v>256</v>
      </c>
      <c r="O2914" s="70">
        <v>0</v>
      </c>
      <c r="P2914" s="70">
        <v>0</v>
      </c>
      <c r="Q2914" s="70">
        <f t="shared" si="251"/>
        <v>0</v>
      </c>
      <c r="R2914" s="70"/>
      <c r="S2914" s="67"/>
      <c r="T2914" s="2" t="str">
        <f t="shared" si="252"/>
        <v>Đồng Thiên Long_12KT3</v>
      </c>
      <c r="U2914" s="28">
        <f t="array" ref="U2914">IFERROR(VLOOKUP($T2914,'Nghi hoc T12'!$H$7:$I$160,2,0),0)</f>
        <v>0</v>
      </c>
      <c r="V2914" s="28"/>
      <c r="W2914" s="28">
        <f t="shared" si="253"/>
        <v>0</v>
      </c>
      <c r="X2914" s="333">
        <f t="shared" si="254"/>
        <v>0</v>
      </c>
      <c r="Y2914" s="333">
        <f t="shared" si="255"/>
        <v>0</v>
      </c>
    </row>
    <row r="2915" spans="1:25" s="2" customFormat="1" ht="21.95" customHeight="1">
      <c r="A2915" s="82">
        <v>25</v>
      </c>
      <c r="B2915" s="91" t="str">
        <f t="shared" si="256"/>
        <v>HT2-3.S</v>
      </c>
      <c r="C2915" s="83" t="s">
        <v>366</v>
      </c>
      <c r="D2915" s="81" t="s">
        <v>3011</v>
      </c>
      <c r="E2915" s="48">
        <v>500470</v>
      </c>
      <c r="F2915" s="30" t="s">
        <v>2935</v>
      </c>
      <c r="G2915" s="29" t="s">
        <v>14</v>
      </c>
      <c r="H2915" s="30" t="s">
        <v>3006</v>
      </c>
      <c r="I2915" s="78"/>
      <c r="J2915" s="20"/>
      <c r="K2915" s="20"/>
      <c r="L2915" s="20"/>
      <c r="M2915" s="20"/>
      <c r="N2915" s="69" t="s">
        <v>256</v>
      </c>
      <c r="O2915" s="70">
        <v>0</v>
      </c>
      <c r="P2915" s="70">
        <v>0</v>
      </c>
      <c r="Q2915" s="70">
        <f t="shared" si="251"/>
        <v>0</v>
      </c>
      <c r="R2915" s="70"/>
      <c r="S2915" s="67"/>
      <c r="T2915" s="2" t="str">
        <f t="shared" si="252"/>
        <v>Hồ Thành Long_12KT2</v>
      </c>
      <c r="U2915" s="28">
        <f t="array" ref="U2915">IFERROR(VLOOKUP($T2915,'Nghi hoc T12'!$H$7:$I$160,2,0),0)</f>
        <v>0</v>
      </c>
      <c r="V2915" s="28"/>
      <c r="W2915" s="28">
        <f t="shared" si="253"/>
        <v>0</v>
      </c>
      <c r="X2915" s="333">
        <f t="shared" si="254"/>
        <v>0</v>
      </c>
      <c r="Y2915" s="333">
        <f t="shared" si="255"/>
        <v>0</v>
      </c>
    </row>
    <row r="2916" spans="1:25" s="2" customFormat="1" ht="21.95" customHeight="1">
      <c r="A2916" s="82">
        <v>26</v>
      </c>
      <c r="B2916" s="91" t="str">
        <f t="shared" si="256"/>
        <v>HT2-3.S</v>
      </c>
      <c r="C2916" s="83" t="s">
        <v>366</v>
      </c>
      <c r="D2916" s="81" t="s">
        <v>3011</v>
      </c>
      <c r="E2916" s="48">
        <v>500471</v>
      </c>
      <c r="F2916" s="30" t="s">
        <v>2024</v>
      </c>
      <c r="G2916" s="29" t="s">
        <v>14</v>
      </c>
      <c r="H2916" s="30" t="s">
        <v>3006</v>
      </c>
      <c r="I2916" s="78"/>
      <c r="J2916" s="20"/>
      <c r="K2916" s="20"/>
      <c r="L2916" s="20"/>
      <c r="M2916" s="20"/>
      <c r="N2916" s="69" t="s">
        <v>256</v>
      </c>
      <c r="O2916" s="70">
        <v>0</v>
      </c>
      <c r="P2916" s="70">
        <v>0</v>
      </c>
      <c r="Q2916" s="70">
        <f t="shared" si="251"/>
        <v>0</v>
      </c>
      <c r="R2916" s="70"/>
      <c r="S2916" s="67"/>
      <c r="T2916" s="2" t="str">
        <f t="shared" si="252"/>
        <v>Lê Nguyễn Hoài Long_12KT2</v>
      </c>
      <c r="U2916" s="28">
        <f t="array" ref="U2916">IFERROR(VLOOKUP($T2916,'Nghi hoc T12'!$H$7:$I$160,2,0),0)</f>
        <v>0</v>
      </c>
      <c r="V2916" s="28"/>
      <c r="W2916" s="28">
        <f t="shared" si="253"/>
        <v>0</v>
      </c>
      <c r="X2916" s="333">
        <f t="shared" si="254"/>
        <v>0</v>
      </c>
      <c r="Y2916" s="333">
        <f t="shared" si="255"/>
        <v>0</v>
      </c>
    </row>
    <row r="2917" spans="1:25" s="2" customFormat="1" ht="21.95" customHeight="1">
      <c r="A2917" s="82">
        <v>27</v>
      </c>
      <c r="B2917" s="91" t="str">
        <f t="shared" si="256"/>
        <v>HT2-3.S</v>
      </c>
      <c r="C2917" s="83" t="s">
        <v>366</v>
      </c>
      <c r="D2917" s="81" t="s">
        <v>3011</v>
      </c>
      <c r="E2917" s="48">
        <v>500472</v>
      </c>
      <c r="F2917" s="30" t="s">
        <v>1277</v>
      </c>
      <c r="G2917" s="29" t="s">
        <v>14</v>
      </c>
      <c r="H2917" s="30" t="s">
        <v>3005</v>
      </c>
      <c r="I2917" s="78"/>
      <c r="J2917" s="20"/>
      <c r="K2917" s="20"/>
      <c r="L2917" s="20"/>
      <c r="M2917" s="20"/>
      <c r="N2917" s="69" t="s">
        <v>256</v>
      </c>
      <c r="O2917" s="70">
        <v>0</v>
      </c>
      <c r="P2917" s="70">
        <v>0</v>
      </c>
      <c r="Q2917" s="70">
        <f t="shared" si="251"/>
        <v>0</v>
      </c>
      <c r="R2917" s="70"/>
      <c r="S2917" s="67"/>
      <c r="T2917" s="2" t="str">
        <f t="shared" si="252"/>
        <v>Võ Hoàng Long_12KT4</v>
      </c>
      <c r="U2917" s="28">
        <f t="array" ref="U2917">IFERROR(VLOOKUP($T2917,'Nghi hoc T12'!$H$7:$I$160,2,0),0)</f>
        <v>0</v>
      </c>
      <c r="V2917" s="28"/>
      <c r="W2917" s="28">
        <f t="shared" si="253"/>
        <v>0</v>
      </c>
      <c r="X2917" s="333">
        <f t="shared" si="254"/>
        <v>0</v>
      </c>
      <c r="Y2917" s="333">
        <f t="shared" si="255"/>
        <v>0</v>
      </c>
    </row>
    <row r="2918" spans="1:25" s="2" customFormat="1" ht="21.95" customHeight="1">
      <c r="A2918" s="321">
        <v>1</v>
      </c>
      <c r="B2918" s="91" t="str">
        <f t="shared" si="256"/>
        <v>A0.13.S</v>
      </c>
      <c r="C2918" s="185" t="s">
        <v>366</v>
      </c>
      <c r="D2918" s="186" t="s">
        <v>3012</v>
      </c>
      <c r="E2918" s="187">
        <v>500473</v>
      </c>
      <c r="F2918" s="188" t="s">
        <v>2936</v>
      </c>
      <c r="G2918" s="189" t="s">
        <v>152</v>
      </c>
      <c r="H2918" s="188" t="s">
        <v>3007</v>
      </c>
      <c r="I2918" s="190"/>
      <c r="J2918" s="191"/>
      <c r="K2918" s="191"/>
      <c r="L2918" s="191"/>
      <c r="M2918" s="191"/>
      <c r="N2918" s="69" t="s">
        <v>256</v>
      </c>
      <c r="O2918" s="70">
        <v>0</v>
      </c>
      <c r="P2918" s="70">
        <v>0</v>
      </c>
      <c r="Q2918" s="70">
        <f t="shared" si="251"/>
        <v>0</v>
      </c>
      <c r="R2918" s="70"/>
      <c r="S2918" s="67"/>
      <c r="T2918" s="2" t="str">
        <f t="shared" si="252"/>
        <v>Lê Bá Lộc_12KT1</v>
      </c>
      <c r="U2918" s="28">
        <f t="array" ref="U2918">IFERROR(VLOOKUP($T2918,'Nghi hoc T12'!$H$7:$I$160,2,0),0)</f>
        <v>0</v>
      </c>
      <c r="V2918" s="28"/>
      <c r="W2918" s="28">
        <f t="shared" si="253"/>
        <v>0</v>
      </c>
      <c r="X2918" s="333">
        <f t="shared" si="254"/>
        <v>0</v>
      </c>
      <c r="Y2918" s="333">
        <f t="shared" si="255"/>
        <v>0</v>
      </c>
    </row>
    <row r="2919" spans="1:25" s="2" customFormat="1" ht="21.95" customHeight="1">
      <c r="A2919" s="82">
        <v>2</v>
      </c>
      <c r="B2919" s="91" t="str">
        <f t="shared" si="256"/>
        <v>A0.13.S</v>
      </c>
      <c r="C2919" s="83" t="s">
        <v>366</v>
      </c>
      <c r="D2919" s="81" t="s">
        <v>3012</v>
      </c>
      <c r="E2919" s="48">
        <v>500474</v>
      </c>
      <c r="F2919" s="30" t="s">
        <v>174</v>
      </c>
      <c r="G2919" s="29" t="s">
        <v>152</v>
      </c>
      <c r="H2919" s="30" t="s">
        <v>3007</v>
      </c>
      <c r="I2919" s="78"/>
      <c r="J2919" s="20"/>
      <c r="K2919" s="20"/>
      <c r="L2919" s="20"/>
      <c r="M2919" s="20"/>
      <c r="N2919" s="69" t="s">
        <v>256</v>
      </c>
      <c r="O2919" s="70">
        <v>0</v>
      </c>
      <c r="P2919" s="70">
        <v>0</v>
      </c>
      <c r="Q2919" s="70">
        <f t="shared" si="251"/>
        <v>0</v>
      </c>
      <c r="R2919" s="70"/>
      <c r="S2919" s="67"/>
      <c r="T2919" s="2" t="str">
        <f t="shared" si="252"/>
        <v>Lê Văn Lộc_12KT1</v>
      </c>
      <c r="U2919" s="28">
        <f t="array" ref="U2919">IFERROR(VLOOKUP($T2919,'Nghi hoc T12'!$H$7:$I$160,2,0),0)</f>
        <v>0</v>
      </c>
      <c r="V2919" s="28"/>
      <c r="W2919" s="28">
        <f t="shared" si="253"/>
        <v>0</v>
      </c>
      <c r="X2919" s="333">
        <f t="shared" si="254"/>
        <v>0</v>
      </c>
      <c r="Y2919" s="333">
        <f t="shared" si="255"/>
        <v>0</v>
      </c>
    </row>
    <row r="2920" spans="1:25" s="2" customFormat="1" ht="21.95" customHeight="1">
      <c r="A2920" s="82">
        <v>3</v>
      </c>
      <c r="B2920" s="91" t="str">
        <f t="shared" si="256"/>
        <v>A0.13.S</v>
      </c>
      <c r="C2920" s="83" t="s">
        <v>366</v>
      </c>
      <c r="D2920" s="81" t="s">
        <v>3012</v>
      </c>
      <c r="E2920" s="48">
        <v>500475</v>
      </c>
      <c r="F2920" s="30" t="s">
        <v>2937</v>
      </c>
      <c r="G2920" s="29" t="s">
        <v>2938</v>
      </c>
      <c r="H2920" s="30" t="s">
        <v>3007</v>
      </c>
      <c r="I2920" s="78"/>
      <c r="J2920" s="20"/>
      <c r="K2920" s="20"/>
      <c r="L2920" s="20"/>
      <c r="M2920" s="20"/>
      <c r="N2920" s="69" t="s">
        <v>256</v>
      </c>
      <c r="O2920" s="70">
        <v>0</v>
      </c>
      <c r="P2920" s="70">
        <v>0</v>
      </c>
      <c r="Q2920" s="70">
        <f t="shared" si="251"/>
        <v>0</v>
      </c>
      <c r="R2920" s="70"/>
      <c r="S2920" s="67"/>
      <c r="T2920" s="2" t="str">
        <f t="shared" si="252"/>
        <v>K' Thị Luyến_12KT1</v>
      </c>
      <c r="U2920" s="28">
        <f t="array" ref="U2920">IFERROR(VLOOKUP($T2920,'Nghi hoc T12'!$H$7:$I$160,2,0),0)</f>
        <v>0</v>
      </c>
      <c r="V2920" s="28"/>
      <c r="W2920" s="28">
        <f t="shared" si="253"/>
        <v>0</v>
      </c>
      <c r="X2920" s="333">
        <f t="shared" si="254"/>
        <v>0</v>
      </c>
      <c r="Y2920" s="333">
        <f t="shared" si="255"/>
        <v>0</v>
      </c>
    </row>
    <row r="2921" spans="1:25" s="2" customFormat="1" ht="21.95" customHeight="1">
      <c r="A2921" s="82">
        <v>4</v>
      </c>
      <c r="B2921" s="91" t="str">
        <f t="shared" si="256"/>
        <v>A0.13.S</v>
      </c>
      <c r="C2921" s="83" t="s">
        <v>366</v>
      </c>
      <c r="D2921" s="81" t="s">
        <v>3012</v>
      </c>
      <c r="E2921" s="48">
        <v>500476</v>
      </c>
      <c r="F2921" s="30" t="s">
        <v>186</v>
      </c>
      <c r="G2921" s="29" t="s">
        <v>233</v>
      </c>
      <c r="H2921" s="30" t="s">
        <v>3004</v>
      </c>
      <c r="I2921" s="78"/>
      <c r="J2921" s="20"/>
      <c r="K2921" s="20"/>
      <c r="L2921" s="20"/>
      <c r="M2921" s="20"/>
      <c r="N2921" s="69" t="s">
        <v>256</v>
      </c>
      <c r="O2921" s="70">
        <v>0</v>
      </c>
      <c r="P2921" s="70">
        <v>0</v>
      </c>
      <c r="Q2921" s="70">
        <f t="shared" si="251"/>
        <v>0</v>
      </c>
      <c r="R2921" s="70"/>
      <c r="S2921" s="67"/>
      <c r="T2921" s="2" t="str">
        <f t="shared" si="252"/>
        <v>Nguyễn Minh Mạnh_12KT3</v>
      </c>
      <c r="U2921" s="28">
        <f t="array" ref="U2921">IFERROR(VLOOKUP($T2921,'Nghi hoc T12'!$H$7:$I$160,2,0),0)</f>
        <v>0</v>
      </c>
      <c r="V2921" s="28"/>
      <c r="W2921" s="28">
        <f t="shared" si="253"/>
        <v>0</v>
      </c>
      <c r="X2921" s="333">
        <f t="shared" si="254"/>
        <v>0</v>
      </c>
      <c r="Y2921" s="333">
        <f t="shared" si="255"/>
        <v>0</v>
      </c>
    </row>
    <row r="2922" spans="1:25" s="2" customFormat="1" ht="21.95" customHeight="1">
      <c r="A2922" s="82">
        <v>5</v>
      </c>
      <c r="B2922" s="91" t="str">
        <f t="shared" si="256"/>
        <v>A0.13.S</v>
      </c>
      <c r="C2922" s="83" t="s">
        <v>366</v>
      </c>
      <c r="D2922" s="81" t="s">
        <v>3012</v>
      </c>
      <c r="E2922" s="48">
        <v>500477</v>
      </c>
      <c r="F2922" s="30" t="s">
        <v>2939</v>
      </c>
      <c r="G2922" s="29" t="s">
        <v>16</v>
      </c>
      <c r="H2922" s="30" t="s">
        <v>3005</v>
      </c>
      <c r="I2922" s="78"/>
      <c r="J2922" s="20"/>
      <c r="K2922" s="20"/>
      <c r="L2922" s="20"/>
      <c r="M2922" s="20"/>
      <c r="N2922" s="69" t="s">
        <v>256</v>
      </c>
      <c r="O2922" s="70">
        <v>0</v>
      </c>
      <c r="P2922" s="70">
        <v>0</v>
      </c>
      <c r="Q2922" s="70">
        <f t="shared" si="251"/>
        <v>0</v>
      </c>
      <c r="R2922" s="70"/>
      <c r="S2922" s="67"/>
      <c r="T2922" s="2" t="str">
        <f t="shared" si="252"/>
        <v>Dương Đỗ Gia Minh_12KT4</v>
      </c>
      <c r="U2922" s="28">
        <f t="array" ref="U2922">IFERROR(VLOOKUP($T2922,'Nghi hoc T12'!$H$7:$I$160,2,0),0)</f>
        <v>0</v>
      </c>
      <c r="V2922" s="28"/>
      <c r="W2922" s="28">
        <f t="shared" si="253"/>
        <v>0</v>
      </c>
      <c r="X2922" s="333">
        <f t="shared" si="254"/>
        <v>0</v>
      </c>
      <c r="Y2922" s="333">
        <f t="shared" si="255"/>
        <v>0</v>
      </c>
    </row>
    <row r="2923" spans="1:25" s="2" customFormat="1" ht="21.95" customHeight="1">
      <c r="A2923" s="82">
        <v>6</v>
      </c>
      <c r="B2923" s="91" t="str">
        <f t="shared" si="256"/>
        <v>A0.13.S</v>
      </c>
      <c r="C2923" s="83" t="s">
        <v>366</v>
      </c>
      <c r="D2923" s="81" t="s">
        <v>3012</v>
      </c>
      <c r="E2923" s="48">
        <v>500478</v>
      </c>
      <c r="F2923" s="30" t="s">
        <v>165</v>
      </c>
      <c r="G2923" s="29" t="s">
        <v>16</v>
      </c>
      <c r="H2923" s="30" t="s">
        <v>3006</v>
      </c>
      <c r="I2923" s="78"/>
      <c r="J2923" s="20"/>
      <c r="K2923" s="20"/>
      <c r="L2923" s="20"/>
      <c r="M2923" s="20"/>
      <c r="N2923" s="69" t="s">
        <v>256</v>
      </c>
      <c r="O2923" s="70">
        <v>0</v>
      </c>
      <c r="P2923" s="70">
        <v>0</v>
      </c>
      <c r="Q2923" s="70">
        <f t="shared" si="251"/>
        <v>0</v>
      </c>
      <c r="R2923" s="70"/>
      <c r="S2923" s="67"/>
      <c r="T2923" s="2" t="str">
        <f t="shared" si="252"/>
        <v>Nguyễn Đức Minh_12KT2</v>
      </c>
      <c r="U2923" s="28">
        <f t="array" ref="U2923">IFERROR(VLOOKUP($T2923,'Nghi hoc T12'!$H$7:$I$160,2,0),0)</f>
        <v>0</v>
      </c>
      <c r="V2923" s="28"/>
      <c r="W2923" s="28">
        <f t="shared" si="253"/>
        <v>0</v>
      </c>
      <c r="X2923" s="333">
        <f t="shared" si="254"/>
        <v>0</v>
      </c>
      <c r="Y2923" s="333">
        <f t="shared" si="255"/>
        <v>0</v>
      </c>
    </row>
    <row r="2924" spans="1:25" s="2" customFormat="1" ht="21.95" customHeight="1">
      <c r="A2924" s="82">
        <v>7</v>
      </c>
      <c r="B2924" s="91" t="str">
        <f t="shared" si="256"/>
        <v>A0.13.S</v>
      </c>
      <c r="C2924" s="83" t="s">
        <v>366</v>
      </c>
      <c r="D2924" s="81" t="s">
        <v>3012</v>
      </c>
      <c r="E2924" s="48">
        <v>500479</v>
      </c>
      <c r="F2924" s="30" t="s">
        <v>2940</v>
      </c>
      <c r="G2924" s="29" t="s">
        <v>16</v>
      </c>
      <c r="H2924" s="30" t="s">
        <v>3004</v>
      </c>
      <c r="I2924" s="78"/>
      <c r="J2924" s="20"/>
      <c r="K2924" s="20"/>
      <c r="L2924" s="20"/>
      <c r="M2924" s="20"/>
      <c r="N2924" s="69" t="s">
        <v>256</v>
      </c>
      <c r="O2924" s="70">
        <v>0</v>
      </c>
      <c r="P2924" s="70">
        <v>0</v>
      </c>
      <c r="Q2924" s="70">
        <f t="shared" si="251"/>
        <v>0</v>
      </c>
      <c r="R2924" s="70"/>
      <c r="S2924" s="67"/>
      <c r="T2924" s="2" t="str">
        <f t="shared" si="252"/>
        <v>Phạm Hà Bảo Minh_12KT3</v>
      </c>
      <c r="U2924" s="28">
        <f t="array" ref="U2924">IFERROR(VLOOKUP($T2924,'Nghi hoc T12'!$H$7:$I$160,2,0),0)</f>
        <v>0</v>
      </c>
      <c r="V2924" s="28"/>
      <c r="W2924" s="28">
        <f t="shared" si="253"/>
        <v>0</v>
      </c>
      <c r="X2924" s="333">
        <f t="shared" si="254"/>
        <v>0</v>
      </c>
      <c r="Y2924" s="333">
        <f t="shared" si="255"/>
        <v>0</v>
      </c>
    </row>
    <row r="2925" spans="1:25" s="2" customFormat="1" ht="21.95" customHeight="1">
      <c r="A2925" s="82">
        <v>8</v>
      </c>
      <c r="B2925" s="91" t="str">
        <f t="shared" si="256"/>
        <v>A0.13.S</v>
      </c>
      <c r="C2925" s="83" t="s">
        <v>366</v>
      </c>
      <c r="D2925" s="81" t="s">
        <v>3012</v>
      </c>
      <c r="E2925" s="48">
        <v>500480</v>
      </c>
      <c r="F2925" s="30" t="s">
        <v>196</v>
      </c>
      <c r="G2925" s="29" t="s">
        <v>16</v>
      </c>
      <c r="H2925" s="30" t="s">
        <v>3005</v>
      </c>
      <c r="I2925" s="78"/>
      <c r="J2925" s="20"/>
      <c r="K2925" s="20"/>
      <c r="L2925" s="20"/>
      <c r="M2925" s="20"/>
      <c r="N2925" s="69" t="s">
        <v>256</v>
      </c>
      <c r="O2925" s="70">
        <v>0</v>
      </c>
      <c r="P2925" s="70">
        <v>0</v>
      </c>
      <c r="Q2925" s="70">
        <f t="shared" si="251"/>
        <v>0</v>
      </c>
      <c r="R2925" s="70"/>
      <c r="S2925" s="67"/>
      <c r="T2925" s="2" t="str">
        <f t="shared" si="252"/>
        <v>Trần Gia Minh_12KT4</v>
      </c>
      <c r="U2925" s="28">
        <f t="array" ref="U2925">IFERROR(VLOOKUP($T2925,'Nghi hoc T12'!$H$7:$I$160,2,0),0)</f>
        <v>0</v>
      </c>
      <c r="V2925" s="28"/>
      <c r="W2925" s="28">
        <f t="shared" si="253"/>
        <v>0</v>
      </c>
      <c r="X2925" s="333">
        <f t="shared" si="254"/>
        <v>0</v>
      </c>
      <c r="Y2925" s="333">
        <f t="shared" si="255"/>
        <v>0</v>
      </c>
    </row>
    <row r="2926" spans="1:25" s="2" customFormat="1" ht="21.95" customHeight="1">
      <c r="A2926" s="82">
        <v>9</v>
      </c>
      <c r="B2926" s="91" t="str">
        <f t="shared" si="256"/>
        <v>A0.13.S</v>
      </c>
      <c r="C2926" s="83" t="s">
        <v>366</v>
      </c>
      <c r="D2926" s="81" t="s">
        <v>3012</v>
      </c>
      <c r="E2926" s="48">
        <v>500481</v>
      </c>
      <c r="F2926" s="30" t="s">
        <v>2941</v>
      </c>
      <c r="G2926" s="29" t="s">
        <v>17</v>
      </c>
      <c r="H2926" s="30" t="s">
        <v>3007</v>
      </c>
      <c r="I2926" s="78"/>
      <c r="J2926" s="20"/>
      <c r="K2926" s="20"/>
      <c r="L2926" s="20"/>
      <c r="M2926" s="20"/>
      <c r="N2926" s="69" t="s">
        <v>256</v>
      </c>
      <c r="O2926" s="70">
        <v>0</v>
      </c>
      <c r="P2926" s="70">
        <v>0</v>
      </c>
      <c r="Q2926" s="70">
        <f t="shared" si="251"/>
        <v>0</v>
      </c>
      <c r="R2926" s="70"/>
      <c r="S2926" s="67"/>
      <c r="T2926" s="2" t="str">
        <f t="shared" si="252"/>
        <v>Đỗ Lê Quốc Nam_12KT1</v>
      </c>
      <c r="U2926" s="28">
        <f t="array" ref="U2926">IFERROR(VLOOKUP($T2926,'Nghi hoc T12'!$H$7:$I$160,2,0),0)</f>
        <v>0</v>
      </c>
      <c r="V2926" s="28"/>
      <c r="W2926" s="28">
        <f t="shared" si="253"/>
        <v>0</v>
      </c>
      <c r="X2926" s="333">
        <f t="shared" si="254"/>
        <v>0</v>
      </c>
      <c r="Y2926" s="333">
        <f t="shared" si="255"/>
        <v>0</v>
      </c>
    </row>
    <row r="2927" spans="1:25" s="2" customFormat="1" ht="21.95" customHeight="1">
      <c r="A2927" s="82">
        <v>10</v>
      </c>
      <c r="B2927" s="91" t="str">
        <f t="shared" si="256"/>
        <v>A0.13.S</v>
      </c>
      <c r="C2927" s="83" t="s">
        <v>366</v>
      </c>
      <c r="D2927" s="81" t="s">
        <v>3012</v>
      </c>
      <c r="E2927" s="48">
        <v>500482</v>
      </c>
      <c r="F2927" s="30" t="s">
        <v>264</v>
      </c>
      <c r="G2927" s="29" t="s">
        <v>17</v>
      </c>
      <c r="H2927" s="30" t="s">
        <v>3007</v>
      </c>
      <c r="I2927" s="78"/>
      <c r="J2927" s="20"/>
      <c r="K2927" s="20"/>
      <c r="L2927" s="20"/>
      <c r="M2927" s="20"/>
      <c r="N2927" s="69" t="s">
        <v>256</v>
      </c>
      <c r="O2927" s="70">
        <v>0</v>
      </c>
      <c r="P2927" s="70">
        <v>0</v>
      </c>
      <c r="Q2927" s="70">
        <f t="shared" si="251"/>
        <v>0</v>
      </c>
      <c r="R2927" s="70"/>
      <c r="S2927" s="67"/>
      <c r="T2927" s="2" t="str">
        <f t="shared" si="252"/>
        <v>Hà Nhật Nam_12KT1</v>
      </c>
      <c r="U2927" s="28">
        <f t="array" ref="U2927">IFERROR(VLOOKUP($T2927,'Nghi hoc T12'!$H$7:$I$160,2,0),0)</f>
        <v>0</v>
      </c>
      <c r="V2927" s="28"/>
      <c r="W2927" s="28">
        <f t="shared" si="253"/>
        <v>0</v>
      </c>
      <c r="X2927" s="333">
        <f t="shared" si="254"/>
        <v>0</v>
      </c>
      <c r="Y2927" s="333">
        <f t="shared" si="255"/>
        <v>0</v>
      </c>
    </row>
    <row r="2928" spans="1:25" s="2" customFormat="1" ht="21.95" customHeight="1">
      <c r="A2928" s="82">
        <v>11</v>
      </c>
      <c r="B2928" s="91" t="str">
        <f t="shared" si="256"/>
        <v>A0.13.S</v>
      </c>
      <c r="C2928" s="83" t="s">
        <v>366</v>
      </c>
      <c r="D2928" s="81" t="s">
        <v>3012</v>
      </c>
      <c r="E2928" s="48">
        <v>500483</v>
      </c>
      <c r="F2928" s="30" t="s">
        <v>2942</v>
      </c>
      <c r="G2928" s="29" t="s">
        <v>17</v>
      </c>
      <c r="H2928" s="30" t="s">
        <v>3005</v>
      </c>
      <c r="I2928" s="78"/>
      <c r="J2928" s="20"/>
      <c r="K2928" s="20"/>
      <c r="L2928" s="20"/>
      <c r="M2928" s="20"/>
      <c r="N2928" s="69" t="s">
        <v>256</v>
      </c>
      <c r="O2928" s="70">
        <v>0</v>
      </c>
      <c r="P2928" s="70">
        <v>0</v>
      </c>
      <c r="Q2928" s="70">
        <f t="shared" si="251"/>
        <v>0</v>
      </c>
      <c r="R2928" s="70"/>
      <c r="S2928" s="67"/>
      <c r="T2928" s="2" t="str">
        <f t="shared" si="252"/>
        <v>Lữ Ngô Hoài Nam_12KT4</v>
      </c>
      <c r="U2928" s="28">
        <f t="array" ref="U2928">IFERROR(VLOOKUP($T2928,'Nghi hoc T12'!$H$7:$I$160,2,0),0)</f>
        <v>0</v>
      </c>
      <c r="V2928" s="28"/>
      <c r="W2928" s="28">
        <f t="shared" si="253"/>
        <v>0</v>
      </c>
      <c r="X2928" s="333">
        <f t="shared" si="254"/>
        <v>0</v>
      </c>
      <c r="Y2928" s="333">
        <f t="shared" si="255"/>
        <v>0</v>
      </c>
    </row>
    <row r="2929" spans="1:25" s="2" customFormat="1" ht="21.95" customHeight="1">
      <c r="A2929" s="82">
        <v>12</v>
      </c>
      <c r="B2929" s="91" t="str">
        <f t="shared" si="256"/>
        <v>A0.13.S</v>
      </c>
      <c r="C2929" s="83" t="s">
        <v>366</v>
      </c>
      <c r="D2929" s="81" t="s">
        <v>3012</v>
      </c>
      <c r="E2929" s="48">
        <v>500484</v>
      </c>
      <c r="F2929" s="30" t="s">
        <v>154</v>
      </c>
      <c r="G2929" s="29" t="s">
        <v>17</v>
      </c>
      <c r="H2929" s="30" t="s">
        <v>3006</v>
      </c>
      <c r="I2929" s="78"/>
      <c r="J2929" s="20"/>
      <c r="K2929" s="20"/>
      <c r="L2929" s="20"/>
      <c r="M2929" s="20"/>
      <c r="N2929" s="69" t="s">
        <v>256</v>
      </c>
      <c r="O2929" s="70">
        <v>0</v>
      </c>
      <c r="P2929" s="70">
        <v>0</v>
      </c>
      <c r="Q2929" s="70">
        <f t="shared" si="251"/>
        <v>0</v>
      </c>
      <c r="R2929" s="70"/>
      <c r="S2929" s="67"/>
      <c r="T2929" s="2" t="str">
        <f t="shared" si="252"/>
        <v>Nguyễn Bảo Nam_12KT2</v>
      </c>
      <c r="U2929" s="28">
        <f t="array" ref="U2929">IFERROR(VLOOKUP($T2929,'Nghi hoc T12'!$H$7:$I$160,2,0),0)</f>
        <v>0</v>
      </c>
      <c r="V2929" s="28"/>
      <c r="W2929" s="28">
        <f t="shared" si="253"/>
        <v>0</v>
      </c>
      <c r="X2929" s="333">
        <f t="shared" si="254"/>
        <v>0</v>
      </c>
      <c r="Y2929" s="333">
        <f t="shared" si="255"/>
        <v>0</v>
      </c>
    </row>
    <row r="2930" spans="1:25" s="2" customFormat="1" ht="21.95" customHeight="1">
      <c r="A2930" s="82">
        <v>13</v>
      </c>
      <c r="B2930" s="91" t="str">
        <f t="shared" si="256"/>
        <v>A0.13.S</v>
      </c>
      <c r="C2930" s="83" t="s">
        <v>366</v>
      </c>
      <c r="D2930" s="81" t="s">
        <v>3012</v>
      </c>
      <c r="E2930" s="48">
        <v>500485</v>
      </c>
      <c r="F2930" s="30" t="s">
        <v>222</v>
      </c>
      <c r="G2930" s="29" t="s">
        <v>17</v>
      </c>
      <c r="H2930" s="30" t="s">
        <v>3004</v>
      </c>
      <c r="I2930" s="78"/>
      <c r="J2930" s="20"/>
      <c r="K2930" s="20"/>
      <c r="L2930" s="20"/>
      <c r="M2930" s="20"/>
      <c r="N2930" s="69" t="s">
        <v>256</v>
      </c>
      <c r="O2930" s="70">
        <v>0</v>
      </c>
      <c r="P2930" s="70">
        <v>0</v>
      </c>
      <c r="Q2930" s="70">
        <f t="shared" si="251"/>
        <v>0</v>
      </c>
      <c r="R2930" s="70"/>
      <c r="S2930" s="67"/>
      <c r="T2930" s="2" t="str">
        <f t="shared" si="252"/>
        <v>Nguyễn Ngọc Nam_12KT3</v>
      </c>
      <c r="U2930" s="28">
        <f t="array" ref="U2930">IFERROR(VLOOKUP($T2930,'Nghi hoc T12'!$H$7:$I$160,2,0),0)</f>
        <v>0</v>
      </c>
      <c r="V2930" s="28"/>
      <c r="W2930" s="28">
        <f t="shared" si="253"/>
        <v>0</v>
      </c>
      <c r="X2930" s="333">
        <f t="shared" si="254"/>
        <v>0</v>
      </c>
      <c r="Y2930" s="333">
        <f t="shared" si="255"/>
        <v>0</v>
      </c>
    </row>
    <row r="2931" spans="1:25" s="2" customFormat="1" ht="21.95" customHeight="1">
      <c r="A2931" s="82">
        <v>14</v>
      </c>
      <c r="B2931" s="91" t="str">
        <f t="shared" si="256"/>
        <v>A0.13.S</v>
      </c>
      <c r="C2931" s="83" t="s">
        <v>366</v>
      </c>
      <c r="D2931" s="81" t="s">
        <v>3012</v>
      </c>
      <c r="E2931" s="48">
        <v>500486</v>
      </c>
      <c r="F2931" s="30" t="s">
        <v>327</v>
      </c>
      <c r="G2931" s="29" t="s">
        <v>17</v>
      </c>
      <c r="H2931" s="30" t="s">
        <v>3006</v>
      </c>
      <c r="I2931" s="78"/>
      <c r="J2931" s="20"/>
      <c r="K2931" s="20"/>
      <c r="L2931" s="20"/>
      <c r="M2931" s="20"/>
      <c r="N2931" s="69" t="s">
        <v>256</v>
      </c>
      <c r="O2931" s="70">
        <v>0</v>
      </c>
      <c r="P2931" s="70">
        <v>0</v>
      </c>
      <c r="Q2931" s="70">
        <f t="shared" si="251"/>
        <v>0</v>
      </c>
      <c r="R2931" s="70"/>
      <c r="S2931" s="67"/>
      <c r="T2931" s="2" t="str">
        <f t="shared" si="252"/>
        <v>Nguyễn Phương Nam_12KT2</v>
      </c>
      <c r="U2931" s="28">
        <f t="array" ref="U2931">IFERROR(VLOOKUP($T2931,'Nghi hoc T12'!$H$7:$I$160,2,0),0)</f>
        <v>0</v>
      </c>
      <c r="V2931" s="28"/>
      <c r="W2931" s="28">
        <f t="shared" si="253"/>
        <v>0</v>
      </c>
      <c r="X2931" s="333">
        <f t="shared" si="254"/>
        <v>0</v>
      </c>
      <c r="Y2931" s="333">
        <f t="shared" si="255"/>
        <v>0</v>
      </c>
    </row>
    <row r="2932" spans="1:25" s="2" customFormat="1" ht="21.95" customHeight="1">
      <c r="A2932" s="82">
        <v>15</v>
      </c>
      <c r="B2932" s="91" t="str">
        <f t="shared" si="256"/>
        <v>A0.13.S</v>
      </c>
      <c r="C2932" s="83" t="s">
        <v>366</v>
      </c>
      <c r="D2932" s="81" t="s">
        <v>3012</v>
      </c>
      <c r="E2932" s="48">
        <v>500487</v>
      </c>
      <c r="F2932" s="30" t="s">
        <v>2943</v>
      </c>
      <c r="G2932" s="29" t="s">
        <v>17</v>
      </c>
      <c r="H2932" s="30" t="s">
        <v>3007</v>
      </c>
      <c r="I2932" s="78"/>
      <c r="J2932" s="20"/>
      <c r="K2932" s="20"/>
      <c r="L2932" s="20"/>
      <c r="M2932" s="20"/>
      <c r="N2932" s="69" t="s">
        <v>256</v>
      </c>
      <c r="O2932" s="70">
        <v>0</v>
      </c>
      <c r="P2932" s="70">
        <v>0</v>
      </c>
      <c r="Q2932" s="70">
        <f t="shared" si="251"/>
        <v>0</v>
      </c>
      <c r="R2932" s="70"/>
      <c r="S2932" s="67"/>
      <c r="T2932" s="2" t="str">
        <f t="shared" si="252"/>
        <v>Vũ Đức Tuấn Nam_12KT1</v>
      </c>
      <c r="U2932" s="28">
        <f t="array" ref="U2932">IFERROR(VLOOKUP($T2932,'Nghi hoc T12'!$H$7:$I$160,2,0),0)</f>
        <v>0</v>
      </c>
      <c r="V2932" s="28"/>
      <c r="W2932" s="28">
        <f t="shared" si="253"/>
        <v>0</v>
      </c>
      <c r="X2932" s="333">
        <f t="shared" si="254"/>
        <v>0</v>
      </c>
      <c r="Y2932" s="333">
        <f t="shared" si="255"/>
        <v>0</v>
      </c>
    </row>
    <row r="2933" spans="1:25" s="2" customFormat="1" ht="21.95" customHeight="1">
      <c r="A2933" s="82">
        <v>16</v>
      </c>
      <c r="B2933" s="91" t="str">
        <f t="shared" si="256"/>
        <v>A0.13.S</v>
      </c>
      <c r="C2933" s="83" t="s">
        <v>366</v>
      </c>
      <c r="D2933" s="81" t="s">
        <v>3012</v>
      </c>
      <c r="E2933" s="48">
        <v>500488</v>
      </c>
      <c r="F2933" s="30" t="s">
        <v>2944</v>
      </c>
      <c r="G2933" s="29" t="s">
        <v>18</v>
      </c>
      <c r="H2933" s="30" t="s">
        <v>3004</v>
      </c>
      <c r="I2933" s="78"/>
      <c r="J2933" s="20"/>
      <c r="K2933" s="20"/>
      <c r="L2933" s="20"/>
      <c r="M2933" s="20"/>
      <c r="N2933" s="69" t="s">
        <v>256</v>
      </c>
      <c r="O2933" s="70">
        <v>0</v>
      </c>
      <c r="P2933" s="70">
        <v>0</v>
      </c>
      <c r="Q2933" s="70">
        <f t="shared" si="251"/>
        <v>0</v>
      </c>
      <c r="R2933" s="70"/>
      <c r="S2933" s="67"/>
      <c r="T2933" s="2" t="str">
        <f t="shared" si="252"/>
        <v>Lê Hồng Khánh Ngân_12KT3</v>
      </c>
      <c r="U2933" s="28">
        <f t="array" ref="U2933">IFERROR(VLOOKUP($T2933,'Nghi hoc T12'!$H$7:$I$160,2,0),0)</f>
        <v>0</v>
      </c>
      <c r="V2933" s="28"/>
      <c r="W2933" s="28">
        <f t="shared" si="253"/>
        <v>0</v>
      </c>
      <c r="X2933" s="333">
        <f t="shared" si="254"/>
        <v>0</v>
      </c>
      <c r="Y2933" s="333">
        <f t="shared" si="255"/>
        <v>0</v>
      </c>
    </row>
    <row r="2934" spans="1:25" s="2" customFormat="1" ht="21.95" customHeight="1">
      <c r="A2934" s="82">
        <v>17</v>
      </c>
      <c r="B2934" s="91" t="str">
        <f t="shared" si="256"/>
        <v>A0.13.S</v>
      </c>
      <c r="C2934" s="83" t="s">
        <v>366</v>
      </c>
      <c r="D2934" s="81" t="s">
        <v>3012</v>
      </c>
      <c r="E2934" s="48">
        <v>500489</v>
      </c>
      <c r="F2934" s="30" t="s">
        <v>2945</v>
      </c>
      <c r="G2934" s="29" t="s">
        <v>101</v>
      </c>
      <c r="H2934" s="30" t="s">
        <v>3004</v>
      </c>
      <c r="I2934" s="78"/>
      <c r="J2934" s="20"/>
      <c r="K2934" s="20"/>
      <c r="L2934" s="20"/>
      <c r="M2934" s="20"/>
      <c r="N2934" s="69" t="s">
        <v>256</v>
      </c>
      <c r="O2934" s="70">
        <v>0</v>
      </c>
      <c r="P2934" s="70">
        <v>0</v>
      </c>
      <c r="Q2934" s="70">
        <f t="shared" si="251"/>
        <v>0</v>
      </c>
      <c r="R2934" s="70"/>
      <c r="S2934" s="67"/>
      <c r="T2934" s="2" t="str">
        <f t="shared" si="252"/>
        <v>Trần Hoàng Phương Nghi_12KT3</v>
      </c>
      <c r="U2934" s="28">
        <f t="array" ref="U2934">IFERROR(VLOOKUP($T2934,'Nghi hoc T12'!$H$7:$I$160,2,0),0)</f>
        <v>0</v>
      </c>
      <c r="V2934" s="28"/>
      <c r="W2934" s="28">
        <f t="shared" si="253"/>
        <v>0</v>
      </c>
      <c r="X2934" s="333">
        <f t="shared" si="254"/>
        <v>0</v>
      </c>
      <c r="Y2934" s="333">
        <f t="shared" si="255"/>
        <v>0</v>
      </c>
    </row>
    <row r="2935" spans="1:25" s="2" customFormat="1" ht="21.95" customHeight="1">
      <c r="A2935" s="82">
        <v>18</v>
      </c>
      <c r="B2935" s="91" t="str">
        <f t="shared" si="256"/>
        <v>A0.13.S</v>
      </c>
      <c r="C2935" s="83" t="s">
        <v>366</v>
      </c>
      <c r="D2935" s="81" t="s">
        <v>3012</v>
      </c>
      <c r="E2935" s="48">
        <v>500490</v>
      </c>
      <c r="F2935" s="30" t="s">
        <v>1253</v>
      </c>
      <c r="G2935" s="29" t="s">
        <v>101</v>
      </c>
      <c r="H2935" s="30" t="s">
        <v>3005</v>
      </c>
      <c r="I2935" s="78"/>
      <c r="J2935" s="20"/>
      <c r="K2935" s="20"/>
      <c r="L2935" s="20"/>
      <c r="M2935" s="20"/>
      <c r="N2935" s="69" t="s">
        <v>256</v>
      </c>
      <c r="O2935" s="70">
        <v>0</v>
      </c>
      <c r="P2935" s="70">
        <v>0</v>
      </c>
      <c r="Q2935" s="70">
        <f t="shared" si="251"/>
        <v>0</v>
      </c>
      <c r="R2935" s="70"/>
      <c r="S2935" s="67"/>
      <c r="T2935" s="2" t="str">
        <f t="shared" si="252"/>
        <v>Trần Phương Nghi_12KT4</v>
      </c>
      <c r="U2935" s="28">
        <f t="array" ref="U2935">IFERROR(VLOOKUP($T2935,'Nghi hoc T12'!$H$7:$I$160,2,0),0)</f>
        <v>0</v>
      </c>
      <c r="V2935" s="28"/>
      <c r="W2935" s="28">
        <f t="shared" si="253"/>
        <v>0</v>
      </c>
      <c r="X2935" s="333">
        <f t="shared" si="254"/>
        <v>0</v>
      </c>
      <c r="Y2935" s="333">
        <f t="shared" si="255"/>
        <v>0</v>
      </c>
    </row>
    <row r="2936" spans="1:25" s="2" customFormat="1" ht="21.95" customHeight="1">
      <c r="A2936" s="82">
        <v>19</v>
      </c>
      <c r="B2936" s="91" t="str">
        <f t="shared" si="256"/>
        <v>A0.13.S</v>
      </c>
      <c r="C2936" s="83" t="s">
        <v>366</v>
      </c>
      <c r="D2936" s="81" t="s">
        <v>3012</v>
      </c>
      <c r="E2936" s="48">
        <v>500491</v>
      </c>
      <c r="F2936" s="30" t="s">
        <v>1170</v>
      </c>
      <c r="G2936" s="29" t="s">
        <v>96</v>
      </c>
      <c r="H2936" s="30" t="s">
        <v>3005</v>
      </c>
      <c r="I2936" s="78"/>
      <c r="J2936" s="20"/>
      <c r="K2936" s="20"/>
      <c r="L2936" s="20"/>
      <c r="M2936" s="20"/>
      <c r="N2936" s="69" t="s">
        <v>256</v>
      </c>
      <c r="O2936" s="70">
        <v>0</v>
      </c>
      <c r="P2936" s="70">
        <v>0</v>
      </c>
      <c r="Q2936" s="70">
        <f t="shared" si="251"/>
        <v>0</v>
      </c>
      <c r="R2936" s="70"/>
      <c r="S2936" s="67"/>
      <c r="T2936" s="2" t="str">
        <f t="shared" si="252"/>
        <v>Phạm Quốc Nghĩa_12KT4</v>
      </c>
      <c r="U2936" s="28">
        <f t="array" ref="U2936">IFERROR(VLOOKUP($T2936,'Nghi hoc T12'!$H$7:$I$160,2,0),0)</f>
        <v>0</v>
      </c>
      <c r="V2936" s="28"/>
      <c r="W2936" s="28">
        <f t="shared" si="253"/>
        <v>0</v>
      </c>
      <c r="X2936" s="333">
        <f t="shared" si="254"/>
        <v>0</v>
      </c>
      <c r="Y2936" s="333">
        <f t="shared" si="255"/>
        <v>0</v>
      </c>
    </row>
    <row r="2937" spans="1:25" s="2" customFormat="1" ht="21.95" customHeight="1">
      <c r="A2937" s="82">
        <v>20</v>
      </c>
      <c r="B2937" s="91" t="str">
        <f t="shared" si="256"/>
        <v>A0.13.S</v>
      </c>
      <c r="C2937" s="83" t="s">
        <v>366</v>
      </c>
      <c r="D2937" s="81" t="s">
        <v>3012</v>
      </c>
      <c r="E2937" s="48">
        <v>500492</v>
      </c>
      <c r="F2937" s="30" t="s">
        <v>2946</v>
      </c>
      <c r="G2937" s="29" t="s">
        <v>19</v>
      </c>
      <c r="H2937" s="30" t="s">
        <v>3007</v>
      </c>
      <c r="I2937" s="78"/>
      <c r="J2937" s="20"/>
      <c r="K2937" s="20"/>
      <c r="L2937" s="20"/>
      <c r="M2937" s="20"/>
      <c r="N2937" s="69" t="s">
        <v>256</v>
      </c>
      <c r="O2937" s="70">
        <v>0</v>
      </c>
      <c r="P2937" s="70">
        <v>0</v>
      </c>
      <c r="Q2937" s="70">
        <f t="shared" si="251"/>
        <v>0</v>
      </c>
      <c r="R2937" s="70"/>
      <c r="S2937" s="67"/>
      <c r="T2937" s="2" t="str">
        <f t="shared" si="252"/>
        <v>Bùi Như Ngọc_12KT1</v>
      </c>
      <c r="U2937" s="28">
        <f t="array" ref="U2937">IFERROR(VLOOKUP($T2937,'Nghi hoc T12'!$H$7:$I$160,2,0),0)</f>
        <v>0</v>
      </c>
      <c r="V2937" s="28"/>
      <c r="W2937" s="28">
        <f t="shared" si="253"/>
        <v>0</v>
      </c>
      <c r="X2937" s="333">
        <f t="shared" si="254"/>
        <v>0</v>
      </c>
      <c r="Y2937" s="333">
        <f t="shared" si="255"/>
        <v>0</v>
      </c>
    </row>
    <row r="2938" spans="1:25" s="2" customFormat="1" ht="21.95" customHeight="1">
      <c r="A2938" s="82">
        <v>21</v>
      </c>
      <c r="B2938" s="91" t="str">
        <f t="shared" si="256"/>
        <v>A0.13.S</v>
      </c>
      <c r="C2938" s="83" t="s">
        <v>366</v>
      </c>
      <c r="D2938" s="81" t="s">
        <v>3012</v>
      </c>
      <c r="E2938" s="48">
        <v>500493</v>
      </c>
      <c r="F2938" s="30" t="s">
        <v>2947</v>
      </c>
      <c r="G2938" s="29" t="s">
        <v>19</v>
      </c>
      <c r="H2938" s="30" t="s">
        <v>3004</v>
      </c>
      <c r="I2938" s="78"/>
      <c r="J2938" s="20"/>
      <c r="K2938" s="20"/>
      <c r="L2938" s="20"/>
      <c r="M2938" s="20"/>
      <c r="N2938" s="69" t="s">
        <v>256</v>
      </c>
      <c r="O2938" s="70">
        <v>0</v>
      </c>
      <c r="P2938" s="70">
        <v>0</v>
      </c>
      <c r="Q2938" s="70">
        <f t="shared" si="251"/>
        <v>0</v>
      </c>
      <c r="R2938" s="70"/>
      <c r="S2938" s="67"/>
      <c r="T2938" s="2" t="str">
        <f t="shared" si="252"/>
        <v>Lê Thị Bảo Ngọc_12KT3</v>
      </c>
      <c r="U2938" s="28">
        <f t="array" ref="U2938">IFERROR(VLOOKUP($T2938,'Nghi hoc T12'!$H$7:$I$160,2,0),0)</f>
        <v>0</v>
      </c>
      <c r="V2938" s="28"/>
      <c r="W2938" s="28">
        <f t="shared" si="253"/>
        <v>0</v>
      </c>
      <c r="X2938" s="333">
        <f t="shared" si="254"/>
        <v>0</v>
      </c>
      <c r="Y2938" s="333">
        <f t="shared" si="255"/>
        <v>0</v>
      </c>
    </row>
    <row r="2939" spans="1:25" s="2" customFormat="1" ht="21.95" customHeight="1">
      <c r="A2939" s="82">
        <v>22</v>
      </c>
      <c r="B2939" s="91" t="str">
        <f t="shared" si="256"/>
        <v>A0.13.S</v>
      </c>
      <c r="C2939" s="83" t="s">
        <v>366</v>
      </c>
      <c r="D2939" s="81" t="s">
        <v>3012</v>
      </c>
      <c r="E2939" s="48">
        <v>500494</v>
      </c>
      <c r="F2939" s="30" t="s">
        <v>2948</v>
      </c>
      <c r="G2939" s="29" t="s">
        <v>19</v>
      </c>
      <c r="H2939" s="30" t="s">
        <v>3004</v>
      </c>
      <c r="I2939" s="78"/>
      <c r="J2939" s="20"/>
      <c r="K2939" s="20"/>
      <c r="L2939" s="20"/>
      <c r="M2939" s="20"/>
      <c r="N2939" s="69" t="s">
        <v>256</v>
      </c>
      <c r="O2939" s="70">
        <v>0</v>
      </c>
      <c r="P2939" s="70">
        <v>0</v>
      </c>
      <c r="Q2939" s="70">
        <f t="shared" si="251"/>
        <v>0</v>
      </c>
      <c r="R2939" s="70"/>
      <c r="S2939" s="67"/>
      <c r="T2939" s="2" t="str">
        <f t="shared" si="252"/>
        <v>Phạm Hoàng Kim Ngọc_12KT3</v>
      </c>
      <c r="U2939" s="28">
        <f t="array" ref="U2939">IFERROR(VLOOKUP($T2939,'Nghi hoc T12'!$H$7:$I$160,2,0),0)</f>
        <v>0</v>
      </c>
      <c r="V2939" s="28"/>
      <c r="W2939" s="28">
        <f t="shared" si="253"/>
        <v>0</v>
      </c>
      <c r="X2939" s="333">
        <f t="shared" si="254"/>
        <v>0</v>
      </c>
      <c r="Y2939" s="333">
        <f t="shared" si="255"/>
        <v>0</v>
      </c>
    </row>
    <row r="2940" spans="1:25" s="2" customFormat="1" ht="21.95" customHeight="1">
      <c r="A2940" s="82">
        <v>23</v>
      </c>
      <c r="B2940" s="91" t="str">
        <f t="shared" si="256"/>
        <v>A0.13.S</v>
      </c>
      <c r="C2940" s="83" t="s">
        <v>366</v>
      </c>
      <c r="D2940" s="81" t="s">
        <v>3012</v>
      </c>
      <c r="E2940" s="48">
        <v>500495</v>
      </c>
      <c r="F2940" s="30" t="s">
        <v>2949</v>
      </c>
      <c r="G2940" s="29" t="s">
        <v>19</v>
      </c>
      <c r="H2940" s="30" t="s">
        <v>3006</v>
      </c>
      <c r="I2940" s="78"/>
      <c r="J2940" s="20"/>
      <c r="K2940" s="20"/>
      <c r="L2940" s="20"/>
      <c r="M2940" s="20"/>
      <c r="N2940" s="69" t="s">
        <v>256</v>
      </c>
      <c r="O2940" s="70">
        <v>0</v>
      </c>
      <c r="P2940" s="70">
        <v>0</v>
      </c>
      <c r="Q2940" s="70">
        <f t="shared" si="251"/>
        <v>0</v>
      </c>
      <c r="R2940" s="70"/>
      <c r="S2940" s="67"/>
      <c r="T2940" s="2" t="str">
        <f t="shared" si="252"/>
        <v>Tăng Bảo Ngọc_12KT2</v>
      </c>
      <c r="U2940" s="28">
        <f t="array" ref="U2940">IFERROR(VLOOKUP($T2940,'Nghi hoc T12'!$H$7:$I$160,2,0),0)</f>
        <v>0</v>
      </c>
      <c r="V2940" s="28"/>
      <c r="W2940" s="28">
        <f t="shared" si="253"/>
        <v>0</v>
      </c>
      <c r="X2940" s="333">
        <f t="shared" si="254"/>
        <v>0</v>
      </c>
      <c r="Y2940" s="333">
        <f t="shared" si="255"/>
        <v>0</v>
      </c>
    </row>
    <row r="2941" spans="1:25" s="2" customFormat="1" ht="21.95" customHeight="1">
      <c r="A2941" s="82">
        <v>24</v>
      </c>
      <c r="B2941" s="91" t="str">
        <f t="shared" si="256"/>
        <v>A0.13.S</v>
      </c>
      <c r="C2941" s="83" t="s">
        <v>366</v>
      </c>
      <c r="D2941" s="81" t="s">
        <v>3012</v>
      </c>
      <c r="E2941" s="48">
        <v>500496</v>
      </c>
      <c r="F2941" s="30" t="s">
        <v>2950</v>
      </c>
      <c r="G2941" s="29" t="s">
        <v>19</v>
      </c>
      <c r="H2941" s="30" t="s">
        <v>3005</v>
      </c>
      <c r="I2941" s="78"/>
      <c r="J2941" s="20"/>
      <c r="K2941" s="20"/>
      <c r="L2941" s="20"/>
      <c r="M2941" s="20"/>
      <c r="N2941" s="69" t="s">
        <v>256</v>
      </c>
      <c r="O2941" s="70">
        <v>0</v>
      </c>
      <c r="P2941" s="70">
        <v>0</v>
      </c>
      <c r="Q2941" s="70">
        <f t="shared" si="251"/>
        <v>0</v>
      </c>
      <c r="R2941" s="70"/>
      <c r="S2941" s="67"/>
      <c r="T2941" s="2" t="str">
        <f t="shared" si="252"/>
        <v>Trần Hoài Bảo Ngọc_12KT4</v>
      </c>
      <c r="U2941" s="28">
        <f t="array" ref="U2941">IFERROR(VLOOKUP($T2941,'Nghi hoc T12'!$H$7:$I$160,2,0),0)</f>
        <v>0</v>
      </c>
      <c r="V2941" s="28"/>
      <c r="W2941" s="28">
        <f t="shared" si="253"/>
        <v>0</v>
      </c>
      <c r="X2941" s="333">
        <f t="shared" si="254"/>
        <v>0</v>
      </c>
      <c r="Y2941" s="333">
        <f t="shared" si="255"/>
        <v>0</v>
      </c>
    </row>
    <row r="2942" spans="1:25" s="2" customFormat="1" ht="21.95" customHeight="1">
      <c r="A2942" s="82">
        <v>25</v>
      </c>
      <c r="B2942" s="91" t="str">
        <f t="shared" si="256"/>
        <v>A0.13.S</v>
      </c>
      <c r="C2942" s="83" t="s">
        <v>366</v>
      </c>
      <c r="D2942" s="81" t="s">
        <v>3012</v>
      </c>
      <c r="E2942" s="48">
        <v>500497</v>
      </c>
      <c r="F2942" s="30" t="s">
        <v>2951</v>
      </c>
      <c r="G2942" s="29" t="s">
        <v>19</v>
      </c>
      <c r="H2942" s="30" t="s">
        <v>3006</v>
      </c>
      <c r="I2942" s="78"/>
      <c r="J2942" s="20"/>
      <c r="K2942" s="20"/>
      <c r="L2942" s="20"/>
      <c r="M2942" s="20"/>
      <c r="N2942" s="69" t="s">
        <v>256</v>
      </c>
      <c r="O2942" s="70">
        <v>0</v>
      </c>
      <c r="P2942" s="70">
        <v>0</v>
      </c>
      <c r="Q2942" s="70">
        <f t="shared" si="251"/>
        <v>0</v>
      </c>
      <c r="R2942" s="70"/>
      <c r="S2942" s="67"/>
      <c r="T2942" s="2" t="str">
        <f t="shared" si="252"/>
        <v>Vũ Hoàng Thanh Ngọc_12KT2</v>
      </c>
      <c r="U2942" s="28">
        <f t="array" ref="U2942">IFERROR(VLOOKUP($T2942,'Nghi hoc T12'!$H$7:$I$160,2,0),0)</f>
        <v>0</v>
      </c>
      <c r="V2942" s="28"/>
      <c r="W2942" s="28">
        <f t="shared" si="253"/>
        <v>0</v>
      </c>
      <c r="X2942" s="333">
        <f t="shared" si="254"/>
        <v>0</v>
      </c>
      <c r="Y2942" s="333">
        <f t="shared" si="255"/>
        <v>0</v>
      </c>
    </row>
    <row r="2943" spans="1:25" s="2" customFormat="1" ht="21.95" customHeight="1">
      <c r="A2943" s="82">
        <v>26</v>
      </c>
      <c r="B2943" s="91" t="str">
        <f t="shared" si="256"/>
        <v>A0.13.S</v>
      </c>
      <c r="C2943" s="83" t="s">
        <v>366</v>
      </c>
      <c r="D2943" s="81" t="s">
        <v>3012</v>
      </c>
      <c r="E2943" s="48">
        <v>500498</v>
      </c>
      <c r="F2943" s="30" t="s">
        <v>2405</v>
      </c>
      <c r="G2943" s="29" t="s">
        <v>87</v>
      </c>
      <c r="H2943" s="30" t="s">
        <v>3005</v>
      </c>
      <c r="I2943" s="78"/>
      <c r="J2943" s="20"/>
      <c r="K2943" s="20"/>
      <c r="L2943" s="20"/>
      <c r="M2943" s="20"/>
      <c r="N2943" s="69" t="s">
        <v>256</v>
      </c>
      <c r="O2943" s="70">
        <v>0</v>
      </c>
      <c r="P2943" s="70">
        <v>0</v>
      </c>
      <c r="Q2943" s="70">
        <f t="shared" si="251"/>
        <v>0</v>
      </c>
      <c r="R2943" s="70"/>
      <c r="S2943" s="67"/>
      <c r="T2943" s="2" t="str">
        <f t="shared" si="252"/>
        <v>Bùi Thanh Nguyên_12KT4</v>
      </c>
      <c r="U2943" s="28">
        <f t="array" ref="U2943">IFERROR(VLOOKUP($T2943,'Nghi hoc T12'!$H$7:$I$160,2,0),0)</f>
        <v>0</v>
      </c>
      <c r="V2943" s="28"/>
      <c r="W2943" s="28">
        <f t="shared" si="253"/>
        <v>0</v>
      </c>
      <c r="X2943" s="333">
        <f t="shared" si="254"/>
        <v>0</v>
      </c>
      <c r="Y2943" s="333">
        <f t="shared" si="255"/>
        <v>0</v>
      </c>
    </row>
    <row r="2944" spans="1:25" s="2" customFormat="1" ht="21.95" customHeight="1">
      <c r="A2944" s="82">
        <v>27</v>
      </c>
      <c r="B2944" s="91" t="str">
        <f t="shared" si="256"/>
        <v>A0.13.S</v>
      </c>
      <c r="C2944" s="83" t="s">
        <v>366</v>
      </c>
      <c r="D2944" s="81" t="s">
        <v>3012</v>
      </c>
      <c r="E2944" s="48">
        <v>500499</v>
      </c>
      <c r="F2944" s="30" t="s">
        <v>2952</v>
      </c>
      <c r="G2944" s="29" t="s">
        <v>87</v>
      </c>
      <c r="H2944" s="30" t="s">
        <v>3007</v>
      </c>
      <c r="I2944" s="78"/>
      <c r="J2944" s="20"/>
      <c r="K2944" s="20"/>
      <c r="L2944" s="20"/>
      <c r="M2944" s="20"/>
      <c r="N2944" s="69" t="s">
        <v>256</v>
      </c>
      <c r="O2944" s="70">
        <v>0</v>
      </c>
      <c r="P2944" s="70">
        <v>0</v>
      </c>
      <c r="Q2944" s="70">
        <f t="shared" si="251"/>
        <v>0</v>
      </c>
      <c r="R2944" s="70"/>
      <c r="S2944" s="67"/>
      <c r="T2944" s="2" t="str">
        <f t="shared" si="252"/>
        <v>Lê Phạm Hoàng Nguyên_12KT1</v>
      </c>
      <c r="U2944" s="28">
        <f t="array" ref="U2944">IFERROR(VLOOKUP($T2944,'Nghi hoc T12'!$H$7:$I$160,2,0),0)</f>
        <v>0</v>
      </c>
      <c r="V2944" s="28"/>
      <c r="W2944" s="28">
        <f t="shared" si="253"/>
        <v>0</v>
      </c>
      <c r="X2944" s="333">
        <f t="shared" si="254"/>
        <v>0</v>
      </c>
      <c r="Y2944" s="333">
        <f t="shared" si="255"/>
        <v>0</v>
      </c>
    </row>
    <row r="2945" spans="1:25" s="2" customFormat="1" ht="21.95" customHeight="1">
      <c r="A2945" s="321">
        <v>1</v>
      </c>
      <c r="B2945" s="91" t="str">
        <f t="shared" si="256"/>
        <v>A1.10.S</v>
      </c>
      <c r="C2945" s="185" t="s">
        <v>366</v>
      </c>
      <c r="D2945" s="186" t="s">
        <v>3014</v>
      </c>
      <c r="E2945" s="187">
        <v>500500</v>
      </c>
      <c r="F2945" s="188" t="s">
        <v>2953</v>
      </c>
      <c r="G2945" s="189" t="s">
        <v>2954</v>
      </c>
      <c r="H2945" s="188" t="s">
        <v>3006</v>
      </c>
      <c r="I2945" s="190"/>
      <c r="J2945" s="191"/>
      <c r="K2945" s="191"/>
      <c r="L2945" s="191"/>
      <c r="M2945" s="191"/>
      <c r="N2945" s="69" t="s">
        <v>256</v>
      </c>
      <c r="O2945" s="70">
        <v>0</v>
      </c>
      <c r="P2945" s="70">
        <v>0</v>
      </c>
      <c r="Q2945" s="70">
        <f t="shared" si="251"/>
        <v>0</v>
      </c>
      <c r="R2945" s="70"/>
      <c r="S2945" s="67"/>
      <c r="T2945" s="2" t="str">
        <f t="shared" si="252"/>
        <v>Võ Thị Ánh Nguyệt_12KT2</v>
      </c>
      <c r="U2945" s="28">
        <f t="array" ref="U2945">IFERROR(VLOOKUP($T2945,'Nghi hoc T12'!$H$7:$I$160,2,0),0)</f>
        <v>0</v>
      </c>
      <c r="V2945" s="28"/>
      <c r="W2945" s="28">
        <f t="shared" si="253"/>
        <v>0</v>
      </c>
      <c r="X2945" s="333">
        <f t="shared" si="254"/>
        <v>0</v>
      </c>
      <c r="Y2945" s="333">
        <f t="shared" si="255"/>
        <v>0</v>
      </c>
    </row>
    <row r="2946" spans="1:25" s="2" customFormat="1" ht="21.95" customHeight="1">
      <c r="A2946" s="82">
        <v>2</v>
      </c>
      <c r="B2946" s="91" t="str">
        <f t="shared" si="256"/>
        <v>A1.10.S</v>
      </c>
      <c r="C2946" s="83" t="s">
        <v>366</v>
      </c>
      <c r="D2946" s="81" t="s">
        <v>3014</v>
      </c>
      <c r="E2946" s="48">
        <v>500501</v>
      </c>
      <c r="F2946" s="30" t="s">
        <v>2955</v>
      </c>
      <c r="G2946" s="29" t="s">
        <v>102</v>
      </c>
      <c r="H2946" s="30" t="s">
        <v>3005</v>
      </c>
      <c r="I2946" s="78"/>
      <c r="J2946" s="20"/>
      <c r="K2946" s="20"/>
      <c r="L2946" s="20"/>
      <c r="M2946" s="20"/>
      <c r="N2946" s="69" t="s">
        <v>256</v>
      </c>
      <c r="O2946" s="70">
        <v>0</v>
      </c>
      <c r="P2946" s="70">
        <v>0</v>
      </c>
      <c r="Q2946" s="70">
        <f t="shared" si="251"/>
        <v>0</v>
      </c>
      <c r="R2946" s="70"/>
      <c r="S2946" s="67"/>
      <c r="T2946" s="2" t="str">
        <f t="shared" si="252"/>
        <v>Lê Hoàng Cao Nhân_12KT4</v>
      </c>
      <c r="U2946" s="28">
        <f t="array" ref="U2946">IFERROR(VLOOKUP($T2946,'Nghi hoc T12'!$H$7:$I$160,2,0),0)</f>
        <v>0</v>
      </c>
      <c r="V2946" s="28"/>
      <c r="W2946" s="28">
        <f t="shared" si="253"/>
        <v>0</v>
      </c>
      <c r="X2946" s="333">
        <f t="shared" si="254"/>
        <v>0</v>
      </c>
      <c r="Y2946" s="333">
        <f t="shared" si="255"/>
        <v>0</v>
      </c>
    </row>
    <row r="2947" spans="1:25" s="2" customFormat="1" ht="21.95" customHeight="1">
      <c r="A2947" s="82">
        <v>3</v>
      </c>
      <c r="B2947" s="91" t="str">
        <f t="shared" si="256"/>
        <v>A1.10.S</v>
      </c>
      <c r="C2947" s="83" t="s">
        <v>366</v>
      </c>
      <c r="D2947" s="81" t="s">
        <v>3014</v>
      </c>
      <c r="E2947" s="48">
        <v>500502</v>
      </c>
      <c r="F2947" s="30" t="s">
        <v>160</v>
      </c>
      <c r="G2947" s="29" t="s">
        <v>102</v>
      </c>
      <c r="H2947" s="30" t="s">
        <v>3004</v>
      </c>
      <c r="I2947" s="78"/>
      <c r="J2947" s="20"/>
      <c r="K2947" s="20"/>
      <c r="L2947" s="20"/>
      <c r="M2947" s="20"/>
      <c r="N2947" s="69" t="s">
        <v>256</v>
      </c>
      <c r="O2947" s="70">
        <v>0</v>
      </c>
      <c r="P2947" s="70">
        <v>0</v>
      </c>
      <c r="Q2947" s="70">
        <f t="shared" si="251"/>
        <v>0</v>
      </c>
      <c r="R2947" s="70"/>
      <c r="S2947" s="67"/>
      <c r="T2947" s="2" t="str">
        <f t="shared" si="252"/>
        <v>Nguyễn Thành Nhân_12KT3</v>
      </c>
      <c r="U2947" s="28">
        <f t="array" ref="U2947">IFERROR(VLOOKUP($T2947,'Nghi hoc T12'!$H$7:$I$160,2,0),0)</f>
        <v>0</v>
      </c>
      <c r="V2947" s="28"/>
      <c r="W2947" s="28">
        <f t="shared" si="253"/>
        <v>0</v>
      </c>
      <c r="X2947" s="333">
        <f t="shared" si="254"/>
        <v>0</v>
      </c>
      <c r="Y2947" s="333">
        <f t="shared" si="255"/>
        <v>0</v>
      </c>
    </row>
    <row r="2948" spans="1:25" s="2" customFormat="1" ht="21.95" customHeight="1">
      <c r="A2948" s="82">
        <v>4</v>
      </c>
      <c r="B2948" s="91" t="str">
        <f t="shared" si="256"/>
        <v>A1.10.S</v>
      </c>
      <c r="C2948" s="83" t="s">
        <v>366</v>
      </c>
      <c r="D2948" s="81" t="s">
        <v>3014</v>
      </c>
      <c r="E2948" s="48">
        <v>500503</v>
      </c>
      <c r="F2948" s="30" t="s">
        <v>354</v>
      </c>
      <c r="G2948" s="29" t="s">
        <v>254</v>
      </c>
      <c r="H2948" s="30" t="s">
        <v>3005</v>
      </c>
      <c r="I2948" s="78"/>
      <c r="J2948" s="20"/>
      <c r="K2948" s="20"/>
      <c r="L2948" s="20"/>
      <c r="M2948" s="20"/>
      <c r="N2948" s="69" t="s">
        <v>256</v>
      </c>
      <c r="O2948" s="70">
        <v>0</v>
      </c>
      <c r="P2948" s="70">
        <v>0</v>
      </c>
      <c r="Q2948" s="70">
        <f t="shared" si="251"/>
        <v>0</v>
      </c>
      <c r="R2948" s="70"/>
      <c r="S2948" s="67"/>
      <c r="T2948" s="2" t="str">
        <f t="shared" si="252"/>
        <v>Trần Hoàng Nhật_12KT4</v>
      </c>
      <c r="U2948" s="28">
        <f t="array" ref="U2948">IFERROR(VLOOKUP($T2948,'Nghi hoc T12'!$H$7:$I$160,2,0),0)</f>
        <v>0</v>
      </c>
      <c r="V2948" s="28"/>
      <c r="W2948" s="28">
        <f t="shared" si="253"/>
        <v>0</v>
      </c>
      <c r="X2948" s="333">
        <f t="shared" si="254"/>
        <v>0</v>
      </c>
      <c r="Y2948" s="333">
        <f t="shared" si="255"/>
        <v>0</v>
      </c>
    </row>
    <row r="2949" spans="1:25" s="2" customFormat="1" ht="21.95" customHeight="1">
      <c r="A2949" s="82">
        <v>5</v>
      </c>
      <c r="B2949" s="91" t="str">
        <f t="shared" si="256"/>
        <v>A1.10.S</v>
      </c>
      <c r="C2949" s="83" t="s">
        <v>366</v>
      </c>
      <c r="D2949" s="81" t="s">
        <v>3014</v>
      </c>
      <c r="E2949" s="48">
        <v>500504</v>
      </c>
      <c r="F2949" s="30" t="s">
        <v>2956</v>
      </c>
      <c r="G2949" s="29" t="s">
        <v>20</v>
      </c>
      <c r="H2949" s="30" t="s">
        <v>3007</v>
      </c>
      <c r="I2949" s="78"/>
      <c r="J2949" s="20"/>
      <c r="K2949" s="20"/>
      <c r="L2949" s="20"/>
      <c r="M2949" s="20"/>
      <c r="N2949" s="69" t="s">
        <v>256</v>
      </c>
      <c r="O2949" s="70">
        <v>0</v>
      </c>
      <c r="P2949" s="70">
        <v>0</v>
      </c>
      <c r="Q2949" s="70">
        <f t="shared" si="251"/>
        <v>0</v>
      </c>
      <c r="R2949" s="70"/>
      <c r="S2949" s="67"/>
      <c r="T2949" s="2" t="str">
        <f t="shared" si="252"/>
        <v>Cao Phương Nhi_12KT1</v>
      </c>
      <c r="U2949" s="28">
        <f t="array" ref="U2949">IFERROR(VLOOKUP($T2949,'Nghi hoc T12'!$H$7:$I$160,2,0),0)</f>
        <v>0</v>
      </c>
      <c r="V2949" s="28"/>
      <c r="W2949" s="28">
        <f t="shared" si="253"/>
        <v>0</v>
      </c>
      <c r="X2949" s="333">
        <f t="shared" si="254"/>
        <v>0</v>
      </c>
      <c r="Y2949" s="333">
        <f t="shared" si="255"/>
        <v>0</v>
      </c>
    </row>
    <row r="2950" spans="1:25" s="2" customFormat="1" ht="21.95" customHeight="1">
      <c r="A2950" s="82">
        <v>6</v>
      </c>
      <c r="B2950" s="91" t="str">
        <f t="shared" si="256"/>
        <v>A1.10.S</v>
      </c>
      <c r="C2950" s="83" t="s">
        <v>366</v>
      </c>
      <c r="D2950" s="81" t="s">
        <v>3014</v>
      </c>
      <c r="E2950" s="48">
        <v>500505</v>
      </c>
      <c r="F2950" s="30" t="s">
        <v>232</v>
      </c>
      <c r="G2950" s="29" t="s">
        <v>20</v>
      </c>
      <c r="H2950" s="30" t="s">
        <v>3007</v>
      </c>
      <c r="I2950" s="78"/>
      <c r="J2950" s="20"/>
      <c r="K2950" s="20"/>
      <c r="L2950" s="20"/>
      <c r="M2950" s="20"/>
      <c r="N2950" s="69" t="s">
        <v>256</v>
      </c>
      <c r="O2950" s="70">
        <v>0</v>
      </c>
      <c r="P2950" s="70">
        <v>0</v>
      </c>
      <c r="Q2950" s="70">
        <f t="shared" si="251"/>
        <v>0</v>
      </c>
      <c r="R2950" s="70"/>
      <c r="S2950" s="67"/>
      <c r="T2950" s="2" t="str">
        <f t="shared" si="252"/>
        <v>Nguyễn Thị Tuyết Nhi_12KT1</v>
      </c>
      <c r="U2950" s="28">
        <f t="array" ref="U2950">IFERROR(VLOOKUP($T2950,'Nghi hoc T12'!$H$7:$I$160,2,0),0)</f>
        <v>0</v>
      </c>
      <c r="V2950" s="28"/>
      <c r="W2950" s="28">
        <f t="shared" si="253"/>
        <v>0</v>
      </c>
      <c r="X2950" s="333">
        <f t="shared" si="254"/>
        <v>0</v>
      </c>
      <c r="Y2950" s="333">
        <f t="shared" si="255"/>
        <v>0</v>
      </c>
    </row>
    <row r="2951" spans="1:25" s="2" customFormat="1" ht="21.95" customHeight="1">
      <c r="A2951" s="82">
        <v>7</v>
      </c>
      <c r="B2951" s="91" t="str">
        <f t="shared" si="256"/>
        <v>A1.10.S</v>
      </c>
      <c r="C2951" s="83" t="s">
        <v>366</v>
      </c>
      <c r="D2951" s="81" t="s">
        <v>3014</v>
      </c>
      <c r="E2951" s="48">
        <v>500506</v>
      </c>
      <c r="F2951" s="30" t="s">
        <v>2957</v>
      </c>
      <c r="G2951" s="29" t="s">
        <v>20</v>
      </c>
      <c r="H2951" s="30" t="s">
        <v>3006</v>
      </c>
      <c r="I2951" s="78"/>
      <c r="J2951" s="20"/>
      <c r="K2951" s="20"/>
      <c r="L2951" s="20"/>
      <c r="M2951" s="20"/>
      <c r="N2951" s="69" t="s">
        <v>256</v>
      </c>
      <c r="O2951" s="70">
        <v>0</v>
      </c>
      <c r="P2951" s="70">
        <v>0</v>
      </c>
      <c r="Q2951" s="70">
        <f t="shared" si="251"/>
        <v>0</v>
      </c>
      <c r="R2951" s="70"/>
      <c r="S2951" s="67"/>
      <c r="T2951" s="2" t="str">
        <f t="shared" si="252"/>
        <v>Thân Trọng Yến Nhi_12KT2</v>
      </c>
      <c r="U2951" s="28">
        <f t="array" ref="U2951">IFERROR(VLOOKUP($T2951,'Nghi hoc T12'!$H$7:$I$160,2,0),0)</f>
        <v>0</v>
      </c>
      <c r="V2951" s="28"/>
      <c r="W2951" s="28">
        <f t="shared" si="253"/>
        <v>0</v>
      </c>
      <c r="X2951" s="333">
        <f t="shared" si="254"/>
        <v>0</v>
      </c>
      <c r="Y2951" s="333">
        <f t="shared" si="255"/>
        <v>0</v>
      </c>
    </row>
    <row r="2952" spans="1:25" s="2" customFormat="1" ht="21.95" customHeight="1">
      <c r="A2952" s="82">
        <v>8</v>
      </c>
      <c r="B2952" s="91" t="str">
        <f t="shared" si="256"/>
        <v>A1.10.S</v>
      </c>
      <c r="C2952" s="83" t="s">
        <v>366</v>
      </c>
      <c r="D2952" s="81" t="s">
        <v>3014</v>
      </c>
      <c r="E2952" s="48">
        <v>500507</v>
      </c>
      <c r="F2952" s="30" t="s">
        <v>2958</v>
      </c>
      <c r="G2952" s="29" t="s">
        <v>20</v>
      </c>
      <c r="H2952" s="30" t="s">
        <v>3006</v>
      </c>
      <c r="I2952" s="78"/>
      <c r="J2952" s="20"/>
      <c r="K2952" s="20"/>
      <c r="L2952" s="20"/>
      <c r="M2952" s="20"/>
      <c r="N2952" s="69" t="s">
        <v>256</v>
      </c>
      <c r="O2952" s="70">
        <v>0</v>
      </c>
      <c r="P2952" s="70">
        <v>0</v>
      </c>
      <c r="Q2952" s="70">
        <f t="shared" si="251"/>
        <v>0</v>
      </c>
      <c r="R2952" s="70"/>
      <c r="S2952" s="67"/>
      <c r="T2952" s="2" t="str">
        <f t="shared" si="252"/>
        <v>Trịnh Vũ Yến Nhi_12KT2</v>
      </c>
      <c r="U2952" s="28">
        <f t="array" ref="U2952">IFERROR(VLOOKUP($T2952,'Nghi hoc T12'!$H$7:$I$160,2,0),0)</f>
        <v>0</v>
      </c>
      <c r="V2952" s="28"/>
      <c r="W2952" s="28">
        <f t="shared" si="253"/>
        <v>0</v>
      </c>
      <c r="X2952" s="333">
        <f t="shared" si="254"/>
        <v>0</v>
      </c>
      <c r="Y2952" s="333">
        <f t="shared" si="255"/>
        <v>0</v>
      </c>
    </row>
    <row r="2953" spans="1:25" s="2" customFormat="1" ht="21.95" customHeight="1">
      <c r="A2953" s="82">
        <v>9</v>
      </c>
      <c r="B2953" s="91" t="str">
        <f t="shared" si="256"/>
        <v>A1.10.S</v>
      </c>
      <c r="C2953" s="83" t="s">
        <v>366</v>
      </c>
      <c r="D2953" s="81" t="s">
        <v>3014</v>
      </c>
      <c r="E2953" s="48">
        <v>500508</v>
      </c>
      <c r="F2953" s="30" t="s">
        <v>2959</v>
      </c>
      <c r="G2953" s="29" t="s">
        <v>88</v>
      </c>
      <c r="H2953" s="30" t="s">
        <v>3006</v>
      </c>
      <c r="I2953" s="78"/>
      <c r="J2953" s="20"/>
      <c r="K2953" s="20"/>
      <c r="L2953" s="20"/>
      <c r="M2953" s="20"/>
      <c r="N2953" s="69" t="s">
        <v>256</v>
      </c>
      <c r="O2953" s="70">
        <v>0</v>
      </c>
      <c r="P2953" s="70">
        <v>0</v>
      </c>
      <c r="Q2953" s="70">
        <f t="shared" si="251"/>
        <v>0</v>
      </c>
      <c r="R2953" s="70"/>
      <c r="S2953" s="67"/>
      <c r="T2953" s="2" t="str">
        <f t="shared" si="252"/>
        <v>Diệp Mai Tuyết Nhung_12KT2</v>
      </c>
      <c r="U2953" s="28">
        <f t="array" ref="U2953">IFERROR(VLOOKUP($T2953,'Nghi hoc T12'!$H$7:$I$160,2,0),0)</f>
        <v>0</v>
      </c>
      <c r="V2953" s="28"/>
      <c r="W2953" s="28">
        <f t="shared" si="253"/>
        <v>0</v>
      </c>
      <c r="X2953" s="333">
        <f t="shared" si="254"/>
        <v>0</v>
      </c>
      <c r="Y2953" s="333">
        <f t="shared" si="255"/>
        <v>0</v>
      </c>
    </row>
    <row r="2954" spans="1:25" s="2" customFormat="1" ht="21.95" customHeight="1">
      <c r="A2954" s="82">
        <v>10</v>
      </c>
      <c r="B2954" s="91" t="str">
        <f t="shared" si="256"/>
        <v>A1.10.S</v>
      </c>
      <c r="C2954" s="83" t="s">
        <v>366</v>
      </c>
      <c r="D2954" s="81" t="s">
        <v>3014</v>
      </c>
      <c r="E2954" s="48">
        <v>500509</v>
      </c>
      <c r="F2954" s="30" t="s">
        <v>2960</v>
      </c>
      <c r="G2954" s="29" t="s">
        <v>21</v>
      </c>
      <c r="H2954" s="30" t="s">
        <v>3004</v>
      </c>
      <c r="I2954" s="78"/>
      <c r="J2954" s="20"/>
      <c r="K2954" s="20"/>
      <c r="L2954" s="20"/>
      <c r="M2954" s="20"/>
      <c r="N2954" s="69" t="s">
        <v>256</v>
      </c>
      <c r="O2954" s="70">
        <v>0</v>
      </c>
      <c r="P2954" s="70">
        <v>0</v>
      </c>
      <c r="Q2954" s="70">
        <f t="shared" ref="Q2954:Q3017" si="257">U2954</f>
        <v>0</v>
      </c>
      <c r="R2954" s="70"/>
      <c r="S2954" s="67"/>
      <c r="T2954" s="2" t="str">
        <f t="shared" ref="T2954:T3017" si="258">TRIM(F2954&amp;" "&amp;G2954&amp;"_"&amp;H2954)</f>
        <v>Đỗ Huỳnh Như_12KT3</v>
      </c>
      <c r="U2954" s="28">
        <f t="array" ref="U2954">IFERROR(VLOOKUP($T2954,'Nghi hoc T12'!$H$7:$I$160,2,0),0)</f>
        <v>0</v>
      </c>
      <c r="V2954" s="28"/>
      <c r="W2954" s="28">
        <f t="shared" ref="W2954:W3017" si="259">I2954</f>
        <v>0</v>
      </c>
      <c r="X2954" s="333">
        <f t="shared" ref="X2954:X3017" si="260">O2954</f>
        <v>0</v>
      </c>
      <c r="Y2954" s="333">
        <f t="shared" ref="Y2954:Y3017" si="261">P2954</f>
        <v>0</v>
      </c>
    </row>
    <row r="2955" spans="1:25" s="2" customFormat="1" ht="21.95" customHeight="1">
      <c r="A2955" s="82">
        <v>11</v>
      </c>
      <c r="B2955" s="91" t="str">
        <f t="shared" ref="B2955:B3018" si="262">RIGHT(D2955,LEN(D2955)-2)&amp;"."&amp;LEFT(N2955,1)</f>
        <v>A1.10.S</v>
      </c>
      <c r="C2955" s="83" t="s">
        <v>366</v>
      </c>
      <c r="D2955" s="81" t="s">
        <v>3014</v>
      </c>
      <c r="E2955" s="48">
        <v>500510</v>
      </c>
      <c r="F2955" s="30" t="s">
        <v>2961</v>
      </c>
      <c r="G2955" s="29" t="s">
        <v>21</v>
      </c>
      <c r="H2955" s="30" t="s">
        <v>3007</v>
      </c>
      <c r="I2955" s="78"/>
      <c r="J2955" s="20"/>
      <c r="K2955" s="20"/>
      <c r="L2955" s="20"/>
      <c r="M2955" s="20"/>
      <c r="N2955" s="69" t="s">
        <v>256</v>
      </c>
      <c r="O2955" s="70">
        <v>0</v>
      </c>
      <c r="P2955" s="70">
        <v>0</v>
      </c>
      <c r="Q2955" s="70">
        <f t="shared" si="257"/>
        <v>0</v>
      </c>
      <c r="R2955" s="70"/>
      <c r="S2955" s="67"/>
      <c r="T2955" s="2" t="str">
        <f t="shared" si="258"/>
        <v>Phạm Thị Cẩm Như_12KT1</v>
      </c>
      <c r="U2955" s="28">
        <f t="array" ref="U2955">IFERROR(VLOOKUP($T2955,'Nghi hoc T12'!$H$7:$I$160,2,0),0)</f>
        <v>0</v>
      </c>
      <c r="V2955" s="28"/>
      <c r="W2955" s="28">
        <f t="shared" si="259"/>
        <v>0</v>
      </c>
      <c r="X2955" s="333">
        <f t="shared" si="260"/>
        <v>0</v>
      </c>
      <c r="Y2955" s="333">
        <f t="shared" si="261"/>
        <v>0</v>
      </c>
    </row>
    <row r="2956" spans="1:25" s="2" customFormat="1" ht="21.95" customHeight="1">
      <c r="A2956" s="82">
        <v>12</v>
      </c>
      <c r="B2956" s="91" t="str">
        <f t="shared" si="262"/>
        <v>A1.10.S</v>
      </c>
      <c r="C2956" s="83" t="s">
        <v>366</v>
      </c>
      <c r="D2956" s="81" t="s">
        <v>3014</v>
      </c>
      <c r="E2956" s="48">
        <v>500511</v>
      </c>
      <c r="F2956" s="30" t="s">
        <v>2962</v>
      </c>
      <c r="G2956" s="29" t="s">
        <v>181</v>
      </c>
      <c r="H2956" s="30" t="s">
        <v>3005</v>
      </c>
      <c r="I2956" s="78"/>
      <c r="J2956" s="20"/>
      <c r="K2956" s="20"/>
      <c r="L2956" s="20"/>
      <c r="M2956" s="20"/>
      <c r="N2956" s="69" t="s">
        <v>256</v>
      </c>
      <c r="O2956" s="70">
        <v>0</v>
      </c>
      <c r="P2956" s="70">
        <v>0</v>
      </c>
      <c r="Q2956" s="70">
        <f t="shared" si="257"/>
        <v>0</v>
      </c>
      <c r="R2956" s="70"/>
      <c r="S2956" s="67"/>
      <c r="T2956" s="2" t="str">
        <f t="shared" si="258"/>
        <v>Lý Hoàng Oanh_12KT4</v>
      </c>
      <c r="U2956" s="28">
        <f t="array" ref="U2956">IFERROR(VLOOKUP($T2956,'Nghi hoc T12'!$H$7:$I$160,2,0),0)</f>
        <v>0</v>
      </c>
      <c r="V2956" s="28"/>
      <c r="W2956" s="28">
        <f t="shared" si="259"/>
        <v>0</v>
      </c>
      <c r="X2956" s="333">
        <f t="shared" si="260"/>
        <v>0</v>
      </c>
      <c r="Y2956" s="333">
        <f t="shared" si="261"/>
        <v>0</v>
      </c>
    </row>
    <row r="2957" spans="1:25" s="2" customFormat="1" ht="21.95" customHeight="1">
      <c r="A2957" s="82">
        <v>13</v>
      </c>
      <c r="B2957" s="91" t="str">
        <f t="shared" si="262"/>
        <v>A1.10.S</v>
      </c>
      <c r="C2957" s="83" t="s">
        <v>366</v>
      </c>
      <c r="D2957" s="81" t="s">
        <v>3014</v>
      </c>
      <c r="E2957" s="48">
        <v>500512</v>
      </c>
      <c r="F2957" s="30" t="s">
        <v>356</v>
      </c>
      <c r="G2957" s="29" t="s">
        <v>181</v>
      </c>
      <c r="H2957" s="30" t="s">
        <v>3004</v>
      </c>
      <c r="I2957" s="78"/>
      <c r="J2957" s="20"/>
      <c r="K2957" s="20"/>
      <c r="L2957" s="20"/>
      <c r="M2957" s="20"/>
      <c r="N2957" s="69" t="s">
        <v>256</v>
      </c>
      <c r="O2957" s="70">
        <v>0</v>
      </c>
      <c r="P2957" s="70">
        <v>0</v>
      </c>
      <c r="Q2957" s="70">
        <f t="shared" si="257"/>
        <v>0</v>
      </c>
      <c r="R2957" s="70"/>
      <c r="S2957" s="67"/>
      <c r="T2957" s="2" t="str">
        <f t="shared" si="258"/>
        <v>Nguyễn Thị Kiều Oanh_12KT3</v>
      </c>
      <c r="U2957" s="28">
        <f t="array" ref="U2957">IFERROR(VLOOKUP($T2957,'Nghi hoc T12'!$H$7:$I$160,2,0),0)</f>
        <v>0</v>
      </c>
      <c r="V2957" s="28"/>
      <c r="W2957" s="28">
        <f t="shared" si="259"/>
        <v>0</v>
      </c>
      <c r="X2957" s="333">
        <f t="shared" si="260"/>
        <v>0</v>
      </c>
      <c r="Y2957" s="333">
        <f t="shared" si="261"/>
        <v>0</v>
      </c>
    </row>
    <row r="2958" spans="1:25" s="2" customFormat="1" ht="21.95" customHeight="1">
      <c r="A2958" s="82">
        <v>14</v>
      </c>
      <c r="B2958" s="91" t="str">
        <f t="shared" si="262"/>
        <v>A1.10.S</v>
      </c>
      <c r="C2958" s="83" t="s">
        <v>366</v>
      </c>
      <c r="D2958" s="81" t="s">
        <v>3014</v>
      </c>
      <c r="E2958" s="48">
        <v>500513</v>
      </c>
      <c r="F2958" s="30" t="s">
        <v>2963</v>
      </c>
      <c r="G2958" s="29" t="s">
        <v>42</v>
      </c>
      <c r="H2958" s="30" t="s">
        <v>3005</v>
      </c>
      <c r="I2958" s="78"/>
      <c r="J2958" s="20"/>
      <c r="K2958" s="20"/>
      <c r="L2958" s="20"/>
      <c r="M2958" s="20"/>
      <c r="N2958" s="69" t="s">
        <v>256</v>
      </c>
      <c r="O2958" s="70">
        <v>0</v>
      </c>
      <c r="P2958" s="70">
        <v>0</v>
      </c>
      <c r="Q2958" s="70">
        <f t="shared" si="257"/>
        <v>0</v>
      </c>
      <c r="R2958" s="70"/>
      <c r="S2958" s="67"/>
      <c r="T2958" s="2" t="str">
        <f t="shared" si="258"/>
        <v>Mai Đặng Tiến Phát_12KT4</v>
      </c>
      <c r="U2958" s="28">
        <f t="array" ref="U2958">IFERROR(VLOOKUP($T2958,'Nghi hoc T12'!$H$7:$I$160,2,0),0)</f>
        <v>0</v>
      </c>
      <c r="V2958" s="28"/>
      <c r="W2958" s="28">
        <f t="shared" si="259"/>
        <v>0</v>
      </c>
      <c r="X2958" s="333">
        <f t="shared" si="260"/>
        <v>0</v>
      </c>
      <c r="Y2958" s="333">
        <f t="shared" si="261"/>
        <v>0</v>
      </c>
    </row>
    <row r="2959" spans="1:25" s="2" customFormat="1" ht="21.95" customHeight="1">
      <c r="A2959" s="82">
        <v>15</v>
      </c>
      <c r="B2959" s="91" t="str">
        <f t="shared" si="262"/>
        <v>A1.10.S</v>
      </c>
      <c r="C2959" s="83" t="s">
        <v>366</v>
      </c>
      <c r="D2959" s="81" t="s">
        <v>3014</v>
      </c>
      <c r="E2959" s="48">
        <v>500514</v>
      </c>
      <c r="F2959" s="30" t="s">
        <v>1706</v>
      </c>
      <c r="G2959" s="29" t="s">
        <v>70</v>
      </c>
      <c r="H2959" s="30" t="s">
        <v>3007</v>
      </c>
      <c r="I2959" s="78"/>
      <c r="J2959" s="20"/>
      <c r="K2959" s="20"/>
      <c r="L2959" s="20"/>
      <c r="M2959" s="20"/>
      <c r="N2959" s="69" t="s">
        <v>256</v>
      </c>
      <c r="O2959" s="70">
        <v>0</v>
      </c>
      <c r="P2959" s="70">
        <v>0</v>
      </c>
      <c r="Q2959" s="70">
        <f t="shared" si="257"/>
        <v>0</v>
      </c>
      <c r="R2959" s="70"/>
      <c r="S2959" s="67"/>
      <c r="T2959" s="2" t="str">
        <f t="shared" si="258"/>
        <v>Lê Nhật Phong_12KT1</v>
      </c>
      <c r="U2959" s="28">
        <f t="array" ref="U2959">IFERROR(VLOOKUP($T2959,'Nghi hoc T12'!$H$7:$I$160,2,0),0)</f>
        <v>0</v>
      </c>
      <c r="V2959" s="28"/>
      <c r="W2959" s="28">
        <f t="shared" si="259"/>
        <v>0</v>
      </c>
      <c r="X2959" s="333">
        <f t="shared" si="260"/>
        <v>0</v>
      </c>
      <c r="Y2959" s="333">
        <f t="shared" si="261"/>
        <v>0</v>
      </c>
    </row>
    <row r="2960" spans="1:25" s="2" customFormat="1" ht="21.95" customHeight="1">
      <c r="A2960" s="82">
        <v>16</v>
      </c>
      <c r="B2960" s="91" t="str">
        <f t="shared" si="262"/>
        <v>A1.10.S</v>
      </c>
      <c r="C2960" s="83" t="s">
        <v>366</v>
      </c>
      <c r="D2960" s="81" t="s">
        <v>3014</v>
      </c>
      <c r="E2960" s="48">
        <v>500515</v>
      </c>
      <c r="F2960" s="30" t="s">
        <v>2964</v>
      </c>
      <c r="G2960" s="29" t="s">
        <v>71</v>
      </c>
      <c r="H2960" s="30" t="s">
        <v>3006</v>
      </c>
      <c r="I2960" s="78"/>
      <c r="J2960" s="20"/>
      <c r="K2960" s="20"/>
      <c r="L2960" s="20"/>
      <c r="M2960" s="20"/>
      <c r="N2960" s="69" t="s">
        <v>256</v>
      </c>
      <c r="O2960" s="70">
        <v>0</v>
      </c>
      <c r="P2960" s="70">
        <v>0</v>
      </c>
      <c r="Q2960" s="70">
        <f t="shared" si="257"/>
        <v>0</v>
      </c>
      <c r="R2960" s="70"/>
      <c r="S2960" s="67"/>
      <c r="T2960" s="2" t="str">
        <f t="shared" si="258"/>
        <v>Đào Thiên Phúc_12KT2</v>
      </c>
      <c r="U2960" s="28">
        <f t="array" ref="U2960">IFERROR(VLOOKUP($T2960,'Nghi hoc T12'!$H$7:$I$160,2,0),0)</f>
        <v>0</v>
      </c>
      <c r="V2960" s="28"/>
      <c r="W2960" s="28">
        <f t="shared" si="259"/>
        <v>0</v>
      </c>
      <c r="X2960" s="333">
        <f t="shared" si="260"/>
        <v>0</v>
      </c>
      <c r="Y2960" s="333">
        <f t="shared" si="261"/>
        <v>0</v>
      </c>
    </row>
    <row r="2961" spans="1:25" s="2" customFormat="1" ht="21.95" customHeight="1">
      <c r="A2961" s="82">
        <v>17</v>
      </c>
      <c r="B2961" s="91" t="str">
        <f t="shared" si="262"/>
        <v>A1.10.S</v>
      </c>
      <c r="C2961" s="83" t="s">
        <v>366</v>
      </c>
      <c r="D2961" s="81" t="s">
        <v>3014</v>
      </c>
      <c r="E2961" s="48">
        <v>500516</v>
      </c>
      <c r="F2961" s="30" t="s">
        <v>2965</v>
      </c>
      <c r="G2961" s="29" t="s">
        <v>71</v>
      </c>
      <c r="H2961" s="30" t="s">
        <v>3006</v>
      </c>
      <c r="I2961" s="78"/>
      <c r="J2961" s="20"/>
      <c r="K2961" s="20"/>
      <c r="L2961" s="20"/>
      <c r="M2961" s="20"/>
      <c r="N2961" s="69" t="s">
        <v>256</v>
      </c>
      <c r="O2961" s="70">
        <v>0</v>
      </c>
      <c r="P2961" s="70">
        <v>0</v>
      </c>
      <c r="Q2961" s="70">
        <f t="shared" si="257"/>
        <v>0</v>
      </c>
      <c r="R2961" s="70"/>
      <c r="S2961" s="67"/>
      <c r="T2961" s="2" t="str">
        <f t="shared" si="258"/>
        <v>Huỳnh Hoàng Phúc_12KT2</v>
      </c>
      <c r="U2961" s="28">
        <f t="array" ref="U2961">IFERROR(VLOOKUP($T2961,'Nghi hoc T12'!$H$7:$I$160,2,0),0)</f>
        <v>0</v>
      </c>
      <c r="V2961" s="28"/>
      <c r="W2961" s="28">
        <f t="shared" si="259"/>
        <v>0</v>
      </c>
      <c r="X2961" s="333">
        <f t="shared" si="260"/>
        <v>0</v>
      </c>
      <c r="Y2961" s="333">
        <f t="shared" si="261"/>
        <v>0</v>
      </c>
    </row>
    <row r="2962" spans="1:25" s="2" customFormat="1" ht="21.95" customHeight="1">
      <c r="A2962" s="82">
        <v>18</v>
      </c>
      <c r="B2962" s="91" t="str">
        <f t="shared" si="262"/>
        <v>A1.10.S</v>
      </c>
      <c r="C2962" s="83" t="s">
        <v>366</v>
      </c>
      <c r="D2962" s="81" t="s">
        <v>3014</v>
      </c>
      <c r="E2962" s="48">
        <v>500517</v>
      </c>
      <c r="F2962" s="30" t="s">
        <v>2966</v>
      </c>
      <c r="G2962" s="29" t="s">
        <v>71</v>
      </c>
      <c r="H2962" s="30" t="s">
        <v>3007</v>
      </c>
      <c r="I2962" s="78"/>
      <c r="J2962" s="20"/>
      <c r="K2962" s="20"/>
      <c r="L2962" s="20"/>
      <c r="M2962" s="20"/>
      <c r="N2962" s="69" t="s">
        <v>256</v>
      </c>
      <c r="O2962" s="70">
        <v>0</v>
      </c>
      <c r="P2962" s="70">
        <v>0</v>
      </c>
      <c r="Q2962" s="70">
        <f t="shared" si="257"/>
        <v>0</v>
      </c>
      <c r="R2962" s="70"/>
      <c r="S2962" s="67"/>
      <c r="T2962" s="2" t="str">
        <f t="shared" si="258"/>
        <v>Huỳnh Hồng Phúc_12KT1</v>
      </c>
      <c r="U2962" s="28">
        <f t="array" ref="U2962">IFERROR(VLOOKUP($T2962,'Nghi hoc T12'!$H$7:$I$160,2,0),0)</f>
        <v>0</v>
      </c>
      <c r="V2962" s="28"/>
      <c r="W2962" s="28">
        <f t="shared" si="259"/>
        <v>0</v>
      </c>
      <c r="X2962" s="333">
        <f t="shared" si="260"/>
        <v>0</v>
      </c>
      <c r="Y2962" s="333">
        <f t="shared" si="261"/>
        <v>0</v>
      </c>
    </row>
    <row r="2963" spans="1:25" s="2" customFormat="1" ht="21.95" customHeight="1">
      <c r="A2963" s="82">
        <v>19</v>
      </c>
      <c r="B2963" s="91" t="str">
        <f t="shared" si="262"/>
        <v>A1.10.S</v>
      </c>
      <c r="C2963" s="83" t="s">
        <v>366</v>
      </c>
      <c r="D2963" s="81" t="s">
        <v>3014</v>
      </c>
      <c r="E2963" s="48">
        <v>500518</v>
      </c>
      <c r="F2963" s="30" t="s">
        <v>156</v>
      </c>
      <c r="G2963" s="29" t="s">
        <v>71</v>
      </c>
      <c r="H2963" s="30" t="s">
        <v>3004</v>
      </c>
      <c r="I2963" s="78"/>
      <c r="J2963" s="20"/>
      <c r="K2963" s="20"/>
      <c r="L2963" s="20"/>
      <c r="M2963" s="20"/>
      <c r="N2963" s="69" t="s">
        <v>256</v>
      </c>
      <c r="O2963" s="70">
        <v>0</v>
      </c>
      <c r="P2963" s="70">
        <v>0</v>
      </c>
      <c r="Q2963" s="70">
        <f t="shared" si="257"/>
        <v>0</v>
      </c>
      <c r="R2963" s="70"/>
      <c r="S2963" s="67"/>
      <c r="T2963" s="2" t="str">
        <f t="shared" si="258"/>
        <v>Trần Minh Phúc_12KT3</v>
      </c>
      <c r="U2963" s="28">
        <f t="array" ref="U2963">IFERROR(VLOOKUP($T2963,'Nghi hoc T12'!$H$7:$I$160,2,0),0)</f>
        <v>0</v>
      </c>
      <c r="V2963" s="28"/>
      <c r="W2963" s="28">
        <f t="shared" si="259"/>
        <v>0</v>
      </c>
      <c r="X2963" s="333">
        <f t="shared" si="260"/>
        <v>0</v>
      </c>
      <c r="Y2963" s="333">
        <f t="shared" si="261"/>
        <v>0</v>
      </c>
    </row>
    <row r="2964" spans="1:25" s="2" customFormat="1" ht="21.95" customHeight="1">
      <c r="A2964" s="82">
        <v>20</v>
      </c>
      <c r="B2964" s="91" t="str">
        <f t="shared" si="262"/>
        <v>A1.10.S</v>
      </c>
      <c r="C2964" s="83" t="s">
        <v>366</v>
      </c>
      <c r="D2964" s="81" t="s">
        <v>3014</v>
      </c>
      <c r="E2964" s="48">
        <v>500519</v>
      </c>
      <c r="F2964" s="30" t="s">
        <v>2967</v>
      </c>
      <c r="G2964" s="29" t="s">
        <v>284</v>
      </c>
      <c r="H2964" s="30" t="s">
        <v>3004</v>
      </c>
      <c r="I2964" s="78"/>
      <c r="J2964" s="20"/>
      <c r="K2964" s="20"/>
      <c r="L2964" s="20"/>
      <c r="M2964" s="20"/>
      <c r="N2964" s="69" t="s">
        <v>256</v>
      </c>
      <c r="O2964" s="70">
        <v>0</v>
      </c>
      <c r="P2964" s="70">
        <v>0</v>
      </c>
      <c r="Q2964" s="70">
        <f t="shared" si="257"/>
        <v>0</v>
      </c>
      <c r="R2964" s="70"/>
      <c r="S2964" s="67"/>
      <c r="T2964" s="2" t="str">
        <f t="shared" si="258"/>
        <v>Văn Thanh Phước_12KT3</v>
      </c>
      <c r="U2964" s="28">
        <f t="array" ref="U2964">IFERROR(VLOOKUP($T2964,'Nghi hoc T12'!$H$7:$I$160,2,0),0)</f>
        <v>0</v>
      </c>
      <c r="V2964" s="28"/>
      <c r="W2964" s="28">
        <f t="shared" si="259"/>
        <v>0</v>
      </c>
      <c r="X2964" s="333">
        <f t="shared" si="260"/>
        <v>0</v>
      </c>
      <c r="Y2964" s="333">
        <f t="shared" si="261"/>
        <v>0</v>
      </c>
    </row>
    <row r="2965" spans="1:25" s="2" customFormat="1" ht="21.95" customHeight="1">
      <c r="A2965" s="82">
        <v>21</v>
      </c>
      <c r="B2965" s="91" t="str">
        <f t="shared" si="262"/>
        <v>A1.10.S</v>
      </c>
      <c r="C2965" s="83" t="s">
        <v>366</v>
      </c>
      <c r="D2965" s="81" t="s">
        <v>3014</v>
      </c>
      <c r="E2965" s="48">
        <v>500520</v>
      </c>
      <c r="F2965" s="30" t="s">
        <v>2968</v>
      </c>
      <c r="G2965" s="29" t="s">
        <v>43</v>
      </c>
      <c r="H2965" s="30" t="s">
        <v>3005</v>
      </c>
      <c r="I2965" s="78"/>
      <c r="J2965" s="20"/>
      <c r="K2965" s="20"/>
      <c r="L2965" s="20"/>
      <c r="M2965" s="20"/>
      <c r="N2965" s="69" t="s">
        <v>256</v>
      </c>
      <c r="O2965" s="70">
        <v>0</v>
      </c>
      <c r="P2965" s="70">
        <v>0</v>
      </c>
      <c r="Q2965" s="70">
        <f t="shared" si="257"/>
        <v>0</v>
      </c>
      <c r="R2965" s="70"/>
      <c r="S2965" s="67"/>
      <c r="T2965" s="2" t="str">
        <f t="shared" si="258"/>
        <v>Đoàn Ngọc Băng Phương_12KT4</v>
      </c>
      <c r="U2965" s="28">
        <f t="array" ref="U2965">IFERROR(VLOOKUP($T2965,'Nghi hoc T12'!$H$7:$I$160,2,0),0)</f>
        <v>0</v>
      </c>
      <c r="V2965" s="28"/>
      <c r="W2965" s="28">
        <f t="shared" si="259"/>
        <v>0</v>
      </c>
      <c r="X2965" s="333">
        <f t="shared" si="260"/>
        <v>0</v>
      </c>
      <c r="Y2965" s="333">
        <f t="shared" si="261"/>
        <v>0</v>
      </c>
    </row>
    <row r="2966" spans="1:25" s="2" customFormat="1" ht="21.95" customHeight="1">
      <c r="A2966" s="82">
        <v>22</v>
      </c>
      <c r="B2966" s="91" t="str">
        <f t="shared" si="262"/>
        <v>A1.10.S</v>
      </c>
      <c r="C2966" s="83" t="s">
        <v>366</v>
      </c>
      <c r="D2966" s="81" t="s">
        <v>3014</v>
      </c>
      <c r="E2966" s="48">
        <v>500521</v>
      </c>
      <c r="F2966" s="30" t="s">
        <v>268</v>
      </c>
      <c r="G2966" s="29" t="s">
        <v>43</v>
      </c>
      <c r="H2966" s="30" t="s">
        <v>3005</v>
      </c>
      <c r="I2966" s="78"/>
      <c r="J2966" s="20"/>
      <c r="K2966" s="20"/>
      <c r="L2966" s="20"/>
      <c r="M2966" s="20"/>
      <c r="N2966" s="69" t="s">
        <v>256</v>
      </c>
      <c r="O2966" s="70">
        <v>0</v>
      </c>
      <c r="P2966" s="70">
        <v>0</v>
      </c>
      <c r="Q2966" s="70">
        <f t="shared" si="257"/>
        <v>0</v>
      </c>
      <c r="R2966" s="70"/>
      <c r="S2966" s="67"/>
      <c r="T2966" s="2" t="str">
        <f t="shared" si="258"/>
        <v>Nguyễn Văn Phương_12KT4</v>
      </c>
      <c r="U2966" s="28">
        <f t="array" ref="U2966">IFERROR(VLOOKUP($T2966,'Nghi hoc T12'!$H$7:$I$160,2,0),0)</f>
        <v>0</v>
      </c>
      <c r="V2966" s="28"/>
      <c r="W2966" s="28">
        <f t="shared" si="259"/>
        <v>0</v>
      </c>
      <c r="X2966" s="333">
        <f t="shared" si="260"/>
        <v>0</v>
      </c>
      <c r="Y2966" s="333">
        <f t="shared" si="261"/>
        <v>0</v>
      </c>
    </row>
    <row r="2967" spans="1:25" s="2" customFormat="1" ht="21.95" customHeight="1">
      <c r="A2967" s="82">
        <v>23</v>
      </c>
      <c r="B2967" s="91" t="str">
        <f t="shared" si="262"/>
        <v>A1.10.S</v>
      </c>
      <c r="C2967" s="83" t="s">
        <v>366</v>
      </c>
      <c r="D2967" s="81" t="s">
        <v>3014</v>
      </c>
      <c r="E2967" s="48">
        <v>500522</v>
      </c>
      <c r="F2967" s="30" t="s">
        <v>1818</v>
      </c>
      <c r="G2967" s="29" t="s">
        <v>43</v>
      </c>
      <c r="H2967" s="30" t="s">
        <v>3007</v>
      </c>
      <c r="I2967" s="78"/>
      <c r="J2967" s="20"/>
      <c r="K2967" s="20"/>
      <c r="L2967" s="20"/>
      <c r="M2967" s="20"/>
      <c r="N2967" s="69" t="s">
        <v>256</v>
      </c>
      <c r="O2967" s="70">
        <v>0</v>
      </c>
      <c r="P2967" s="70">
        <v>0</v>
      </c>
      <c r="Q2967" s="70">
        <f t="shared" si="257"/>
        <v>0</v>
      </c>
      <c r="R2967" s="70"/>
      <c r="S2967" s="67"/>
      <c r="T2967" s="2" t="str">
        <f t="shared" si="258"/>
        <v>Phạm Thị Yến Phương_12KT1</v>
      </c>
      <c r="U2967" s="28">
        <f t="array" ref="U2967">IFERROR(VLOOKUP($T2967,'Nghi hoc T12'!$H$7:$I$160,2,0),0)</f>
        <v>0</v>
      </c>
      <c r="V2967" s="28"/>
      <c r="W2967" s="28">
        <f t="shared" si="259"/>
        <v>0</v>
      </c>
      <c r="X2967" s="333">
        <f t="shared" si="260"/>
        <v>0</v>
      </c>
      <c r="Y2967" s="333">
        <f t="shared" si="261"/>
        <v>0</v>
      </c>
    </row>
    <row r="2968" spans="1:25" s="2" customFormat="1" ht="21.95" customHeight="1">
      <c r="A2968" s="82">
        <v>24</v>
      </c>
      <c r="B2968" s="91" t="str">
        <f t="shared" si="262"/>
        <v>A1.10.S</v>
      </c>
      <c r="C2968" s="83" t="s">
        <v>366</v>
      </c>
      <c r="D2968" s="81" t="s">
        <v>3014</v>
      </c>
      <c r="E2968" s="48">
        <v>500523</v>
      </c>
      <c r="F2968" s="30" t="s">
        <v>2969</v>
      </c>
      <c r="G2968" s="29" t="s">
        <v>235</v>
      </c>
      <c r="H2968" s="30" t="s">
        <v>3004</v>
      </c>
      <c r="I2968" s="78"/>
      <c r="J2968" s="20"/>
      <c r="K2968" s="20"/>
      <c r="L2968" s="20"/>
      <c r="M2968" s="20"/>
      <c r="N2968" s="69" t="s">
        <v>256</v>
      </c>
      <c r="O2968" s="70">
        <v>0</v>
      </c>
      <c r="P2968" s="70">
        <v>0</v>
      </c>
      <c r="Q2968" s="70">
        <f t="shared" si="257"/>
        <v>0</v>
      </c>
      <c r="R2968" s="70"/>
      <c r="S2968" s="67"/>
      <c r="T2968" s="2" t="str">
        <f t="shared" si="258"/>
        <v>Trịnh Bảo Quốc_12KT3</v>
      </c>
      <c r="U2968" s="28">
        <f t="array" ref="U2968">IFERROR(VLOOKUP($T2968,'Nghi hoc T12'!$H$7:$I$160,2,0),0)</f>
        <v>0</v>
      </c>
      <c r="V2968" s="28"/>
      <c r="W2968" s="28">
        <f t="shared" si="259"/>
        <v>0</v>
      </c>
      <c r="X2968" s="333">
        <f t="shared" si="260"/>
        <v>0</v>
      </c>
      <c r="Y2968" s="333">
        <f t="shared" si="261"/>
        <v>0</v>
      </c>
    </row>
    <row r="2969" spans="1:25" s="2" customFormat="1" ht="21.95" customHeight="1">
      <c r="A2969" s="82">
        <v>25</v>
      </c>
      <c r="B2969" s="91" t="str">
        <f t="shared" si="262"/>
        <v>A1.10.S</v>
      </c>
      <c r="C2969" s="83" t="s">
        <v>366</v>
      </c>
      <c r="D2969" s="81" t="s">
        <v>3014</v>
      </c>
      <c r="E2969" s="48">
        <v>500524</v>
      </c>
      <c r="F2969" s="30" t="s">
        <v>326</v>
      </c>
      <c r="G2969" s="29" t="s">
        <v>2656</v>
      </c>
      <c r="H2969" s="30" t="s">
        <v>3007</v>
      </c>
      <c r="I2969" s="78"/>
      <c r="J2969" s="20"/>
      <c r="K2969" s="20"/>
      <c r="L2969" s="20"/>
      <c r="M2969" s="20"/>
      <c r="N2969" s="69" t="s">
        <v>256</v>
      </c>
      <c r="O2969" s="70">
        <v>0</v>
      </c>
      <c r="P2969" s="70">
        <v>0</v>
      </c>
      <c r="Q2969" s="70">
        <f t="shared" si="257"/>
        <v>0</v>
      </c>
      <c r="R2969" s="70"/>
      <c r="S2969" s="67"/>
      <c r="T2969" s="2" t="str">
        <f t="shared" si="258"/>
        <v>Ngô Văn Quyền_12KT1</v>
      </c>
      <c r="U2969" s="28">
        <f t="array" ref="U2969">IFERROR(VLOOKUP($T2969,'Nghi hoc T12'!$H$7:$I$160,2,0),0)</f>
        <v>0</v>
      </c>
      <c r="V2969" s="28"/>
      <c r="W2969" s="28">
        <f t="shared" si="259"/>
        <v>0</v>
      </c>
      <c r="X2969" s="333">
        <f t="shared" si="260"/>
        <v>0</v>
      </c>
      <c r="Y2969" s="333">
        <f t="shared" si="261"/>
        <v>0</v>
      </c>
    </row>
    <row r="2970" spans="1:25" s="2" customFormat="1" ht="21.95" customHeight="1">
      <c r="A2970" s="82">
        <v>26</v>
      </c>
      <c r="B2970" s="91" t="str">
        <f t="shared" si="262"/>
        <v>A1.10.S</v>
      </c>
      <c r="C2970" s="83" t="s">
        <v>366</v>
      </c>
      <c r="D2970" s="81" t="s">
        <v>3014</v>
      </c>
      <c r="E2970" s="48">
        <v>500525</v>
      </c>
      <c r="F2970" s="30" t="s">
        <v>2970</v>
      </c>
      <c r="G2970" s="29" t="s">
        <v>22</v>
      </c>
      <c r="H2970" s="30" t="s">
        <v>3006</v>
      </c>
      <c r="I2970" s="78"/>
      <c r="J2970" s="20"/>
      <c r="K2970" s="20"/>
      <c r="L2970" s="20"/>
      <c r="M2970" s="20"/>
      <c r="N2970" s="69" t="s">
        <v>256</v>
      </c>
      <c r="O2970" s="70">
        <v>0</v>
      </c>
      <c r="P2970" s="70">
        <v>0</v>
      </c>
      <c r="Q2970" s="70">
        <f t="shared" si="257"/>
        <v>0</v>
      </c>
      <c r="R2970" s="70"/>
      <c r="S2970" s="67"/>
      <c r="T2970" s="2" t="str">
        <f t="shared" si="258"/>
        <v>Hồ Phạm Ngọc Quỳnh_12KT2</v>
      </c>
      <c r="U2970" s="28">
        <f t="array" ref="U2970">IFERROR(VLOOKUP($T2970,'Nghi hoc T12'!$H$7:$I$160,2,0),0)</f>
        <v>0</v>
      </c>
      <c r="V2970" s="28"/>
      <c r="W2970" s="28">
        <f t="shared" si="259"/>
        <v>0</v>
      </c>
      <c r="X2970" s="333">
        <f t="shared" si="260"/>
        <v>0</v>
      </c>
      <c r="Y2970" s="333">
        <f t="shared" si="261"/>
        <v>0</v>
      </c>
    </row>
    <row r="2971" spans="1:25" s="2" customFormat="1" ht="21.95" customHeight="1">
      <c r="A2971" s="82">
        <v>27</v>
      </c>
      <c r="B2971" s="91" t="str">
        <f t="shared" si="262"/>
        <v>A1.10.S</v>
      </c>
      <c r="C2971" s="83" t="s">
        <v>366</v>
      </c>
      <c r="D2971" s="81" t="s">
        <v>3014</v>
      </c>
      <c r="E2971" s="48">
        <v>500526</v>
      </c>
      <c r="F2971" s="30" t="s">
        <v>2971</v>
      </c>
      <c r="G2971" s="29" t="s">
        <v>23</v>
      </c>
      <c r="H2971" s="30" t="s">
        <v>3004</v>
      </c>
      <c r="I2971" s="78"/>
      <c r="J2971" s="20"/>
      <c r="K2971" s="20"/>
      <c r="L2971" s="20"/>
      <c r="M2971" s="20"/>
      <c r="N2971" s="69" t="s">
        <v>256</v>
      </c>
      <c r="O2971" s="70">
        <v>0</v>
      </c>
      <c r="P2971" s="70">
        <v>0</v>
      </c>
      <c r="Q2971" s="70">
        <f t="shared" si="257"/>
        <v>0</v>
      </c>
      <c r="R2971" s="70"/>
      <c r="S2971" s="67"/>
      <c r="T2971" s="2" t="str">
        <f t="shared" si="258"/>
        <v>Nguyễn Nam Sơn_12KT3</v>
      </c>
      <c r="U2971" s="28">
        <f t="array" ref="U2971">IFERROR(VLOOKUP($T2971,'Nghi hoc T12'!$H$7:$I$160,2,0),0)</f>
        <v>0</v>
      </c>
      <c r="V2971" s="28"/>
      <c r="W2971" s="28">
        <f t="shared" si="259"/>
        <v>0</v>
      </c>
      <c r="X2971" s="333">
        <f t="shared" si="260"/>
        <v>0</v>
      </c>
      <c r="Y2971" s="333">
        <f t="shared" si="261"/>
        <v>0</v>
      </c>
    </row>
    <row r="2972" spans="1:25" s="2" customFormat="1" ht="21.95" customHeight="1">
      <c r="A2972" s="321">
        <v>1</v>
      </c>
      <c r="B2972" s="91" t="str">
        <f t="shared" si="262"/>
        <v>A1.11.S</v>
      </c>
      <c r="C2972" s="185" t="s">
        <v>366</v>
      </c>
      <c r="D2972" s="186" t="s">
        <v>3015</v>
      </c>
      <c r="E2972" s="187">
        <v>500527</v>
      </c>
      <c r="F2972" s="188" t="s">
        <v>2972</v>
      </c>
      <c r="G2972" s="189" t="s">
        <v>24</v>
      </c>
      <c r="H2972" s="188" t="s">
        <v>3005</v>
      </c>
      <c r="I2972" s="190"/>
      <c r="J2972" s="191"/>
      <c r="K2972" s="191"/>
      <c r="L2972" s="191"/>
      <c r="M2972" s="191"/>
      <c r="N2972" s="69" t="s">
        <v>256</v>
      </c>
      <c r="O2972" s="70">
        <v>0</v>
      </c>
      <c r="P2972" s="70">
        <v>0</v>
      </c>
      <c r="Q2972" s="70">
        <f t="shared" si="257"/>
        <v>0</v>
      </c>
      <c r="R2972" s="70"/>
      <c r="S2972" s="67"/>
      <c r="T2972" s="2" t="str">
        <f t="shared" si="258"/>
        <v>Dương Trí Tâm_12KT4</v>
      </c>
      <c r="U2972" s="28">
        <f t="array" ref="U2972">IFERROR(VLOOKUP($T2972,'Nghi hoc T12'!$H$7:$I$160,2,0),0)</f>
        <v>0</v>
      </c>
      <c r="V2972" s="28"/>
      <c r="W2972" s="28">
        <f t="shared" si="259"/>
        <v>0</v>
      </c>
      <c r="X2972" s="333">
        <f t="shared" si="260"/>
        <v>0</v>
      </c>
      <c r="Y2972" s="333">
        <f t="shared" si="261"/>
        <v>0</v>
      </c>
    </row>
    <row r="2973" spans="1:25" s="2" customFormat="1" ht="21.95" customHeight="1">
      <c r="A2973" s="82">
        <v>2</v>
      </c>
      <c r="B2973" s="91" t="str">
        <f t="shared" si="262"/>
        <v>A1.11.S</v>
      </c>
      <c r="C2973" s="83" t="s">
        <v>366</v>
      </c>
      <c r="D2973" s="81" t="s">
        <v>3015</v>
      </c>
      <c r="E2973" s="48">
        <v>500528</v>
      </c>
      <c r="F2973" s="30" t="s">
        <v>2973</v>
      </c>
      <c r="G2973" s="29" t="s">
        <v>24</v>
      </c>
      <c r="H2973" s="30" t="s">
        <v>3007</v>
      </c>
      <c r="I2973" s="78"/>
      <c r="J2973" s="20"/>
      <c r="K2973" s="20"/>
      <c r="L2973" s="20"/>
      <c r="M2973" s="20"/>
      <c r="N2973" s="69" t="s">
        <v>256</v>
      </c>
      <c r="O2973" s="70">
        <v>0</v>
      </c>
      <c r="P2973" s="70">
        <v>0</v>
      </c>
      <c r="Q2973" s="70">
        <f t="shared" si="257"/>
        <v>0</v>
      </c>
      <c r="R2973" s="70"/>
      <c r="S2973" s="67"/>
      <c r="T2973" s="2" t="str">
        <f t="shared" si="258"/>
        <v>Nguyễn Nhã Tâm_12KT1</v>
      </c>
      <c r="U2973" s="28">
        <f t="array" ref="U2973">IFERROR(VLOOKUP($T2973,'Nghi hoc T12'!$H$7:$I$160,2,0),0)</f>
        <v>0</v>
      </c>
      <c r="V2973" s="28"/>
      <c r="W2973" s="28">
        <f t="shared" si="259"/>
        <v>0</v>
      </c>
      <c r="X2973" s="333">
        <f t="shared" si="260"/>
        <v>0</v>
      </c>
      <c r="Y2973" s="333">
        <f t="shared" si="261"/>
        <v>0</v>
      </c>
    </row>
    <row r="2974" spans="1:25" s="2" customFormat="1" ht="21.95" customHeight="1">
      <c r="A2974" s="82">
        <v>3</v>
      </c>
      <c r="B2974" s="91" t="str">
        <f t="shared" si="262"/>
        <v>A1.11.S</v>
      </c>
      <c r="C2974" s="83" t="s">
        <v>366</v>
      </c>
      <c r="D2974" s="81" t="s">
        <v>3015</v>
      </c>
      <c r="E2974" s="48">
        <v>500529</v>
      </c>
      <c r="F2974" s="30" t="s">
        <v>1706</v>
      </c>
      <c r="G2974" s="29" t="s">
        <v>97</v>
      </c>
      <c r="H2974" s="30" t="s">
        <v>3007</v>
      </c>
      <c r="I2974" s="78"/>
      <c r="J2974" s="20"/>
      <c r="K2974" s="20"/>
      <c r="L2974" s="20"/>
      <c r="M2974" s="20"/>
      <c r="N2974" s="69" t="s">
        <v>256</v>
      </c>
      <c r="O2974" s="70">
        <v>0</v>
      </c>
      <c r="P2974" s="70">
        <v>0</v>
      </c>
      <c r="Q2974" s="70">
        <f t="shared" si="257"/>
        <v>0</v>
      </c>
      <c r="R2974" s="70"/>
      <c r="S2974" s="67"/>
      <c r="T2974" s="2" t="str">
        <f t="shared" si="258"/>
        <v>Lê Nhật Tân_12KT1</v>
      </c>
      <c r="U2974" s="28">
        <f t="array" ref="U2974">IFERROR(VLOOKUP($T2974,'Nghi hoc T12'!$H$7:$I$160,2,0),0)</f>
        <v>0</v>
      </c>
      <c r="V2974" s="28"/>
      <c r="W2974" s="28">
        <f t="shared" si="259"/>
        <v>0</v>
      </c>
      <c r="X2974" s="333">
        <f t="shared" si="260"/>
        <v>0</v>
      </c>
      <c r="Y2974" s="333">
        <f t="shared" si="261"/>
        <v>0</v>
      </c>
    </row>
    <row r="2975" spans="1:25" s="2" customFormat="1" ht="21.95" customHeight="1">
      <c r="A2975" s="82">
        <v>4</v>
      </c>
      <c r="B2975" s="91" t="str">
        <f t="shared" si="262"/>
        <v>A1.11.S</v>
      </c>
      <c r="C2975" s="83" t="s">
        <v>366</v>
      </c>
      <c r="D2975" s="81" t="s">
        <v>3015</v>
      </c>
      <c r="E2975" s="48">
        <v>500530</v>
      </c>
      <c r="F2975" s="30" t="s">
        <v>1706</v>
      </c>
      <c r="G2975" s="29" t="s">
        <v>97</v>
      </c>
      <c r="H2975" s="30" t="s">
        <v>3006</v>
      </c>
      <c r="I2975" s="78"/>
      <c r="J2975" s="20"/>
      <c r="K2975" s="20"/>
      <c r="L2975" s="20"/>
      <c r="M2975" s="20"/>
      <c r="N2975" s="69" t="s">
        <v>256</v>
      </c>
      <c r="O2975" s="70">
        <v>0</v>
      </c>
      <c r="P2975" s="70">
        <v>0</v>
      </c>
      <c r="Q2975" s="70">
        <f t="shared" si="257"/>
        <v>0</v>
      </c>
      <c r="R2975" s="70"/>
      <c r="S2975" s="67"/>
      <c r="T2975" s="2" t="str">
        <f t="shared" si="258"/>
        <v>Lê Nhật Tân_12KT2</v>
      </c>
      <c r="U2975" s="28">
        <f t="array" ref="U2975">IFERROR(VLOOKUP($T2975,'Nghi hoc T12'!$H$7:$I$160,2,0),0)</f>
        <v>0</v>
      </c>
      <c r="V2975" s="28"/>
      <c r="W2975" s="28">
        <f t="shared" si="259"/>
        <v>0</v>
      </c>
      <c r="X2975" s="333">
        <f t="shared" si="260"/>
        <v>0</v>
      </c>
      <c r="Y2975" s="333">
        <f t="shared" si="261"/>
        <v>0</v>
      </c>
    </row>
    <row r="2976" spans="1:25" s="2" customFormat="1" ht="21.95" customHeight="1">
      <c r="A2976" s="82">
        <v>5</v>
      </c>
      <c r="B2976" s="91" t="str">
        <f t="shared" si="262"/>
        <v>A1.11.S</v>
      </c>
      <c r="C2976" s="83" t="s">
        <v>366</v>
      </c>
      <c r="D2976" s="81" t="s">
        <v>3015</v>
      </c>
      <c r="E2976" s="48">
        <v>500531</v>
      </c>
      <c r="F2976" s="30" t="s">
        <v>2974</v>
      </c>
      <c r="G2976" s="29" t="s">
        <v>161</v>
      </c>
      <c r="H2976" s="30" t="s">
        <v>3004</v>
      </c>
      <c r="I2976" s="78"/>
      <c r="J2976" s="20"/>
      <c r="K2976" s="20"/>
      <c r="L2976" s="20"/>
      <c r="M2976" s="20"/>
      <c r="N2976" s="69" t="s">
        <v>256</v>
      </c>
      <c r="O2976" s="70">
        <v>0</v>
      </c>
      <c r="P2976" s="70">
        <v>0</v>
      </c>
      <c r="Q2976" s="70">
        <f t="shared" si="257"/>
        <v>0</v>
      </c>
      <c r="R2976" s="70"/>
      <c r="S2976" s="67"/>
      <c r="T2976" s="2" t="str">
        <f t="shared" si="258"/>
        <v>Ngô Nhứt Thiên_12KT3</v>
      </c>
      <c r="U2976" s="28">
        <f t="array" ref="U2976">IFERROR(VLOOKUP($T2976,'Nghi hoc T12'!$H$7:$I$160,2,0),0)</f>
        <v>0</v>
      </c>
      <c r="V2976" s="28"/>
      <c r="W2976" s="28">
        <f t="shared" si="259"/>
        <v>0</v>
      </c>
      <c r="X2976" s="333">
        <f t="shared" si="260"/>
        <v>0</v>
      </c>
      <c r="Y2976" s="333">
        <f t="shared" si="261"/>
        <v>0</v>
      </c>
    </row>
    <row r="2977" spans="1:25" s="2" customFormat="1" ht="21.95" customHeight="1">
      <c r="A2977" s="82">
        <v>6</v>
      </c>
      <c r="B2977" s="91" t="str">
        <f t="shared" si="262"/>
        <v>A1.11.S</v>
      </c>
      <c r="C2977" s="83" t="s">
        <v>366</v>
      </c>
      <c r="D2977" s="81" t="s">
        <v>3015</v>
      </c>
      <c r="E2977" s="48">
        <v>500532</v>
      </c>
      <c r="F2977" s="30" t="s">
        <v>2975</v>
      </c>
      <c r="G2977" s="29" t="s">
        <v>50</v>
      </c>
      <c r="H2977" s="30" t="s">
        <v>3006</v>
      </c>
      <c r="I2977" s="78"/>
      <c r="J2977" s="20"/>
      <c r="K2977" s="20"/>
      <c r="L2977" s="20"/>
      <c r="M2977" s="20"/>
      <c r="N2977" s="69" t="s">
        <v>256</v>
      </c>
      <c r="O2977" s="70">
        <v>0</v>
      </c>
      <c r="P2977" s="70">
        <v>0</v>
      </c>
      <c r="Q2977" s="70">
        <f t="shared" si="257"/>
        <v>0</v>
      </c>
      <c r="R2977" s="70"/>
      <c r="S2977" s="67"/>
      <c r="T2977" s="2" t="str">
        <f t="shared" si="258"/>
        <v>Nguyễn Nhựt Thiện_12KT2</v>
      </c>
      <c r="U2977" s="28">
        <f t="array" ref="U2977">IFERROR(VLOOKUP($T2977,'Nghi hoc T12'!$H$7:$I$160,2,0),0)</f>
        <v>0</v>
      </c>
      <c r="V2977" s="28"/>
      <c r="W2977" s="28">
        <f t="shared" si="259"/>
        <v>0</v>
      </c>
      <c r="X2977" s="333">
        <f t="shared" si="260"/>
        <v>0</v>
      </c>
      <c r="Y2977" s="333">
        <f t="shared" si="261"/>
        <v>0</v>
      </c>
    </row>
    <row r="2978" spans="1:25" s="2" customFormat="1" ht="21.95" customHeight="1">
      <c r="A2978" s="82">
        <v>7</v>
      </c>
      <c r="B2978" s="91" t="str">
        <f t="shared" si="262"/>
        <v>A1.11.S</v>
      </c>
      <c r="C2978" s="83" t="s">
        <v>366</v>
      </c>
      <c r="D2978" s="81" t="s">
        <v>3015</v>
      </c>
      <c r="E2978" s="48">
        <v>500533</v>
      </c>
      <c r="F2978" s="30" t="s">
        <v>2628</v>
      </c>
      <c r="G2978" s="29" t="s">
        <v>58</v>
      </c>
      <c r="H2978" s="30" t="s">
        <v>3005</v>
      </c>
      <c r="I2978" s="78"/>
      <c r="J2978" s="20"/>
      <c r="K2978" s="20"/>
      <c r="L2978" s="20"/>
      <c r="M2978" s="20"/>
      <c r="N2978" s="69" t="s">
        <v>256</v>
      </c>
      <c r="O2978" s="70">
        <v>0</v>
      </c>
      <c r="P2978" s="70">
        <v>0</v>
      </c>
      <c r="Q2978" s="70">
        <f t="shared" si="257"/>
        <v>0</v>
      </c>
      <c r="R2978" s="70"/>
      <c r="S2978" s="67"/>
      <c r="T2978" s="2" t="str">
        <f t="shared" si="258"/>
        <v>Huỳnh Phúc Thịnh_12KT4</v>
      </c>
      <c r="U2978" s="28">
        <f t="array" ref="U2978">IFERROR(VLOOKUP($T2978,'Nghi hoc T12'!$H$7:$I$160,2,0),0)</f>
        <v>0</v>
      </c>
      <c r="V2978" s="28"/>
      <c r="W2978" s="28">
        <f t="shared" si="259"/>
        <v>0</v>
      </c>
      <c r="X2978" s="333">
        <f t="shared" si="260"/>
        <v>0</v>
      </c>
      <c r="Y2978" s="333">
        <f t="shared" si="261"/>
        <v>0</v>
      </c>
    </row>
    <row r="2979" spans="1:25" s="2" customFormat="1" ht="21.95" customHeight="1">
      <c r="A2979" s="82">
        <v>8</v>
      </c>
      <c r="B2979" s="91" t="str">
        <f t="shared" si="262"/>
        <v>A1.11.S</v>
      </c>
      <c r="C2979" s="83" t="s">
        <v>366</v>
      </c>
      <c r="D2979" s="81" t="s">
        <v>3015</v>
      </c>
      <c r="E2979" s="48">
        <v>500534</v>
      </c>
      <c r="F2979" s="30" t="s">
        <v>293</v>
      </c>
      <c r="G2979" s="29" t="s">
        <v>59</v>
      </c>
      <c r="H2979" s="30" t="s">
        <v>3007</v>
      </c>
      <c r="I2979" s="78"/>
      <c r="J2979" s="20"/>
      <c r="K2979" s="20"/>
      <c r="L2979" s="20"/>
      <c r="M2979" s="20"/>
      <c r="N2979" s="69" t="s">
        <v>256</v>
      </c>
      <c r="O2979" s="70">
        <v>0</v>
      </c>
      <c r="P2979" s="70">
        <v>0</v>
      </c>
      <c r="Q2979" s="70">
        <f t="shared" si="257"/>
        <v>0</v>
      </c>
      <c r="R2979" s="70"/>
      <c r="S2979" s="67"/>
      <c r="T2979" s="2" t="str">
        <f t="shared" si="258"/>
        <v>Lê Quốc Thuận_12KT1</v>
      </c>
      <c r="U2979" s="28">
        <f t="array" ref="U2979">IFERROR(VLOOKUP($T2979,'Nghi hoc T12'!$H$7:$I$160,2,0),0)</f>
        <v>0</v>
      </c>
      <c r="V2979" s="28"/>
      <c r="W2979" s="28">
        <f t="shared" si="259"/>
        <v>0</v>
      </c>
      <c r="X2979" s="333">
        <f t="shared" si="260"/>
        <v>0</v>
      </c>
      <c r="Y2979" s="333">
        <f t="shared" si="261"/>
        <v>0</v>
      </c>
    </row>
    <row r="2980" spans="1:25" s="2" customFormat="1" ht="21.95" customHeight="1">
      <c r="A2980" s="82">
        <v>9</v>
      </c>
      <c r="B2980" s="91" t="str">
        <f t="shared" si="262"/>
        <v>A1.11.S</v>
      </c>
      <c r="C2980" s="83" t="s">
        <v>366</v>
      </c>
      <c r="D2980" s="81" t="s">
        <v>3015</v>
      </c>
      <c r="E2980" s="48">
        <v>500535</v>
      </c>
      <c r="F2980" s="30" t="s">
        <v>2976</v>
      </c>
      <c r="G2980" s="29" t="s">
        <v>1782</v>
      </c>
      <c r="H2980" s="30" t="s">
        <v>3007</v>
      </c>
      <c r="I2980" s="78"/>
      <c r="J2980" s="20"/>
      <c r="K2980" s="20"/>
      <c r="L2980" s="20"/>
      <c r="M2980" s="20"/>
      <c r="N2980" s="69" t="s">
        <v>256</v>
      </c>
      <c r="O2980" s="70">
        <v>0</v>
      </c>
      <c r="P2980" s="70">
        <v>0</v>
      </c>
      <c r="Q2980" s="70">
        <f t="shared" si="257"/>
        <v>0</v>
      </c>
      <c r="R2980" s="70"/>
      <c r="S2980" s="67"/>
      <c r="T2980" s="2" t="str">
        <f t="shared" si="258"/>
        <v>Lò Thị Thanh Thúy_12KT1</v>
      </c>
      <c r="U2980" s="28">
        <f t="array" ref="U2980">IFERROR(VLOOKUP($T2980,'Nghi hoc T12'!$H$7:$I$160,2,0),0)</f>
        <v>0</v>
      </c>
      <c r="V2980" s="28"/>
      <c r="W2980" s="28">
        <f t="shared" si="259"/>
        <v>0</v>
      </c>
      <c r="X2980" s="333">
        <f t="shared" si="260"/>
        <v>0</v>
      </c>
      <c r="Y2980" s="333">
        <f t="shared" si="261"/>
        <v>0</v>
      </c>
    </row>
    <row r="2981" spans="1:25" s="2" customFormat="1" ht="21.95" customHeight="1">
      <c r="A2981" s="82">
        <v>10</v>
      </c>
      <c r="B2981" s="91" t="str">
        <f t="shared" si="262"/>
        <v>A1.11.S</v>
      </c>
      <c r="C2981" s="83" t="s">
        <v>366</v>
      </c>
      <c r="D2981" s="81" t="s">
        <v>3015</v>
      </c>
      <c r="E2981" s="48">
        <v>500536</v>
      </c>
      <c r="F2981" s="30" t="s">
        <v>2977</v>
      </c>
      <c r="G2981" s="29" t="s">
        <v>28</v>
      </c>
      <c r="H2981" s="30" t="s">
        <v>3004</v>
      </c>
      <c r="I2981" s="78"/>
      <c r="J2981" s="20"/>
      <c r="K2981" s="20"/>
      <c r="L2981" s="20"/>
      <c r="M2981" s="20"/>
      <c r="N2981" s="69" t="s">
        <v>256</v>
      </c>
      <c r="O2981" s="70">
        <v>0</v>
      </c>
      <c r="P2981" s="70">
        <v>0</v>
      </c>
      <c r="Q2981" s="70">
        <f t="shared" si="257"/>
        <v>0</v>
      </c>
      <c r="R2981" s="70"/>
      <c r="S2981" s="67"/>
      <c r="T2981" s="2" t="str">
        <f t="shared" si="258"/>
        <v>Lê Thị Anh Thư_12KT3</v>
      </c>
      <c r="U2981" s="28">
        <f t="array" ref="U2981">IFERROR(VLOOKUP($T2981,'Nghi hoc T12'!$H$7:$I$160,2,0),0)</f>
        <v>0</v>
      </c>
      <c r="V2981" s="28"/>
      <c r="W2981" s="28">
        <f t="shared" si="259"/>
        <v>0</v>
      </c>
      <c r="X2981" s="333">
        <f t="shared" si="260"/>
        <v>0</v>
      </c>
      <c r="Y2981" s="333">
        <f t="shared" si="261"/>
        <v>0</v>
      </c>
    </row>
    <row r="2982" spans="1:25" s="2" customFormat="1" ht="21.95" customHeight="1">
      <c r="A2982" s="82">
        <v>11</v>
      </c>
      <c r="B2982" s="91" t="str">
        <f t="shared" si="262"/>
        <v>A1.11.S</v>
      </c>
      <c r="C2982" s="83" t="s">
        <v>366</v>
      </c>
      <c r="D2982" s="81" t="s">
        <v>3015</v>
      </c>
      <c r="E2982" s="48">
        <v>500537</v>
      </c>
      <c r="F2982" s="30" t="s">
        <v>226</v>
      </c>
      <c r="G2982" s="29" t="s">
        <v>28</v>
      </c>
      <c r="H2982" s="30" t="s">
        <v>3006</v>
      </c>
      <c r="I2982" s="78"/>
      <c r="J2982" s="20"/>
      <c r="K2982" s="20"/>
      <c r="L2982" s="20"/>
      <c r="M2982" s="20"/>
      <c r="N2982" s="69" t="s">
        <v>256</v>
      </c>
      <c r="O2982" s="70">
        <v>0</v>
      </c>
      <c r="P2982" s="70">
        <v>0</v>
      </c>
      <c r="Q2982" s="70">
        <f t="shared" si="257"/>
        <v>0</v>
      </c>
      <c r="R2982" s="70"/>
      <c r="S2982" s="67"/>
      <c r="T2982" s="2" t="str">
        <f t="shared" si="258"/>
        <v>Nguyễn Thị Thanh Thư_12KT2</v>
      </c>
      <c r="U2982" s="28">
        <f t="array" ref="U2982">IFERROR(VLOOKUP($T2982,'Nghi hoc T12'!$H$7:$I$160,2,0),0)</f>
        <v>0</v>
      </c>
      <c r="V2982" s="28"/>
      <c r="W2982" s="28">
        <f t="shared" si="259"/>
        <v>0</v>
      </c>
      <c r="X2982" s="333">
        <f t="shared" si="260"/>
        <v>0</v>
      </c>
      <c r="Y2982" s="333">
        <f t="shared" si="261"/>
        <v>0</v>
      </c>
    </row>
    <row r="2983" spans="1:25" s="2" customFormat="1" ht="21.95" customHeight="1">
      <c r="A2983" s="82">
        <v>12</v>
      </c>
      <c r="B2983" s="91" t="str">
        <f t="shared" si="262"/>
        <v>A1.11.S</v>
      </c>
      <c r="C2983" s="83" t="s">
        <v>366</v>
      </c>
      <c r="D2983" s="81" t="s">
        <v>3015</v>
      </c>
      <c r="E2983" s="48">
        <v>500538</v>
      </c>
      <c r="F2983" s="30" t="s">
        <v>1214</v>
      </c>
      <c r="G2983" s="29" t="s">
        <v>111</v>
      </c>
      <c r="H2983" s="30" t="s">
        <v>3005</v>
      </c>
      <c r="I2983" s="78"/>
      <c r="J2983" s="20"/>
      <c r="K2983" s="20"/>
      <c r="L2983" s="20"/>
      <c r="M2983" s="20"/>
      <c r="N2983" s="69" t="s">
        <v>256</v>
      </c>
      <c r="O2983" s="70">
        <v>0</v>
      </c>
      <c r="P2983" s="70">
        <v>0</v>
      </c>
      <c r="Q2983" s="70">
        <f t="shared" si="257"/>
        <v>0</v>
      </c>
      <c r="R2983" s="70"/>
      <c r="S2983" s="67"/>
      <c r="T2983" s="2" t="str">
        <f t="shared" si="258"/>
        <v>Nguyễn Thị Hoài Thương_12KT4</v>
      </c>
      <c r="U2983" s="28">
        <f t="array" ref="U2983">IFERROR(VLOOKUP($T2983,'Nghi hoc T12'!$H$7:$I$160,2,0),0)</f>
        <v>0</v>
      </c>
      <c r="V2983" s="28"/>
      <c r="W2983" s="28">
        <f t="shared" si="259"/>
        <v>0</v>
      </c>
      <c r="X2983" s="333">
        <f t="shared" si="260"/>
        <v>0</v>
      </c>
      <c r="Y2983" s="333">
        <f t="shared" si="261"/>
        <v>0</v>
      </c>
    </row>
    <row r="2984" spans="1:25" s="2" customFormat="1" ht="21.95" customHeight="1">
      <c r="A2984" s="82">
        <v>13</v>
      </c>
      <c r="B2984" s="91" t="str">
        <f t="shared" si="262"/>
        <v>A1.11.S</v>
      </c>
      <c r="C2984" s="83" t="s">
        <v>366</v>
      </c>
      <c r="D2984" s="81" t="s">
        <v>3015</v>
      </c>
      <c r="E2984" s="48">
        <v>500539</v>
      </c>
      <c r="F2984" s="30" t="s">
        <v>1701</v>
      </c>
      <c r="G2984" s="29" t="s">
        <v>213</v>
      </c>
      <c r="H2984" s="30" t="s">
        <v>3006</v>
      </c>
      <c r="I2984" s="78"/>
      <c r="J2984" s="20"/>
      <c r="K2984" s="20"/>
      <c r="L2984" s="20"/>
      <c r="M2984" s="20"/>
      <c r="N2984" s="69" t="s">
        <v>256</v>
      </c>
      <c r="O2984" s="70">
        <v>0</v>
      </c>
      <c r="P2984" s="70">
        <v>0</v>
      </c>
      <c r="Q2984" s="70">
        <f t="shared" si="257"/>
        <v>0</v>
      </c>
      <c r="R2984" s="70"/>
      <c r="S2984" s="67"/>
      <c r="T2984" s="2" t="str">
        <f t="shared" si="258"/>
        <v>Nguyễn Hoàng Bảo Thy_12KT2</v>
      </c>
      <c r="U2984" s="28">
        <f t="array" ref="U2984">IFERROR(VLOOKUP($T2984,'Nghi hoc T12'!$H$7:$I$160,2,0),0)</f>
        <v>0</v>
      </c>
      <c r="V2984" s="28"/>
      <c r="W2984" s="28">
        <f t="shared" si="259"/>
        <v>0</v>
      </c>
      <c r="X2984" s="333">
        <f t="shared" si="260"/>
        <v>0</v>
      </c>
      <c r="Y2984" s="333">
        <f t="shared" si="261"/>
        <v>0</v>
      </c>
    </row>
    <row r="2985" spans="1:25" s="2" customFormat="1" ht="21.95" customHeight="1">
      <c r="A2985" s="82">
        <v>14</v>
      </c>
      <c r="B2985" s="91" t="str">
        <f t="shared" si="262"/>
        <v>A1.11.S</v>
      </c>
      <c r="C2985" s="83" t="s">
        <v>366</v>
      </c>
      <c r="D2985" s="81" t="s">
        <v>3015</v>
      </c>
      <c r="E2985" s="48">
        <v>500540</v>
      </c>
      <c r="F2985" s="30" t="s">
        <v>1273</v>
      </c>
      <c r="G2985" s="29" t="s">
        <v>213</v>
      </c>
      <c r="H2985" s="30" t="s">
        <v>3005</v>
      </c>
      <c r="I2985" s="78"/>
      <c r="J2985" s="20"/>
      <c r="K2985" s="20"/>
      <c r="L2985" s="20"/>
      <c r="M2985" s="20"/>
      <c r="N2985" s="69" t="s">
        <v>256</v>
      </c>
      <c r="O2985" s="70">
        <v>0</v>
      </c>
      <c r="P2985" s="70">
        <v>0</v>
      </c>
      <c r="Q2985" s="70">
        <f t="shared" si="257"/>
        <v>0</v>
      </c>
      <c r="R2985" s="70"/>
      <c r="S2985" s="67"/>
      <c r="T2985" s="2" t="str">
        <f t="shared" si="258"/>
        <v>Nguyễn Hoàng Mai Thy_12KT4</v>
      </c>
      <c r="U2985" s="28">
        <f t="array" ref="U2985">IFERROR(VLOOKUP($T2985,'Nghi hoc T12'!$H$7:$I$160,2,0),0)</f>
        <v>0</v>
      </c>
      <c r="V2985" s="28"/>
      <c r="W2985" s="28">
        <f t="shared" si="259"/>
        <v>0</v>
      </c>
      <c r="X2985" s="333">
        <f t="shared" si="260"/>
        <v>0</v>
      </c>
      <c r="Y2985" s="333">
        <f t="shared" si="261"/>
        <v>0</v>
      </c>
    </row>
    <row r="2986" spans="1:25" s="2" customFormat="1" ht="21.95" customHeight="1">
      <c r="A2986" s="82">
        <v>15</v>
      </c>
      <c r="B2986" s="91" t="str">
        <f t="shared" si="262"/>
        <v>A1.11.S</v>
      </c>
      <c r="C2986" s="83" t="s">
        <v>366</v>
      </c>
      <c r="D2986" s="81" t="s">
        <v>3015</v>
      </c>
      <c r="E2986" s="48">
        <v>500541</v>
      </c>
      <c r="F2986" s="30" t="s">
        <v>242</v>
      </c>
      <c r="G2986" s="29" t="s">
        <v>213</v>
      </c>
      <c r="H2986" s="30" t="s">
        <v>3004</v>
      </c>
      <c r="I2986" s="78"/>
      <c r="J2986" s="20"/>
      <c r="K2986" s="20"/>
      <c r="L2986" s="20"/>
      <c r="M2986" s="20"/>
      <c r="N2986" s="69" t="s">
        <v>256</v>
      </c>
      <c r="O2986" s="70">
        <v>0</v>
      </c>
      <c r="P2986" s="70">
        <v>0</v>
      </c>
      <c r="Q2986" s="70">
        <f t="shared" si="257"/>
        <v>0</v>
      </c>
      <c r="R2986" s="70"/>
      <c r="S2986" s="67"/>
      <c r="T2986" s="2" t="str">
        <f t="shared" si="258"/>
        <v>Nguyễn Ngọc Bảo Thy_12KT3</v>
      </c>
      <c r="U2986" s="28">
        <f t="array" ref="U2986">IFERROR(VLOOKUP($T2986,'Nghi hoc T12'!$H$7:$I$160,2,0),0)</f>
        <v>0</v>
      </c>
      <c r="V2986" s="28"/>
      <c r="W2986" s="28">
        <f t="shared" si="259"/>
        <v>0</v>
      </c>
      <c r="X2986" s="333">
        <f t="shared" si="260"/>
        <v>0</v>
      </c>
      <c r="Y2986" s="333">
        <f t="shared" si="261"/>
        <v>0</v>
      </c>
    </row>
    <row r="2987" spans="1:25" s="2" customFormat="1" ht="21.95" customHeight="1">
      <c r="A2987" s="82">
        <v>16</v>
      </c>
      <c r="B2987" s="91" t="str">
        <f t="shared" si="262"/>
        <v>A1.11.S</v>
      </c>
      <c r="C2987" s="83" t="s">
        <v>366</v>
      </c>
      <c r="D2987" s="81" t="s">
        <v>3015</v>
      </c>
      <c r="E2987" s="48">
        <v>500542</v>
      </c>
      <c r="F2987" s="30" t="s">
        <v>2978</v>
      </c>
      <c r="G2987" s="29" t="s">
        <v>80</v>
      </c>
      <c r="H2987" s="30" t="s">
        <v>3006</v>
      </c>
      <c r="I2987" s="78"/>
      <c r="J2987" s="20"/>
      <c r="K2987" s="20"/>
      <c r="L2987" s="20"/>
      <c r="M2987" s="20"/>
      <c r="N2987" s="69" t="s">
        <v>256</v>
      </c>
      <c r="O2987" s="70">
        <v>0</v>
      </c>
      <c r="P2987" s="70">
        <v>0</v>
      </c>
      <c r="Q2987" s="70">
        <f t="shared" si="257"/>
        <v>0</v>
      </c>
      <c r="R2987" s="70"/>
      <c r="S2987" s="67"/>
      <c r="T2987" s="2" t="str">
        <f t="shared" si="258"/>
        <v>Quách Mỹ Tiên_12KT2</v>
      </c>
      <c r="U2987" s="28">
        <f t="array" ref="U2987">IFERROR(VLOOKUP($T2987,'Nghi hoc T12'!$H$7:$I$160,2,0),0)</f>
        <v>0</v>
      </c>
      <c r="V2987" s="28"/>
      <c r="W2987" s="28">
        <f t="shared" si="259"/>
        <v>0</v>
      </c>
      <c r="X2987" s="333">
        <f t="shared" si="260"/>
        <v>0</v>
      </c>
      <c r="Y2987" s="333">
        <f t="shared" si="261"/>
        <v>0</v>
      </c>
    </row>
    <row r="2988" spans="1:25" s="2" customFormat="1" ht="21.95" customHeight="1">
      <c r="A2988" s="82">
        <v>17</v>
      </c>
      <c r="B2988" s="91" t="str">
        <f t="shared" si="262"/>
        <v>A1.11.S</v>
      </c>
      <c r="C2988" s="83" t="s">
        <v>366</v>
      </c>
      <c r="D2988" s="81" t="s">
        <v>3015</v>
      </c>
      <c r="E2988" s="48">
        <v>500543</v>
      </c>
      <c r="F2988" s="30" t="s">
        <v>267</v>
      </c>
      <c r="G2988" s="29" t="s">
        <v>215</v>
      </c>
      <c r="H2988" s="30" t="s">
        <v>3007</v>
      </c>
      <c r="I2988" s="78"/>
      <c r="J2988" s="20"/>
      <c r="K2988" s="20"/>
      <c r="L2988" s="20"/>
      <c r="M2988" s="20"/>
      <c r="N2988" s="69" t="s">
        <v>256</v>
      </c>
      <c r="O2988" s="70">
        <v>0</v>
      </c>
      <c r="P2988" s="70">
        <v>0</v>
      </c>
      <c r="Q2988" s="70">
        <f t="shared" si="257"/>
        <v>0</v>
      </c>
      <c r="R2988" s="70"/>
      <c r="S2988" s="67"/>
      <c r="T2988" s="2" t="str">
        <f t="shared" si="258"/>
        <v>Phạm Quang Tiến_12KT1</v>
      </c>
      <c r="U2988" s="28">
        <f t="array" ref="U2988">IFERROR(VLOOKUP($T2988,'Nghi hoc T12'!$H$7:$I$160,2,0),0)</f>
        <v>0</v>
      </c>
      <c r="V2988" s="28"/>
      <c r="W2988" s="28">
        <f t="shared" si="259"/>
        <v>0</v>
      </c>
      <c r="X2988" s="333">
        <f t="shared" si="260"/>
        <v>0</v>
      </c>
      <c r="Y2988" s="333">
        <f t="shared" si="261"/>
        <v>0</v>
      </c>
    </row>
    <row r="2989" spans="1:25" s="2" customFormat="1" ht="21.95" customHeight="1">
      <c r="A2989" s="82">
        <v>18</v>
      </c>
      <c r="B2989" s="91" t="str">
        <f t="shared" si="262"/>
        <v>A1.11.S</v>
      </c>
      <c r="C2989" s="83" t="s">
        <v>366</v>
      </c>
      <c r="D2989" s="81" t="s">
        <v>3015</v>
      </c>
      <c r="E2989" s="48">
        <v>500544</v>
      </c>
      <c r="F2989" s="30" t="s">
        <v>201</v>
      </c>
      <c r="G2989" s="29" t="s">
        <v>72</v>
      </c>
      <c r="H2989" s="30" t="s">
        <v>3004</v>
      </c>
      <c r="I2989" s="78"/>
      <c r="J2989" s="20"/>
      <c r="K2989" s="20"/>
      <c r="L2989" s="20"/>
      <c r="M2989" s="20"/>
      <c r="N2989" s="69" t="s">
        <v>256</v>
      </c>
      <c r="O2989" s="70">
        <v>0</v>
      </c>
      <c r="P2989" s="70">
        <v>0</v>
      </c>
      <c r="Q2989" s="70">
        <f t="shared" si="257"/>
        <v>0</v>
      </c>
      <c r="R2989" s="70"/>
      <c r="S2989" s="67"/>
      <c r="T2989" s="2" t="str">
        <f t="shared" si="258"/>
        <v>Nguyễn Hữu Tín_12KT3</v>
      </c>
      <c r="U2989" s="28">
        <f t="array" ref="U2989">IFERROR(VLOOKUP($T2989,'Nghi hoc T12'!$H$7:$I$160,2,0),0)</f>
        <v>0</v>
      </c>
      <c r="V2989" s="28"/>
      <c r="W2989" s="28">
        <f t="shared" si="259"/>
        <v>0</v>
      </c>
      <c r="X2989" s="333">
        <f t="shared" si="260"/>
        <v>0</v>
      </c>
      <c r="Y2989" s="333">
        <f t="shared" si="261"/>
        <v>0</v>
      </c>
    </row>
    <row r="2990" spans="1:25" s="2" customFormat="1" ht="21.95" customHeight="1">
      <c r="A2990" s="82">
        <v>19</v>
      </c>
      <c r="B2990" s="91" t="str">
        <f t="shared" si="262"/>
        <v>A1.11.S</v>
      </c>
      <c r="C2990" s="83" t="s">
        <v>366</v>
      </c>
      <c r="D2990" s="81" t="s">
        <v>3015</v>
      </c>
      <c r="E2990" s="48">
        <v>500545</v>
      </c>
      <c r="F2990" s="30" t="s">
        <v>2979</v>
      </c>
      <c r="G2990" s="29" t="s">
        <v>30</v>
      </c>
      <c r="H2990" s="30" t="s">
        <v>3005</v>
      </c>
      <c r="I2990" s="78"/>
      <c r="J2990" s="20"/>
      <c r="K2990" s="20"/>
      <c r="L2990" s="20"/>
      <c r="M2990" s="20"/>
      <c r="N2990" s="69" t="s">
        <v>256</v>
      </c>
      <c r="O2990" s="70">
        <v>0</v>
      </c>
      <c r="P2990" s="70">
        <v>0</v>
      </c>
      <c r="Q2990" s="70">
        <f t="shared" si="257"/>
        <v>0</v>
      </c>
      <c r="R2990" s="70"/>
      <c r="S2990" s="67"/>
      <c r="T2990" s="2" t="str">
        <f t="shared" si="258"/>
        <v>Vũ Thị Thùy Trang_12KT4</v>
      </c>
      <c r="U2990" s="28">
        <f t="array" ref="U2990">IFERROR(VLOOKUP($T2990,'Nghi hoc T12'!$H$7:$I$160,2,0),0)</f>
        <v>0</v>
      </c>
      <c r="V2990" s="28"/>
      <c r="W2990" s="28">
        <f t="shared" si="259"/>
        <v>0</v>
      </c>
      <c r="X2990" s="333">
        <f t="shared" si="260"/>
        <v>0</v>
      </c>
      <c r="Y2990" s="333">
        <f t="shared" si="261"/>
        <v>0</v>
      </c>
    </row>
    <row r="2991" spans="1:25" s="2" customFormat="1" ht="21.95" customHeight="1">
      <c r="A2991" s="82">
        <v>20</v>
      </c>
      <c r="B2991" s="91" t="str">
        <f t="shared" si="262"/>
        <v>A1.11.S</v>
      </c>
      <c r="C2991" s="83" t="s">
        <v>366</v>
      </c>
      <c r="D2991" s="81" t="s">
        <v>3015</v>
      </c>
      <c r="E2991" s="48">
        <v>500546</v>
      </c>
      <c r="F2991" s="30" t="s">
        <v>2980</v>
      </c>
      <c r="G2991" s="29" t="s">
        <v>29</v>
      </c>
      <c r="H2991" s="30" t="s">
        <v>3007</v>
      </c>
      <c r="I2991" s="78"/>
      <c r="J2991" s="20"/>
      <c r="K2991" s="20"/>
      <c r="L2991" s="20"/>
      <c r="M2991" s="20"/>
      <c r="N2991" s="69" t="s">
        <v>256</v>
      </c>
      <c r="O2991" s="70">
        <v>0</v>
      </c>
      <c r="P2991" s="70">
        <v>0</v>
      </c>
      <c r="Q2991" s="70">
        <f t="shared" si="257"/>
        <v>0</v>
      </c>
      <c r="R2991" s="70"/>
      <c r="S2991" s="67"/>
      <c r="T2991" s="2" t="str">
        <f t="shared" si="258"/>
        <v>Thân Ngọc Kiều Trâm_12KT1</v>
      </c>
      <c r="U2991" s="28">
        <f t="array" ref="U2991">IFERROR(VLOOKUP($T2991,'Nghi hoc T12'!$H$7:$I$160,2,0),0)</f>
        <v>0</v>
      </c>
      <c r="V2991" s="28"/>
      <c r="W2991" s="28">
        <f t="shared" si="259"/>
        <v>0</v>
      </c>
      <c r="X2991" s="333">
        <f t="shared" si="260"/>
        <v>0</v>
      </c>
      <c r="Y2991" s="333">
        <f t="shared" si="261"/>
        <v>0</v>
      </c>
    </row>
    <row r="2992" spans="1:25" s="2" customFormat="1" ht="21.95" customHeight="1">
      <c r="A2992" s="82">
        <v>21</v>
      </c>
      <c r="B2992" s="91" t="str">
        <f t="shared" si="262"/>
        <v>A1.11.S</v>
      </c>
      <c r="C2992" s="83" t="s">
        <v>366</v>
      </c>
      <c r="D2992" s="81" t="s">
        <v>3015</v>
      </c>
      <c r="E2992" s="48">
        <v>500547</v>
      </c>
      <c r="F2992" s="30" t="s">
        <v>2291</v>
      </c>
      <c r="G2992" s="29" t="s">
        <v>29</v>
      </c>
      <c r="H2992" s="30" t="s">
        <v>3004</v>
      </c>
      <c r="I2992" s="78"/>
      <c r="J2992" s="20"/>
      <c r="K2992" s="20"/>
      <c r="L2992" s="20"/>
      <c r="M2992" s="20"/>
      <c r="N2992" s="69" t="s">
        <v>256</v>
      </c>
      <c r="O2992" s="70">
        <v>0</v>
      </c>
      <c r="P2992" s="70">
        <v>0</v>
      </c>
      <c r="Q2992" s="70">
        <f t="shared" si="257"/>
        <v>0</v>
      </c>
      <c r="R2992" s="70"/>
      <c r="S2992" s="67"/>
      <c r="T2992" s="2" t="str">
        <f t="shared" si="258"/>
        <v>Võ Thị Huỳnh Trâm_12KT3</v>
      </c>
      <c r="U2992" s="28">
        <f t="array" ref="U2992">IFERROR(VLOOKUP($T2992,'Nghi hoc T12'!$H$7:$I$160,2,0),0)</f>
        <v>0</v>
      </c>
      <c r="V2992" s="28"/>
      <c r="W2992" s="28">
        <f t="shared" si="259"/>
        <v>0</v>
      </c>
      <c r="X2992" s="333">
        <f t="shared" si="260"/>
        <v>0</v>
      </c>
      <c r="Y2992" s="333">
        <f t="shared" si="261"/>
        <v>0</v>
      </c>
    </row>
    <row r="2993" spans="1:25" s="2" customFormat="1" ht="21.95" customHeight="1">
      <c r="A2993" s="82">
        <v>22</v>
      </c>
      <c r="B2993" s="91" t="str">
        <f t="shared" si="262"/>
        <v>A1.11.S</v>
      </c>
      <c r="C2993" s="83" t="s">
        <v>366</v>
      </c>
      <c r="D2993" s="81" t="s">
        <v>3015</v>
      </c>
      <c r="E2993" s="48">
        <v>500548</v>
      </c>
      <c r="F2993" s="30" t="s">
        <v>2981</v>
      </c>
      <c r="G2993" s="29" t="s">
        <v>81</v>
      </c>
      <c r="H2993" s="30" t="s">
        <v>3006</v>
      </c>
      <c r="I2993" s="78"/>
      <c r="J2993" s="20"/>
      <c r="K2993" s="20"/>
      <c r="L2993" s="20"/>
      <c r="M2993" s="20"/>
      <c r="N2993" s="69" t="s">
        <v>256</v>
      </c>
      <c r="O2993" s="70">
        <v>0</v>
      </c>
      <c r="P2993" s="70">
        <v>0</v>
      </c>
      <c r="Q2993" s="70">
        <f t="shared" si="257"/>
        <v>0</v>
      </c>
      <c r="R2993" s="70"/>
      <c r="S2993" s="67"/>
      <c r="T2993" s="2" t="str">
        <f t="shared" si="258"/>
        <v>Đỗ Thị Hải Trân Trân_12KT2</v>
      </c>
      <c r="U2993" s="28">
        <f t="array" ref="U2993">IFERROR(VLOOKUP($T2993,'Nghi hoc T12'!$H$7:$I$160,2,0),0)</f>
        <v>0</v>
      </c>
      <c r="V2993" s="28"/>
      <c r="W2993" s="28">
        <f t="shared" si="259"/>
        <v>0</v>
      </c>
      <c r="X2993" s="333">
        <f t="shared" si="260"/>
        <v>0</v>
      </c>
      <c r="Y2993" s="333">
        <f t="shared" si="261"/>
        <v>0</v>
      </c>
    </row>
    <row r="2994" spans="1:25" s="2" customFormat="1" ht="21.95" customHeight="1">
      <c r="A2994" s="82">
        <v>23</v>
      </c>
      <c r="B2994" s="91" t="str">
        <f t="shared" si="262"/>
        <v>A1.11.S</v>
      </c>
      <c r="C2994" s="83" t="s">
        <v>366</v>
      </c>
      <c r="D2994" s="81" t="s">
        <v>3015</v>
      </c>
      <c r="E2994" s="48">
        <v>500549</v>
      </c>
      <c r="F2994" s="30" t="s">
        <v>2982</v>
      </c>
      <c r="G2994" s="29" t="s">
        <v>81</v>
      </c>
      <c r="H2994" s="30" t="s">
        <v>3004</v>
      </c>
      <c r="I2994" s="78"/>
      <c r="J2994" s="20"/>
      <c r="K2994" s="20"/>
      <c r="L2994" s="20"/>
      <c r="M2994" s="20"/>
      <c r="N2994" s="69" t="s">
        <v>256</v>
      </c>
      <c r="O2994" s="70">
        <v>0</v>
      </c>
      <c r="P2994" s="70">
        <v>0</v>
      </c>
      <c r="Q2994" s="70">
        <f t="shared" si="257"/>
        <v>0</v>
      </c>
      <c r="R2994" s="70"/>
      <c r="S2994" s="67"/>
      <c r="T2994" s="2" t="str">
        <f t="shared" si="258"/>
        <v>Từ Nguyễn Ngọc Trân_12KT3</v>
      </c>
      <c r="U2994" s="28">
        <f t="array" ref="U2994">IFERROR(VLOOKUP($T2994,'Nghi hoc T12'!$H$7:$I$160,2,0),0)</f>
        <v>0</v>
      </c>
      <c r="V2994" s="28"/>
      <c r="W2994" s="28">
        <f t="shared" si="259"/>
        <v>0</v>
      </c>
      <c r="X2994" s="333">
        <f t="shared" si="260"/>
        <v>0</v>
      </c>
      <c r="Y2994" s="333">
        <f t="shared" si="261"/>
        <v>0</v>
      </c>
    </row>
    <row r="2995" spans="1:25" s="2" customFormat="1" ht="21.95" customHeight="1">
      <c r="A2995" s="82">
        <v>24</v>
      </c>
      <c r="B2995" s="91" t="str">
        <f t="shared" si="262"/>
        <v>A1.11.S</v>
      </c>
      <c r="C2995" s="83" t="s">
        <v>366</v>
      </c>
      <c r="D2995" s="81" t="s">
        <v>3015</v>
      </c>
      <c r="E2995" s="48">
        <v>500550</v>
      </c>
      <c r="F2995" s="30" t="s">
        <v>186</v>
      </c>
      <c r="G2995" s="29" t="s">
        <v>218</v>
      </c>
      <c r="H2995" s="30" t="s">
        <v>3005</v>
      </c>
      <c r="I2995" s="78"/>
      <c r="J2995" s="20"/>
      <c r="K2995" s="20"/>
      <c r="L2995" s="20"/>
      <c r="M2995" s="20"/>
      <c r="N2995" s="69" t="s">
        <v>256</v>
      </c>
      <c r="O2995" s="70">
        <v>0</v>
      </c>
      <c r="P2995" s="70">
        <v>0</v>
      </c>
      <c r="Q2995" s="70">
        <f t="shared" si="257"/>
        <v>0</v>
      </c>
      <c r="R2995" s="70"/>
      <c r="S2995" s="67"/>
      <c r="T2995" s="2" t="str">
        <f t="shared" si="258"/>
        <v>Nguyễn Minh Triết_12KT4</v>
      </c>
      <c r="U2995" s="28">
        <f t="array" ref="U2995">IFERROR(VLOOKUP($T2995,'Nghi hoc T12'!$H$7:$I$160,2,0),0)</f>
        <v>0</v>
      </c>
      <c r="V2995" s="28"/>
      <c r="W2995" s="28">
        <f t="shared" si="259"/>
        <v>0</v>
      </c>
      <c r="X2995" s="333">
        <f t="shared" si="260"/>
        <v>0</v>
      </c>
      <c r="Y2995" s="333">
        <f t="shared" si="261"/>
        <v>0</v>
      </c>
    </row>
    <row r="2996" spans="1:25" s="2" customFormat="1" ht="21.95" customHeight="1">
      <c r="A2996" s="82">
        <v>25</v>
      </c>
      <c r="B2996" s="91" t="str">
        <f t="shared" si="262"/>
        <v>A1.11.S</v>
      </c>
      <c r="C2996" s="83" t="s">
        <v>366</v>
      </c>
      <c r="D2996" s="81" t="s">
        <v>3015</v>
      </c>
      <c r="E2996" s="48">
        <v>500551</v>
      </c>
      <c r="F2996" s="30" t="s">
        <v>2251</v>
      </c>
      <c r="G2996" s="29" t="s">
        <v>82</v>
      </c>
      <c r="H2996" s="30" t="s">
        <v>3006</v>
      </c>
      <c r="I2996" s="78"/>
      <c r="J2996" s="20"/>
      <c r="K2996" s="20"/>
      <c r="L2996" s="20"/>
      <c r="M2996" s="20"/>
      <c r="N2996" s="69" t="s">
        <v>256</v>
      </c>
      <c r="O2996" s="70">
        <v>0</v>
      </c>
      <c r="P2996" s="70">
        <v>0</v>
      </c>
      <c r="Q2996" s="70">
        <f t="shared" si="257"/>
        <v>0</v>
      </c>
      <c r="R2996" s="70"/>
      <c r="S2996" s="67"/>
      <c r="T2996" s="2" t="str">
        <f t="shared" si="258"/>
        <v>Hồ Thanh Trọng_12KT2</v>
      </c>
      <c r="U2996" s="28">
        <f t="array" ref="U2996">IFERROR(VLOOKUP($T2996,'Nghi hoc T12'!$H$7:$I$160,2,0),0)</f>
        <v>0</v>
      </c>
      <c r="V2996" s="28"/>
      <c r="W2996" s="28">
        <f t="shared" si="259"/>
        <v>0</v>
      </c>
      <c r="X2996" s="333">
        <f t="shared" si="260"/>
        <v>0</v>
      </c>
      <c r="Y2996" s="333">
        <f t="shared" si="261"/>
        <v>0</v>
      </c>
    </row>
    <row r="2997" spans="1:25" s="2" customFormat="1" ht="21.95" customHeight="1">
      <c r="A2997" s="82">
        <v>26</v>
      </c>
      <c r="B2997" s="91" t="str">
        <f t="shared" si="262"/>
        <v>A1.11.S</v>
      </c>
      <c r="C2997" s="83" t="s">
        <v>366</v>
      </c>
      <c r="D2997" s="81" t="s">
        <v>3015</v>
      </c>
      <c r="E2997" s="48">
        <v>500552</v>
      </c>
      <c r="F2997" s="30" t="s">
        <v>156</v>
      </c>
      <c r="G2997" s="29" t="s">
        <v>82</v>
      </c>
      <c r="H2997" s="30" t="s">
        <v>3007</v>
      </c>
      <c r="I2997" s="78"/>
      <c r="J2997" s="20"/>
      <c r="K2997" s="20"/>
      <c r="L2997" s="20"/>
      <c r="M2997" s="20"/>
      <c r="N2997" s="69" t="s">
        <v>256</v>
      </c>
      <c r="O2997" s="70">
        <v>0</v>
      </c>
      <c r="P2997" s="70">
        <v>0</v>
      </c>
      <c r="Q2997" s="70">
        <f t="shared" si="257"/>
        <v>0</v>
      </c>
      <c r="R2997" s="70"/>
      <c r="S2997" s="67"/>
      <c r="T2997" s="2" t="str">
        <f t="shared" si="258"/>
        <v>Trần Minh Trọng_12KT1</v>
      </c>
      <c r="U2997" s="28">
        <f t="array" ref="U2997">IFERROR(VLOOKUP($T2997,'Nghi hoc T12'!$H$7:$I$160,2,0),0)</f>
        <v>0</v>
      </c>
      <c r="V2997" s="28"/>
      <c r="W2997" s="28">
        <f t="shared" si="259"/>
        <v>0</v>
      </c>
      <c r="X2997" s="333">
        <f t="shared" si="260"/>
        <v>0</v>
      </c>
      <c r="Y2997" s="333">
        <f t="shared" si="261"/>
        <v>0</v>
      </c>
    </row>
    <row r="2998" spans="1:25" s="2" customFormat="1" ht="21.95" customHeight="1">
      <c r="A2998" s="82">
        <v>27</v>
      </c>
      <c r="B2998" s="91" t="str">
        <f t="shared" si="262"/>
        <v>A1.11.S</v>
      </c>
      <c r="C2998" s="83" t="s">
        <v>366</v>
      </c>
      <c r="D2998" s="81" t="s">
        <v>3015</v>
      </c>
      <c r="E2998" s="48">
        <v>500553</v>
      </c>
      <c r="F2998" s="30" t="s">
        <v>226</v>
      </c>
      <c r="G2998" s="29" t="s">
        <v>31</v>
      </c>
      <c r="H2998" s="30" t="s">
        <v>3007</v>
      </c>
      <c r="I2998" s="78"/>
      <c r="J2998" s="20"/>
      <c r="K2998" s="20"/>
      <c r="L2998" s="20"/>
      <c r="M2998" s="20"/>
      <c r="N2998" s="69" t="s">
        <v>256</v>
      </c>
      <c r="O2998" s="70">
        <v>0</v>
      </c>
      <c r="P2998" s="70">
        <v>0</v>
      </c>
      <c r="Q2998" s="70">
        <f t="shared" si="257"/>
        <v>0</v>
      </c>
      <c r="R2998" s="70"/>
      <c r="S2998" s="67"/>
      <c r="T2998" s="2" t="str">
        <f t="shared" si="258"/>
        <v>Nguyễn Thị Thanh Trúc_12KT1</v>
      </c>
      <c r="U2998" s="28">
        <f t="array" ref="U2998">IFERROR(VLOOKUP($T2998,'Nghi hoc T12'!$H$7:$I$160,2,0),0)</f>
        <v>0</v>
      </c>
      <c r="V2998" s="28"/>
      <c r="W2998" s="28">
        <f t="shared" si="259"/>
        <v>0</v>
      </c>
      <c r="X2998" s="333">
        <f t="shared" si="260"/>
        <v>0</v>
      </c>
      <c r="Y2998" s="333">
        <f t="shared" si="261"/>
        <v>0</v>
      </c>
    </row>
    <row r="2999" spans="1:25" s="2" customFormat="1" ht="21.95" customHeight="1">
      <c r="A2999" s="321">
        <v>1</v>
      </c>
      <c r="B2999" s="91" t="str">
        <f t="shared" si="262"/>
        <v>A1.12.S</v>
      </c>
      <c r="C2999" s="185" t="s">
        <v>366</v>
      </c>
      <c r="D2999" s="186" t="s">
        <v>3016</v>
      </c>
      <c r="E2999" s="187">
        <v>500554</v>
      </c>
      <c r="F2999" s="188" t="s">
        <v>2983</v>
      </c>
      <c r="G2999" s="189" t="s">
        <v>32</v>
      </c>
      <c r="H2999" s="188" t="s">
        <v>3006</v>
      </c>
      <c r="I2999" s="190"/>
      <c r="J2999" s="191"/>
      <c r="K2999" s="191"/>
      <c r="L2999" s="191"/>
      <c r="M2999" s="191"/>
      <c r="N2999" s="69" t="s">
        <v>256</v>
      </c>
      <c r="O2999" s="70">
        <v>0</v>
      </c>
      <c r="P2999" s="70">
        <v>0</v>
      </c>
      <c r="Q2999" s="70">
        <f t="shared" si="257"/>
        <v>0</v>
      </c>
      <c r="R2999" s="70"/>
      <c r="S2999" s="67"/>
      <c r="T2999" s="2" t="str">
        <f t="shared" si="258"/>
        <v>Thiều Nhật Hoàng Trung_12KT2</v>
      </c>
      <c r="U2999" s="28">
        <f t="array" ref="U2999">IFERROR(VLOOKUP($T2999,'Nghi hoc T12'!$H$7:$I$160,2,0),0)</f>
        <v>0</v>
      </c>
      <c r="V2999" s="28"/>
      <c r="W2999" s="28">
        <f t="shared" si="259"/>
        <v>0</v>
      </c>
      <c r="X2999" s="333">
        <f t="shared" si="260"/>
        <v>0</v>
      </c>
      <c r="Y2999" s="333">
        <f t="shared" si="261"/>
        <v>0</v>
      </c>
    </row>
    <row r="3000" spans="1:25" s="2" customFormat="1" ht="21.95" customHeight="1">
      <c r="A3000" s="82">
        <v>2</v>
      </c>
      <c r="B3000" s="91" t="str">
        <f t="shared" si="262"/>
        <v>A1.12.S</v>
      </c>
      <c r="C3000" s="83" t="s">
        <v>366</v>
      </c>
      <c r="D3000" s="81" t="s">
        <v>3016</v>
      </c>
      <c r="E3000" s="48">
        <v>500555</v>
      </c>
      <c r="F3000" s="30" t="s">
        <v>1560</v>
      </c>
      <c r="G3000" s="29" t="s">
        <v>164</v>
      </c>
      <c r="H3000" s="30" t="s">
        <v>3006</v>
      </c>
      <c r="I3000" s="78"/>
      <c r="J3000" s="20"/>
      <c r="K3000" s="20"/>
      <c r="L3000" s="20"/>
      <c r="M3000" s="20"/>
      <c r="N3000" s="69" t="s">
        <v>256</v>
      </c>
      <c r="O3000" s="70">
        <v>0</v>
      </c>
      <c r="P3000" s="70">
        <v>0</v>
      </c>
      <c r="Q3000" s="70">
        <f t="shared" si="257"/>
        <v>0</v>
      </c>
      <c r="R3000" s="70"/>
      <c r="S3000" s="67"/>
      <c r="T3000" s="2" t="str">
        <f t="shared" si="258"/>
        <v>Trịnh Khắc Trường_12KT2</v>
      </c>
      <c r="U3000" s="28">
        <f t="array" ref="U3000">IFERROR(VLOOKUP($T3000,'Nghi hoc T12'!$H$7:$I$160,2,0),0)</f>
        <v>0</v>
      </c>
      <c r="V3000" s="28"/>
      <c r="W3000" s="28">
        <f t="shared" si="259"/>
        <v>0</v>
      </c>
      <c r="X3000" s="333">
        <f t="shared" si="260"/>
        <v>0</v>
      </c>
      <c r="Y3000" s="333">
        <f t="shared" si="261"/>
        <v>0</v>
      </c>
    </row>
    <row r="3001" spans="1:25" s="2" customFormat="1" ht="21.95" customHeight="1">
      <c r="A3001" s="82">
        <v>3</v>
      </c>
      <c r="B3001" s="91" t="str">
        <f t="shared" si="262"/>
        <v>A1.12.S</v>
      </c>
      <c r="C3001" s="83" t="s">
        <v>366</v>
      </c>
      <c r="D3001" s="81" t="s">
        <v>3016</v>
      </c>
      <c r="E3001" s="48">
        <v>500556</v>
      </c>
      <c r="F3001" s="30" t="s">
        <v>2984</v>
      </c>
      <c r="G3001" s="29" t="s">
        <v>164</v>
      </c>
      <c r="H3001" s="30" t="s">
        <v>3005</v>
      </c>
      <c r="I3001" s="78"/>
      <c r="J3001" s="20"/>
      <c r="K3001" s="20"/>
      <c r="L3001" s="20"/>
      <c r="M3001" s="20"/>
      <c r="N3001" s="69" t="s">
        <v>256</v>
      </c>
      <c r="O3001" s="70">
        <v>0</v>
      </c>
      <c r="P3001" s="70">
        <v>0</v>
      </c>
      <c r="Q3001" s="70">
        <f t="shared" si="257"/>
        <v>0</v>
      </c>
      <c r="R3001" s="70"/>
      <c r="S3001" s="67"/>
      <c r="T3001" s="2" t="str">
        <f t="shared" si="258"/>
        <v>Võ Đặng Kim Trường_12KT4</v>
      </c>
      <c r="U3001" s="28">
        <f t="array" ref="U3001">IFERROR(VLOOKUP($T3001,'Nghi hoc T12'!$H$7:$I$160,2,0),0)</f>
        <v>0</v>
      </c>
      <c r="V3001" s="28"/>
      <c r="W3001" s="28">
        <f t="shared" si="259"/>
        <v>0</v>
      </c>
      <c r="X3001" s="333">
        <f t="shared" si="260"/>
        <v>0</v>
      </c>
      <c r="Y3001" s="333">
        <f t="shared" si="261"/>
        <v>0</v>
      </c>
    </row>
    <row r="3002" spans="1:25" s="2" customFormat="1" ht="21.95" customHeight="1">
      <c r="A3002" s="82">
        <v>4</v>
      </c>
      <c r="B3002" s="91" t="str">
        <f t="shared" si="262"/>
        <v>A1.12.S</v>
      </c>
      <c r="C3002" s="83" t="s">
        <v>366</v>
      </c>
      <c r="D3002" s="81" t="s">
        <v>3016</v>
      </c>
      <c r="E3002" s="48">
        <v>500557</v>
      </c>
      <c r="F3002" s="30" t="s">
        <v>2985</v>
      </c>
      <c r="G3002" s="29" t="s">
        <v>51</v>
      </c>
      <c r="H3002" s="30" t="s">
        <v>3004</v>
      </c>
      <c r="I3002" s="78"/>
      <c r="J3002" s="20"/>
      <c r="K3002" s="20"/>
      <c r="L3002" s="20"/>
      <c r="M3002" s="20"/>
      <c r="N3002" s="69" t="s">
        <v>256</v>
      </c>
      <c r="O3002" s="70">
        <v>0</v>
      </c>
      <c r="P3002" s="70">
        <v>0</v>
      </c>
      <c r="Q3002" s="70">
        <f t="shared" si="257"/>
        <v>0</v>
      </c>
      <c r="R3002" s="70"/>
      <c r="S3002" s="67"/>
      <c r="T3002" s="2" t="str">
        <f t="shared" si="258"/>
        <v>Lê Tất Anh Tú_12KT3</v>
      </c>
      <c r="U3002" s="28">
        <f t="array" ref="U3002">IFERROR(VLOOKUP($T3002,'Nghi hoc T12'!$H$7:$I$160,2,0),0)</f>
        <v>0</v>
      </c>
      <c r="V3002" s="28"/>
      <c r="W3002" s="28">
        <f t="shared" si="259"/>
        <v>0</v>
      </c>
      <c r="X3002" s="333">
        <f t="shared" si="260"/>
        <v>0</v>
      </c>
      <c r="Y3002" s="333">
        <f t="shared" si="261"/>
        <v>0</v>
      </c>
    </row>
    <row r="3003" spans="1:25" s="2" customFormat="1" ht="21.95" customHeight="1">
      <c r="A3003" s="82">
        <v>5</v>
      </c>
      <c r="B3003" s="91" t="str">
        <f t="shared" si="262"/>
        <v>A1.12.S</v>
      </c>
      <c r="C3003" s="83" t="s">
        <v>366</v>
      </c>
      <c r="D3003" s="81" t="s">
        <v>3016</v>
      </c>
      <c r="E3003" s="48">
        <v>500558</v>
      </c>
      <c r="F3003" s="30" t="s">
        <v>2985</v>
      </c>
      <c r="G3003" s="29" t="s">
        <v>52</v>
      </c>
      <c r="H3003" s="30" t="s">
        <v>3005</v>
      </c>
      <c r="I3003" s="78"/>
      <c r="J3003" s="20"/>
      <c r="K3003" s="20"/>
      <c r="L3003" s="20"/>
      <c r="M3003" s="20"/>
      <c r="N3003" s="69" t="s">
        <v>256</v>
      </c>
      <c r="O3003" s="70">
        <v>0</v>
      </c>
      <c r="P3003" s="70">
        <v>0</v>
      </c>
      <c r="Q3003" s="70">
        <f t="shared" si="257"/>
        <v>0</v>
      </c>
      <c r="R3003" s="70"/>
      <c r="S3003" s="67"/>
      <c r="T3003" s="2" t="str">
        <f t="shared" si="258"/>
        <v>Lê Tất Anh Tuấn_12KT4</v>
      </c>
      <c r="U3003" s="28">
        <f t="array" ref="U3003">IFERROR(VLOOKUP($T3003,'Nghi hoc T12'!$H$7:$I$160,2,0),0)</f>
        <v>0</v>
      </c>
      <c r="V3003" s="28"/>
      <c r="W3003" s="28">
        <f t="shared" si="259"/>
        <v>0</v>
      </c>
      <c r="X3003" s="333">
        <f t="shared" si="260"/>
        <v>0</v>
      </c>
      <c r="Y3003" s="333">
        <f t="shared" si="261"/>
        <v>0</v>
      </c>
    </row>
    <row r="3004" spans="1:25" s="2" customFormat="1" ht="21.95" customHeight="1">
      <c r="A3004" s="82">
        <v>6</v>
      </c>
      <c r="B3004" s="91" t="str">
        <f t="shared" si="262"/>
        <v>A1.12.S</v>
      </c>
      <c r="C3004" s="83" t="s">
        <v>366</v>
      </c>
      <c r="D3004" s="81" t="s">
        <v>3016</v>
      </c>
      <c r="E3004" s="48">
        <v>500559</v>
      </c>
      <c r="F3004" s="30" t="s">
        <v>148</v>
      </c>
      <c r="G3004" s="29" t="s">
        <v>52</v>
      </c>
      <c r="H3004" s="30" t="s">
        <v>3004</v>
      </c>
      <c r="I3004" s="78"/>
      <c r="J3004" s="20"/>
      <c r="K3004" s="20"/>
      <c r="L3004" s="20"/>
      <c r="M3004" s="20"/>
      <c r="N3004" s="69" t="s">
        <v>256</v>
      </c>
      <c r="O3004" s="70">
        <v>0</v>
      </c>
      <c r="P3004" s="70">
        <v>0</v>
      </c>
      <c r="Q3004" s="70">
        <f t="shared" si="257"/>
        <v>0</v>
      </c>
      <c r="R3004" s="70"/>
      <c r="S3004" s="67"/>
      <c r="T3004" s="2" t="str">
        <f t="shared" si="258"/>
        <v>Nguyễn Anh Tuấn_12KT3</v>
      </c>
      <c r="U3004" s="28">
        <f t="array" ref="U3004">IFERROR(VLOOKUP($T3004,'Nghi hoc T12'!$H$7:$I$160,2,0),0)</f>
        <v>0</v>
      </c>
      <c r="V3004" s="28"/>
      <c r="W3004" s="28">
        <f t="shared" si="259"/>
        <v>0</v>
      </c>
      <c r="X3004" s="333">
        <f t="shared" si="260"/>
        <v>0</v>
      </c>
      <c r="Y3004" s="333">
        <f t="shared" si="261"/>
        <v>0</v>
      </c>
    </row>
    <row r="3005" spans="1:25" s="2" customFormat="1" ht="21.95" customHeight="1">
      <c r="A3005" s="82">
        <v>7</v>
      </c>
      <c r="B3005" s="91" t="str">
        <f t="shared" si="262"/>
        <v>A1.12.S</v>
      </c>
      <c r="C3005" s="83" t="s">
        <v>366</v>
      </c>
      <c r="D3005" s="81" t="s">
        <v>3016</v>
      </c>
      <c r="E3005" s="48">
        <v>500560</v>
      </c>
      <c r="F3005" s="30" t="s">
        <v>2986</v>
      </c>
      <c r="G3005" s="29" t="s">
        <v>52</v>
      </c>
      <c r="H3005" s="30" t="s">
        <v>3005</v>
      </c>
      <c r="I3005" s="78"/>
      <c r="J3005" s="20"/>
      <c r="K3005" s="20"/>
      <c r="L3005" s="20"/>
      <c r="M3005" s="20"/>
      <c r="N3005" s="69" t="s">
        <v>256</v>
      </c>
      <c r="O3005" s="70">
        <v>0</v>
      </c>
      <c r="P3005" s="70">
        <v>0</v>
      </c>
      <c r="Q3005" s="70">
        <f t="shared" si="257"/>
        <v>0</v>
      </c>
      <c r="R3005" s="70"/>
      <c r="S3005" s="67"/>
      <c r="T3005" s="2" t="str">
        <f t="shared" si="258"/>
        <v>Nguyễn Phan Anh Tuấn_12KT4</v>
      </c>
      <c r="U3005" s="28">
        <f t="array" ref="U3005">IFERROR(VLOOKUP($T3005,'Nghi hoc T12'!$H$7:$I$160,2,0),0)</f>
        <v>0</v>
      </c>
      <c r="V3005" s="28"/>
      <c r="W3005" s="28">
        <f t="shared" si="259"/>
        <v>0</v>
      </c>
      <c r="X3005" s="333">
        <f t="shared" si="260"/>
        <v>0</v>
      </c>
      <c r="Y3005" s="333">
        <f t="shared" si="261"/>
        <v>0</v>
      </c>
    </row>
    <row r="3006" spans="1:25" s="2" customFormat="1" ht="21.95" customHeight="1">
      <c r="A3006" s="82">
        <v>8</v>
      </c>
      <c r="B3006" s="91" t="str">
        <f t="shared" si="262"/>
        <v>A1.12.S</v>
      </c>
      <c r="C3006" s="83" t="s">
        <v>366</v>
      </c>
      <c r="D3006" s="81" t="s">
        <v>3016</v>
      </c>
      <c r="E3006" s="48">
        <v>500561</v>
      </c>
      <c r="F3006" s="30" t="s">
        <v>220</v>
      </c>
      <c r="G3006" s="29" t="s">
        <v>52</v>
      </c>
      <c r="H3006" s="30" t="s">
        <v>3004</v>
      </c>
      <c r="I3006" s="78"/>
      <c r="J3006" s="20"/>
      <c r="K3006" s="20"/>
      <c r="L3006" s="20"/>
      <c r="M3006" s="20"/>
      <c r="N3006" s="69" t="s">
        <v>256</v>
      </c>
      <c r="O3006" s="70">
        <v>0</v>
      </c>
      <c r="P3006" s="70">
        <v>0</v>
      </c>
      <c r="Q3006" s="70">
        <f t="shared" si="257"/>
        <v>0</v>
      </c>
      <c r="R3006" s="70"/>
      <c r="S3006" s="67"/>
      <c r="T3006" s="2" t="str">
        <f t="shared" si="258"/>
        <v>Võ Thanh Tuấn_12KT3</v>
      </c>
      <c r="U3006" s="28">
        <f t="array" ref="U3006">IFERROR(VLOOKUP($T3006,'Nghi hoc T12'!$H$7:$I$160,2,0),0)</f>
        <v>0</v>
      </c>
      <c r="V3006" s="28"/>
      <c r="W3006" s="28">
        <f t="shared" si="259"/>
        <v>0</v>
      </c>
      <c r="X3006" s="333">
        <f t="shared" si="260"/>
        <v>0</v>
      </c>
      <c r="Y3006" s="333">
        <f t="shared" si="261"/>
        <v>0</v>
      </c>
    </row>
    <row r="3007" spans="1:25" s="2" customFormat="1" ht="21.95" customHeight="1">
      <c r="A3007" s="82">
        <v>9</v>
      </c>
      <c r="B3007" s="91" t="str">
        <f t="shared" si="262"/>
        <v>A1.12.S</v>
      </c>
      <c r="C3007" s="83" t="s">
        <v>366</v>
      </c>
      <c r="D3007" s="81" t="s">
        <v>3016</v>
      </c>
      <c r="E3007" s="48">
        <v>500562</v>
      </c>
      <c r="F3007" s="30" t="s">
        <v>2987</v>
      </c>
      <c r="G3007" s="29" t="s">
        <v>2315</v>
      </c>
      <c r="H3007" s="30" t="s">
        <v>3007</v>
      </c>
      <c r="I3007" s="78"/>
      <c r="J3007" s="20"/>
      <c r="K3007" s="20"/>
      <c r="L3007" s="20"/>
      <c r="M3007" s="20"/>
      <c r="N3007" s="69" t="s">
        <v>256</v>
      </c>
      <c r="O3007" s="70">
        <v>0</v>
      </c>
      <c r="P3007" s="70">
        <v>0</v>
      </c>
      <c r="Q3007" s="70">
        <f t="shared" si="257"/>
        <v>0</v>
      </c>
      <c r="R3007" s="70"/>
      <c r="S3007" s="67"/>
      <c r="T3007" s="2" t="str">
        <f t="shared" si="258"/>
        <v>Lê Ngọc Kim Tuyến_12KT1</v>
      </c>
      <c r="U3007" s="28">
        <f t="array" ref="U3007">IFERROR(VLOOKUP($T3007,'Nghi hoc T12'!$H$7:$I$160,2,0),0)</f>
        <v>0</v>
      </c>
      <c r="V3007" s="28"/>
      <c r="W3007" s="28">
        <f t="shared" si="259"/>
        <v>0</v>
      </c>
      <c r="X3007" s="333">
        <f t="shared" si="260"/>
        <v>0</v>
      </c>
      <c r="Y3007" s="333">
        <f t="shared" si="261"/>
        <v>0</v>
      </c>
    </row>
    <row r="3008" spans="1:25" s="2" customFormat="1" ht="21.95" customHeight="1">
      <c r="A3008" s="82">
        <v>10</v>
      </c>
      <c r="B3008" s="91" t="str">
        <f t="shared" si="262"/>
        <v>A1.12.S</v>
      </c>
      <c r="C3008" s="83" t="s">
        <v>366</v>
      </c>
      <c r="D3008" s="81" t="s">
        <v>3016</v>
      </c>
      <c r="E3008" s="48">
        <v>500563</v>
      </c>
      <c r="F3008" s="30" t="s">
        <v>1679</v>
      </c>
      <c r="G3008" s="29" t="s">
        <v>95</v>
      </c>
      <c r="H3008" s="30" t="s">
        <v>3007</v>
      </c>
      <c r="I3008" s="78"/>
      <c r="J3008" s="20"/>
      <c r="K3008" s="20"/>
      <c r="L3008" s="20"/>
      <c r="M3008" s="20"/>
      <c r="N3008" s="69" t="s">
        <v>256</v>
      </c>
      <c r="O3008" s="70">
        <v>0</v>
      </c>
      <c r="P3008" s="70">
        <v>0</v>
      </c>
      <c r="Q3008" s="70">
        <f t="shared" si="257"/>
        <v>0</v>
      </c>
      <c r="R3008" s="70"/>
      <c r="S3008" s="67"/>
      <c r="T3008" s="2" t="str">
        <f t="shared" si="258"/>
        <v>Lê Thị Ánh Tuyết_12KT1</v>
      </c>
      <c r="U3008" s="28">
        <f t="array" ref="U3008">IFERROR(VLOOKUP($T3008,'Nghi hoc T12'!$H$7:$I$160,2,0),0)</f>
        <v>0</v>
      </c>
      <c r="V3008" s="28"/>
      <c r="W3008" s="28">
        <f t="shared" si="259"/>
        <v>0</v>
      </c>
      <c r="X3008" s="333">
        <f t="shared" si="260"/>
        <v>0</v>
      </c>
      <c r="Y3008" s="333">
        <f t="shared" si="261"/>
        <v>0</v>
      </c>
    </row>
    <row r="3009" spans="1:25" s="2" customFormat="1" ht="21.95" customHeight="1">
      <c r="A3009" s="82">
        <v>11</v>
      </c>
      <c r="B3009" s="91" t="str">
        <f t="shared" si="262"/>
        <v>A1.12.S</v>
      </c>
      <c r="C3009" s="83" t="s">
        <v>366</v>
      </c>
      <c r="D3009" s="81" t="s">
        <v>3016</v>
      </c>
      <c r="E3009" s="48">
        <v>500564</v>
      </c>
      <c r="F3009" s="30" t="s">
        <v>355</v>
      </c>
      <c r="G3009" s="29" t="s">
        <v>117</v>
      </c>
      <c r="H3009" s="30" t="s">
        <v>3005</v>
      </c>
      <c r="I3009" s="78"/>
      <c r="J3009" s="20"/>
      <c r="K3009" s="20"/>
      <c r="L3009" s="20"/>
      <c r="M3009" s="20"/>
      <c r="N3009" s="69" t="s">
        <v>256</v>
      </c>
      <c r="O3009" s="70">
        <v>0</v>
      </c>
      <c r="P3009" s="70">
        <v>0</v>
      </c>
      <c r="Q3009" s="70">
        <f t="shared" si="257"/>
        <v>0</v>
      </c>
      <c r="R3009" s="70"/>
      <c r="S3009" s="67"/>
      <c r="T3009" s="2" t="str">
        <f t="shared" si="258"/>
        <v>Đặng Văn Tường_12KT4</v>
      </c>
      <c r="U3009" s="28">
        <f t="array" ref="U3009">IFERROR(VLOOKUP($T3009,'Nghi hoc T12'!$H$7:$I$160,2,0),0)</f>
        <v>0</v>
      </c>
      <c r="V3009" s="28"/>
      <c r="W3009" s="28">
        <f t="shared" si="259"/>
        <v>0</v>
      </c>
      <c r="X3009" s="333">
        <f t="shared" si="260"/>
        <v>0</v>
      </c>
      <c r="Y3009" s="333">
        <f t="shared" si="261"/>
        <v>0</v>
      </c>
    </row>
    <row r="3010" spans="1:25" s="2" customFormat="1" ht="21.95" customHeight="1">
      <c r="A3010" s="82">
        <v>12</v>
      </c>
      <c r="B3010" s="91" t="str">
        <f t="shared" si="262"/>
        <v>A1.12.S</v>
      </c>
      <c r="C3010" s="83" t="s">
        <v>366</v>
      </c>
      <c r="D3010" s="81" t="s">
        <v>3016</v>
      </c>
      <c r="E3010" s="48">
        <v>500565</v>
      </c>
      <c r="F3010" s="30" t="s">
        <v>2988</v>
      </c>
      <c r="G3010" s="29" t="s">
        <v>188</v>
      </c>
      <c r="H3010" s="30" t="s">
        <v>3007</v>
      </c>
      <c r="I3010" s="78"/>
      <c r="J3010" s="20"/>
      <c r="K3010" s="20"/>
      <c r="L3010" s="20"/>
      <c r="M3010" s="20"/>
      <c r="N3010" s="69" t="s">
        <v>256</v>
      </c>
      <c r="O3010" s="70">
        <v>0</v>
      </c>
      <c r="P3010" s="70">
        <v>0</v>
      </c>
      <c r="Q3010" s="70">
        <f t="shared" si="257"/>
        <v>0</v>
      </c>
      <c r="R3010" s="70"/>
      <c r="S3010" s="67"/>
      <c r="T3010" s="2" t="str">
        <f t="shared" si="258"/>
        <v>Phan Tú Uyên_12KT1</v>
      </c>
      <c r="U3010" s="28">
        <f t="array" ref="U3010">IFERROR(VLOOKUP($T3010,'Nghi hoc T12'!$H$7:$I$160,2,0),0)</f>
        <v>0</v>
      </c>
      <c r="V3010" s="28"/>
      <c r="W3010" s="28">
        <f t="shared" si="259"/>
        <v>0</v>
      </c>
      <c r="X3010" s="333">
        <f t="shared" si="260"/>
        <v>0</v>
      </c>
      <c r="Y3010" s="333">
        <f t="shared" si="261"/>
        <v>0</v>
      </c>
    </row>
    <row r="3011" spans="1:25" s="2" customFormat="1" ht="21.95" customHeight="1">
      <c r="A3011" s="82">
        <v>13</v>
      </c>
      <c r="B3011" s="91" t="str">
        <f t="shared" si="262"/>
        <v>A1.12.S</v>
      </c>
      <c r="C3011" s="83" t="s">
        <v>366</v>
      </c>
      <c r="D3011" s="81" t="s">
        <v>3016</v>
      </c>
      <c r="E3011" s="48">
        <v>500566</v>
      </c>
      <c r="F3011" s="30" t="s">
        <v>1856</v>
      </c>
      <c r="G3011" s="29" t="s">
        <v>33</v>
      </c>
      <c r="H3011" s="30" t="s">
        <v>3006</v>
      </c>
      <c r="I3011" s="78"/>
      <c r="J3011" s="20"/>
      <c r="K3011" s="20"/>
      <c r="L3011" s="20"/>
      <c r="M3011" s="20"/>
      <c r="N3011" s="69" t="s">
        <v>256</v>
      </c>
      <c r="O3011" s="70">
        <v>0</v>
      </c>
      <c r="P3011" s="70">
        <v>0</v>
      </c>
      <c r="Q3011" s="70">
        <f t="shared" si="257"/>
        <v>0</v>
      </c>
      <c r="R3011" s="70"/>
      <c r="S3011" s="67"/>
      <c r="T3011" s="2" t="str">
        <f t="shared" si="258"/>
        <v>Nguyễn Lê Thanh Việt_12KT2</v>
      </c>
      <c r="U3011" s="28">
        <f t="array" ref="U3011">IFERROR(VLOOKUP($T3011,'Nghi hoc T12'!$H$7:$I$160,2,0),0)</f>
        <v>0</v>
      </c>
      <c r="V3011" s="28"/>
      <c r="W3011" s="28">
        <f t="shared" si="259"/>
        <v>0</v>
      </c>
      <c r="X3011" s="333">
        <f t="shared" si="260"/>
        <v>0</v>
      </c>
      <c r="Y3011" s="333">
        <f t="shared" si="261"/>
        <v>0</v>
      </c>
    </row>
    <row r="3012" spans="1:25" s="2" customFormat="1" ht="21.95" customHeight="1">
      <c r="A3012" s="82">
        <v>14</v>
      </c>
      <c r="B3012" s="91" t="str">
        <f t="shared" si="262"/>
        <v>A1.12.S</v>
      </c>
      <c r="C3012" s="83" t="s">
        <v>366</v>
      </c>
      <c r="D3012" s="81" t="s">
        <v>3016</v>
      </c>
      <c r="E3012" s="48">
        <v>500567</v>
      </c>
      <c r="F3012" s="30" t="s">
        <v>349</v>
      </c>
      <c r="G3012" s="29" t="s">
        <v>99</v>
      </c>
      <c r="H3012" s="30" t="s">
        <v>3004</v>
      </c>
      <c r="I3012" s="78"/>
      <c r="J3012" s="20"/>
      <c r="K3012" s="20"/>
      <c r="L3012" s="20"/>
      <c r="M3012" s="20"/>
      <c r="N3012" s="69" t="s">
        <v>256</v>
      </c>
      <c r="O3012" s="70">
        <v>0</v>
      </c>
      <c r="P3012" s="70">
        <v>0</v>
      </c>
      <c r="Q3012" s="70">
        <f t="shared" si="257"/>
        <v>0</v>
      </c>
      <c r="R3012" s="70"/>
      <c r="S3012" s="67"/>
      <c r="T3012" s="2" t="str">
        <f t="shared" si="258"/>
        <v>Phan Hoàng Vũ_12KT3</v>
      </c>
      <c r="U3012" s="28">
        <f t="array" ref="U3012">IFERROR(VLOOKUP($T3012,'Nghi hoc T12'!$H$7:$I$160,2,0),0)</f>
        <v>0</v>
      </c>
      <c r="V3012" s="28"/>
      <c r="W3012" s="28">
        <f t="shared" si="259"/>
        <v>0</v>
      </c>
      <c r="X3012" s="333">
        <f t="shared" si="260"/>
        <v>0</v>
      </c>
      <c r="Y3012" s="333">
        <f t="shared" si="261"/>
        <v>0</v>
      </c>
    </row>
    <row r="3013" spans="1:25" s="2" customFormat="1" ht="21.95" customHeight="1">
      <c r="A3013" s="82">
        <v>15</v>
      </c>
      <c r="B3013" s="91" t="str">
        <f t="shared" si="262"/>
        <v>A1.12.S</v>
      </c>
      <c r="C3013" s="83" t="s">
        <v>366</v>
      </c>
      <c r="D3013" s="81" t="s">
        <v>3016</v>
      </c>
      <c r="E3013" s="48">
        <v>500568</v>
      </c>
      <c r="F3013" s="30" t="s">
        <v>2989</v>
      </c>
      <c r="G3013" s="29" t="s">
        <v>1337</v>
      </c>
      <c r="H3013" s="30" t="s">
        <v>3005</v>
      </c>
      <c r="I3013" s="78"/>
      <c r="J3013" s="20"/>
      <c r="K3013" s="20"/>
      <c r="L3013" s="20"/>
      <c r="M3013" s="20"/>
      <c r="N3013" s="69" t="s">
        <v>256</v>
      </c>
      <c r="O3013" s="70">
        <v>0</v>
      </c>
      <c r="P3013" s="70">
        <v>0</v>
      </c>
      <c r="Q3013" s="70">
        <f t="shared" si="257"/>
        <v>0</v>
      </c>
      <c r="R3013" s="70"/>
      <c r="S3013" s="67"/>
      <c r="T3013" s="2" t="str">
        <f t="shared" si="258"/>
        <v>Lê Hoàng Nhất Vương_12KT4</v>
      </c>
      <c r="U3013" s="28">
        <f t="array" ref="U3013">IFERROR(VLOOKUP($T3013,'Nghi hoc T12'!$H$7:$I$160,2,0),0)</f>
        <v>0</v>
      </c>
      <c r="V3013" s="28"/>
      <c r="W3013" s="28">
        <f t="shared" si="259"/>
        <v>0</v>
      </c>
      <c r="X3013" s="333">
        <f t="shared" si="260"/>
        <v>0</v>
      </c>
      <c r="Y3013" s="333">
        <f t="shared" si="261"/>
        <v>0</v>
      </c>
    </row>
    <row r="3014" spans="1:25" s="2" customFormat="1" ht="21.95" customHeight="1">
      <c r="A3014" s="82">
        <v>16</v>
      </c>
      <c r="B3014" s="91" t="str">
        <f t="shared" si="262"/>
        <v>A1.12.S</v>
      </c>
      <c r="C3014" s="83" t="s">
        <v>366</v>
      </c>
      <c r="D3014" s="81" t="s">
        <v>3016</v>
      </c>
      <c r="E3014" s="48">
        <v>500569</v>
      </c>
      <c r="F3014" s="30" t="s">
        <v>293</v>
      </c>
      <c r="G3014" s="29" t="s">
        <v>1337</v>
      </c>
      <c r="H3014" s="30" t="s">
        <v>3006</v>
      </c>
      <c r="I3014" s="78"/>
      <c r="J3014" s="20"/>
      <c r="K3014" s="20"/>
      <c r="L3014" s="20"/>
      <c r="M3014" s="20"/>
      <c r="N3014" s="69" t="s">
        <v>256</v>
      </c>
      <c r="O3014" s="70">
        <v>0</v>
      </c>
      <c r="P3014" s="70">
        <v>0</v>
      </c>
      <c r="Q3014" s="70">
        <f t="shared" si="257"/>
        <v>0</v>
      </c>
      <c r="R3014" s="70"/>
      <c r="S3014" s="67"/>
      <c r="T3014" s="2" t="str">
        <f t="shared" si="258"/>
        <v>Lê Quốc Vương_12KT2</v>
      </c>
      <c r="U3014" s="28">
        <f t="array" ref="U3014">IFERROR(VLOOKUP($T3014,'Nghi hoc T12'!$H$7:$I$160,2,0),0)</f>
        <v>0</v>
      </c>
      <c r="V3014" s="28"/>
      <c r="W3014" s="28">
        <f t="shared" si="259"/>
        <v>0</v>
      </c>
      <c r="X3014" s="333">
        <f t="shared" si="260"/>
        <v>0</v>
      </c>
      <c r="Y3014" s="333">
        <f t="shared" si="261"/>
        <v>0</v>
      </c>
    </row>
    <row r="3015" spans="1:25" s="2" customFormat="1" ht="21.95" customHeight="1">
      <c r="A3015" s="82">
        <v>17</v>
      </c>
      <c r="B3015" s="91" t="str">
        <f t="shared" si="262"/>
        <v>A1.12.S</v>
      </c>
      <c r="C3015" s="83" t="s">
        <v>366</v>
      </c>
      <c r="D3015" s="81" t="s">
        <v>3016</v>
      </c>
      <c r="E3015" s="48">
        <v>500570</v>
      </c>
      <c r="F3015" s="30" t="s">
        <v>2990</v>
      </c>
      <c r="G3015" s="29" t="s">
        <v>34</v>
      </c>
      <c r="H3015" s="30" t="s">
        <v>3006</v>
      </c>
      <c r="I3015" s="78"/>
      <c r="J3015" s="20"/>
      <c r="K3015" s="20"/>
      <c r="L3015" s="20"/>
      <c r="M3015" s="20"/>
      <c r="N3015" s="69" t="s">
        <v>256</v>
      </c>
      <c r="O3015" s="70">
        <v>0</v>
      </c>
      <c r="P3015" s="70">
        <v>0</v>
      </c>
      <c r="Q3015" s="70">
        <f t="shared" si="257"/>
        <v>0</v>
      </c>
      <c r="R3015" s="70"/>
      <c r="S3015" s="67"/>
      <c r="T3015" s="2" t="str">
        <f t="shared" si="258"/>
        <v>Cao Lê Tường Vy_12KT2</v>
      </c>
      <c r="U3015" s="28">
        <f t="array" ref="U3015">IFERROR(VLOOKUP($T3015,'Nghi hoc T12'!$H$7:$I$160,2,0),0)</f>
        <v>0</v>
      </c>
      <c r="V3015" s="28"/>
      <c r="W3015" s="28">
        <f t="shared" si="259"/>
        <v>0</v>
      </c>
      <c r="X3015" s="333">
        <f t="shared" si="260"/>
        <v>0</v>
      </c>
      <c r="Y3015" s="333">
        <f t="shared" si="261"/>
        <v>0</v>
      </c>
    </row>
    <row r="3016" spans="1:25" s="2" customFormat="1" ht="21.95" customHeight="1">
      <c r="A3016" s="82">
        <v>18</v>
      </c>
      <c r="B3016" s="91" t="str">
        <f t="shared" si="262"/>
        <v>A1.12.S</v>
      </c>
      <c r="C3016" s="83" t="s">
        <v>366</v>
      </c>
      <c r="D3016" s="81" t="s">
        <v>3016</v>
      </c>
      <c r="E3016" s="48">
        <v>500571</v>
      </c>
      <c r="F3016" s="30" t="s">
        <v>2991</v>
      </c>
      <c r="G3016" s="29" t="s">
        <v>34</v>
      </c>
      <c r="H3016" s="30" t="s">
        <v>3005</v>
      </c>
      <c r="I3016" s="78"/>
      <c r="J3016" s="20"/>
      <c r="K3016" s="20"/>
      <c r="L3016" s="20"/>
      <c r="M3016" s="20"/>
      <c r="N3016" s="69" t="s">
        <v>256</v>
      </c>
      <c r="O3016" s="70">
        <v>0</v>
      </c>
      <c r="P3016" s="70">
        <v>0</v>
      </c>
      <c r="Q3016" s="70">
        <f t="shared" si="257"/>
        <v>0</v>
      </c>
      <c r="R3016" s="70"/>
      <c r="S3016" s="67"/>
      <c r="T3016" s="2" t="str">
        <f t="shared" si="258"/>
        <v>Nguyễn Cảnh Thảo Vy_12KT4</v>
      </c>
      <c r="U3016" s="28">
        <f t="array" ref="U3016">IFERROR(VLOOKUP($T3016,'Nghi hoc T12'!$H$7:$I$160,2,0),0)</f>
        <v>0</v>
      </c>
      <c r="V3016" s="28"/>
      <c r="W3016" s="28">
        <f t="shared" si="259"/>
        <v>0</v>
      </c>
      <c r="X3016" s="333">
        <f t="shared" si="260"/>
        <v>0</v>
      </c>
      <c r="Y3016" s="333">
        <f t="shared" si="261"/>
        <v>0</v>
      </c>
    </row>
    <row r="3017" spans="1:25" s="2" customFormat="1" ht="21.95" customHeight="1">
      <c r="A3017" s="82">
        <v>19</v>
      </c>
      <c r="B3017" s="91" t="str">
        <f t="shared" si="262"/>
        <v>A1.12.S</v>
      </c>
      <c r="C3017" s="83" t="s">
        <v>366</v>
      </c>
      <c r="D3017" s="81" t="s">
        <v>3016</v>
      </c>
      <c r="E3017" s="48">
        <v>500572</v>
      </c>
      <c r="F3017" s="30" t="s">
        <v>1856</v>
      </c>
      <c r="G3017" s="29" t="s">
        <v>34</v>
      </c>
      <c r="H3017" s="30" t="s">
        <v>3007</v>
      </c>
      <c r="I3017" s="78"/>
      <c r="J3017" s="20"/>
      <c r="K3017" s="20"/>
      <c r="L3017" s="20"/>
      <c r="M3017" s="20"/>
      <c r="N3017" s="69" t="s">
        <v>256</v>
      </c>
      <c r="O3017" s="70">
        <v>0</v>
      </c>
      <c r="P3017" s="70">
        <v>0</v>
      </c>
      <c r="Q3017" s="70">
        <f t="shared" si="257"/>
        <v>0</v>
      </c>
      <c r="R3017" s="70"/>
      <c r="S3017" s="67"/>
      <c r="T3017" s="2" t="str">
        <f t="shared" si="258"/>
        <v>Nguyễn Lê Thanh Vy_12KT1</v>
      </c>
      <c r="U3017" s="28">
        <f t="array" ref="U3017">IFERROR(VLOOKUP($T3017,'Nghi hoc T12'!$H$7:$I$160,2,0),0)</f>
        <v>0</v>
      </c>
      <c r="V3017" s="28"/>
      <c r="W3017" s="28">
        <f t="shared" si="259"/>
        <v>0</v>
      </c>
      <c r="X3017" s="333">
        <f t="shared" si="260"/>
        <v>0</v>
      </c>
      <c r="Y3017" s="333">
        <f t="shared" si="261"/>
        <v>0</v>
      </c>
    </row>
    <row r="3018" spans="1:25" s="2" customFormat="1" ht="21.95" customHeight="1">
      <c r="A3018" s="82">
        <v>20</v>
      </c>
      <c r="B3018" s="91" t="str">
        <f t="shared" si="262"/>
        <v>A1.12.S</v>
      </c>
      <c r="C3018" s="83" t="s">
        <v>366</v>
      </c>
      <c r="D3018" s="81" t="s">
        <v>3016</v>
      </c>
      <c r="E3018" s="48">
        <v>500573</v>
      </c>
      <c r="F3018" s="30" t="s">
        <v>2042</v>
      </c>
      <c r="G3018" s="29" t="s">
        <v>34</v>
      </c>
      <c r="H3018" s="30" t="s">
        <v>3004</v>
      </c>
      <c r="I3018" s="78"/>
      <c r="J3018" s="20"/>
      <c r="K3018" s="20"/>
      <c r="L3018" s="20"/>
      <c r="M3018" s="20"/>
      <c r="N3018" s="69" t="s">
        <v>256</v>
      </c>
      <c r="O3018" s="70">
        <v>0</v>
      </c>
      <c r="P3018" s="70">
        <v>0</v>
      </c>
      <c r="Q3018" s="70">
        <f t="shared" ref="Q3018:Q3024" si="263">U3018</f>
        <v>0</v>
      </c>
      <c r="R3018" s="70"/>
      <c r="S3018" s="67"/>
      <c r="T3018" s="2" t="str">
        <f t="shared" ref="T3018:T3024" si="264">TRIM(F3018&amp;" "&amp;G3018&amp;"_"&amp;H3018)</f>
        <v>Nguyễn Trương Yến Vy_12KT3</v>
      </c>
      <c r="U3018" s="28">
        <f t="array" ref="U3018">IFERROR(VLOOKUP($T3018,'Nghi hoc T12'!$H$7:$I$160,2,0),0)</f>
        <v>0</v>
      </c>
      <c r="V3018" s="28"/>
      <c r="W3018" s="28">
        <f t="shared" ref="W3018:W3025" si="265">I3018</f>
        <v>0</v>
      </c>
      <c r="X3018" s="333">
        <f t="shared" ref="X3018:X3025" si="266">O3018</f>
        <v>0</v>
      </c>
      <c r="Y3018" s="333">
        <f t="shared" ref="Y3018:Y3025" si="267">P3018</f>
        <v>0</v>
      </c>
    </row>
    <row r="3019" spans="1:25" s="2" customFormat="1" ht="21.95" customHeight="1">
      <c r="A3019" s="82">
        <v>21</v>
      </c>
      <c r="B3019" s="91" t="str">
        <f t="shared" ref="B3019:B3024" si="268">RIGHT(D3019,LEN(D3019)-2)&amp;"."&amp;LEFT(N3019,1)</f>
        <v>A1.12.S</v>
      </c>
      <c r="C3019" s="83" t="s">
        <v>366</v>
      </c>
      <c r="D3019" s="81" t="s">
        <v>3016</v>
      </c>
      <c r="E3019" s="48">
        <v>500574</v>
      </c>
      <c r="F3019" s="30" t="s">
        <v>227</v>
      </c>
      <c r="G3019" s="29" t="s">
        <v>112</v>
      </c>
      <c r="H3019" s="30" t="s">
        <v>3007</v>
      </c>
      <c r="I3019" s="78"/>
      <c r="J3019" s="20"/>
      <c r="K3019" s="20"/>
      <c r="L3019" s="20"/>
      <c r="M3019" s="20"/>
      <c r="N3019" s="69" t="s">
        <v>256</v>
      </c>
      <c r="O3019" s="70">
        <v>0</v>
      </c>
      <c r="P3019" s="70">
        <v>0</v>
      </c>
      <c r="Q3019" s="70">
        <f t="shared" si="263"/>
        <v>0</v>
      </c>
      <c r="R3019" s="70"/>
      <c r="S3019" s="67"/>
      <c r="T3019" s="2" t="str">
        <f t="shared" si="264"/>
        <v>Nguyễn Thị Xuân_12KT1</v>
      </c>
      <c r="U3019" s="28">
        <f t="array" ref="U3019">IFERROR(VLOOKUP($T3019,'Nghi hoc T12'!$H$7:$I$160,2,0),0)</f>
        <v>0</v>
      </c>
      <c r="V3019" s="28"/>
      <c r="W3019" s="28">
        <f t="shared" si="265"/>
        <v>0</v>
      </c>
      <c r="X3019" s="333">
        <f t="shared" si="266"/>
        <v>0</v>
      </c>
      <c r="Y3019" s="333">
        <f t="shared" si="267"/>
        <v>0</v>
      </c>
    </row>
    <row r="3020" spans="1:25" s="2" customFormat="1" ht="21.95" customHeight="1">
      <c r="A3020" s="82">
        <v>22</v>
      </c>
      <c r="B3020" s="91" t="str">
        <f t="shared" si="268"/>
        <v>A1.12.S</v>
      </c>
      <c r="C3020" s="83" t="s">
        <v>366</v>
      </c>
      <c r="D3020" s="81" t="s">
        <v>3016</v>
      </c>
      <c r="E3020" s="48">
        <v>500575</v>
      </c>
      <c r="F3020" s="30" t="s">
        <v>2181</v>
      </c>
      <c r="G3020" s="29" t="s">
        <v>112</v>
      </c>
      <c r="H3020" s="30" t="s">
        <v>3004</v>
      </c>
      <c r="I3020" s="78"/>
      <c r="J3020" s="20"/>
      <c r="K3020" s="20"/>
      <c r="L3020" s="20"/>
      <c r="M3020" s="20"/>
      <c r="N3020" s="69" t="s">
        <v>256</v>
      </c>
      <c r="O3020" s="70">
        <v>0</v>
      </c>
      <c r="P3020" s="70">
        <v>0</v>
      </c>
      <c r="Q3020" s="70">
        <f t="shared" si="263"/>
        <v>0</v>
      </c>
      <c r="R3020" s="70"/>
      <c r="S3020" s="67"/>
      <c r="T3020" s="2" t="str">
        <f t="shared" si="264"/>
        <v>Phạm Phú Xuân_12KT3</v>
      </c>
      <c r="U3020" s="28">
        <f t="array" ref="U3020">IFERROR(VLOOKUP($T3020,'Nghi hoc T12'!$H$7:$I$160,2,0),0)</f>
        <v>0</v>
      </c>
      <c r="V3020" s="28"/>
      <c r="W3020" s="28">
        <f t="shared" si="265"/>
        <v>0</v>
      </c>
      <c r="X3020" s="333">
        <f t="shared" si="266"/>
        <v>0</v>
      </c>
      <c r="Y3020" s="333">
        <f t="shared" si="267"/>
        <v>0</v>
      </c>
    </row>
    <row r="3021" spans="1:25" s="2" customFormat="1" ht="21.95" customHeight="1">
      <c r="A3021" s="82">
        <v>23</v>
      </c>
      <c r="B3021" s="91" t="str">
        <f t="shared" si="268"/>
        <v>A1.12.S</v>
      </c>
      <c r="C3021" s="83" t="s">
        <v>366</v>
      </c>
      <c r="D3021" s="81" t="s">
        <v>3016</v>
      </c>
      <c r="E3021" s="48">
        <v>500576</v>
      </c>
      <c r="F3021" s="30" t="s">
        <v>2992</v>
      </c>
      <c r="G3021" s="29" t="s">
        <v>2993</v>
      </c>
      <c r="H3021" s="30" t="s">
        <v>3007</v>
      </c>
      <c r="I3021" s="78"/>
      <c r="J3021" s="20"/>
      <c r="K3021" s="20"/>
      <c r="L3021" s="20"/>
      <c r="M3021" s="20"/>
      <c r="N3021" s="69" t="s">
        <v>256</v>
      </c>
      <c r="O3021" s="70">
        <v>0</v>
      </c>
      <c r="P3021" s="70">
        <v>0</v>
      </c>
      <c r="Q3021" s="70">
        <f t="shared" si="263"/>
        <v>0</v>
      </c>
      <c r="R3021" s="70"/>
      <c r="S3021" s="67"/>
      <c r="T3021" s="2" t="str">
        <f t="shared" si="264"/>
        <v>Mai Thị Bảo Xuyên_12KT1</v>
      </c>
      <c r="U3021" s="28">
        <f t="array" ref="U3021">IFERROR(VLOOKUP($T3021,'Nghi hoc T12'!$H$7:$I$160,2,0),0)</f>
        <v>0</v>
      </c>
      <c r="V3021" s="28"/>
      <c r="W3021" s="28">
        <f t="shared" si="265"/>
        <v>0</v>
      </c>
      <c r="X3021" s="333">
        <f t="shared" si="266"/>
        <v>0</v>
      </c>
      <c r="Y3021" s="333">
        <f t="shared" si="267"/>
        <v>0</v>
      </c>
    </row>
    <row r="3022" spans="1:25" s="2" customFormat="1" ht="21.95" customHeight="1">
      <c r="A3022" s="82">
        <v>24</v>
      </c>
      <c r="B3022" s="91" t="str">
        <f t="shared" si="268"/>
        <v>A1.12.S</v>
      </c>
      <c r="C3022" s="83" t="s">
        <v>366</v>
      </c>
      <c r="D3022" s="81" t="s">
        <v>3016</v>
      </c>
      <c r="E3022" s="48">
        <v>500577</v>
      </c>
      <c r="F3022" s="30" t="s">
        <v>2994</v>
      </c>
      <c r="G3022" s="29" t="s">
        <v>75</v>
      </c>
      <c r="H3022" s="30" t="s">
        <v>3006</v>
      </c>
      <c r="I3022" s="78"/>
      <c r="J3022" s="20"/>
      <c r="K3022" s="20"/>
      <c r="L3022" s="20"/>
      <c r="M3022" s="20"/>
      <c r="N3022" s="69" t="s">
        <v>256</v>
      </c>
      <c r="O3022" s="70">
        <v>0</v>
      </c>
      <c r="P3022" s="70">
        <v>0</v>
      </c>
      <c r="Q3022" s="70">
        <f t="shared" si="263"/>
        <v>0</v>
      </c>
      <c r="R3022" s="70"/>
      <c r="S3022" s="67"/>
      <c r="T3022" s="2" t="str">
        <f t="shared" si="264"/>
        <v>Nguyễn Hữu Như Ý_12KT2</v>
      </c>
      <c r="U3022" s="28">
        <f t="array" ref="U3022">IFERROR(VLOOKUP($T3022,'Nghi hoc T12'!$H$7:$I$160,2,0),0)</f>
        <v>0</v>
      </c>
      <c r="V3022" s="28"/>
      <c r="W3022" s="28">
        <f t="shared" si="265"/>
        <v>0</v>
      </c>
      <c r="X3022" s="333">
        <f t="shared" si="266"/>
        <v>0</v>
      </c>
      <c r="Y3022" s="333">
        <f t="shared" si="267"/>
        <v>0</v>
      </c>
    </row>
    <row r="3023" spans="1:25" s="2" customFormat="1" ht="21.95" customHeight="1">
      <c r="A3023" s="82">
        <v>25</v>
      </c>
      <c r="B3023" s="91" t="str">
        <f t="shared" si="268"/>
        <v>A1.12.S</v>
      </c>
      <c r="C3023" s="83" t="s">
        <v>366</v>
      </c>
      <c r="D3023" s="81" t="s">
        <v>3016</v>
      </c>
      <c r="E3023" s="48">
        <v>500578</v>
      </c>
      <c r="F3023" s="30" t="s">
        <v>2995</v>
      </c>
      <c r="G3023" s="29" t="s">
        <v>62</v>
      </c>
      <c r="H3023" s="30" t="s">
        <v>3006</v>
      </c>
      <c r="I3023" s="78"/>
      <c r="J3023" s="20"/>
      <c r="K3023" s="20"/>
      <c r="L3023" s="20"/>
      <c r="M3023" s="20"/>
      <c r="N3023" s="69" t="s">
        <v>256</v>
      </c>
      <c r="O3023" s="70">
        <v>0</v>
      </c>
      <c r="P3023" s="70">
        <v>0</v>
      </c>
      <c r="Q3023" s="70">
        <f t="shared" si="263"/>
        <v>0</v>
      </c>
      <c r="R3023" s="70"/>
      <c r="S3023" s="67"/>
      <c r="T3023" s="2" t="str">
        <f t="shared" si="264"/>
        <v>Lê Thị Hải Yến_12KT2</v>
      </c>
      <c r="U3023" s="28">
        <f t="array" ref="U3023">IFERROR(VLOOKUP($T3023,'Nghi hoc T12'!$H$7:$I$160,2,0),0)</f>
        <v>0</v>
      </c>
      <c r="V3023" s="28"/>
      <c r="W3023" s="28">
        <f t="shared" si="265"/>
        <v>0</v>
      </c>
      <c r="X3023" s="333">
        <f t="shared" si="266"/>
        <v>0</v>
      </c>
      <c r="Y3023" s="333">
        <f t="shared" si="267"/>
        <v>0</v>
      </c>
    </row>
    <row r="3024" spans="1:25" s="2" customFormat="1" ht="21.95" customHeight="1">
      <c r="A3024" s="82">
        <v>26</v>
      </c>
      <c r="B3024" s="91" t="str">
        <f t="shared" si="268"/>
        <v>A1.12.S</v>
      </c>
      <c r="C3024" s="83" t="s">
        <v>366</v>
      </c>
      <c r="D3024" s="81" t="s">
        <v>3016</v>
      </c>
      <c r="E3024" s="48">
        <v>500579</v>
      </c>
      <c r="F3024" s="30" t="s">
        <v>1492</v>
      </c>
      <c r="G3024" s="29" t="s">
        <v>62</v>
      </c>
      <c r="H3024" s="30" t="s">
        <v>3004</v>
      </c>
      <c r="I3024" s="78"/>
      <c r="J3024" s="20"/>
      <c r="K3024" s="20"/>
      <c r="L3024" s="20"/>
      <c r="M3024" s="20"/>
      <c r="N3024" s="69" t="s">
        <v>256</v>
      </c>
      <c r="O3024" s="70">
        <v>0</v>
      </c>
      <c r="P3024" s="70">
        <v>0</v>
      </c>
      <c r="Q3024" s="70">
        <f t="shared" si="263"/>
        <v>0</v>
      </c>
      <c r="R3024" s="70"/>
      <c r="S3024" s="67"/>
      <c r="T3024" s="2" t="str">
        <f t="shared" si="264"/>
        <v>Nguyễn Thị Hải Yến_12KT3</v>
      </c>
      <c r="U3024" s="28">
        <f t="array" ref="U3024">IFERROR(VLOOKUP($T3024,'Nghi hoc T12'!$H$7:$I$160,2,0),0)</f>
        <v>0</v>
      </c>
      <c r="V3024" s="28"/>
      <c r="W3024" s="28">
        <f t="shared" si="265"/>
        <v>0</v>
      </c>
      <c r="X3024" s="333">
        <f t="shared" si="266"/>
        <v>0</v>
      </c>
      <c r="Y3024" s="333">
        <f t="shared" si="267"/>
        <v>0</v>
      </c>
    </row>
    <row r="3025" spans="1:25" ht="12" customHeight="1">
      <c r="A3025" s="21"/>
      <c r="B3025" s="45"/>
      <c r="C3025" s="21"/>
      <c r="D3025" s="21"/>
      <c r="E3025" s="45"/>
      <c r="F3025" s="27"/>
      <c r="G3025" s="72"/>
      <c r="H3025" s="47"/>
      <c r="I3025" s="77"/>
      <c r="J3025" s="22"/>
      <c r="K3025" s="1"/>
      <c r="L3025" s="1"/>
      <c r="M3025" s="1"/>
      <c r="N3025" s="320"/>
      <c r="R3025" s="65">
        <v>0</v>
      </c>
      <c r="S3025" s="67"/>
      <c r="T3025" s="2"/>
      <c r="U3025" s="28"/>
      <c r="V3025" s="28"/>
      <c r="W3025" s="28">
        <f t="shared" si="265"/>
        <v>0</v>
      </c>
      <c r="X3025" s="333">
        <f t="shared" si="266"/>
        <v>0</v>
      </c>
      <c r="Y3025" s="333">
        <f t="shared" si="267"/>
        <v>0</v>
      </c>
    </row>
    <row r="3026" spans="1:25" s="23" customFormat="1">
      <c r="A3026" s="21"/>
      <c r="B3026" s="45"/>
      <c r="C3026" s="21"/>
      <c r="D3026" s="21"/>
      <c r="E3026" s="45"/>
      <c r="F3026" s="73"/>
      <c r="G3026" s="40"/>
      <c r="H3026" s="378" t="s">
        <v>500</v>
      </c>
      <c r="I3026" s="378"/>
      <c r="J3026" s="378"/>
      <c r="K3026" s="378"/>
      <c r="L3026" s="378"/>
      <c r="M3026" s="378"/>
      <c r="N3026" s="320"/>
      <c r="O3026" s="68"/>
      <c r="P3026" s="68"/>
      <c r="Q3026" s="68"/>
      <c r="R3026" s="68"/>
      <c r="S3026" s="67"/>
    </row>
    <row r="3027" spans="1:25" s="23" customFormat="1">
      <c r="A3027" s="21"/>
      <c r="B3027" s="45"/>
      <c r="C3027" s="21"/>
      <c r="D3027" s="21"/>
      <c r="E3027" s="45"/>
      <c r="F3027" s="73"/>
      <c r="G3027" s="40"/>
      <c r="H3027" s="377" t="s">
        <v>395</v>
      </c>
      <c r="I3027" s="377"/>
      <c r="J3027" s="377"/>
      <c r="K3027" s="377"/>
      <c r="L3027" s="377"/>
      <c r="M3027" s="377"/>
      <c r="N3027" s="320"/>
      <c r="O3027" s="68"/>
      <c r="P3027" s="68"/>
      <c r="Q3027" s="68"/>
      <c r="R3027" s="68"/>
      <c r="S3027" s="67"/>
    </row>
    <row r="3028" spans="1:25" s="23" customFormat="1">
      <c r="A3028" s="21"/>
      <c r="B3028" s="45"/>
      <c r="C3028" s="21"/>
      <c r="D3028" s="21"/>
      <c r="E3028" s="45"/>
      <c r="F3028" s="73"/>
      <c r="G3028" s="40"/>
      <c r="H3028" s="377" t="s">
        <v>396</v>
      </c>
      <c r="I3028" s="377"/>
      <c r="J3028" s="377"/>
      <c r="K3028" s="377"/>
      <c r="L3028" s="377"/>
      <c r="M3028" s="377"/>
      <c r="N3028" s="320"/>
      <c r="O3028" s="68"/>
      <c r="P3028" s="68"/>
      <c r="Q3028" s="68"/>
      <c r="R3028" s="68"/>
      <c r="S3028" s="67"/>
    </row>
    <row r="3029" spans="1:25" s="23" customFormat="1">
      <c r="A3029" s="21"/>
      <c r="B3029" s="45"/>
      <c r="C3029" s="21"/>
      <c r="D3029" s="21"/>
      <c r="E3029" s="38"/>
      <c r="F3029" s="73"/>
      <c r="G3029" s="40"/>
      <c r="H3029" s="32"/>
      <c r="I3029" s="32"/>
      <c r="J3029" s="24"/>
      <c r="K3029" s="24"/>
      <c r="L3029" s="24"/>
      <c r="M3029" s="24"/>
      <c r="N3029" s="63"/>
      <c r="O3029" s="68"/>
      <c r="P3029" s="68"/>
      <c r="Q3029" s="68"/>
      <c r="R3029" s="68"/>
    </row>
    <row r="3030" spans="1:25" s="23" customFormat="1">
      <c r="A3030" s="25"/>
      <c r="B3030" s="25"/>
      <c r="C3030" s="25"/>
      <c r="D3030" s="25"/>
      <c r="E3030" s="45"/>
      <c r="F3030" s="74"/>
      <c r="G3030" s="40"/>
      <c r="H3030" s="32"/>
      <c r="I3030" s="32"/>
      <c r="J3030" s="24"/>
      <c r="K3030" s="24"/>
      <c r="L3030" s="24"/>
      <c r="M3030" s="24"/>
      <c r="N3030" s="63"/>
      <c r="O3030" s="68"/>
      <c r="P3030" s="68"/>
      <c r="Q3030" s="68"/>
      <c r="R3030" s="68"/>
    </row>
    <row r="3031" spans="1:25" s="23" customFormat="1">
      <c r="A3031" s="25"/>
      <c r="B3031" s="25"/>
      <c r="C3031" s="25"/>
      <c r="D3031" s="25"/>
      <c r="E3031" s="45"/>
      <c r="F3031" s="74"/>
      <c r="G3031" s="40"/>
      <c r="H3031" s="32"/>
      <c r="I3031" s="32"/>
      <c r="J3031" s="24"/>
      <c r="K3031" s="24"/>
      <c r="L3031" s="24"/>
      <c r="M3031" s="24"/>
      <c r="N3031" s="63"/>
      <c r="O3031" s="68"/>
      <c r="P3031" s="68"/>
      <c r="Q3031" s="68"/>
      <c r="R3031" s="68"/>
    </row>
    <row r="3032" spans="1:25" s="23" customFormat="1" ht="20.100000000000001" customHeight="1">
      <c r="A3032" s="25"/>
      <c r="B3032" s="25"/>
      <c r="C3032" s="25"/>
      <c r="D3032" s="25"/>
      <c r="E3032" s="45"/>
      <c r="F3032" s="74"/>
      <c r="G3032" s="40"/>
      <c r="H3032" s="377" t="s">
        <v>397</v>
      </c>
      <c r="I3032" s="377"/>
      <c r="J3032" s="377"/>
      <c r="K3032" s="377"/>
      <c r="L3032" s="377"/>
      <c r="M3032" s="377"/>
      <c r="N3032" s="63"/>
      <c r="O3032" s="68"/>
      <c r="P3032" s="68"/>
      <c r="Q3032" s="68"/>
      <c r="R3032" s="68"/>
    </row>
  </sheetData>
  <autoFilter ref="A8:V3028"/>
  <mergeCells count="25">
    <mergeCell ref="A4:G4"/>
    <mergeCell ref="A1:F1"/>
    <mergeCell ref="A2:F2"/>
    <mergeCell ref="G1:M1"/>
    <mergeCell ref="G2:M2"/>
    <mergeCell ref="A3:F3"/>
    <mergeCell ref="H4:M4"/>
    <mergeCell ref="A5:G5"/>
    <mergeCell ref="H3028:M3028"/>
    <mergeCell ref="A6:A7"/>
    <mergeCell ref="J6:M6"/>
    <mergeCell ref="J7:K7"/>
    <mergeCell ref="L7:M7"/>
    <mergeCell ref="I6:I7"/>
    <mergeCell ref="H6:H7"/>
    <mergeCell ref="H5:J5"/>
    <mergeCell ref="H3032:M3032"/>
    <mergeCell ref="H3026:M3026"/>
    <mergeCell ref="H3027:M3027"/>
    <mergeCell ref="B6:B7"/>
    <mergeCell ref="C6:C7"/>
    <mergeCell ref="D6:D7"/>
    <mergeCell ref="E6:E7"/>
    <mergeCell ref="F6:F7"/>
    <mergeCell ref="G6:G7"/>
  </mergeCells>
  <conditionalFormatting sqref="A6:B6 J7:M7 E6 A8 E8:F8">
    <cfRule type="expression" dxfId="35" priority="649" stopIfTrue="1">
      <formula>$I9="HN"</formula>
    </cfRule>
  </conditionalFormatting>
  <conditionalFormatting sqref="F6:M6">
    <cfRule type="expression" dxfId="34" priority="1181" stopIfTrue="1">
      <formula>$I9="HN"</formula>
    </cfRule>
  </conditionalFormatting>
  <conditionalFormatting sqref="J8:M8">
    <cfRule type="expression" dxfId="33" priority="427" stopIfTrue="1">
      <formula>$I11="HN"</formula>
    </cfRule>
  </conditionalFormatting>
  <conditionalFormatting sqref="I882:M914 C882:E914 E221:P248 A9:R9 C221:C248 N429:P1127 C915:M1072 C1098:C1153 N1183:P1183 F1183:L1183 C1073:D1097 E1073:E1207 C1154:D1207 A249:A1097 A11:A220 C11:P220 C249:P428 A10:P10 C429:M881 F1073:M1127 F1128:P1182 F1184:P1207 A1198:A1426 B11:B1426 C1208:P1426 A1427:R3032 Q10:R1426">
    <cfRule type="expression" dxfId="32" priority="1326" stopIfTrue="1">
      <formula>$R9="HP"</formula>
    </cfRule>
  </conditionalFormatting>
  <conditionalFormatting sqref="I882:M914 C882:E914 E221:P248 A9:Q9 C221:C248 N429:P1127 C915:M1072 C1098:C1153 N1183:P1183 F1183:L1183 C1073:D1097 E1073:E1207 C1154:D1207 A249:A1097 A11:A220 C11:P220 C249:P428 A10:P10 C429:M881 F1073:M1127 F1128:P1182 F1184:P1207 A1198:A1426 B11:B1426 C1208:P1426 A1427:Q3032 Q10:Q1426">
    <cfRule type="expression" dxfId="31" priority="1328" stopIfTrue="1">
      <formula>$Q9="NgiH"</formula>
    </cfRule>
  </conditionalFormatting>
  <conditionalFormatting sqref="D8">
    <cfRule type="expression" dxfId="30" priority="16" stopIfTrue="1">
      <formula>$I11="HN"</formula>
    </cfRule>
  </conditionalFormatting>
  <conditionalFormatting sqref="D6">
    <cfRule type="expression" dxfId="29" priority="17" stopIfTrue="1">
      <formula>$I9="HN"</formula>
    </cfRule>
  </conditionalFormatting>
  <conditionalFormatting sqref="C6">
    <cfRule type="expression" dxfId="28" priority="5" stopIfTrue="1">
      <formula>$I9="HN"</formula>
    </cfRule>
  </conditionalFormatting>
  <conditionalFormatting sqref="F904:H904">
    <cfRule type="expression" dxfId="27" priority="1375" stopIfTrue="1">
      <formula>$R882="HP"</formula>
    </cfRule>
  </conditionalFormatting>
  <conditionalFormatting sqref="F904:H904">
    <cfRule type="expression" dxfId="26" priority="1377" stopIfTrue="1">
      <formula>$Q882="NgiH"</formula>
    </cfRule>
  </conditionalFormatting>
  <conditionalFormatting sqref="F882:H903 D221:D247 A221:A247 A1154:A1196 M1183">
    <cfRule type="expression" dxfId="25" priority="1379" stopIfTrue="1">
      <formula>$R222="HP"</formula>
    </cfRule>
  </conditionalFormatting>
  <conditionalFormatting sqref="F882:H903 D221:D247 A221:A247 A1154:A1196 M1183">
    <cfRule type="expression" dxfId="24" priority="1381" stopIfTrue="1">
      <formula>$Q222="NgiH"</formula>
    </cfRule>
  </conditionalFormatting>
  <conditionalFormatting sqref="F905:H905">
    <cfRule type="expression" dxfId="23" priority="1383" stopIfTrue="1">
      <formula>$R914="HP"</formula>
    </cfRule>
  </conditionalFormatting>
  <conditionalFormatting sqref="F905:H905">
    <cfRule type="expression" dxfId="22" priority="1385" stopIfTrue="1">
      <formula>$Q914="NgiH"</formula>
    </cfRule>
  </conditionalFormatting>
  <conditionalFormatting sqref="F907:H914">
    <cfRule type="expression" dxfId="21" priority="1387" stopIfTrue="1">
      <formula>$R906="HP"</formula>
    </cfRule>
  </conditionalFormatting>
  <conditionalFormatting sqref="F907:H914">
    <cfRule type="expression" dxfId="20" priority="1390" stopIfTrue="1">
      <formula>$Q906="NgiH"</formula>
    </cfRule>
  </conditionalFormatting>
  <conditionalFormatting sqref="F906:H906">
    <cfRule type="expression" dxfId="19" priority="1392" stopIfTrue="1">
      <formula>$R905="HP"</formula>
    </cfRule>
  </conditionalFormatting>
  <conditionalFormatting sqref="F906:H906">
    <cfRule type="expression" dxfId="18" priority="1394" stopIfTrue="1">
      <formula>$Q905="NgiH"</formula>
    </cfRule>
  </conditionalFormatting>
  <conditionalFormatting sqref="D248 A248 A1197">
    <cfRule type="expression" dxfId="17" priority="1396" stopIfTrue="1">
      <formula>#REF!="HP"</formula>
    </cfRule>
  </conditionalFormatting>
  <conditionalFormatting sqref="D248 A248 A1197">
    <cfRule type="expression" dxfId="16" priority="1400" stopIfTrue="1">
      <formula>#REF!="NgiH"</formula>
    </cfRule>
  </conditionalFormatting>
  <conditionalFormatting sqref="A1098:A1153 D1098:D1118 D1120:D1147 D1149:D1153">
    <cfRule type="expression" dxfId="15" priority="1402" stopIfTrue="1">
      <formula>$R1100="HP"</formula>
    </cfRule>
  </conditionalFormatting>
  <conditionalFormatting sqref="A1098:A1153 D1098:D1118 D1120:D1147 D1149:D1153">
    <cfRule type="expression" dxfId="14" priority="1405" stopIfTrue="1">
      <formula>$Q1100="NgiH"</formula>
    </cfRule>
  </conditionalFormatting>
  <conditionalFormatting sqref="D1119">
    <cfRule type="expression" dxfId="13" priority="3" stopIfTrue="1">
      <formula>$R1119="HP"</formula>
    </cfRule>
  </conditionalFormatting>
  <conditionalFormatting sqref="D1119">
    <cfRule type="expression" dxfId="12" priority="4" stopIfTrue="1">
      <formula>$Q1119="NgiH"</formula>
    </cfRule>
  </conditionalFormatting>
  <conditionalFormatting sqref="D1148">
    <cfRule type="expression" dxfId="11" priority="1" stopIfTrue="1">
      <formula>$R1148="HP"</formula>
    </cfRule>
  </conditionalFormatting>
  <conditionalFormatting sqref="D1148">
    <cfRule type="expression" dxfId="10" priority="2" stopIfTrue="1">
      <formula>$Q1148="NgiH"</formula>
    </cfRule>
  </conditionalFormatting>
  <printOptions horizontalCentered="1"/>
  <pageMargins left="0.27" right="0.2" top="0.26" bottom="0.17" header="0.27" footer="0.18"/>
  <pageSetup paperSize="9" scale="76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V49"/>
  <sheetViews>
    <sheetView view="pageBreakPreview" zoomScale="85" zoomScaleNormal="100" zoomScaleSheetLayoutView="85" workbookViewId="0">
      <selection sqref="A1:D1"/>
    </sheetView>
  </sheetViews>
  <sheetFormatPr defaultRowHeight="16.5"/>
  <cols>
    <col min="1" max="1" width="7.28515625" style="13" customWidth="1"/>
    <col min="2" max="2" width="7.42578125" style="13" customWidth="1"/>
    <col min="3" max="3" width="9.85546875" style="46" customWidth="1"/>
    <col min="4" max="4" width="26.140625" style="75" customWidth="1"/>
    <col min="5" max="5" width="12" style="75" customWidth="1"/>
    <col min="6" max="6" width="9.140625" style="46" customWidth="1"/>
    <col min="7" max="7" width="7.28515625" style="79" customWidth="1"/>
    <col min="8" max="11" width="8.7109375" style="13" customWidth="1"/>
    <col min="12" max="12" width="9.140625" style="60" customWidth="1"/>
    <col min="13" max="14" width="9.140625" style="65" customWidth="1"/>
    <col min="15" max="15" width="16" style="65" customWidth="1"/>
    <col min="16" max="16" width="14.7109375" style="65" customWidth="1"/>
    <col min="17" max="17" width="9.140625" style="13" customWidth="1"/>
    <col min="18" max="256" width="11.42578125" style="13" customWidth="1"/>
    <col min="257" max="16384" width="9.140625" style="13"/>
  </cols>
  <sheetData>
    <row r="1" spans="1:22" ht="18">
      <c r="A1" s="405" t="s">
        <v>1108</v>
      </c>
      <c r="B1" s="405"/>
      <c r="C1" s="405"/>
      <c r="D1" s="405"/>
      <c r="E1" s="406" t="s">
        <v>0</v>
      </c>
      <c r="F1" s="406"/>
      <c r="G1" s="406"/>
      <c r="H1" s="406"/>
      <c r="I1" s="406"/>
      <c r="J1" s="406"/>
      <c r="K1" s="406"/>
      <c r="M1" s="60"/>
      <c r="O1" s="101" t="s">
        <v>2159</v>
      </c>
      <c r="P1" s="101" t="s">
        <v>2160</v>
      </c>
      <c r="Q1" s="101" t="s">
        <v>2161</v>
      </c>
      <c r="R1" s="101" t="s">
        <v>2163</v>
      </c>
      <c r="S1" s="101" t="s">
        <v>2162</v>
      </c>
    </row>
    <row r="2" spans="1:22" ht="18.75">
      <c r="A2" s="404" t="s">
        <v>1109</v>
      </c>
      <c r="B2" s="404"/>
      <c r="C2" s="404"/>
      <c r="D2" s="404"/>
      <c r="E2" s="407" t="s">
        <v>2</v>
      </c>
      <c r="F2" s="407"/>
      <c r="G2" s="407"/>
      <c r="H2" s="407"/>
      <c r="I2" s="407"/>
      <c r="J2" s="407"/>
      <c r="K2" s="407"/>
      <c r="M2" s="65" t="s">
        <v>2164</v>
      </c>
      <c r="N2" s="65" t="s">
        <v>2165</v>
      </c>
      <c r="O2" s="318">
        <v>1</v>
      </c>
      <c r="P2" s="318">
        <v>18</v>
      </c>
      <c r="Q2" s="318">
        <v>36</v>
      </c>
      <c r="R2" s="318">
        <v>62</v>
      </c>
      <c r="S2" s="318">
        <v>83</v>
      </c>
    </row>
    <row r="3" spans="1:22" ht="16.5" customHeight="1">
      <c r="A3" s="408"/>
      <c r="B3" s="408"/>
      <c r="C3" s="408"/>
      <c r="D3" s="408"/>
      <c r="E3" s="98"/>
      <c r="F3" s="37"/>
      <c r="G3" s="77"/>
      <c r="H3" s="18"/>
      <c r="I3" s="16"/>
      <c r="J3" s="16"/>
      <c r="K3" s="16"/>
      <c r="M3" s="60"/>
      <c r="N3" s="65" t="s">
        <v>2166</v>
      </c>
      <c r="O3" s="2">
        <v>17</v>
      </c>
      <c r="P3" s="2">
        <v>35</v>
      </c>
      <c r="Q3" s="2">
        <v>61</v>
      </c>
      <c r="R3" s="2">
        <v>82</v>
      </c>
      <c r="S3" s="2">
        <v>114</v>
      </c>
    </row>
    <row r="4" spans="1:22" ht="19.5">
      <c r="A4" s="430" t="s">
        <v>1038</v>
      </c>
      <c r="B4" s="430"/>
      <c r="C4" s="430"/>
      <c r="D4" s="430"/>
      <c r="E4" s="430"/>
      <c r="F4" s="431" t="str">
        <f>VLOOKUP($L$5,TH_P.thi!$A$18:$T$165,19,0)</f>
        <v>TỔ HỢP 5 (11AT7,8)</v>
      </c>
      <c r="G4" s="431"/>
      <c r="H4" s="431"/>
      <c r="I4" s="431"/>
      <c r="J4" s="431"/>
      <c r="K4" s="88"/>
      <c r="L4" s="306" t="s">
        <v>2157</v>
      </c>
      <c r="N4" s="307"/>
      <c r="O4" s="308"/>
    </row>
    <row r="5" spans="1:22" ht="21.95" customHeight="1">
      <c r="A5" s="421" t="str">
        <f>VLOOKUP($L$5,TH_P.thi!$A$2:$T$165,20,0)</f>
        <v>NGÀY THI: 22+23/12/2025</v>
      </c>
      <c r="B5" s="421"/>
      <c r="C5" s="421"/>
      <c r="D5" s="421"/>
      <c r="E5" s="421"/>
      <c r="G5" s="107" t="s">
        <v>496</v>
      </c>
      <c r="H5" s="107"/>
      <c r="I5" s="141" t="str">
        <f>VLOOKUP($L5,$T$8:$U$166,2,0)</f>
        <v>12A</v>
      </c>
      <c r="K5" s="88"/>
      <c r="L5" s="314">
        <v>33</v>
      </c>
    </row>
    <row r="6" spans="1:22" s="19" customFormat="1" ht="15" customHeight="1">
      <c r="A6" s="139"/>
      <c r="B6" s="139"/>
      <c r="C6" s="139"/>
      <c r="D6" s="139"/>
      <c r="E6" s="139"/>
      <c r="F6" s="108"/>
      <c r="G6" s="108"/>
      <c r="H6" s="108"/>
      <c r="I6" s="140"/>
      <c r="J6" s="85"/>
      <c r="K6" s="80"/>
      <c r="L6" s="330" t="str">
        <f>VLOOKUP($L$5,$T$8:$V$42,3,0)</f>
        <v>12A.T</v>
      </c>
      <c r="M6" s="64"/>
      <c r="N6" s="64"/>
      <c r="O6" s="64"/>
      <c r="P6" s="65"/>
    </row>
    <row r="7" spans="1:22" ht="16.5" customHeight="1">
      <c r="A7" s="422" t="s">
        <v>390</v>
      </c>
      <c r="B7" s="424" t="s">
        <v>528</v>
      </c>
      <c r="C7" s="410" t="s">
        <v>391</v>
      </c>
      <c r="D7" s="426" t="s">
        <v>393</v>
      </c>
      <c r="E7" s="428" t="s">
        <v>394</v>
      </c>
      <c r="F7" s="410" t="s">
        <v>3</v>
      </c>
      <c r="G7" s="412" t="s">
        <v>399</v>
      </c>
      <c r="H7" s="414" t="s">
        <v>392</v>
      </c>
      <c r="I7" s="415"/>
      <c r="J7" s="415"/>
      <c r="K7" s="416"/>
      <c r="L7" s="90"/>
      <c r="M7" s="66" t="s">
        <v>405</v>
      </c>
      <c r="N7" s="66" t="s">
        <v>406</v>
      </c>
      <c r="O7" s="66" t="s">
        <v>407</v>
      </c>
      <c r="P7" s="66" t="s">
        <v>398</v>
      </c>
      <c r="S7" s="310" t="s">
        <v>390</v>
      </c>
      <c r="T7" s="2" t="s">
        <v>2157</v>
      </c>
      <c r="U7" s="2" t="s">
        <v>498</v>
      </c>
      <c r="V7" s="2"/>
    </row>
    <row r="8" spans="1:22" ht="20.100000000000001" customHeight="1">
      <c r="A8" s="423"/>
      <c r="B8" s="425"/>
      <c r="C8" s="411"/>
      <c r="D8" s="427"/>
      <c r="E8" s="429"/>
      <c r="F8" s="411"/>
      <c r="G8" s="413"/>
      <c r="H8" s="417" t="str">
        <f>VLOOKUP($L5,TH_P.thi!$A$18:$T$165,9,0)</f>
        <v>Thứ Hai (22/12)</v>
      </c>
      <c r="I8" s="418"/>
      <c r="J8" s="417" t="str">
        <f>VLOOKUP($L5,TH_P.thi!$A$18:$T$165,10,0)</f>
        <v>Thứ Ba (23/12)</v>
      </c>
      <c r="K8" s="418"/>
      <c r="M8" s="106">
        <v>11</v>
      </c>
      <c r="N8" s="66">
        <v>12</v>
      </c>
      <c r="O8" s="66">
        <v>13</v>
      </c>
      <c r="P8" s="66">
        <v>14</v>
      </c>
      <c r="Q8" s="66"/>
      <c r="S8" s="2">
        <v>1</v>
      </c>
      <c r="T8" s="313">
        <v>18</v>
      </c>
      <c r="U8" s="312" t="str">
        <f t="array" ref="U8">IFERROR(VLOOKUP($T8,TH_P.thi!$A$18:$P$165,3,0),0)</f>
        <v>4B</v>
      </c>
      <c r="V8" s="312" t="str">
        <f t="array" ref="V8">IFERROR(VLOOKUP($T8,TH_P.thi!$A$18:$P$165,6,0),0)</f>
        <v>4B.S</v>
      </c>
    </row>
    <row r="9" spans="1:22" ht="16.5" customHeight="1">
      <c r="A9" s="423"/>
      <c r="B9" s="425"/>
      <c r="C9" s="411"/>
      <c r="D9" s="427"/>
      <c r="E9" s="429"/>
      <c r="F9" s="411"/>
      <c r="G9" s="413"/>
      <c r="H9" s="138" t="str">
        <f>VLOOKUP($L$5,TH_P.thi!$A$5:$T$165,13,0)</f>
        <v>VĂN</v>
      </c>
      <c r="I9" s="177" t="str">
        <f>VLOOKUP($L$5,TH_P.thi!$A$5:$T$165,14,0)</f>
        <v>KT-PL</v>
      </c>
      <c r="J9" s="138" t="str">
        <f>VLOOKUP($L$5,TH_P.thi!$A$5:$T$165,15,0)</f>
        <v>TOÁN</v>
      </c>
      <c r="K9" s="138" t="str">
        <f>VLOOKUP($L$5,TH_P.thi!$A$5:$T$165,16,0)</f>
        <v>SỬ</v>
      </c>
      <c r="S9" s="2">
        <v>2</v>
      </c>
      <c r="T9" s="309">
        <f>T8+1</f>
        <v>19</v>
      </c>
      <c r="U9" s="312" t="str">
        <f t="array" ref="U9">IFERROR(VLOOKUP($T9,TH_P.thi!$A$18:$P$165,3,0),0)</f>
        <v>5B</v>
      </c>
      <c r="V9" s="312" t="str">
        <f t="array" ref="V9">IFERROR(VLOOKUP($T9,TH_P.thi!$A$18:$P$165,6,0),0)</f>
        <v>5B.S</v>
      </c>
    </row>
    <row r="10" spans="1:22" s="2" customFormat="1" ht="20.100000000000001" customHeight="1">
      <c r="A10" s="124">
        <v>1</v>
      </c>
      <c r="B10" s="125" t="str">
        <f t="array" ref="B10">IFERROR(INDEX('DS_Tong_12AS-AT-VH'!$A$9:$I$3045,MATCH(1,(In_DS!$A10='DS_Tong_12AS-AT-VH'!$A$9:$A$3045)*($L$6='DS_Tong_12AS-AT-VH'!$B$9:$B$3045),0),4),0)</f>
        <v>P.12A</v>
      </c>
      <c r="C10" s="126">
        <f t="array" ref="C10">IFERROR(INDEX('DS_Tong_12AS-AT-VH'!$A$9:$I$3045,MATCH(1,(In_DS!$A10='DS_Tong_12AS-AT-VH'!$A$9:$A$3045)*($L$6='DS_Tong_12AS-AT-VH'!$B$9:$B$3045),0),5),0)</f>
        <v>100845</v>
      </c>
      <c r="D10" s="180" t="str">
        <f>IFERROR(VLOOKUP($C10,'DS_Tong_12AS-AT-VH'!$E$9:$I$3024,2,0),0)</f>
        <v>Nguyễn Tấn</v>
      </c>
      <c r="E10" s="181" t="str">
        <f>IFERROR(VLOOKUP($C10,'DS_Tong_12AS-AT-VH'!$E$9:$I$3024,3,0),0)</f>
        <v>An</v>
      </c>
      <c r="F10" s="127" t="str">
        <f>IFERROR(VLOOKUP($C10,'DS_Tong_12AS-AT-VH'!$E$9:$I$3024,4,0),0)</f>
        <v>11AT8</v>
      </c>
      <c r="G10" s="329">
        <f>IFERROR(VLOOKUP($C10,'DS_Tong_12AS-AT-VH'!$E$9:$I$3024,5,0),0)</f>
        <v>0</v>
      </c>
      <c r="H10" s="128"/>
      <c r="I10" s="128"/>
      <c r="J10" s="128"/>
      <c r="K10" s="128"/>
      <c r="L10" s="69"/>
      <c r="M10" s="70">
        <f>IFERROR(VLOOKUP($C10,'DS_Tong_12AS-AT-VH'!$E$9:$S$3024,$M$8),0)</f>
        <v>0</v>
      </c>
      <c r="N10" s="70">
        <f>IFERROR(VLOOKUP($C10,'DS_Tong_12AS-AT-VH'!$E$9:$S$3024,$N$8),0)</f>
        <v>0</v>
      </c>
      <c r="O10" s="70">
        <f>IFERROR(VLOOKUP($C10,'DS_Tong_12AS-AT-VH'!$E$9:$S$3024,$O$8),0)</f>
        <v>0</v>
      </c>
      <c r="P10" s="70">
        <f>IFERROR(VLOOKUP($C10,'DS_Tong_12AS-AT-VH'!$E$9:$S$3024,$P$8),0)</f>
        <v>0</v>
      </c>
      <c r="Q10" s="67"/>
      <c r="S10" s="2">
        <v>3</v>
      </c>
      <c r="T10" s="309">
        <f t="shared" ref="T10:T33" si="0">T9+1</f>
        <v>20</v>
      </c>
      <c r="U10" s="312" t="str">
        <f t="array" ref="U10">IFERROR(VLOOKUP($T10,TH_P.thi!$A$18:$P$165,3,0),0)</f>
        <v>6B</v>
      </c>
      <c r="V10" s="312" t="str">
        <f t="array" ref="V10">IFERROR(VLOOKUP($T10,TH_P.thi!$A$18:$P$165,6,0),0)</f>
        <v>6B.S</v>
      </c>
    </row>
    <row r="11" spans="1:22" s="2" customFormat="1" ht="20.100000000000001" customHeight="1">
      <c r="A11" s="129">
        <v>2</v>
      </c>
      <c r="B11" s="112" t="str">
        <f t="array" ref="B11">IFERROR(INDEX('DS_Tong_12AS-AT-VH'!$A$9:$I$3045,MATCH(1,(In_DS!$A11='DS_Tong_12AS-AT-VH'!$A$9:$A$3045)*($L$6='DS_Tong_12AS-AT-VH'!$B$9:$B$3045),0),4),0)</f>
        <v>P.12A</v>
      </c>
      <c r="C11" s="110">
        <f t="array" ref="C11">IFERROR(INDEX('DS_Tong_12AS-AT-VH'!$A$9:$I$3045,MATCH(1,(In_DS!$A11='DS_Tong_12AS-AT-VH'!$A$9:$A$3045)*($L$6='DS_Tong_12AS-AT-VH'!$B$9:$B$3045),0),5),0)</f>
        <v>100846</v>
      </c>
      <c r="D11" s="182" t="str">
        <f>IFERROR(VLOOKUP($C11,'DS_Tong_12AS-AT-VH'!$E$9:$I$3024,2,0),0)</f>
        <v>Trần Quốc</v>
      </c>
      <c r="E11" s="183" t="str">
        <f>IFERROR(VLOOKUP($C11,'DS_Tong_12AS-AT-VH'!$E$9:$I$3024,3,0),0)</f>
        <v>An</v>
      </c>
      <c r="F11" s="111" t="str">
        <f>IFERROR(VLOOKUP($C11,'DS_Tong_12AS-AT-VH'!$E$9:$I$3024,4,0),0)</f>
        <v>11AT7</v>
      </c>
      <c r="G11" s="328">
        <f>IFERROR(VLOOKUP($C11,'DS_Tong_12AS-AT-VH'!$E$9:$I$3024,5,0),0)</f>
        <v>0</v>
      </c>
      <c r="H11" s="130"/>
      <c r="I11" s="130"/>
      <c r="J11" s="130"/>
      <c r="K11" s="130"/>
      <c r="L11" s="69"/>
      <c r="M11" s="70">
        <f>IFERROR(VLOOKUP($C11,'DS_Tong_12AS-AT-VH'!$E$9:$S$3024,$M$8),0)</f>
        <v>0</v>
      </c>
      <c r="N11" s="70">
        <f>IFERROR(VLOOKUP($C11,'DS_Tong_12AS-AT-VH'!$E$9:$S$3024,$N$8),0)</f>
        <v>0</v>
      </c>
      <c r="O11" s="70">
        <f>IFERROR(VLOOKUP($C11,'DS_Tong_12AS-AT-VH'!$E$9:$S$3024,$O$8),0)</f>
        <v>0</v>
      </c>
      <c r="P11" s="70">
        <f>IFERROR(VLOOKUP($C11,'DS_Tong_12AS-AT-VH'!$E$9:$S$3024,$P$8),0)</f>
        <v>0</v>
      </c>
      <c r="Q11" s="67"/>
      <c r="S11" s="2">
        <v>4</v>
      </c>
      <c r="T11" s="309">
        <f t="shared" si="0"/>
        <v>21</v>
      </c>
      <c r="U11" s="312" t="str">
        <f t="array" ref="U11">IFERROR(VLOOKUP($T11,TH_P.thi!$A$18:$P$165,3,0),0)</f>
        <v>7B</v>
      </c>
      <c r="V11" s="312" t="str">
        <f t="array" ref="V11">IFERROR(VLOOKUP($T11,TH_P.thi!$A$18:$P$165,6,0),0)</f>
        <v>7B.S</v>
      </c>
    </row>
    <row r="12" spans="1:22" s="2" customFormat="1" ht="20.100000000000001" customHeight="1">
      <c r="A12" s="129">
        <v>3</v>
      </c>
      <c r="B12" s="112" t="str">
        <f t="array" ref="B12">IFERROR(INDEX('DS_Tong_12AS-AT-VH'!$A$9:$I$3045,MATCH(1,(In_DS!$A12='DS_Tong_12AS-AT-VH'!$A$9:$A$3045)*($L$6='DS_Tong_12AS-AT-VH'!$B$9:$B$3045),0),4),0)</f>
        <v>P.12A</v>
      </c>
      <c r="C12" s="110">
        <f t="array" ref="C12">IFERROR(INDEX('DS_Tong_12AS-AT-VH'!$A$9:$I$3045,MATCH(1,(In_DS!$A12='DS_Tong_12AS-AT-VH'!$A$9:$A$3045)*($L$6='DS_Tong_12AS-AT-VH'!$B$9:$B$3045),0),5),0)</f>
        <v>100847</v>
      </c>
      <c r="D12" s="182" t="str">
        <f>IFERROR(VLOOKUP($C12,'DS_Tong_12AS-AT-VH'!$E$9:$I$3024,2,0),0)</f>
        <v>Hà Kiều</v>
      </c>
      <c r="E12" s="183" t="str">
        <f>IFERROR(VLOOKUP($C12,'DS_Tong_12AS-AT-VH'!$E$9:$I$3024,3,0),0)</f>
        <v>Anh</v>
      </c>
      <c r="F12" s="111" t="str">
        <f>IFERROR(VLOOKUP($C12,'DS_Tong_12AS-AT-VH'!$E$9:$I$3024,4,0),0)</f>
        <v>11AT7</v>
      </c>
      <c r="G12" s="328">
        <f>IFERROR(VLOOKUP($C12,'DS_Tong_12AS-AT-VH'!$E$9:$I$3024,5,0),0)</f>
        <v>0</v>
      </c>
      <c r="H12" s="130"/>
      <c r="I12" s="130"/>
      <c r="J12" s="130"/>
      <c r="K12" s="130"/>
      <c r="L12" s="69"/>
      <c r="M12" s="70">
        <f>IFERROR(VLOOKUP($C12,'DS_Tong_12AS-AT-VH'!$E$9:$S$3024,$M$8),0)</f>
        <v>0</v>
      </c>
      <c r="N12" s="70">
        <f>IFERROR(VLOOKUP($C12,'DS_Tong_12AS-AT-VH'!$E$9:$S$3024,$N$8),0)</f>
        <v>0</v>
      </c>
      <c r="O12" s="70">
        <f>IFERROR(VLOOKUP($C12,'DS_Tong_12AS-AT-VH'!$E$9:$S$3024,$O$8),0)</f>
        <v>0</v>
      </c>
      <c r="P12" s="70">
        <f>IFERROR(VLOOKUP($C12,'DS_Tong_12AS-AT-VH'!$E$9:$S$3024,$P$8),0)</f>
        <v>0</v>
      </c>
      <c r="Q12" s="67"/>
      <c r="S12" s="2">
        <v>5</v>
      </c>
      <c r="T12" s="309">
        <f t="shared" si="0"/>
        <v>22</v>
      </c>
      <c r="U12" s="312" t="str">
        <f t="array" ref="U12">IFERROR(VLOOKUP($T12,TH_P.thi!$A$18:$P$165,3,0),0)</f>
        <v>8B</v>
      </c>
      <c r="V12" s="312" t="str">
        <f t="array" ref="V12">IFERROR(VLOOKUP($T12,TH_P.thi!$A$18:$P$165,6,0),0)</f>
        <v>8B.S</v>
      </c>
    </row>
    <row r="13" spans="1:22" s="2" customFormat="1" ht="20.100000000000001" customHeight="1">
      <c r="A13" s="129">
        <v>4</v>
      </c>
      <c r="B13" s="112" t="str">
        <f t="array" ref="B13">IFERROR(INDEX('DS_Tong_12AS-AT-VH'!$A$9:$I$3045,MATCH(1,(In_DS!$A13='DS_Tong_12AS-AT-VH'!$A$9:$A$3045)*($L$6='DS_Tong_12AS-AT-VH'!$B$9:$B$3045),0),4),0)</f>
        <v>P.12A</v>
      </c>
      <c r="C13" s="110">
        <f t="array" ref="C13">IFERROR(INDEX('DS_Tong_12AS-AT-VH'!$A$9:$I$3045,MATCH(1,(In_DS!$A13='DS_Tong_12AS-AT-VH'!$A$9:$A$3045)*($L$6='DS_Tong_12AS-AT-VH'!$B$9:$B$3045),0),5),0)</f>
        <v>100848</v>
      </c>
      <c r="D13" s="182" t="str">
        <f>IFERROR(VLOOKUP($C13,'DS_Tong_12AS-AT-VH'!$E$9:$I$3024,2,0),0)</f>
        <v>Khiếu Nguyễn Phương</v>
      </c>
      <c r="E13" s="183" t="str">
        <f>IFERROR(VLOOKUP($C13,'DS_Tong_12AS-AT-VH'!$E$9:$I$3024,3,0),0)</f>
        <v>Anh</v>
      </c>
      <c r="F13" s="111" t="str">
        <f>IFERROR(VLOOKUP($C13,'DS_Tong_12AS-AT-VH'!$E$9:$I$3024,4,0),0)</f>
        <v>11AT8</v>
      </c>
      <c r="G13" s="328">
        <f>IFERROR(VLOOKUP($C13,'DS_Tong_12AS-AT-VH'!$E$9:$I$3024,5,0),0)</f>
        <v>0</v>
      </c>
      <c r="H13" s="130"/>
      <c r="I13" s="130"/>
      <c r="J13" s="130"/>
      <c r="K13" s="130"/>
      <c r="L13" s="69"/>
      <c r="M13" s="70">
        <f>IFERROR(VLOOKUP($C13,'DS_Tong_12AS-AT-VH'!$E$9:$S$3024,$M$8),0)</f>
        <v>0</v>
      </c>
      <c r="N13" s="70">
        <f>IFERROR(VLOOKUP($C13,'DS_Tong_12AS-AT-VH'!$E$9:$S$3024,$N$8),0)</f>
        <v>0</v>
      </c>
      <c r="O13" s="70">
        <f>IFERROR(VLOOKUP($C13,'DS_Tong_12AS-AT-VH'!$E$9:$S$3024,$O$8),0)</f>
        <v>0</v>
      </c>
      <c r="P13" s="70">
        <f>IFERROR(VLOOKUP($C13,'DS_Tong_12AS-AT-VH'!$E$9:$S$3024,$P$8),0)</f>
        <v>0</v>
      </c>
      <c r="Q13" s="67"/>
      <c r="S13" s="2">
        <v>6</v>
      </c>
      <c r="T13" s="309">
        <f t="shared" si="0"/>
        <v>23</v>
      </c>
      <c r="U13" s="312" t="str">
        <f t="array" ref="U13">IFERROR(VLOOKUP($T13,TH_P.thi!$A$18:$P$165,3,0),0)</f>
        <v>1A</v>
      </c>
      <c r="V13" s="312" t="str">
        <f t="array" ref="V13">IFERROR(VLOOKUP($T13,TH_P.thi!$A$18:$P$165,6,0),0)</f>
        <v>1A.T</v>
      </c>
    </row>
    <row r="14" spans="1:22" s="2" customFormat="1" ht="20.100000000000001" customHeight="1">
      <c r="A14" s="129">
        <v>5</v>
      </c>
      <c r="B14" s="112" t="str">
        <f t="array" ref="B14">IFERROR(INDEX('DS_Tong_12AS-AT-VH'!$A$9:$I$3045,MATCH(1,(In_DS!$A14='DS_Tong_12AS-AT-VH'!$A$9:$A$3045)*($L$6='DS_Tong_12AS-AT-VH'!$B$9:$B$3045),0),4),0)</f>
        <v>P.12A</v>
      </c>
      <c r="C14" s="110">
        <f t="array" ref="C14">IFERROR(INDEX('DS_Tong_12AS-AT-VH'!$A$9:$I$3045,MATCH(1,(In_DS!$A14='DS_Tong_12AS-AT-VH'!$A$9:$A$3045)*($L$6='DS_Tong_12AS-AT-VH'!$B$9:$B$3045),0),5),0)</f>
        <v>100849</v>
      </c>
      <c r="D14" s="182" t="str">
        <f>IFERROR(VLOOKUP($C14,'DS_Tong_12AS-AT-VH'!$E$9:$I$3024,2,0),0)</f>
        <v>Ngô Quốc</v>
      </c>
      <c r="E14" s="183" t="str">
        <f>IFERROR(VLOOKUP($C14,'DS_Tong_12AS-AT-VH'!$E$9:$I$3024,3,0),0)</f>
        <v>Anh</v>
      </c>
      <c r="F14" s="111" t="str">
        <f>IFERROR(VLOOKUP($C14,'DS_Tong_12AS-AT-VH'!$E$9:$I$3024,4,0),0)</f>
        <v>11AT7</v>
      </c>
      <c r="G14" s="328">
        <f>IFERROR(VLOOKUP($C14,'DS_Tong_12AS-AT-VH'!$E$9:$I$3024,5,0),0)</f>
        <v>0</v>
      </c>
      <c r="H14" s="130"/>
      <c r="I14" s="130"/>
      <c r="J14" s="130"/>
      <c r="K14" s="130"/>
      <c r="L14" s="69"/>
      <c r="M14" s="70">
        <f>IFERROR(VLOOKUP($C14,'DS_Tong_12AS-AT-VH'!$E$9:$S$3024,$M$8),0)</f>
        <v>0</v>
      </c>
      <c r="N14" s="70">
        <f>IFERROR(VLOOKUP($C14,'DS_Tong_12AS-AT-VH'!$E$9:$S$3024,$N$8),0)</f>
        <v>0</v>
      </c>
      <c r="O14" s="70">
        <f>IFERROR(VLOOKUP($C14,'DS_Tong_12AS-AT-VH'!$E$9:$S$3024,$O$8),0)</f>
        <v>0</v>
      </c>
      <c r="P14" s="70">
        <f>IFERROR(VLOOKUP($C14,'DS_Tong_12AS-AT-VH'!$E$9:$S$3024,$P$8),0)</f>
        <v>0</v>
      </c>
      <c r="Q14" s="67"/>
      <c r="S14" s="2">
        <v>7</v>
      </c>
      <c r="T14" s="309">
        <f t="shared" si="0"/>
        <v>24</v>
      </c>
      <c r="U14" s="312" t="str">
        <f t="array" ref="U14">IFERROR(VLOOKUP($T14,TH_P.thi!$A$18:$P$165,3,0),0)</f>
        <v>2A</v>
      </c>
      <c r="V14" s="312" t="str">
        <f t="array" ref="V14">IFERROR(VLOOKUP($T14,TH_P.thi!$A$18:$P$165,6,0),0)</f>
        <v>2A.T</v>
      </c>
    </row>
    <row r="15" spans="1:22" s="2" customFormat="1" ht="20.100000000000001" customHeight="1">
      <c r="A15" s="129">
        <v>6</v>
      </c>
      <c r="B15" s="112" t="str">
        <f t="array" ref="B15">IFERROR(INDEX('DS_Tong_12AS-AT-VH'!$A$9:$I$3045,MATCH(1,(In_DS!$A15='DS_Tong_12AS-AT-VH'!$A$9:$A$3045)*($L$6='DS_Tong_12AS-AT-VH'!$B$9:$B$3045),0),4),0)</f>
        <v>P.12A</v>
      </c>
      <c r="C15" s="110">
        <f t="array" ref="C15">IFERROR(INDEX('DS_Tong_12AS-AT-VH'!$A$9:$I$3045,MATCH(1,(In_DS!$A15='DS_Tong_12AS-AT-VH'!$A$9:$A$3045)*($L$6='DS_Tong_12AS-AT-VH'!$B$9:$B$3045),0),5),0)</f>
        <v>100850</v>
      </c>
      <c r="D15" s="182" t="str">
        <f>IFERROR(VLOOKUP($C15,'DS_Tong_12AS-AT-VH'!$E$9:$I$3024,2,0),0)</f>
        <v>Ngô Tuấn</v>
      </c>
      <c r="E15" s="183" t="str">
        <f>IFERROR(VLOOKUP($C15,'DS_Tong_12AS-AT-VH'!$E$9:$I$3024,3,0),0)</f>
        <v>Anh</v>
      </c>
      <c r="F15" s="111" t="str">
        <f>IFERROR(VLOOKUP($C15,'DS_Tong_12AS-AT-VH'!$E$9:$I$3024,4,0),0)</f>
        <v>11AT8</v>
      </c>
      <c r="G15" s="328">
        <f>IFERROR(VLOOKUP($C15,'DS_Tong_12AS-AT-VH'!$E$9:$I$3024,5,0),0)</f>
        <v>0</v>
      </c>
      <c r="H15" s="130"/>
      <c r="I15" s="130"/>
      <c r="J15" s="130"/>
      <c r="K15" s="130"/>
      <c r="L15" s="69"/>
      <c r="M15" s="70">
        <f>IFERROR(VLOOKUP($C15,'DS_Tong_12AS-AT-VH'!$E$9:$S$3024,$M$8),0)</f>
        <v>0</v>
      </c>
      <c r="N15" s="70">
        <f>IFERROR(VLOOKUP($C15,'DS_Tong_12AS-AT-VH'!$E$9:$S$3024,$N$8),0)</f>
        <v>0</v>
      </c>
      <c r="O15" s="70">
        <f>IFERROR(VLOOKUP($C15,'DS_Tong_12AS-AT-VH'!$E$9:$S$3024,$O$8),0)</f>
        <v>0</v>
      </c>
      <c r="P15" s="70">
        <f>IFERROR(VLOOKUP($C15,'DS_Tong_12AS-AT-VH'!$E$9:$S$3024,$P$8),0)</f>
        <v>0</v>
      </c>
      <c r="Q15" s="67"/>
      <c r="S15" s="2">
        <v>8</v>
      </c>
      <c r="T15" s="309">
        <f t="shared" si="0"/>
        <v>25</v>
      </c>
      <c r="U15" s="312" t="str">
        <f t="array" ref="U15">IFERROR(VLOOKUP($T15,TH_P.thi!$A$18:$P$165,3,0),0)</f>
        <v>3A</v>
      </c>
      <c r="V15" s="312" t="str">
        <f t="array" ref="V15">IFERROR(VLOOKUP($T15,TH_P.thi!$A$18:$P$165,6,0),0)</f>
        <v>3A.T</v>
      </c>
    </row>
    <row r="16" spans="1:22" s="2" customFormat="1" ht="20.100000000000001" customHeight="1">
      <c r="A16" s="129">
        <v>7</v>
      </c>
      <c r="B16" s="112" t="str">
        <f t="array" ref="B16">IFERROR(INDEX('DS_Tong_12AS-AT-VH'!$A$9:$I$3045,MATCH(1,(In_DS!$A16='DS_Tong_12AS-AT-VH'!$A$9:$A$3045)*($L$6='DS_Tong_12AS-AT-VH'!$B$9:$B$3045),0),4),0)</f>
        <v>P.12A</v>
      </c>
      <c r="C16" s="110">
        <f t="array" ref="C16">IFERROR(INDEX('DS_Tong_12AS-AT-VH'!$A$9:$I$3045,MATCH(1,(In_DS!$A16='DS_Tong_12AS-AT-VH'!$A$9:$A$3045)*($L$6='DS_Tong_12AS-AT-VH'!$B$9:$B$3045),0),5),0)</f>
        <v>100851</v>
      </c>
      <c r="D16" s="182" t="str">
        <f>IFERROR(VLOOKUP($C16,'DS_Tong_12AS-AT-VH'!$E$9:$I$3024,2,0),0)</f>
        <v>Nguyễn Quốc</v>
      </c>
      <c r="E16" s="183" t="str">
        <f>IFERROR(VLOOKUP($C16,'DS_Tong_12AS-AT-VH'!$E$9:$I$3024,3,0),0)</f>
        <v>Anh</v>
      </c>
      <c r="F16" s="111" t="str">
        <f>IFERROR(VLOOKUP($C16,'DS_Tong_12AS-AT-VH'!$E$9:$I$3024,4,0),0)</f>
        <v>11AT7</v>
      </c>
      <c r="G16" s="328">
        <f>IFERROR(VLOOKUP($C16,'DS_Tong_12AS-AT-VH'!$E$9:$I$3024,5,0),0)</f>
        <v>0</v>
      </c>
      <c r="H16" s="130"/>
      <c r="I16" s="130"/>
      <c r="J16" s="130"/>
      <c r="K16" s="130"/>
      <c r="L16" s="69"/>
      <c r="M16" s="70">
        <f>IFERROR(VLOOKUP($C16,'DS_Tong_12AS-AT-VH'!$E$9:$S$3024,$M$8),0)</f>
        <v>0</v>
      </c>
      <c r="N16" s="70">
        <f>IFERROR(VLOOKUP($C16,'DS_Tong_12AS-AT-VH'!$E$9:$S$3024,$N$8),0)</f>
        <v>0</v>
      </c>
      <c r="O16" s="70">
        <f>IFERROR(VLOOKUP($C16,'DS_Tong_12AS-AT-VH'!$E$9:$S$3024,$O$8),0)</f>
        <v>0</v>
      </c>
      <c r="P16" s="70">
        <f>IFERROR(VLOOKUP($C16,'DS_Tong_12AS-AT-VH'!$E$9:$S$3024,$P$8),0)</f>
        <v>0</v>
      </c>
      <c r="Q16" s="67"/>
      <c r="S16" s="2">
        <v>9</v>
      </c>
      <c r="T16" s="309">
        <f t="shared" si="0"/>
        <v>26</v>
      </c>
      <c r="U16" s="312" t="str">
        <f t="array" ref="U16">IFERROR(VLOOKUP($T16,TH_P.thi!$A$18:$P$165,3,0),0)</f>
        <v>4A</v>
      </c>
      <c r="V16" s="312" t="str">
        <f t="array" ref="V16">IFERROR(VLOOKUP($T16,TH_P.thi!$A$18:$P$165,6,0),0)</f>
        <v>4A.T</v>
      </c>
    </row>
    <row r="17" spans="1:22" s="2" customFormat="1" ht="20.100000000000001" customHeight="1">
      <c r="A17" s="129">
        <v>8</v>
      </c>
      <c r="B17" s="112" t="str">
        <f t="array" ref="B17">IFERROR(INDEX('DS_Tong_12AS-AT-VH'!$A$9:$I$3045,MATCH(1,(In_DS!$A17='DS_Tong_12AS-AT-VH'!$A$9:$A$3045)*($L$6='DS_Tong_12AS-AT-VH'!$B$9:$B$3045),0),4),0)</f>
        <v>P.12A</v>
      </c>
      <c r="C17" s="110">
        <f t="array" ref="C17">IFERROR(INDEX('DS_Tong_12AS-AT-VH'!$A$9:$I$3045,MATCH(1,(In_DS!$A17='DS_Tong_12AS-AT-VH'!$A$9:$A$3045)*($L$6='DS_Tong_12AS-AT-VH'!$B$9:$B$3045),0),5),0)</f>
        <v>100852</v>
      </c>
      <c r="D17" s="182" t="str">
        <f>IFERROR(VLOOKUP($C17,'DS_Tong_12AS-AT-VH'!$E$9:$I$3024,2,0),0)</f>
        <v>Trần Nguyễn Hoàng</v>
      </c>
      <c r="E17" s="183" t="str">
        <f>IFERROR(VLOOKUP($C17,'DS_Tong_12AS-AT-VH'!$E$9:$I$3024,3,0),0)</f>
        <v>Anh</v>
      </c>
      <c r="F17" s="111" t="str">
        <f>IFERROR(VLOOKUP($C17,'DS_Tong_12AS-AT-VH'!$E$9:$I$3024,4,0),0)</f>
        <v>11AT8</v>
      </c>
      <c r="G17" s="328">
        <f>IFERROR(VLOOKUP($C17,'DS_Tong_12AS-AT-VH'!$E$9:$I$3024,5,0),0)</f>
        <v>0</v>
      </c>
      <c r="H17" s="130"/>
      <c r="I17" s="130"/>
      <c r="J17" s="130"/>
      <c r="K17" s="130"/>
      <c r="L17" s="69"/>
      <c r="M17" s="70">
        <f>IFERROR(VLOOKUP($C17,'DS_Tong_12AS-AT-VH'!$E$9:$S$3024,$M$8),0)</f>
        <v>0</v>
      </c>
      <c r="N17" s="70">
        <f>IFERROR(VLOOKUP($C17,'DS_Tong_12AS-AT-VH'!$E$9:$S$3024,$N$8),0)</f>
        <v>0</v>
      </c>
      <c r="O17" s="70">
        <f>IFERROR(VLOOKUP($C17,'DS_Tong_12AS-AT-VH'!$E$9:$S$3024,$O$8),0)</f>
        <v>0</v>
      </c>
      <c r="P17" s="70">
        <f>IFERROR(VLOOKUP($C17,'DS_Tong_12AS-AT-VH'!$E$9:$S$3024,$P$8),0)</f>
        <v>0</v>
      </c>
      <c r="Q17" s="67"/>
      <c r="S17" s="2">
        <v>10</v>
      </c>
      <c r="T17" s="309">
        <f t="shared" si="0"/>
        <v>27</v>
      </c>
      <c r="U17" s="312" t="str">
        <f t="array" ref="U17">IFERROR(VLOOKUP($T17,TH_P.thi!$A$18:$P$165,3,0),0)</f>
        <v>5A</v>
      </c>
      <c r="V17" s="312" t="str">
        <f t="array" ref="V17">IFERROR(VLOOKUP($T17,TH_P.thi!$A$18:$P$165,6,0),0)</f>
        <v>5A.T</v>
      </c>
    </row>
    <row r="18" spans="1:22" s="2" customFormat="1" ht="20.100000000000001" customHeight="1">
      <c r="A18" s="129">
        <v>9</v>
      </c>
      <c r="B18" s="112" t="str">
        <f t="array" ref="B18">IFERROR(INDEX('DS_Tong_12AS-AT-VH'!$A$9:$I$3045,MATCH(1,(In_DS!$A18='DS_Tong_12AS-AT-VH'!$A$9:$A$3045)*($L$6='DS_Tong_12AS-AT-VH'!$B$9:$B$3045),0),4),0)</f>
        <v>P.12A</v>
      </c>
      <c r="C18" s="110">
        <f t="array" ref="C18">IFERROR(INDEX('DS_Tong_12AS-AT-VH'!$A$9:$I$3045,MATCH(1,(In_DS!$A18='DS_Tong_12AS-AT-VH'!$A$9:$A$3045)*($L$6='DS_Tong_12AS-AT-VH'!$B$9:$B$3045),0),5),0)</f>
        <v>100853</v>
      </c>
      <c r="D18" s="182" t="str">
        <f>IFERROR(VLOOKUP($C18,'DS_Tong_12AS-AT-VH'!$E$9:$I$3024,2,0),0)</f>
        <v>Trần Phương</v>
      </c>
      <c r="E18" s="183" t="str">
        <f>IFERROR(VLOOKUP($C18,'DS_Tong_12AS-AT-VH'!$E$9:$I$3024,3,0),0)</f>
        <v>Anh</v>
      </c>
      <c r="F18" s="111" t="str">
        <f>IFERROR(VLOOKUP($C18,'DS_Tong_12AS-AT-VH'!$E$9:$I$3024,4,0),0)</f>
        <v>11AT7</v>
      </c>
      <c r="G18" s="328">
        <f>IFERROR(VLOOKUP($C18,'DS_Tong_12AS-AT-VH'!$E$9:$I$3024,5,0),0)</f>
        <v>0</v>
      </c>
      <c r="H18" s="130"/>
      <c r="I18" s="130"/>
      <c r="J18" s="130"/>
      <c r="K18" s="130"/>
      <c r="L18" s="69"/>
      <c r="M18" s="70">
        <f>IFERROR(VLOOKUP($C18,'DS_Tong_12AS-AT-VH'!$E$9:$S$3024,$M$8),0)</f>
        <v>0</v>
      </c>
      <c r="N18" s="70">
        <f>IFERROR(VLOOKUP($C18,'DS_Tong_12AS-AT-VH'!$E$9:$S$3024,$N$8),0)</f>
        <v>0</v>
      </c>
      <c r="O18" s="70">
        <f>IFERROR(VLOOKUP($C18,'DS_Tong_12AS-AT-VH'!$E$9:$S$3024,$O$8),0)</f>
        <v>0</v>
      </c>
      <c r="P18" s="70">
        <f>IFERROR(VLOOKUP($C18,'DS_Tong_12AS-AT-VH'!$E$9:$S$3024,$P$8),0)</f>
        <v>0</v>
      </c>
      <c r="Q18" s="67"/>
      <c r="S18" s="2">
        <v>11</v>
      </c>
      <c r="T18" s="309">
        <f t="shared" si="0"/>
        <v>28</v>
      </c>
      <c r="U18" s="312" t="str">
        <f t="array" ref="U18">IFERROR(VLOOKUP($T18,TH_P.thi!$A$18:$P$165,3,0),0)</f>
        <v>6A</v>
      </c>
      <c r="V18" s="312" t="str">
        <f t="array" ref="V18">IFERROR(VLOOKUP($T18,TH_P.thi!$A$18:$P$165,6,0),0)</f>
        <v>6A.T</v>
      </c>
    </row>
    <row r="19" spans="1:22" s="2" customFormat="1" ht="20.100000000000001" customHeight="1">
      <c r="A19" s="129">
        <v>10</v>
      </c>
      <c r="B19" s="112" t="str">
        <f t="array" ref="B19">IFERROR(INDEX('DS_Tong_12AS-AT-VH'!$A$9:$I$3045,MATCH(1,(In_DS!$A19='DS_Tong_12AS-AT-VH'!$A$9:$A$3045)*($L$6='DS_Tong_12AS-AT-VH'!$B$9:$B$3045),0),4),0)</f>
        <v>P.12A</v>
      </c>
      <c r="C19" s="110">
        <f t="array" ref="C19">IFERROR(INDEX('DS_Tong_12AS-AT-VH'!$A$9:$I$3045,MATCH(1,(In_DS!$A19='DS_Tong_12AS-AT-VH'!$A$9:$A$3045)*($L$6='DS_Tong_12AS-AT-VH'!$B$9:$B$3045),0),5),0)</f>
        <v>100854</v>
      </c>
      <c r="D19" s="182" t="str">
        <f>IFERROR(VLOOKUP($C19,'DS_Tong_12AS-AT-VH'!$E$9:$I$3024,2,0),0)</f>
        <v>Lê Dương Nguyên</v>
      </c>
      <c r="E19" s="183" t="str">
        <f>IFERROR(VLOOKUP($C19,'DS_Tong_12AS-AT-VH'!$E$9:$I$3024,3,0),0)</f>
        <v>Ân</v>
      </c>
      <c r="F19" s="111" t="str">
        <f>IFERROR(VLOOKUP($C19,'DS_Tong_12AS-AT-VH'!$E$9:$I$3024,4,0),0)</f>
        <v>11AT8</v>
      </c>
      <c r="G19" s="328">
        <f>IFERROR(VLOOKUP($C19,'DS_Tong_12AS-AT-VH'!$E$9:$I$3024,5,0),0)</f>
        <v>0</v>
      </c>
      <c r="H19" s="130"/>
      <c r="I19" s="130"/>
      <c r="J19" s="130"/>
      <c r="K19" s="130"/>
      <c r="L19" s="69"/>
      <c r="M19" s="70">
        <f>IFERROR(VLOOKUP($C19,'DS_Tong_12AS-AT-VH'!$E$9:$S$3024,$M$8),0)</f>
        <v>0</v>
      </c>
      <c r="N19" s="70">
        <f>IFERROR(VLOOKUP($C19,'DS_Tong_12AS-AT-VH'!$E$9:$S$3024,$N$8),0)</f>
        <v>0</v>
      </c>
      <c r="O19" s="70">
        <f>IFERROR(VLOOKUP($C19,'DS_Tong_12AS-AT-VH'!$E$9:$S$3024,$O$8),0)</f>
        <v>0</v>
      </c>
      <c r="P19" s="70">
        <f>IFERROR(VLOOKUP($C19,'DS_Tong_12AS-AT-VH'!$E$9:$S$3024,$P$8),0)</f>
        <v>0</v>
      </c>
      <c r="Q19" s="67"/>
      <c r="S19" s="2">
        <v>12</v>
      </c>
      <c r="T19" s="309">
        <f t="shared" si="0"/>
        <v>29</v>
      </c>
      <c r="U19" s="312" t="str">
        <f t="array" ref="U19">IFERROR(VLOOKUP($T19,TH_P.thi!$A$18:$P$165,3,0),0)</f>
        <v>7A</v>
      </c>
      <c r="V19" s="312" t="str">
        <f t="array" ref="V19">IFERROR(VLOOKUP($T19,TH_P.thi!$A$18:$P$165,6,0),0)</f>
        <v>7A.T</v>
      </c>
    </row>
    <row r="20" spans="1:22" s="2" customFormat="1" ht="20.100000000000001" customHeight="1">
      <c r="A20" s="129">
        <v>11</v>
      </c>
      <c r="B20" s="112" t="str">
        <f t="array" ref="B20">IFERROR(INDEX('DS_Tong_12AS-AT-VH'!$A$9:$I$3045,MATCH(1,(In_DS!$A20='DS_Tong_12AS-AT-VH'!$A$9:$A$3045)*($L$6='DS_Tong_12AS-AT-VH'!$B$9:$B$3045),0),4),0)</f>
        <v>P.12A</v>
      </c>
      <c r="C20" s="110">
        <f t="array" ref="C20">IFERROR(INDEX('DS_Tong_12AS-AT-VH'!$A$9:$I$3045,MATCH(1,(In_DS!$A20='DS_Tong_12AS-AT-VH'!$A$9:$A$3045)*($L$6='DS_Tong_12AS-AT-VH'!$B$9:$B$3045),0),5),0)</f>
        <v>100855</v>
      </c>
      <c r="D20" s="182" t="str">
        <f>IFERROR(VLOOKUP($C20,'DS_Tong_12AS-AT-VH'!$E$9:$I$3024,2,0),0)</f>
        <v>Lê Đoàn Thái</v>
      </c>
      <c r="E20" s="183" t="str">
        <f>IFERROR(VLOOKUP($C20,'DS_Tong_12AS-AT-VH'!$E$9:$I$3024,3,0),0)</f>
        <v>Bảo</v>
      </c>
      <c r="F20" s="111" t="str">
        <f>IFERROR(VLOOKUP($C20,'DS_Tong_12AS-AT-VH'!$E$9:$I$3024,4,0),0)</f>
        <v>11AT7</v>
      </c>
      <c r="G20" s="328">
        <f>IFERROR(VLOOKUP($C20,'DS_Tong_12AS-AT-VH'!$E$9:$I$3024,5,0),0)</f>
        <v>0</v>
      </c>
      <c r="H20" s="130"/>
      <c r="I20" s="130"/>
      <c r="J20" s="130"/>
      <c r="K20" s="130"/>
      <c r="L20" s="69"/>
      <c r="M20" s="70">
        <f>IFERROR(VLOOKUP($C20,'DS_Tong_12AS-AT-VH'!$E$9:$S$3024,$M$8),0)</f>
        <v>0</v>
      </c>
      <c r="N20" s="70">
        <f>IFERROR(VLOOKUP($C20,'DS_Tong_12AS-AT-VH'!$E$9:$S$3024,$N$8),0)</f>
        <v>0</v>
      </c>
      <c r="O20" s="70">
        <f>IFERROR(VLOOKUP($C20,'DS_Tong_12AS-AT-VH'!$E$9:$S$3024,$O$8),0)</f>
        <v>0</v>
      </c>
      <c r="P20" s="70">
        <f>IFERROR(VLOOKUP($C20,'DS_Tong_12AS-AT-VH'!$E$9:$S$3024,$P$8),0)</f>
        <v>0</v>
      </c>
      <c r="Q20" s="67"/>
      <c r="S20" s="2">
        <v>13</v>
      </c>
      <c r="T20" s="309">
        <f t="shared" si="0"/>
        <v>30</v>
      </c>
      <c r="U20" s="312" t="str">
        <f t="array" ref="U20">IFERROR(VLOOKUP($T20,TH_P.thi!$A$18:$P$165,3,0),0)</f>
        <v>9A</v>
      </c>
      <c r="V20" s="312" t="str">
        <f t="array" ref="V20">IFERROR(VLOOKUP($T20,TH_P.thi!$A$18:$P$165,6,0),0)</f>
        <v>9A.T</v>
      </c>
    </row>
    <row r="21" spans="1:22" s="2" customFormat="1" ht="20.100000000000001" customHeight="1">
      <c r="A21" s="129">
        <v>12</v>
      </c>
      <c r="B21" s="112" t="str">
        <f t="array" ref="B21">IFERROR(INDEX('DS_Tong_12AS-AT-VH'!$A$9:$I$3045,MATCH(1,(In_DS!$A21='DS_Tong_12AS-AT-VH'!$A$9:$A$3045)*($L$6='DS_Tong_12AS-AT-VH'!$B$9:$B$3045),0),4),0)</f>
        <v>P.12A</v>
      </c>
      <c r="C21" s="110">
        <f t="array" ref="C21">IFERROR(INDEX('DS_Tong_12AS-AT-VH'!$A$9:$I$3045,MATCH(1,(In_DS!$A21='DS_Tong_12AS-AT-VH'!$A$9:$A$3045)*($L$6='DS_Tong_12AS-AT-VH'!$B$9:$B$3045),0),5),0)</f>
        <v>100856</v>
      </c>
      <c r="D21" s="182" t="str">
        <f>IFERROR(VLOOKUP($C21,'DS_Tong_12AS-AT-VH'!$E$9:$I$3024,2,0),0)</f>
        <v>Nguyễn Thanh</v>
      </c>
      <c r="E21" s="183" t="str">
        <f>IFERROR(VLOOKUP($C21,'DS_Tong_12AS-AT-VH'!$E$9:$I$3024,3,0),0)</f>
        <v>Bảo</v>
      </c>
      <c r="F21" s="111" t="str">
        <f>IFERROR(VLOOKUP($C21,'DS_Tong_12AS-AT-VH'!$E$9:$I$3024,4,0),0)</f>
        <v>11AT8</v>
      </c>
      <c r="G21" s="328">
        <f>IFERROR(VLOOKUP($C21,'DS_Tong_12AS-AT-VH'!$E$9:$I$3024,5,0),0)</f>
        <v>0</v>
      </c>
      <c r="H21" s="130"/>
      <c r="I21" s="130"/>
      <c r="J21" s="130"/>
      <c r="K21" s="130"/>
      <c r="L21" s="69"/>
      <c r="M21" s="70">
        <f>IFERROR(VLOOKUP($C21,'DS_Tong_12AS-AT-VH'!$E$9:$S$3024,$M$8),0)</f>
        <v>0</v>
      </c>
      <c r="N21" s="70">
        <f>IFERROR(VLOOKUP($C21,'DS_Tong_12AS-AT-VH'!$E$9:$S$3024,$N$8),0)</f>
        <v>0</v>
      </c>
      <c r="O21" s="70">
        <f>IFERROR(VLOOKUP($C21,'DS_Tong_12AS-AT-VH'!$E$9:$S$3024,$O$8),0)</f>
        <v>0</v>
      </c>
      <c r="P21" s="70">
        <f>IFERROR(VLOOKUP($C21,'DS_Tong_12AS-AT-VH'!$E$9:$S$3024,$P$8),0)</f>
        <v>0</v>
      </c>
      <c r="Q21" s="67"/>
      <c r="S21" s="2">
        <v>14</v>
      </c>
      <c r="T21" s="309">
        <f t="shared" si="0"/>
        <v>31</v>
      </c>
      <c r="U21" s="312" t="str">
        <f t="array" ref="U21">IFERROR(VLOOKUP($T21,TH_P.thi!$A$18:$P$165,3,0),0)</f>
        <v>10A</v>
      </c>
      <c r="V21" s="312" t="str">
        <f t="array" ref="V21">IFERROR(VLOOKUP($T21,TH_P.thi!$A$18:$P$165,6,0),0)</f>
        <v>10A.T</v>
      </c>
    </row>
    <row r="22" spans="1:22" s="2" customFormat="1" ht="20.100000000000001" customHeight="1">
      <c r="A22" s="129">
        <v>13</v>
      </c>
      <c r="B22" s="112" t="str">
        <f t="array" ref="B22">IFERROR(INDEX('DS_Tong_12AS-AT-VH'!$A$9:$I$3045,MATCH(1,(In_DS!$A22='DS_Tong_12AS-AT-VH'!$A$9:$A$3045)*($L$6='DS_Tong_12AS-AT-VH'!$B$9:$B$3045),0),4),0)</f>
        <v>P.12A</v>
      </c>
      <c r="C22" s="110">
        <f t="array" ref="C22">IFERROR(INDEX('DS_Tong_12AS-AT-VH'!$A$9:$I$3045,MATCH(1,(In_DS!$A22='DS_Tong_12AS-AT-VH'!$A$9:$A$3045)*($L$6='DS_Tong_12AS-AT-VH'!$B$9:$B$3045),0),5),0)</f>
        <v>100857</v>
      </c>
      <c r="D22" s="182" t="str">
        <f>IFERROR(VLOOKUP($C22,'DS_Tong_12AS-AT-VH'!$E$9:$I$3024,2,0),0)</f>
        <v>Võ Thanh</v>
      </c>
      <c r="E22" s="183" t="str">
        <f>IFERROR(VLOOKUP($C22,'DS_Tong_12AS-AT-VH'!$E$9:$I$3024,3,0),0)</f>
        <v>Bảo</v>
      </c>
      <c r="F22" s="111" t="str">
        <f>IFERROR(VLOOKUP($C22,'DS_Tong_12AS-AT-VH'!$E$9:$I$3024,4,0),0)</f>
        <v>11AT7</v>
      </c>
      <c r="G22" s="328">
        <f>IFERROR(VLOOKUP($C22,'DS_Tong_12AS-AT-VH'!$E$9:$I$3024,5,0),0)</f>
        <v>0</v>
      </c>
      <c r="H22" s="130"/>
      <c r="I22" s="130"/>
      <c r="J22" s="130"/>
      <c r="K22" s="130"/>
      <c r="L22" s="69"/>
      <c r="M22" s="70">
        <f>IFERROR(VLOOKUP($C22,'DS_Tong_12AS-AT-VH'!$E$9:$S$3024,$M$8),0)</f>
        <v>0</v>
      </c>
      <c r="N22" s="70">
        <f>IFERROR(VLOOKUP($C22,'DS_Tong_12AS-AT-VH'!$E$9:$S$3024,$N$8),0)</f>
        <v>0</v>
      </c>
      <c r="O22" s="70">
        <f>IFERROR(VLOOKUP($C22,'DS_Tong_12AS-AT-VH'!$E$9:$S$3024,$O$8),0)</f>
        <v>0</v>
      </c>
      <c r="P22" s="70">
        <f>IFERROR(VLOOKUP($C22,'DS_Tong_12AS-AT-VH'!$E$9:$S$3024,$P$8),0)</f>
        <v>0</v>
      </c>
      <c r="Q22" s="67"/>
      <c r="S22" s="2">
        <v>15</v>
      </c>
      <c r="T22" s="309">
        <f t="shared" si="0"/>
        <v>32</v>
      </c>
      <c r="U22" s="312" t="str">
        <f t="array" ref="U22">IFERROR(VLOOKUP($T22,TH_P.thi!$A$18:$P$165,3,0),0)</f>
        <v>11A</v>
      </c>
      <c r="V22" s="312" t="str">
        <f t="array" ref="V22">IFERROR(VLOOKUP($T22,TH_P.thi!$A$18:$P$165,6,0),0)</f>
        <v>11A.T</v>
      </c>
    </row>
    <row r="23" spans="1:22" s="2" customFormat="1" ht="20.100000000000001" customHeight="1">
      <c r="A23" s="129">
        <v>14</v>
      </c>
      <c r="B23" s="112" t="str">
        <f t="array" ref="B23">IFERROR(INDEX('DS_Tong_12AS-AT-VH'!$A$9:$I$3045,MATCH(1,(In_DS!$A23='DS_Tong_12AS-AT-VH'!$A$9:$A$3045)*($L$6='DS_Tong_12AS-AT-VH'!$B$9:$B$3045),0),4),0)</f>
        <v>P.12A</v>
      </c>
      <c r="C23" s="110">
        <f t="array" ref="C23">IFERROR(INDEX('DS_Tong_12AS-AT-VH'!$A$9:$I$3045,MATCH(1,(In_DS!$A23='DS_Tong_12AS-AT-VH'!$A$9:$A$3045)*($L$6='DS_Tong_12AS-AT-VH'!$B$9:$B$3045),0),5),0)</f>
        <v>100858</v>
      </c>
      <c r="D23" s="182" t="str">
        <f>IFERROR(VLOOKUP($C23,'DS_Tong_12AS-AT-VH'!$E$9:$I$3024,2,0),0)</f>
        <v>Ao Thanh</v>
      </c>
      <c r="E23" s="183" t="str">
        <f>IFERROR(VLOOKUP($C23,'DS_Tong_12AS-AT-VH'!$E$9:$I$3024,3,0),0)</f>
        <v>Bình</v>
      </c>
      <c r="F23" s="111" t="str">
        <f>IFERROR(VLOOKUP($C23,'DS_Tong_12AS-AT-VH'!$E$9:$I$3024,4,0),0)</f>
        <v>11AT8</v>
      </c>
      <c r="G23" s="328">
        <f>IFERROR(VLOOKUP($C23,'DS_Tong_12AS-AT-VH'!$E$9:$I$3024,5,0),0)</f>
        <v>0</v>
      </c>
      <c r="H23" s="130"/>
      <c r="I23" s="130"/>
      <c r="J23" s="130"/>
      <c r="K23" s="130"/>
      <c r="L23" s="69"/>
      <c r="M23" s="70">
        <f>IFERROR(VLOOKUP($C23,'DS_Tong_12AS-AT-VH'!$E$9:$S$3024,$M$8),0)</f>
        <v>0</v>
      </c>
      <c r="N23" s="70">
        <f>IFERROR(VLOOKUP($C23,'DS_Tong_12AS-AT-VH'!$E$9:$S$3024,$N$8),0)</f>
        <v>0</v>
      </c>
      <c r="O23" s="70">
        <f>IFERROR(VLOOKUP($C23,'DS_Tong_12AS-AT-VH'!$E$9:$S$3024,$O$8),0)</f>
        <v>0</v>
      </c>
      <c r="P23" s="70">
        <f>IFERROR(VLOOKUP($C23,'DS_Tong_12AS-AT-VH'!$E$9:$S$3024,$P$8),0)</f>
        <v>0</v>
      </c>
      <c r="Q23" s="67"/>
      <c r="S23" s="2">
        <v>16</v>
      </c>
      <c r="T23" s="309">
        <f t="shared" si="0"/>
        <v>33</v>
      </c>
      <c r="U23" s="312" t="str">
        <f t="array" ref="U23">IFERROR(VLOOKUP($T23,TH_P.thi!$A$18:$P$165,3,0),0)</f>
        <v>12A</v>
      </c>
      <c r="V23" s="312" t="str">
        <f t="array" ref="V23">IFERROR(VLOOKUP($T23,TH_P.thi!$A$18:$P$165,6,0),0)</f>
        <v>12A.T</v>
      </c>
    </row>
    <row r="24" spans="1:22" s="2" customFormat="1" ht="20.100000000000001" customHeight="1">
      <c r="A24" s="129">
        <v>15</v>
      </c>
      <c r="B24" s="112" t="str">
        <f t="array" ref="B24">IFERROR(INDEX('DS_Tong_12AS-AT-VH'!$A$9:$I$3045,MATCH(1,(In_DS!$A24='DS_Tong_12AS-AT-VH'!$A$9:$A$3045)*($L$6='DS_Tong_12AS-AT-VH'!$B$9:$B$3045),0),4),0)</f>
        <v>P.12A</v>
      </c>
      <c r="C24" s="110">
        <f t="array" ref="C24">IFERROR(INDEX('DS_Tong_12AS-AT-VH'!$A$9:$I$3045,MATCH(1,(In_DS!$A24='DS_Tong_12AS-AT-VH'!$A$9:$A$3045)*($L$6='DS_Tong_12AS-AT-VH'!$B$9:$B$3045),0),5),0)</f>
        <v>100859</v>
      </c>
      <c r="D24" s="182" t="str">
        <f>IFERROR(VLOOKUP($C24,'DS_Tong_12AS-AT-VH'!$E$9:$I$3024,2,0),0)</f>
        <v>Lê Hoàng</v>
      </c>
      <c r="E24" s="183" t="str">
        <f>IFERROR(VLOOKUP($C24,'DS_Tong_12AS-AT-VH'!$E$9:$I$3024,3,0),0)</f>
        <v>Chung</v>
      </c>
      <c r="F24" s="111" t="str">
        <f>IFERROR(VLOOKUP($C24,'DS_Tong_12AS-AT-VH'!$E$9:$I$3024,4,0),0)</f>
        <v>11AT7</v>
      </c>
      <c r="G24" s="328">
        <f>IFERROR(VLOOKUP($C24,'DS_Tong_12AS-AT-VH'!$E$9:$I$3024,5,0),0)</f>
        <v>0</v>
      </c>
      <c r="H24" s="130"/>
      <c r="I24" s="130"/>
      <c r="J24" s="130"/>
      <c r="K24" s="130"/>
      <c r="L24" s="69"/>
      <c r="M24" s="70">
        <f>IFERROR(VLOOKUP($C24,'DS_Tong_12AS-AT-VH'!$E$9:$S$3024,$M$8),0)</f>
        <v>0</v>
      </c>
      <c r="N24" s="70">
        <f>IFERROR(VLOOKUP($C24,'DS_Tong_12AS-AT-VH'!$E$9:$S$3024,$N$8),0)</f>
        <v>0</v>
      </c>
      <c r="O24" s="70">
        <f>IFERROR(VLOOKUP($C24,'DS_Tong_12AS-AT-VH'!$E$9:$S$3024,$O$8),0)</f>
        <v>0</v>
      </c>
      <c r="P24" s="70">
        <f>IFERROR(VLOOKUP($C24,'DS_Tong_12AS-AT-VH'!$E$9:$S$3024,$P$8),0)</f>
        <v>0</v>
      </c>
      <c r="Q24" s="67"/>
      <c r="S24" s="2">
        <v>17</v>
      </c>
      <c r="T24" s="309">
        <f t="shared" si="0"/>
        <v>34</v>
      </c>
      <c r="U24" s="312" t="str">
        <f t="array" ref="U24">IFERROR(VLOOKUP($T24,TH_P.thi!$A$18:$P$165,3,0),0)</f>
        <v>13A</v>
      </c>
      <c r="V24" s="312" t="str">
        <f t="array" ref="V24">IFERROR(VLOOKUP($T24,TH_P.thi!$A$18:$P$165,6,0),0)</f>
        <v>13A.T</v>
      </c>
    </row>
    <row r="25" spans="1:22" s="2" customFormat="1" ht="20.100000000000001" customHeight="1">
      <c r="A25" s="129">
        <v>16</v>
      </c>
      <c r="B25" s="112" t="str">
        <f t="array" ref="B25">IFERROR(INDEX('DS_Tong_12AS-AT-VH'!$A$9:$I$3045,MATCH(1,(In_DS!$A25='DS_Tong_12AS-AT-VH'!$A$9:$A$3045)*($L$6='DS_Tong_12AS-AT-VH'!$B$9:$B$3045),0),4),0)</f>
        <v>P.12A</v>
      </c>
      <c r="C25" s="110">
        <f t="array" ref="C25">IFERROR(INDEX('DS_Tong_12AS-AT-VH'!$A$9:$I$3045,MATCH(1,(In_DS!$A25='DS_Tong_12AS-AT-VH'!$A$9:$A$3045)*($L$6='DS_Tong_12AS-AT-VH'!$B$9:$B$3045),0),5),0)</f>
        <v>100860</v>
      </c>
      <c r="D25" s="182" t="str">
        <f>IFERROR(VLOOKUP($C25,'DS_Tong_12AS-AT-VH'!$E$9:$I$3024,2,0),0)</f>
        <v>Phạm Đào Thùy</v>
      </c>
      <c r="E25" s="183" t="str">
        <f>IFERROR(VLOOKUP($C25,'DS_Tong_12AS-AT-VH'!$E$9:$I$3024,3,0),0)</f>
        <v>Dương</v>
      </c>
      <c r="F25" s="111" t="str">
        <f>IFERROR(VLOOKUP($C25,'DS_Tong_12AS-AT-VH'!$E$9:$I$3024,4,0),0)</f>
        <v>11AT8</v>
      </c>
      <c r="G25" s="328">
        <f>IFERROR(VLOOKUP($C25,'DS_Tong_12AS-AT-VH'!$E$9:$I$3024,5,0),0)</f>
        <v>0</v>
      </c>
      <c r="H25" s="130"/>
      <c r="I25" s="130"/>
      <c r="J25" s="130"/>
      <c r="K25" s="130"/>
      <c r="L25" s="69"/>
      <c r="M25" s="70">
        <f>IFERROR(VLOOKUP($C25,'DS_Tong_12AS-AT-VH'!$E$9:$S$3024,$M$8),0)</f>
        <v>0</v>
      </c>
      <c r="N25" s="70">
        <f>IFERROR(VLOOKUP($C25,'DS_Tong_12AS-AT-VH'!$E$9:$S$3024,$N$8),0)</f>
        <v>0</v>
      </c>
      <c r="O25" s="70">
        <f>IFERROR(VLOOKUP($C25,'DS_Tong_12AS-AT-VH'!$E$9:$S$3024,$O$8),0)</f>
        <v>0</v>
      </c>
      <c r="P25" s="70">
        <f>IFERROR(VLOOKUP($C25,'DS_Tong_12AS-AT-VH'!$E$9:$S$3024,$P$8),0)</f>
        <v>0</v>
      </c>
      <c r="Q25" s="67"/>
      <c r="S25" s="2">
        <v>18</v>
      </c>
      <c r="T25" s="309">
        <f t="shared" si="0"/>
        <v>35</v>
      </c>
      <c r="U25" s="312" t="str">
        <f t="array" ref="U25">IFERROR(VLOOKUP($T25,TH_P.thi!$A$18:$P$165,3,0),0)</f>
        <v>14A</v>
      </c>
      <c r="V25" s="312" t="str">
        <f t="array" ref="V25">IFERROR(VLOOKUP($T25,TH_P.thi!$A$18:$P$165,6,0),0)</f>
        <v>14A.T</v>
      </c>
    </row>
    <row r="26" spans="1:22" s="2" customFormat="1" ht="20.100000000000001" customHeight="1">
      <c r="A26" s="129">
        <v>17</v>
      </c>
      <c r="B26" s="112" t="str">
        <f t="array" ref="B26">IFERROR(INDEX('DS_Tong_12AS-AT-VH'!$A$9:$I$3045,MATCH(1,(In_DS!$A26='DS_Tong_12AS-AT-VH'!$A$9:$A$3045)*($L$6='DS_Tong_12AS-AT-VH'!$B$9:$B$3045),0),4),0)</f>
        <v>P.12A</v>
      </c>
      <c r="C26" s="110">
        <f t="array" ref="C26">IFERROR(INDEX('DS_Tong_12AS-AT-VH'!$A$9:$I$3045,MATCH(1,(In_DS!$A26='DS_Tong_12AS-AT-VH'!$A$9:$A$3045)*($L$6='DS_Tong_12AS-AT-VH'!$B$9:$B$3045),0),5),0)</f>
        <v>100861</v>
      </c>
      <c r="D26" s="182" t="str">
        <f>IFERROR(VLOOKUP($C26,'DS_Tong_12AS-AT-VH'!$E$9:$I$3024,2,0),0)</f>
        <v>Lê Nguyễn Quốc</v>
      </c>
      <c r="E26" s="183" t="str">
        <f>IFERROR(VLOOKUP($C26,'DS_Tong_12AS-AT-VH'!$E$9:$I$3024,3,0),0)</f>
        <v>Đại</v>
      </c>
      <c r="F26" s="111" t="str">
        <f>IFERROR(VLOOKUP($C26,'DS_Tong_12AS-AT-VH'!$E$9:$I$3024,4,0),0)</f>
        <v>11AT8</v>
      </c>
      <c r="G26" s="328">
        <f>IFERROR(VLOOKUP($C26,'DS_Tong_12AS-AT-VH'!$E$9:$I$3024,5,0),0)</f>
        <v>0</v>
      </c>
      <c r="H26" s="130"/>
      <c r="I26" s="130"/>
      <c r="J26" s="130"/>
      <c r="K26" s="130"/>
      <c r="L26" s="69"/>
      <c r="M26" s="70">
        <f>IFERROR(VLOOKUP($C26,'DS_Tong_12AS-AT-VH'!$E$9:$S$3024,$M$8),0)</f>
        <v>0</v>
      </c>
      <c r="N26" s="70">
        <f>IFERROR(VLOOKUP($C26,'DS_Tong_12AS-AT-VH'!$E$9:$S$3024,$N$8),0)</f>
        <v>0</v>
      </c>
      <c r="O26" s="70">
        <f>IFERROR(VLOOKUP($C26,'DS_Tong_12AS-AT-VH'!$E$9:$S$3024,$O$8),0)</f>
        <v>0</v>
      </c>
      <c r="P26" s="70">
        <f>IFERROR(VLOOKUP($C26,'DS_Tong_12AS-AT-VH'!$E$9:$S$3024,$P$8),0)</f>
        <v>0</v>
      </c>
      <c r="Q26" s="67"/>
      <c r="S26" s="2">
        <v>19</v>
      </c>
      <c r="T26" s="309">
        <f t="shared" si="0"/>
        <v>36</v>
      </c>
      <c r="U26" s="312" t="str">
        <f t="array" ref="U26">IFERROR(VLOOKUP($T26,TH_P.thi!$A$18:$P$165,3,0),0)</f>
        <v>1A</v>
      </c>
      <c r="V26" s="312" t="str">
        <f t="array" ref="V26">IFERROR(VLOOKUP($T26,TH_P.thi!$A$18:$P$165,6,0),0)</f>
        <v>1A.S2</v>
      </c>
    </row>
    <row r="27" spans="1:22" s="2" customFormat="1" ht="20.100000000000001" customHeight="1">
      <c r="A27" s="129">
        <v>18</v>
      </c>
      <c r="B27" s="112" t="str">
        <f t="array" ref="B27">IFERROR(INDEX('DS_Tong_12AS-AT-VH'!$A$9:$I$3045,MATCH(1,(In_DS!$A27='DS_Tong_12AS-AT-VH'!$A$9:$A$3045)*($L$6='DS_Tong_12AS-AT-VH'!$B$9:$B$3045),0),4),0)</f>
        <v>P.12A</v>
      </c>
      <c r="C27" s="110">
        <f t="array" ref="C27">IFERROR(INDEX('DS_Tong_12AS-AT-VH'!$A$9:$I$3045,MATCH(1,(In_DS!$A27='DS_Tong_12AS-AT-VH'!$A$9:$A$3045)*($L$6='DS_Tong_12AS-AT-VH'!$B$9:$B$3045),0),5),0)</f>
        <v>100862</v>
      </c>
      <c r="D27" s="182" t="str">
        <f>IFERROR(VLOOKUP($C27,'DS_Tong_12AS-AT-VH'!$E$9:$I$3024,2,0),0)</f>
        <v>Nguyễn Trần Tấn</v>
      </c>
      <c r="E27" s="183" t="str">
        <f>IFERROR(VLOOKUP($C27,'DS_Tong_12AS-AT-VH'!$E$9:$I$3024,3,0),0)</f>
        <v>Đạt</v>
      </c>
      <c r="F27" s="111" t="str">
        <f>IFERROR(VLOOKUP($C27,'DS_Tong_12AS-AT-VH'!$E$9:$I$3024,4,0),0)</f>
        <v>11AT7</v>
      </c>
      <c r="G27" s="328">
        <f>IFERROR(VLOOKUP($C27,'DS_Tong_12AS-AT-VH'!$E$9:$I$3024,5,0),0)</f>
        <v>0</v>
      </c>
      <c r="H27" s="130"/>
      <c r="I27" s="130"/>
      <c r="J27" s="130"/>
      <c r="K27" s="130"/>
      <c r="L27" s="69"/>
      <c r="M27" s="70">
        <f>IFERROR(VLOOKUP($C27,'DS_Tong_12AS-AT-VH'!$E$9:$S$3024,$M$8),0)</f>
        <v>0</v>
      </c>
      <c r="N27" s="70">
        <f>IFERROR(VLOOKUP($C27,'DS_Tong_12AS-AT-VH'!$E$9:$S$3024,$N$8),0)</f>
        <v>0</v>
      </c>
      <c r="O27" s="70">
        <f>IFERROR(VLOOKUP($C27,'DS_Tong_12AS-AT-VH'!$E$9:$S$3024,$O$8),0)</f>
        <v>0</v>
      </c>
      <c r="P27" s="70">
        <f>IFERROR(VLOOKUP($C27,'DS_Tong_12AS-AT-VH'!$E$9:$S$3024,$P$8),0)</f>
        <v>0</v>
      </c>
      <c r="Q27" s="67"/>
      <c r="S27" s="2">
        <v>20</v>
      </c>
      <c r="T27" s="309">
        <f t="shared" si="0"/>
        <v>37</v>
      </c>
      <c r="U27" s="312" t="str">
        <f t="array" ref="U27">IFERROR(VLOOKUP($T27,TH_P.thi!$A$18:$P$165,3,0),0)</f>
        <v>2A</v>
      </c>
      <c r="V27" s="312" t="str">
        <f t="array" ref="V27">IFERROR(VLOOKUP($T27,TH_P.thi!$A$18:$P$165,6,0),0)</f>
        <v>2A.S2</v>
      </c>
    </row>
    <row r="28" spans="1:22" s="2" customFormat="1" ht="20.100000000000001" customHeight="1">
      <c r="A28" s="129">
        <v>19</v>
      </c>
      <c r="B28" s="112" t="str">
        <f t="array" ref="B28">IFERROR(INDEX('DS_Tong_12AS-AT-VH'!$A$9:$I$3045,MATCH(1,(In_DS!$A28='DS_Tong_12AS-AT-VH'!$A$9:$A$3045)*($L$6='DS_Tong_12AS-AT-VH'!$B$9:$B$3045),0),4),0)</f>
        <v>P.12A</v>
      </c>
      <c r="C28" s="110">
        <f t="array" ref="C28">IFERROR(INDEX('DS_Tong_12AS-AT-VH'!$A$9:$I$3045,MATCH(1,(In_DS!$A28='DS_Tong_12AS-AT-VH'!$A$9:$A$3045)*($L$6='DS_Tong_12AS-AT-VH'!$B$9:$B$3045),0),5),0)</f>
        <v>100863</v>
      </c>
      <c r="D28" s="182" t="str">
        <f>IFERROR(VLOOKUP($C28,'DS_Tong_12AS-AT-VH'!$E$9:$I$3024,2,0),0)</f>
        <v>Nguyễn Hải</v>
      </c>
      <c r="E28" s="183" t="str">
        <f>IFERROR(VLOOKUP($C28,'DS_Tong_12AS-AT-VH'!$E$9:$I$3024,3,0),0)</f>
        <v>Đăng</v>
      </c>
      <c r="F28" s="111" t="str">
        <f>IFERROR(VLOOKUP($C28,'DS_Tong_12AS-AT-VH'!$E$9:$I$3024,4,0),0)</f>
        <v>11AT7</v>
      </c>
      <c r="G28" s="328">
        <f>IFERROR(VLOOKUP($C28,'DS_Tong_12AS-AT-VH'!$E$9:$I$3024,5,0),0)</f>
        <v>0</v>
      </c>
      <c r="H28" s="130"/>
      <c r="I28" s="130"/>
      <c r="J28" s="130"/>
      <c r="K28" s="130"/>
      <c r="L28" s="69"/>
      <c r="M28" s="70">
        <f>IFERROR(VLOOKUP($C28,'DS_Tong_12AS-AT-VH'!$E$9:$S$3024,$M$8),0)</f>
        <v>0</v>
      </c>
      <c r="N28" s="70">
        <f>IFERROR(VLOOKUP($C28,'DS_Tong_12AS-AT-VH'!$E$9:$S$3024,$N$8),0)</f>
        <v>0</v>
      </c>
      <c r="O28" s="70">
        <f>IFERROR(VLOOKUP($C28,'DS_Tong_12AS-AT-VH'!$E$9:$S$3024,$O$8),0)</f>
        <v>0</v>
      </c>
      <c r="P28" s="70">
        <f>IFERROR(VLOOKUP($C28,'DS_Tong_12AS-AT-VH'!$E$9:$S$3024,$P$8),0)</f>
        <v>0</v>
      </c>
      <c r="Q28" s="67"/>
      <c r="S28" s="2">
        <v>21</v>
      </c>
      <c r="T28" s="309">
        <f t="shared" si="0"/>
        <v>38</v>
      </c>
      <c r="U28" s="312" t="str">
        <f t="array" ref="U28">IFERROR(VLOOKUP($T28,TH_P.thi!$A$18:$P$165,3,0),0)</f>
        <v>3A</v>
      </c>
      <c r="V28" s="312" t="str">
        <f t="array" ref="V28">IFERROR(VLOOKUP($T28,TH_P.thi!$A$18:$P$165,6,0),0)</f>
        <v>3A.S2</v>
      </c>
    </row>
    <row r="29" spans="1:22" s="2" customFormat="1" ht="20.100000000000001" customHeight="1">
      <c r="A29" s="129">
        <v>20</v>
      </c>
      <c r="B29" s="112" t="str">
        <f t="array" ref="B29">IFERROR(INDEX('DS_Tong_12AS-AT-VH'!$A$9:$I$3045,MATCH(1,(In_DS!$A29='DS_Tong_12AS-AT-VH'!$A$9:$A$3045)*($L$6='DS_Tong_12AS-AT-VH'!$B$9:$B$3045),0),4),0)</f>
        <v>P.12A</v>
      </c>
      <c r="C29" s="110">
        <f t="array" ref="C29">IFERROR(INDEX('DS_Tong_12AS-AT-VH'!$A$9:$I$3045,MATCH(1,(In_DS!$A29='DS_Tong_12AS-AT-VH'!$A$9:$A$3045)*($L$6='DS_Tong_12AS-AT-VH'!$B$9:$B$3045),0),5),0)</f>
        <v>100864</v>
      </c>
      <c r="D29" s="182" t="str">
        <f>IFERROR(VLOOKUP($C29,'DS_Tong_12AS-AT-VH'!$E$9:$I$3024,2,0),0)</f>
        <v>Nguyễn Hoàng</v>
      </c>
      <c r="E29" s="183" t="str">
        <f>IFERROR(VLOOKUP($C29,'DS_Tong_12AS-AT-VH'!$E$9:$I$3024,3,0),0)</f>
        <v>Giang</v>
      </c>
      <c r="F29" s="111" t="str">
        <f>IFERROR(VLOOKUP($C29,'DS_Tong_12AS-AT-VH'!$E$9:$I$3024,4,0),0)</f>
        <v>11AT8</v>
      </c>
      <c r="G29" s="328">
        <f>IFERROR(VLOOKUP($C29,'DS_Tong_12AS-AT-VH'!$E$9:$I$3024,5,0),0)</f>
        <v>0</v>
      </c>
      <c r="H29" s="130"/>
      <c r="I29" s="130"/>
      <c r="J29" s="130"/>
      <c r="K29" s="130"/>
      <c r="L29" s="69"/>
      <c r="M29" s="70">
        <f>IFERROR(VLOOKUP($C29,'DS_Tong_12AS-AT-VH'!$E$9:$S$3024,$M$8),0)</f>
        <v>0</v>
      </c>
      <c r="N29" s="70">
        <f>IFERROR(VLOOKUP($C29,'DS_Tong_12AS-AT-VH'!$E$9:$S$3024,$N$8),0)</f>
        <v>0</v>
      </c>
      <c r="O29" s="70">
        <f>IFERROR(VLOOKUP($C29,'DS_Tong_12AS-AT-VH'!$E$9:$S$3024,$O$8),0)</f>
        <v>0</v>
      </c>
      <c r="P29" s="70">
        <f>IFERROR(VLOOKUP($C29,'DS_Tong_12AS-AT-VH'!$E$9:$S$3024,$P$8),0)</f>
        <v>0</v>
      </c>
      <c r="Q29" s="67"/>
      <c r="S29" s="2">
        <v>22</v>
      </c>
      <c r="T29" s="309">
        <f t="shared" si="0"/>
        <v>39</v>
      </c>
      <c r="U29" s="312" t="str">
        <f t="array" ref="U29">IFERROR(VLOOKUP($T29,TH_P.thi!$A$18:$P$165,3,0),0)</f>
        <v>4A</v>
      </c>
      <c r="V29" s="312" t="str">
        <f t="array" ref="V29">IFERROR(VLOOKUP($T29,TH_P.thi!$A$18:$P$165,6,0),0)</f>
        <v>4A.S2</v>
      </c>
    </row>
    <row r="30" spans="1:22" s="2" customFormat="1" ht="20.100000000000001" customHeight="1">
      <c r="A30" s="129">
        <v>21</v>
      </c>
      <c r="B30" s="112" t="str">
        <f t="array" ref="B30">IFERROR(INDEX('DS_Tong_12AS-AT-VH'!$A$9:$I$3045,MATCH(1,(In_DS!$A30='DS_Tong_12AS-AT-VH'!$A$9:$A$3045)*($L$6='DS_Tong_12AS-AT-VH'!$B$9:$B$3045),0),4),0)</f>
        <v>P.12A</v>
      </c>
      <c r="C30" s="110">
        <f t="array" ref="C30">IFERROR(INDEX('DS_Tong_12AS-AT-VH'!$A$9:$I$3045,MATCH(1,(In_DS!$A30='DS_Tong_12AS-AT-VH'!$A$9:$A$3045)*($L$6='DS_Tong_12AS-AT-VH'!$B$9:$B$3045),0),5),0)</f>
        <v>100865</v>
      </c>
      <c r="D30" s="182" t="str">
        <f>IFERROR(VLOOKUP($C30,'DS_Tong_12AS-AT-VH'!$E$9:$I$3024,2,0),0)</f>
        <v>Trà Thị Ngọc</v>
      </c>
      <c r="E30" s="183" t="str">
        <f>IFERROR(VLOOKUP($C30,'DS_Tong_12AS-AT-VH'!$E$9:$I$3024,3,0),0)</f>
        <v>Giàu</v>
      </c>
      <c r="F30" s="111" t="str">
        <f>IFERROR(VLOOKUP($C30,'DS_Tong_12AS-AT-VH'!$E$9:$I$3024,4,0),0)</f>
        <v>11AT7</v>
      </c>
      <c r="G30" s="328">
        <f>IFERROR(VLOOKUP($C30,'DS_Tong_12AS-AT-VH'!$E$9:$I$3024,5,0),0)</f>
        <v>0</v>
      </c>
      <c r="H30" s="130"/>
      <c r="I30" s="130"/>
      <c r="J30" s="130"/>
      <c r="K30" s="130"/>
      <c r="L30" s="69"/>
      <c r="M30" s="70">
        <f>IFERROR(VLOOKUP($C30,'DS_Tong_12AS-AT-VH'!$E$9:$S$3024,$M$8),0)</f>
        <v>0</v>
      </c>
      <c r="N30" s="70">
        <f>IFERROR(VLOOKUP($C30,'DS_Tong_12AS-AT-VH'!$E$9:$S$3024,$N$8),0)</f>
        <v>0</v>
      </c>
      <c r="O30" s="70">
        <f>IFERROR(VLOOKUP($C30,'DS_Tong_12AS-AT-VH'!$E$9:$S$3024,$O$8),0)</f>
        <v>0</v>
      </c>
      <c r="P30" s="70">
        <f>IFERROR(VLOOKUP($C30,'DS_Tong_12AS-AT-VH'!$E$9:$S$3024,$P$8),0)</f>
        <v>0</v>
      </c>
      <c r="Q30" s="67"/>
      <c r="S30" s="2">
        <v>23</v>
      </c>
      <c r="T30" s="309">
        <f t="shared" si="0"/>
        <v>40</v>
      </c>
      <c r="U30" s="312" t="str">
        <f t="array" ref="U30">IFERROR(VLOOKUP($T30,TH_P.thi!$A$18:$P$165,3,0),0)</f>
        <v>5A</v>
      </c>
      <c r="V30" s="312" t="str">
        <f t="array" ref="V30">IFERROR(VLOOKUP($T30,TH_P.thi!$A$18:$P$165,6,0),0)</f>
        <v>5A.S2</v>
      </c>
    </row>
    <row r="31" spans="1:22" s="2" customFormat="1" ht="20.100000000000001" customHeight="1">
      <c r="A31" s="129">
        <v>22</v>
      </c>
      <c r="B31" s="112" t="str">
        <f t="array" ref="B31">IFERROR(INDEX('DS_Tong_12AS-AT-VH'!$A$9:$I$3045,MATCH(1,(In_DS!$A31='DS_Tong_12AS-AT-VH'!$A$9:$A$3045)*($L$6='DS_Tong_12AS-AT-VH'!$B$9:$B$3045),0),4),0)</f>
        <v>P.12A</v>
      </c>
      <c r="C31" s="110">
        <f t="array" ref="C31">IFERROR(INDEX('DS_Tong_12AS-AT-VH'!$A$9:$I$3045,MATCH(1,(In_DS!$A31='DS_Tong_12AS-AT-VH'!$A$9:$A$3045)*($L$6='DS_Tong_12AS-AT-VH'!$B$9:$B$3045),0),5),0)</f>
        <v>100866</v>
      </c>
      <c r="D31" s="182" t="str">
        <f>IFERROR(VLOOKUP($C31,'DS_Tong_12AS-AT-VH'!$E$9:$I$3024,2,0),0)</f>
        <v>Lê Thị Thu</v>
      </c>
      <c r="E31" s="183" t="str">
        <f>IFERROR(VLOOKUP($C31,'DS_Tong_12AS-AT-VH'!$E$9:$I$3024,3,0),0)</f>
        <v>Hà</v>
      </c>
      <c r="F31" s="111" t="str">
        <f>IFERROR(VLOOKUP($C31,'DS_Tong_12AS-AT-VH'!$E$9:$I$3024,4,0),0)</f>
        <v>11AT7</v>
      </c>
      <c r="G31" s="328">
        <f>IFERROR(VLOOKUP($C31,'DS_Tong_12AS-AT-VH'!$E$9:$I$3024,5,0),0)</f>
        <v>0</v>
      </c>
      <c r="H31" s="130"/>
      <c r="I31" s="130"/>
      <c r="J31" s="130"/>
      <c r="K31" s="130"/>
      <c r="L31" s="69"/>
      <c r="M31" s="70">
        <f>IFERROR(VLOOKUP($C31,'DS_Tong_12AS-AT-VH'!$E$9:$S$3024,$M$8),0)</f>
        <v>0</v>
      </c>
      <c r="N31" s="70">
        <f>IFERROR(VLOOKUP($C31,'DS_Tong_12AS-AT-VH'!$E$9:$S$3024,$N$8),0)</f>
        <v>0</v>
      </c>
      <c r="O31" s="70">
        <f>IFERROR(VLOOKUP($C31,'DS_Tong_12AS-AT-VH'!$E$9:$S$3024,$O$8),0)</f>
        <v>0</v>
      </c>
      <c r="P31" s="70">
        <f>IFERROR(VLOOKUP($C31,'DS_Tong_12AS-AT-VH'!$E$9:$S$3024,$P$8),0)</f>
        <v>0</v>
      </c>
      <c r="Q31" s="67"/>
      <c r="S31" s="2">
        <v>24</v>
      </c>
      <c r="T31" s="309">
        <f t="shared" si="0"/>
        <v>41</v>
      </c>
      <c r="U31" s="312" t="str">
        <f t="array" ref="U31">IFERROR(VLOOKUP($T31,TH_P.thi!$A$18:$P$165,3,0),0)</f>
        <v>6A</v>
      </c>
      <c r="V31" s="312" t="str">
        <f t="array" ref="V31">IFERROR(VLOOKUP($T31,TH_P.thi!$A$18:$P$165,6,0),0)</f>
        <v>6A.S2</v>
      </c>
    </row>
    <row r="32" spans="1:22" s="2" customFormat="1" ht="20.100000000000001" customHeight="1">
      <c r="A32" s="129">
        <v>23</v>
      </c>
      <c r="B32" s="112" t="str">
        <f t="array" ref="B32">IFERROR(INDEX('DS_Tong_12AS-AT-VH'!$A$9:$I$3045,MATCH(1,(In_DS!$A32='DS_Tong_12AS-AT-VH'!$A$9:$A$3045)*($L$6='DS_Tong_12AS-AT-VH'!$B$9:$B$3045),0),4),0)</f>
        <v>P.12A</v>
      </c>
      <c r="C32" s="110">
        <f t="array" ref="C32">IFERROR(INDEX('DS_Tong_12AS-AT-VH'!$A$9:$I$3045,MATCH(1,(In_DS!$A32='DS_Tong_12AS-AT-VH'!$A$9:$A$3045)*($L$6='DS_Tong_12AS-AT-VH'!$B$9:$B$3045),0),5),0)</f>
        <v>100867</v>
      </c>
      <c r="D32" s="182" t="str">
        <f>IFERROR(VLOOKUP($C32,'DS_Tong_12AS-AT-VH'!$E$9:$I$3024,2,0),0)</f>
        <v>Phạm Mỹ Hồng</v>
      </c>
      <c r="E32" s="183" t="str">
        <f>IFERROR(VLOOKUP($C32,'DS_Tong_12AS-AT-VH'!$E$9:$I$3024,3,0),0)</f>
        <v>Hà</v>
      </c>
      <c r="F32" s="111" t="str">
        <f>IFERROR(VLOOKUP($C32,'DS_Tong_12AS-AT-VH'!$E$9:$I$3024,4,0),0)</f>
        <v>11AT8</v>
      </c>
      <c r="G32" s="328">
        <f>IFERROR(VLOOKUP($C32,'DS_Tong_12AS-AT-VH'!$E$9:$I$3024,5,0),0)</f>
        <v>0</v>
      </c>
      <c r="H32" s="130"/>
      <c r="I32" s="130"/>
      <c r="J32" s="130"/>
      <c r="K32" s="130"/>
      <c r="L32" s="69"/>
      <c r="M32" s="70">
        <f>IFERROR(VLOOKUP($C32,'DS_Tong_12AS-AT-VH'!$E$9:$S$3024,$M$8),0)</f>
        <v>0</v>
      </c>
      <c r="N32" s="70">
        <f>IFERROR(VLOOKUP($C32,'DS_Tong_12AS-AT-VH'!$E$9:$S$3024,$N$8),0)</f>
        <v>0</v>
      </c>
      <c r="O32" s="70">
        <f>IFERROR(VLOOKUP($C32,'DS_Tong_12AS-AT-VH'!$E$9:$S$3024,$O$8),0)</f>
        <v>0</v>
      </c>
      <c r="P32" s="70">
        <f>IFERROR(VLOOKUP($C32,'DS_Tong_12AS-AT-VH'!$E$9:$S$3024,$P$8),0)</f>
        <v>0</v>
      </c>
      <c r="Q32" s="67"/>
      <c r="S32" s="2">
        <v>25</v>
      </c>
      <c r="T32" s="309">
        <f t="shared" si="0"/>
        <v>42</v>
      </c>
      <c r="U32" s="312" t="str">
        <f t="array" ref="U32">IFERROR(VLOOKUP($T32,TH_P.thi!$A$18:$P$165,3,0),0)</f>
        <v>7A</v>
      </c>
      <c r="V32" s="312" t="str">
        <f t="array" ref="V32">IFERROR(VLOOKUP($T32,TH_P.thi!$A$18:$P$165,6,0),0)</f>
        <v>7A.S2</v>
      </c>
    </row>
    <row r="33" spans="1:22" s="2" customFormat="1" ht="20.100000000000001" customHeight="1">
      <c r="A33" s="129">
        <v>24</v>
      </c>
      <c r="B33" s="112" t="str">
        <f t="array" ref="B33">IFERROR(INDEX('DS_Tong_12AS-AT-VH'!$A$9:$I$3045,MATCH(1,(In_DS!$A33='DS_Tong_12AS-AT-VH'!$A$9:$A$3045)*($L$6='DS_Tong_12AS-AT-VH'!$B$9:$B$3045),0),4),0)</f>
        <v>P.12A</v>
      </c>
      <c r="C33" s="110">
        <f t="array" ref="C33">IFERROR(INDEX('DS_Tong_12AS-AT-VH'!$A$9:$I$3045,MATCH(1,(In_DS!$A33='DS_Tong_12AS-AT-VH'!$A$9:$A$3045)*($L$6='DS_Tong_12AS-AT-VH'!$B$9:$B$3045),0),5),0)</f>
        <v>100868</v>
      </c>
      <c r="D33" s="182" t="str">
        <f>IFERROR(VLOOKUP($C33,'DS_Tong_12AS-AT-VH'!$E$9:$I$3024,2,0),0)</f>
        <v>Lê Tam</v>
      </c>
      <c r="E33" s="183" t="str">
        <f>IFERROR(VLOOKUP($C33,'DS_Tong_12AS-AT-VH'!$E$9:$I$3024,3,0),0)</f>
        <v>Hải</v>
      </c>
      <c r="F33" s="111" t="str">
        <f>IFERROR(VLOOKUP($C33,'DS_Tong_12AS-AT-VH'!$E$9:$I$3024,4,0),0)</f>
        <v>11AT8</v>
      </c>
      <c r="G33" s="328">
        <f>IFERROR(VLOOKUP($C33,'DS_Tong_12AS-AT-VH'!$E$9:$I$3024,5,0),0)</f>
        <v>0</v>
      </c>
      <c r="H33" s="130"/>
      <c r="I33" s="130"/>
      <c r="J33" s="130"/>
      <c r="K33" s="130"/>
      <c r="L33" s="69"/>
      <c r="M33" s="70">
        <f>IFERROR(VLOOKUP($C33,'DS_Tong_12AS-AT-VH'!$E$9:$S$3024,$M$8),0)</f>
        <v>0</v>
      </c>
      <c r="N33" s="70">
        <f>IFERROR(VLOOKUP($C33,'DS_Tong_12AS-AT-VH'!$E$9:$S$3024,$N$8),0)</f>
        <v>0</v>
      </c>
      <c r="O33" s="70">
        <f>IFERROR(VLOOKUP($C33,'DS_Tong_12AS-AT-VH'!$E$9:$S$3024,$O$8),0)</f>
        <v>0</v>
      </c>
      <c r="P33" s="70">
        <f>IFERROR(VLOOKUP($C33,'DS_Tong_12AS-AT-VH'!$E$9:$S$3024,$P$8),0)</f>
        <v>0</v>
      </c>
      <c r="Q33" s="67"/>
      <c r="S33" s="2">
        <v>26</v>
      </c>
      <c r="T33" s="309">
        <f t="shared" si="0"/>
        <v>43</v>
      </c>
      <c r="U33" s="312" t="str">
        <f t="array" ref="U33">IFERROR(VLOOKUP($T33,TH_P.thi!$A$18:$P$165,3,0),0)</f>
        <v>9A</v>
      </c>
      <c r="V33" s="312" t="str">
        <f t="array" ref="V33">IFERROR(VLOOKUP($T33,TH_P.thi!$A$18:$P$165,6,0),0)</f>
        <v>9A.S2</v>
      </c>
    </row>
    <row r="34" spans="1:22" s="2" customFormat="1" ht="20.100000000000001" customHeight="1">
      <c r="A34" s="129">
        <v>25</v>
      </c>
      <c r="B34" s="112" t="str">
        <f t="array" ref="B34">IFERROR(INDEX('DS_Tong_12AS-AT-VH'!$A$9:$I$3045,MATCH(1,(In_DS!$A34='DS_Tong_12AS-AT-VH'!$A$9:$A$3045)*($L$6='DS_Tong_12AS-AT-VH'!$B$9:$B$3045),0),4),0)</f>
        <v>P.12A</v>
      </c>
      <c r="C34" s="110">
        <f t="array" ref="C34">IFERROR(INDEX('DS_Tong_12AS-AT-VH'!$A$9:$I$3045,MATCH(1,(In_DS!$A34='DS_Tong_12AS-AT-VH'!$A$9:$A$3045)*($L$6='DS_Tong_12AS-AT-VH'!$B$9:$B$3045),0),5),0)</f>
        <v>100869</v>
      </c>
      <c r="D34" s="182" t="str">
        <f>IFERROR(VLOOKUP($C34,'DS_Tong_12AS-AT-VH'!$E$9:$I$3024,2,0),0)</f>
        <v>Võ Chí</v>
      </c>
      <c r="E34" s="183" t="str">
        <f>IFERROR(VLOOKUP($C34,'DS_Tong_12AS-AT-VH'!$E$9:$I$3024,3,0),0)</f>
        <v>Hào</v>
      </c>
      <c r="F34" s="111" t="str">
        <f>IFERROR(VLOOKUP($C34,'DS_Tong_12AS-AT-VH'!$E$9:$I$3024,4,0),0)</f>
        <v>11AT7</v>
      </c>
      <c r="G34" s="328">
        <f>IFERROR(VLOOKUP($C34,'DS_Tong_12AS-AT-VH'!$E$9:$I$3024,5,0),0)</f>
        <v>0</v>
      </c>
      <c r="H34" s="130"/>
      <c r="I34" s="130"/>
      <c r="J34" s="130"/>
      <c r="K34" s="130"/>
      <c r="L34" s="69"/>
      <c r="M34" s="70">
        <f>IFERROR(VLOOKUP($C34,'DS_Tong_12AS-AT-VH'!$E$9:$S$3024,$M$8),0)</f>
        <v>0</v>
      </c>
      <c r="N34" s="70">
        <f>IFERROR(VLOOKUP($C34,'DS_Tong_12AS-AT-VH'!$E$9:$S$3024,$N$8),0)</f>
        <v>0</v>
      </c>
      <c r="O34" s="70">
        <f>IFERROR(VLOOKUP($C34,'DS_Tong_12AS-AT-VH'!$E$9:$S$3024,$O$8),0)</f>
        <v>0</v>
      </c>
      <c r="P34" s="70">
        <f>IFERROR(VLOOKUP($C34,'DS_Tong_12AS-AT-VH'!$E$9:$S$3024,$P$8),0)</f>
        <v>0</v>
      </c>
      <c r="Q34" s="67"/>
      <c r="S34" s="2">
        <v>27</v>
      </c>
      <c r="T34" s="309"/>
      <c r="U34" s="312">
        <f t="array" ref="U34">IFERROR(VLOOKUP($T34,TH_P.thi!$A$18:$P$165,3,0),0)</f>
        <v>0</v>
      </c>
      <c r="V34" s="312">
        <f t="array" ref="V34">IFERROR(VLOOKUP($T34,TH_P.thi!$A$18:$P$165,6,0),0)</f>
        <v>0</v>
      </c>
    </row>
    <row r="35" spans="1:22" s="2" customFormat="1" ht="20.100000000000001" customHeight="1">
      <c r="A35" s="129">
        <v>26</v>
      </c>
      <c r="B35" s="112" t="str">
        <f t="array" ref="B35">IFERROR(INDEX('DS_Tong_12AS-AT-VH'!$A$9:$I$3045,MATCH(1,(In_DS!$A35='DS_Tong_12AS-AT-VH'!$A$9:$A$3045)*($L$6='DS_Tong_12AS-AT-VH'!$B$9:$B$3045),0),4),0)</f>
        <v>P.12A</v>
      </c>
      <c r="C35" s="110">
        <f t="array" ref="C35">IFERROR(INDEX('DS_Tong_12AS-AT-VH'!$A$9:$I$3045,MATCH(1,(In_DS!$A35='DS_Tong_12AS-AT-VH'!$A$9:$A$3045)*($L$6='DS_Tong_12AS-AT-VH'!$B$9:$B$3045),0),5),0)</f>
        <v>100870</v>
      </c>
      <c r="D35" s="182" t="str">
        <f>IFERROR(VLOOKUP($C35,'DS_Tong_12AS-AT-VH'!$E$9:$I$3024,2,0),0)</f>
        <v>Trần Gia</v>
      </c>
      <c r="E35" s="183" t="str">
        <f>IFERROR(VLOOKUP($C35,'DS_Tong_12AS-AT-VH'!$E$9:$I$3024,3,0),0)</f>
        <v>Hân</v>
      </c>
      <c r="F35" s="111" t="str">
        <f>IFERROR(VLOOKUP($C35,'DS_Tong_12AS-AT-VH'!$E$9:$I$3024,4,0),0)</f>
        <v>11AT7</v>
      </c>
      <c r="G35" s="328">
        <f>IFERROR(VLOOKUP($C35,'DS_Tong_12AS-AT-VH'!$E$9:$I$3024,5,0),0)</f>
        <v>0</v>
      </c>
      <c r="H35" s="130"/>
      <c r="I35" s="130"/>
      <c r="J35" s="130"/>
      <c r="K35" s="130"/>
      <c r="L35" s="69"/>
      <c r="M35" s="70">
        <f>IFERROR(VLOOKUP($C35,'DS_Tong_12AS-AT-VH'!$E$9:$S$3024,$M$8),0)</f>
        <v>0</v>
      </c>
      <c r="N35" s="70">
        <f>IFERROR(VLOOKUP($C35,'DS_Tong_12AS-AT-VH'!$E$9:$S$3024,$N$8),0)</f>
        <v>0</v>
      </c>
      <c r="O35" s="70">
        <f>IFERROR(VLOOKUP($C35,'DS_Tong_12AS-AT-VH'!$E$9:$S$3024,$O$8),0)</f>
        <v>0</v>
      </c>
      <c r="P35" s="70">
        <f>IFERROR(VLOOKUP($C35,'DS_Tong_12AS-AT-VH'!$E$9:$S$3024,$P$8),0)</f>
        <v>0</v>
      </c>
      <c r="Q35" s="67"/>
      <c r="S35" s="2">
        <v>28</v>
      </c>
      <c r="T35" s="309"/>
      <c r="U35" s="312">
        <f t="array" ref="U35">IFERROR(VLOOKUP($T35,TH_P.thi!$A$18:$P$165,3,0),0)</f>
        <v>0</v>
      </c>
      <c r="V35" s="312">
        <f t="array" ref="V35">IFERROR(VLOOKUP($T35,TH_P.thi!$A$18:$P$165,6,0),0)</f>
        <v>0</v>
      </c>
    </row>
    <row r="36" spans="1:22" s="2" customFormat="1" ht="20.100000000000001" customHeight="1">
      <c r="A36" s="129">
        <v>27</v>
      </c>
      <c r="B36" s="112" t="str">
        <f t="array" ref="B36">IFERROR(INDEX('DS_Tong_12AS-AT-VH'!$A$9:$I$3045,MATCH(1,(In_DS!$A36='DS_Tong_12AS-AT-VH'!$A$9:$A$3045)*($L$6='DS_Tong_12AS-AT-VH'!$B$9:$B$3045),0),4),0)</f>
        <v>P.12A</v>
      </c>
      <c r="C36" s="110">
        <f t="array" ref="C36">IFERROR(INDEX('DS_Tong_12AS-AT-VH'!$A$9:$I$3045,MATCH(1,(In_DS!$A36='DS_Tong_12AS-AT-VH'!$A$9:$A$3045)*($L$6='DS_Tong_12AS-AT-VH'!$B$9:$B$3045),0),5),0)</f>
        <v>100871</v>
      </c>
      <c r="D36" s="182" t="str">
        <f>IFERROR(VLOOKUP($C36,'DS_Tong_12AS-AT-VH'!$E$9:$I$3024,2,0),0)</f>
        <v>Nguyễn Thanh Thu</v>
      </c>
      <c r="E36" s="183" t="str">
        <f>IFERROR(VLOOKUP($C36,'DS_Tong_12AS-AT-VH'!$E$9:$I$3024,3,0),0)</f>
        <v>Hiền</v>
      </c>
      <c r="F36" s="111" t="str">
        <f>IFERROR(VLOOKUP($C36,'DS_Tong_12AS-AT-VH'!$E$9:$I$3024,4,0),0)</f>
        <v>11AT7</v>
      </c>
      <c r="G36" s="328">
        <f>IFERROR(VLOOKUP($C36,'DS_Tong_12AS-AT-VH'!$E$9:$I$3024,5,0),0)</f>
        <v>0</v>
      </c>
      <c r="H36" s="130"/>
      <c r="I36" s="130"/>
      <c r="J36" s="130"/>
      <c r="K36" s="130"/>
      <c r="L36" s="69"/>
      <c r="M36" s="70">
        <f>IFERROR(VLOOKUP($C36,'DS_Tong_12AS-AT-VH'!$E$9:$S$3024,$M$8),0)</f>
        <v>0</v>
      </c>
      <c r="N36" s="70">
        <f>IFERROR(VLOOKUP($C36,'DS_Tong_12AS-AT-VH'!$E$9:$S$3024,$N$8),0)</f>
        <v>0</v>
      </c>
      <c r="O36" s="70">
        <f>IFERROR(VLOOKUP($C36,'DS_Tong_12AS-AT-VH'!$E$9:$S$3024,$O$8),0)</f>
        <v>0</v>
      </c>
      <c r="P36" s="70">
        <f>IFERROR(VLOOKUP($C36,'DS_Tong_12AS-AT-VH'!$E$9:$S$3024,$P$8),0)</f>
        <v>0</v>
      </c>
      <c r="Q36" s="67"/>
      <c r="S36" s="2">
        <v>29</v>
      </c>
      <c r="T36" s="309"/>
      <c r="U36" s="312">
        <f t="array" ref="U36">IFERROR(VLOOKUP($T36,TH_P.thi!$A$18:$P$165,3,0),0)</f>
        <v>0</v>
      </c>
      <c r="V36" s="312">
        <f t="array" ref="V36">IFERROR(VLOOKUP($T36,TH_P.thi!$A$18:$P$165,6,0),0)</f>
        <v>0</v>
      </c>
    </row>
    <row r="37" spans="1:22" s="2" customFormat="1" ht="20.100000000000001" customHeight="1">
      <c r="A37" s="129">
        <v>28</v>
      </c>
      <c r="B37" s="112" t="str">
        <f t="array" ref="B37">IFERROR(INDEX('DS_Tong_12AS-AT-VH'!$A$9:$I$3045,MATCH(1,(In_DS!$A37='DS_Tong_12AS-AT-VH'!$A$9:$A$3045)*($L$6='DS_Tong_12AS-AT-VH'!$B$9:$B$3045),0),4),0)</f>
        <v>P.12A</v>
      </c>
      <c r="C37" s="131">
        <f t="array" ref="C37">IFERROR(INDEX('DS_Tong_12AS-AT-VH'!$A$9:$I$3045,MATCH(1,(In_DS!$A37='DS_Tong_12AS-AT-VH'!$A$9:$A$3045)*($L$6='DS_Tong_12AS-AT-VH'!$B$9:$B$3045),0),5),0)</f>
        <v>100872</v>
      </c>
      <c r="D37" s="182" t="str">
        <f>IFERROR(VLOOKUP($C37,'DS_Tong_12AS-AT-VH'!$E$9:$I$3024,2,0),0)</f>
        <v>Nguyễn Ngọc</v>
      </c>
      <c r="E37" s="183" t="str">
        <f>IFERROR(VLOOKUP($C37,'DS_Tong_12AS-AT-VH'!$E$9:$I$3024,3,0),0)</f>
        <v>Hiệp</v>
      </c>
      <c r="F37" s="111" t="str">
        <f>IFERROR(VLOOKUP($C37,'DS_Tong_12AS-AT-VH'!$E$9:$I$3024,4,0),0)</f>
        <v>11AT8</v>
      </c>
      <c r="G37" s="328">
        <f>IFERROR(VLOOKUP($C37,'DS_Tong_12AS-AT-VH'!$E$9:$I$3024,5,0),0)</f>
        <v>0</v>
      </c>
      <c r="H37" s="130"/>
      <c r="I37" s="130"/>
      <c r="J37" s="130"/>
      <c r="K37" s="130"/>
      <c r="L37" s="69"/>
      <c r="M37" s="70">
        <f>IFERROR(VLOOKUP($C37,'DS_Tong_12AS-AT-VH'!$E$9:$S$3024,$M$8),0)</f>
        <v>0</v>
      </c>
      <c r="N37" s="70">
        <f>IFERROR(VLOOKUP($C37,'DS_Tong_12AS-AT-VH'!$E$9:$S$3024,$N$8),0)</f>
        <v>0</v>
      </c>
      <c r="O37" s="70">
        <f>IFERROR(VLOOKUP($C37,'DS_Tong_12AS-AT-VH'!$E$9:$S$3024,$O$8),0)</f>
        <v>0</v>
      </c>
      <c r="P37" s="70">
        <f>IFERROR(VLOOKUP($C37,'DS_Tong_12AS-AT-VH'!$E$9:$S$3024,$P$8),0)</f>
        <v>0</v>
      </c>
      <c r="Q37" s="67"/>
      <c r="S37" s="2">
        <v>30</v>
      </c>
      <c r="T37" s="309"/>
      <c r="U37" s="312">
        <f t="array" ref="U37">IFERROR(VLOOKUP($T37,TH_P.thi!$A$18:$P$165,3,0),0)</f>
        <v>0</v>
      </c>
      <c r="V37" s="312">
        <f t="array" ref="V37">IFERROR(VLOOKUP($T37,TH_P.thi!$A$18:$P$165,6,0),0)</f>
        <v>0</v>
      </c>
    </row>
    <row r="38" spans="1:22" s="2" customFormat="1" ht="20.100000000000001" customHeight="1">
      <c r="A38" s="129">
        <v>29</v>
      </c>
      <c r="B38" s="112" t="str">
        <f t="array" ref="B38">IFERROR(INDEX('DS_Tong_12AS-AT-VH'!$A$9:$I$3045,MATCH(1,(In_DS!$A38='DS_Tong_12AS-AT-VH'!$A$9:$A$3045)*($L$6='DS_Tong_12AS-AT-VH'!$B$9:$B$3045),0),4),0)</f>
        <v>P.12A</v>
      </c>
      <c r="C38" s="131">
        <f t="array" ref="C38">IFERROR(INDEX('DS_Tong_12AS-AT-VH'!$A$9:$I$3045,MATCH(1,(In_DS!$A38='DS_Tong_12AS-AT-VH'!$A$9:$A$3045)*($L$6='DS_Tong_12AS-AT-VH'!$B$9:$B$3045),0),5),0)</f>
        <v>100873</v>
      </c>
      <c r="D38" s="182" t="str">
        <f>IFERROR(VLOOKUP($C38,'DS_Tong_12AS-AT-VH'!$E$9:$I$3024,2,0),0)</f>
        <v>Trần Thị Thu</v>
      </c>
      <c r="E38" s="183" t="str">
        <f>IFERROR(VLOOKUP($C38,'DS_Tong_12AS-AT-VH'!$E$9:$I$3024,3,0),0)</f>
        <v>Hoài</v>
      </c>
      <c r="F38" s="111" t="str">
        <f>IFERROR(VLOOKUP($C38,'DS_Tong_12AS-AT-VH'!$E$9:$I$3024,4,0),0)</f>
        <v>11AT7</v>
      </c>
      <c r="G38" s="328">
        <f>IFERROR(VLOOKUP($C38,'DS_Tong_12AS-AT-VH'!$E$9:$I$3024,5,0),0)</f>
        <v>0</v>
      </c>
      <c r="H38" s="130"/>
      <c r="I38" s="130"/>
      <c r="J38" s="130"/>
      <c r="K38" s="130"/>
      <c r="L38" s="69"/>
      <c r="M38" s="70">
        <f>IFERROR(VLOOKUP($C38,'DS_Tong_12AS-AT-VH'!$E$9:$S$3024,$M$8),0)</f>
        <v>0</v>
      </c>
      <c r="N38" s="70">
        <f>IFERROR(VLOOKUP($C38,'DS_Tong_12AS-AT-VH'!$E$9:$S$3024,$N$8),0)</f>
        <v>0</v>
      </c>
      <c r="O38" s="70">
        <f>IFERROR(VLOOKUP($C38,'DS_Tong_12AS-AT-VH'!$E$9:$S$3024,$O$8),0)</f>
        <v>0</v>
      </c>
      <c r="P38" s="70">
        <f>IFERROR(VLOOKUP($C38,'DS_Tong_12AS-AT-VH'!$E$9:$S$3024,$P$8),0)</f>
        <v>0</v>
      </c>
      <c r="Q38" s="67"/>
      <c r="S38" s="2">
        <v>31</v>
      </c>
      <c r="T38" s="309"/>
      <c r="U38" s="312">
        <f t="array" ref="U38">IFERROR(VLOOKUP($T38,TH_P.thi!$A$18:$P$165,3,0),0)</f>
        <v>0</v>
      </c>
      <c r="V38" s="312">
        <f t="array" ref="V38">IFERROR(VLOOKUP($T38,TH_P.thi!$A$18:$P$165,6,0),0)</f>
        <v>0</v>
      </c>
    </row>
    <row r="39" spans="1:22" s="2" customFormat="1" ht="20.100000000000001" customHeight="1">
      <c r="A39" s="129">
        <v>30</v>
      </c>
      <c r="B39" s="112" t="str">
        <f t="array" ref="B39">IFERROR(INDEX('DS_Tong_12AS-AT-VH'!$A$9:$I$3045,MATCH(1,(In_DS!$A39='DS_Tong_12AS-AT-VH'!$A$9:$A$3045)*($L$6='DS_Tong_12AS-AT-VH'!$B$9:$B$3045),0),4),0)</f>
        <v>P.12A</v>
      </c>
      <c r="C39" s="131">
        <f t="array" ref="C39">IFERROR(INDEX('DS_Tong_12AS-AT-VH'!$A$9:$I$3045,MATCH(1,(In_DS!$A39='DS_Tong_12AS-AT-VH'!$A$9:$A$3045)*($L$6='DS_Tong_12AS-AT-VH'!$B$9:$B$3045),0),5),0)</f>
        <v>100874</v>
      </c>
      <c r="D39" s="182" t="str">
        <f>IFERROR(VLOOKUP($C39,'DS_Tong_12AS-AT-VH'!$E$9:$I$3024,2,0),0)</f>
        <v>Mai Văn</v>
      </c>
      <c r="E39" s="183" t="str">
        <f>IFERROR(VLOOKUP($C39,'DS_Tong_12AS-AT-VH'!$E$9:$I$3024,3,0),0)</f>
        <v>Hoàng</v>
      </c>
      <c r="F39" s="111" t="str">
        <f>IFERROR(VLOOKUP($C39,'DS_Tong_12AS-AT-VH'!$E$9:$I$3024,4,0),0)</f>
        <v>11AT8</v>
      </c>
      <c r="G39" s="328">
        <f>IFERROR(VLOOKUP($C39,'DS_Tong_12AS-AT-VH'!$E$9:$I$3024,5,0),0)</f>
        <v>0</v>
      </c>
      <c r="H39" s="130"/>
      <c r="I39" s="130"/>
      <c r="J39" s="130"/>
      <c r="K39" s="130"/>
      <c r="L39" s="69"/>
      <c r="M39" s="70"/>
      <c r="N39" s="70"/>
      <c r="O39" s="70"/>
      <c r="P39" s="70"/>
      <c r="Q39" s="67"/>
      <c r="S39" s="2">
        <v>32</v>
      </c>
      <c r="T39" s="309"/>
      <c r="U39" s="312">
        <f t="array" ref="U39">IFERROR(VLOOKUP($T39,TH_P.thi!$A$18:$P$165,3,0),0)</f>
        <v>0</v>
      </c>
      <c r="V39" s="312">
        <f t="array" ref="V39">IFERROR(VLOOKUP($T39,TH_P.thi!$A$18:$P$165,6,0),0)</f>
        <v>0</v>
      </c>
    </row>
    <row r="40" spans="1:22" s="2" customFormat="1" ht="20.100000000000001" customHeight="1">
      <c r="A40" s="129">
        <v>31</v>
      </c>
      <c r="B40" s="112" t="str">
        <f t="array" ref="B40">IFERROR(INDEX('DS_Tong_12AS-AT-VH'!$A$9:$I$3045,MATCH(1,(In_DS!$A40='DS_Tong_12AS-AT-VH'!$A$9:$A$3045)*($L$6='DS_Tong_12AS-AT-VH'!$B$9:$B$3045),0),4),0)</f>
        <v>P.12A</v>
      </c>
      <c r="C40" s="131">
        <f t="array" ref="C40">IFERROR(INDEX('DS_Tong_12AS-AT-VH'!$A$9:$I$3045,MATCH(1,(In_DS!$A40='DS_Tong_12AS-AT-VH'!$A$9:$A$3045)*($L$6='DS_Tong_12AS-AT-VH'!$B$9:$B$3045),0),5),0)</f>
        <v>100875</v>
      </c>
      <c r="D40" s="182" t="str">
        <f>IFERROR(VLOOKUP($C40,'DS_Tong_12AS-AT-VH'!$E$9:$I$3024,2,0),0)</f>
        <v>Đào Sĩ</v>
      </c>
      <c r="E40" s="183" t="str">
        <f>IFERROR(VLOOKUP($C40,'DS_Tong_12AS-AT-VH'!$E$9:$I$3024,3,0),0)</f>
        <v>Huân</v>
      </c>
      <c r="F40" s="111" t="str">
        <f>IFERROR(VLOOKUP($C40,'DS_Tong_12AS-AT-VH'!$E$9:$I$3024,4,0),0)</f>
        <v>11AT7</v>
      </c>
      <c r="G40" s="328">
        <f>IFERROR(VLOOKUP($C40,'DS_Tong_12AS-AT-VH'!$E$9:$I$3024,5,0),0)</f>
        <v>0</v>
      </c>
      <c r="H40" s="130"/>
      <c r="I40" s="130"/>
      <c r="J40" s="130"/>
      <c r="K40" s="130"/>
      <c r="L40" s="69"/>
      <c r="M40" s="70"/>
      <c r="N40" s="70"/>
      <c r="O40" s="70"/>
      <c r="P40" s="70"/>
      <c r="Q40" s="67"/>
      <c r="S40" s="2">
        <v>33</v>
      </c>
      <c r="T40" s="309"/>
      <c r="U40" s="312">
        <f t="array" ref="U40">IFERROR(VLOOKUP($T40,TH_P.thi!$A$18:$P$165,3,0),0)</f>
        <v>0</v>
      </c>
      <c r="V40" s="312">
        <f t="array" ref="V40">IFERROR(VLOOKUP($T40,TH_P.thi!$A$18:$P$165,6,0),0)</f>
        <v>0</v>
      </c>
    </row>
    <row r="41" spans="1:22" s="2" customFormat="1" ht="20.100000000000001" customHeight="1">
      <c r="A41" s="129">
        <v>32</v>
      </c>
      <c r="B41" s="112">
        <f t="array" ref="B41">IFERROR(INDEX('DS_Tong_12AS-AT-VH'!$A$9:$I$3045,MATCH(1,(In_DS!$A41='DS_Tong_12AS-AT-VH'!$A$9:$A$3045)*($L$6='DS_Tong_12AS-AT-VH'!$B$9:$B$3045),0),4),0)</f>
        <v>0</v>
      </c>
      <c r="C41" s="131">
        <f t="array" ref="C41">IFERROR(INDEX('DS_Tong_12AS-AT-VH'!$A$9:$I$3045,MATCH(1,(In_DS!$A41='DS_Tong_12AS-AT-VH'!$A$9:$A$3045)*($L$6='DS_Tong_12AS-AT-VH'!$B$9:$B$3045),0),5),0)</f>
        <v>0</v>
      </c>
      <c r="D41" s="182">
        <f>IFERROR(VLOOKUP($C41,'DS_Tong_12AS-AT-VH'!$E$9:$I$3024,2,0),0)</f>
        <v>0</v>
      </c>
      <c r="E41" s="183">
        <f>IFERROR(VLOOKUP($C41,'DS_Tong_12AS-AT-VH'!$E$9:$I$3024,3,0),0)</f>
        <v>0</v>
      </c>
      <c r="F41" s="111">
        <f>IFERROR(VLOOKUP($C41,'DS_Tong_12AS-AT-VH'!$E$9:$I$3024,4,0),0)</f>
        <v>0</v>
      </c>
      <c r="G41" s="328">
        <f>IFERROR(VLOOKUP($C41,'DS_Tong_12AS-AT-VH'!$E$9:$I$3024,5,0),0)</f>
        <v>0</v>
      </c>
      <c r="H41" s="130"/>
      <c r="I41" s="130"/>
      <c r="J41" s="130"/>
      <c r="K41" s="130"/>
      <c r="L41" s="69"/>
      <c r="M41" s="70">
        <f>IFERROR(VLOOKUP($C41,'DS_Tong_12AS-AT-VH'!$E$9:$S$3024,$M$8),0)</f>
        <v>0</v>
      </c>
      <c r="N41" s="70">
        <f>IFERROR(VLOOKUP($C41,'DS_Tong_12AS-AT-VH'!$E$9:$S$3024,$N$8),0)</f>
        <v>0</v>
      </c>
      <c r="O41" s="70">
        <f>IFERROR(VLOOKUP($C41,'DS_Tong_12AS-AT-VH'!$E$9:$S$3024,$O$8),0)</f>
        <v>0</v>
      </c>
      <c r="P41" s="70">
        <f>IFERROR(VLOOKUP($C41,'DS_Tong_12AS-AT-VH'!$E$9:$S$3024,$P$8),0)</f>
        <v>0</v>
      </c>
      <c r="Q41" s="67"/>
      <c r="S41" s="2">
        <v>34</v>
      </c>
      <c r="T41" s="309"/>
      <c r="U41" s="312">
        <f t="array" ref="U41">IFERROR(VLOOKUP($T41,TH_P.thi!$A$18:$P$165,3,0),0)</f>
        <v>0</v>
      </c>
      <c r="V41" s="312">
        <f t="array" ref="V41">IFERROR(VLOOKUP($T41,TH_P.thi!$A$18:$P$165,6,0),0)</f>
        <v>0</v>
      </c>
    </row>
    <row r="42" spans="1:22" ht="21.95" customHeight="1">
      <c r="A42" s="86" t="s">
        <v>498</v>
      </c>
      <c r="B42" s="87" t="str">
        <f>UPPER($I$5)</f>
        <v>12A</v>
      </c>
      <c r="C42" s="97">
        <f>COUNTIF(C10:C41,"&gt;0")</f>
        <v>31</v>
      </c>
      <c r="D42" s="419" t="s">
        <v>499</v>
      </c>
      <c r="E42" s="420"/>
      <c r="F42" s="89"/>
      <c r="G42" s="96"/>
      <c r="H42" s="84"/>
      <c r="I42" s="84"/>
      <c r="J42" s="84"/>
      <c r="K42" s="84"/>
      <c r="L42" s="69"/>
      <c r="M42" s="70"/>
      <c r="N42" s="70"/>
      <c r="O42" s="70"/>
      <c r="P42" s="70"/>
      <c r="Q42" s="67"/>
    </row>
    <row r="43" spans="1:22" ht="12" customHeight="1">
      <c r="A43" s="21"/>
      <c r="B43" s="21"/>
      <c r="C43" s="44"/>
      <c r="D43" s="27"/>
      <c r="E43" s="99"/>
      <c r="F43" s="47"/>
      <c r="G43" s="77"/>
      <c r="H43" s="22"/>
      <c r="I43" s="1"/>
      <c r="J43" s="1"/>
      <c r="K43" s="1"/>
      <c r="L43" s="62"/>
      <c r="Q43" s="67"/>
    </row>
    <row r="44" spans="1:22" s="23" customFormat="1">
      <c r="A44" s="21"/>
      <c r="B44" s="21"/>
      <c r="C44" s="38"/>
      <c r="D44" s="73"/>
      <c r="E44" s="100"/>
      <c r="F44" s="378" t="s">
        <v>3354</v>
      </c>
      <c r="G44" s="378"/>
      <c r="H44" s="378"/>
      <c r="I44" s="378"/>
      <c r="J44" s="378"/>
      <c r="K44" s="378"/>
      <c r="L44" s="63"/>
      <c r="M44" s="68"/>
      <c r="N44" s="68"/>
      <c r="O44" s="68"/>
      <c r="P44" s="68"/>
      <c r="Q44" s="67"/>
    </row>
    <row r="45" spans="1:22" s="23" customFormat="1">
      <c r="A45" s="21"/>
      <c r="B45" s="21"/>
      <c r="C45" s="38"/>
      <c r="D45" s="73"/>
      <c r="E45" s="100"/>
      <c r="F45" s="377" t="s">
        <v>396</v>
      </c>
      <c r="G45" s="377"/>
      <c r="H45" s="377"/>
      <c r="I45" s="377"/>
      <c r="J45" s="377"/>
      <c r="K45" s="377"/>
      <c r="L45" s="63"/>
      <c r="M45" s="68"/>
      <c r="N45" s="68"/>
      <c r="O45" s="68"/>
      <c r="P45" s="68"/>
      <c r="Q45" s="67"/>
    </row>
    <row r="46" spans="1:22" s="23" customFormat="1">
      <c r="A46" s="21"/>
      <c r="B46" s="21"/>
      <c r="C46" s="38"/>
      <c r="D46" s="73"/>
      <c r="E46" s="100"/>
      <c r="F46" s="377"/>
      <c r="G46" s="377"/>
      <c r="H46" s="377"/>
      <c r="I46" s="377"/>
      <c r="J46" s="377"/>
      <c r="K46" s="377"/>
      <c r="L46" s="63"/>
      <c r="M46" s="68"/>
      <c r="N46" s="68"/>
      <c r="O46" s="68"/>
      <c r="P46" s="68"/>
      <c r="Q46" s="67"/>
    </row>
    <row r="47" spans="1:22" s="23" customFormat="1">
      <c r="A47" s="21"/>
      <c r="B47" s="21"/>
      <c r="C47" s="38"/>
      <c r="D47" s="73"/>
      <c r="E47" s="100"/>
      <c r="F47" s="32"/>
      <c r="G47" s="32"/>
      <c r="H47" s="24"/>
      <c r="I47" s="24"/>
      <c r="J47" s="24"/>
      <c r="K47" s="24"/>
      <c r="L47" s="63"/>
      <c r="M47" s="68"/>
      <c r="N47" s="68"/>
      <c r="O47" s="68"/>
      <c r="P47" s="68"/>
    </row>
    <row r="48" spans="1:22" s="23" customFormat="1">
      <c r="A48" s="25"/>
      <c r="B48" s="25"/>
      <c r="C48" s="45"/>
      <c r="D48" s="74"/>
      <c r="E48" s="100"/>
      <c r="F48" s="32"/>
      <c r="G48" s="32"/>
      <c r="H48" s="24"/>
      <c r="I48" s="24"/>
      <c r="J48" s="24"/>
      <c r="K48" s="24"/>
      <c r="L48" s="63"/>
      <c r="M48" s="68"/>
      <c r="N48" s="68"/>
      <c r="O48" s="68"/>
      <c r="P48" s="68"/>
    </row>
    <row r="49" spans="1:16" s="23" customFormat="1" ht="20.100000000000001" customHeight="1">
      <c r="A49" s="25"/>
      <c r="B49" s="25"/>
      <c r="C49" s="45"/>
      <c r="D49" s="74"/>
      <c r="E49" s="100"/>
      <c r="F49" s="377" t="s">
        <v>397</v>
      </c>
      <c r="G49" s="377"/>
      <c r="H49" s="377"/>
      <c r="I49" s="377"/>
      <c r="J49" s="377"/>
      <c r="K49" s="377"/>
      <c r="L49" s="63"/>
      <c r="M49" s="68"/>
      <c r="N49" s="68"/>
      <c r="O49" s="68"/>
      <c r="P49" s="68"/>
    </row>
  </sheetData>
  <mergeCells count="23">
    <mergeCell ref="A1:D1"/>
    <mergeCell ref="E1:K1"/>
    <mergeCell ref="A2:D2"/>
    <mergeCell ref="E2:K2"/>
    <mergeCell ref="A3:D3"/>
    <mergeCell ref="A4:E4"/>
    <mergeCell ref="F4:J4"/>
    <mergeCell ref="D42:E42"/>
    <mergeCell ref="A5:E5"/>
    <mergeCell ref="A7:A9"/>
    <mergeCell ref="B7:B9"/>
    <mergeCell ref="C7:C9"/>
    <mergeCell ref="D7:D9"/>
    <mergeCell ref="E7:E9"/>
    <mergeCell ref="F44:K44"/>
    <mergeCell ref="F45:K45"/>
    <mergeCell ref="F46:K46"/>
    <mergeCell ref="F49:K49"/>
    <mergeCell ref="F7:F9"/>
    <mergeCell ref="G7:G9"/>
    <mergeCell ref="H7:K7"/>
    <mergeCell ref="H8:I8"/>
    <mergeCell ref="J8:K8"/>
  </mergeCells>
  <conditionalFormatting sqref="D9:G9 A7:A9 C7:C9 D8:K8">
    <cfRule type="expression" dxfId="9" priority="13" stopIfTrue="1">
      <formula>$G10="HN"</formula>
    </cfRule>
  </conditionalFormatting>
  <conditionalFormatting sqref="D7:K7">
    <cfRule type="expression" dxfId="8" priority="14" stopIfTrue="1">
      <formula>$G10="HN"</formula>
    </cfRule>
  </conditionalFormatting>
  <conditionalFormatting sqref="H9:K9">
    <cfRule type="expression" dxfId="7" priority="12" stopIfTrue="1">
      <formula>$G12="HN"</formula>
    </cfRule>
  </conditionalFormatting>
  <conditionalFormatting sqref="H42:P42 A43:P49">
    <cfRule type="expression" dxfId="6" priority="15" stopIfTrue="1">
      <formula>$P42="HP"</formula>
    </cfRule>
  </conditionalFormatting>
  <conditionalFormatting sqref="H42:O42 A43:O49">
    <cfRule type="expression" dxfId="5" priority="16" stopIfTrue="1">
      <formula>$O42="NgiH"</formula>
    </cfRule>
  </conditionalFormatting>
  <conditionalFormatting sqref="B7:B9">
    <cfRule type="expression" dxfId="4" priority="7" stopIfTrue="1">
      <formula>$G10="HN"</formula>
    </cfRule>
  </conditionalFormatting>
  <conditionalFormatting sqref="A10:O41">
    <cfRule type="expression" dxfId="3" priority="6" stopIfTrue="1">
      <formula>$O10="NgiH"</formula>
    </cfRule>
  </conditionalFormatting>
  <conditionalFormatting sqref="B10:P41">
    <cfRule type="expression" dxfId="2" priority="5" stopIfTrue="1">
      <formula>$P10="HP"</formula>
    </cfRule>
  </conditionalFormatting>
  <conditionalFormatting sqref="I5">
    <cfRule type="expression" dxfId="1" priority="3" stopIfTrue="1">
      <formula>$P6="HP"</formula>
    </cfRule>
  </conditionalFormatting>
  <conditionalFormatting sqref="I5">
    <cfRule type="expression" dxfId="0" priority="4" stopIfTrue="1">
      <formula>$O6="NgiH"</formula>
    </cfRule>
  </conditionalFormatting>
  <conditionalFormatting sqref="O3:S3">
    <cfRule type="expression" priority="1" stopIfTrue="1">
      <formula>#REF!="NgiH"</formula>
    </cfRule>
  </conditionalFormatting>
  <conditionalFormatting sqref="O1:S2">
    <cfRule type="expression" priority="2" stopIfTrue="1">
      <formula>#REF!="NgiH"</formula>
    </cfRule>
  </conditionalFormatting>
  <printOptions horizontalCentered="1"/>
  <pageMargins left="0.27" right="0.2" top="0.36" bottom="0.17" header="0.36" footer="0.18"/>
  <pageSetup paperSize="9"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In_GIAO NHAN BAI</vt:lpstr>
      <vt:lpstr>Nghi hoc T12</vt:lpstr>
      <vt:lpstr>No_HP</vt:lpstr>
      <vt:lpstr>TH_P.thi</vt:lpstr>
      <vt:lpstr>DS_Tong_12AS-AT-VH</vt:lpstr>
      <vt:lpstr>In_DS</vt:lpstr>
      <vt:lpstr>'DS_Tong_12AS-AT-VH'!Print_Area</vt:lpstr>
      <vt:lpstr>In_DS!Print_Area</vt:lpstr>
      <vt:lpstr>'In_GIAO NHAN BAI'!Print_Area</vt:lpstr>
    </vt:vector>
  </TitlesOfParts>
  <Company>DOET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MLD</dc:creator>
  <cp:lastModifiedBy>cloudconvert_20</cp:lastModifiedBy>
  <cp:lastPrinted>2026-01-09T00:15:25Z</cp:lastPrinted>
  <dcterms:created xsi:type="dcterms:W3CDTF">2014-01-23T09:35:31Z</dcterms:created>
  <dcterms:modified xsi:type="dcterms:W3CDTF">2026-03-17T00:36:25Z</dcterms:modified>
</cp:coreProperties>
</file>